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1.xml.rels" ContentType="application/vnd.openxmlformats-package.relationships+xml"/>
  <Override PartName="/xl/worksheets/_rels/sheet47.xml.rels" ContentType="application/vnd.openxmlformats-package.relationships+xml"/>
  <Override PartName="/xl/worksheets/_rels/sheet10.xml.rels" ContentType="application/vnd.openxmlformats-package.relationships+xml"/>
  <Override PartName="/xl/worksheets/_rels/sheet32.xml.rels" ContentType="application/vnd.openxmlformats-package.relationships+xml"/>
  <Override PartName="/xl/worksheets/_rels/sheet33.xml.rels" ContentType="application/vnd.openxmlformats-package.relationships+xml"/>
  <Override PartName="/xl/worksheets/_rels/sheet5.xml.rels" ContentType="application/vnd.openxmlformats-package.relationships+xml"/>
  <Override PartName="/xl/worksheets/_rels/sheet34.xml.rels" ContentType="application/vnd.openxmlformats-package.relationships+xml"/>
  <Override PartName="/xl/worksheets/_rels/sheet6.xml.rels" ContentType="application/vnd.openxmlformats-package.relationships+xml"/>
  <Override PartName="/xl/worksheets/_rels/sheet35.xml.rels" ContentType="application/vnd.openxmlformats-package.relationships+xml"/>
  <Override PartName="/xl/worksheets/_rels/sheet36.xml.rels" ContentType="application/vnd.openxmlformats-package.relationships+xml"/>
  <Override PartName="/xl/worksheets/_rels/sheet37.xml.rels" ContentType="application/vnd.openxmlformats-package.relationships+xml"/>
  <Override PartName="/xl/worksheets/_rels/sheet54.xml.rels" ContentType="application/vnd.openxmlformats-package.relationships+xml"/>
  <Override PartName="/xl/worksheets/_rels/sheet42.xml.rels" ContentType="application/vnd.openxmlformats-package.relationships+xml"/>
  <Override PartName="/xl/worksheets/_rels/sheet53.xml.rels" ContentType="application/vnd.openxmlformats-package.relationships+xml"/>
  <Override PartName="/xl/worksheets/_rels/sheet52.xml.rels" ContentType="application/vnd.openxmlformats-package.relationships+xml"/>
  <Override PartName="/xl/worksheets/_rels/sheet9.xml.rels" ContentType="application/vnd.openxmlformats-package.relationships+xml"/>
  <Override PartName="/xl/worksheets/_rels/sheet38.xml.rels" ContentType="application/vnd.openxmlformats-package.relationships+xml"/>
  <Override PartName="/xl/worksheets/_rels/sheet40.xml.rels" ContentType="application/vnd.openxmlformats-package.relationships+xml"/>
  <Override PartName="/xl/worksheets/_rels/sheet14.xml.rels" ContentType="application/vnd.openxmlformats-package.relationships+xml"/>
  <Override PartName="/xl/worksheets/_rels/sheet51.xml.rels" ContentType="application/vnd.openxmlformats-package.relationships+xml"/>
  <Override PartName="/xl/worksheets/_rels/sheet48.xml.rels" ContentType="application/vnd.openxmlformats-package.relationships+xml"/>
  <Override PartName="/xl/worksheets/_rels/sheet11.xml.rels" ContentType="application/vnd.openxmlformats-package.relationships+xml"/>
  <Override PartName="/xl/worksheets/_rels/sheet50.xml.rels" ContentType="application/vnd.openxmlformats-package.relationships+xml"/>
  <Override PartName="/xl/worksheets/_rels/sheet41.xml.rels" ContentType="application/vnd.openxmlformats-package.relationships+xml"/>
  <Override PartName="/xl/worksheets/_rels/sheet28.xml.rels" ContentType="application/vnd.openxmlformats-package.relationships+xml"/>
  <Override PartName="/xl/worksheets/_rels/sheet30.xml.rels" ContentType="application/vnd.openxmlformats-package.relationships+xml"/>
  <Override PartName="/xl/worksheets/_rels/sheet20.xml.rels" ContentType="application/vnd.openxmlformats-package.relationships+xml"/>
  <Override PartName="/xl/worksheets/_rels/sheet21.xml.rels" ContentType="application/vnd.openxmlformats-package.relationships+xml"/>
  <Override PartName="/xl/worksheets/_rels/sheet22.xml.rels" ContentType="application/vnd.openxmlformats-package.relationships+xml"/>
  <Override PartName="/xl/worksheets/_rels/sheet23.xml.rels" ContentType="application/vnd.openxmlformats-package.relationships+xml"/>
  <Override PartName="/xl/worksheets/_rels/sheet24.xml.rels" ContentType="application/vnd.openxmlformats-package.relationships+xml"/>
  <Override PartName="/xl/worksheets/_rels/sheet25.xml.rels" ContentType="application/vnd.openxmlformats-package.relationships+xml"/>
  <Override PartName="/xl/worksheets/_rels/sheet26.xml.rels" ContentType="application/vnd.openxmlformats-package.relationships+xml"/>
  <Override PartName="/xl/worksheets/_rels/sheet27.xml.rels" ContentType="application/vnd.openxmlformats-package.relationships+xml"/>
  <Override PartName="/xl/worksheets/_rels/sheet1.xml.rels" ContentType="application/vnd.openxmlformats-package.relationships+xml"/>
  <Override PartName="/xl/worksheets/_rels/sheet16.xml.rels" ContentType="application/vnd.openxmlformats-package.relationships+xml"/>
  <Override PartName="/xl/worksheets/_rels/sheet17.xml.rels" ContentType="application/vnd.openxmlformats-package.relationships+xml"/>
  <Override PartName="/xl/worksheets/_rels/sheet29.xml.rels" ContentType="application/vnd.openxmlformats-package.relationships+xml"/>
  <Override PartName="/xl/worksheets/_rels/sheet15.xml.rels" ContentType="application/vnd.openxmlformats-package.relationships+xml"/>
  <Override PartName="/xl/worksheets/_rels/sheet18.xml.rels" ContentType="application/vnd.openxmlformats-package.relationships+xml"/>
  <Override PartName="/xl/worksheets/_rels/sheet3.xml.rels" ContentType="application/vnd.openxmlformats-package.relationships+xml"/>
  <Override PartName="/xl/worksheets/_rels/sheet19.xml.rels" ContentType="application/vnd.openxmlformats-package.relationships+xml"/>
  <Override PartName="/xl/worksheets/_rels/sheet4.xml.rels" ContentType="application/vnd.openxmlformats-package.relationships+xml"/>
  <Override PartName="/xl/worksheets/_rels/sheet12.xml.rels" ContentType="application/vnd.openxmlformats-package.relationships+xml"/>
  <Override PartName="/xl/worksheets/_rels/sheet49.xml.rels" ContentType="application/vnd.openxmlformats-package.relationships+xml"/>
  <Override PartName="/xl/worksheets/_rels/sheet7.xml.rels" ContentType="application/vnd.openxmlformats-package.relationships+xml"/>
  <Override PartName="/xl/worksheets/_rels/sheet13.xml.rels" ContentType="application/vnd.openxmlformats-package.relationships+xml"/>
  <Override PartName="/xl/worksheets/_rels/sheet8.xml.rels" ContentType="application/vnd.openxmlformats-package.relationships+xml"/>
  <Override PartName="/xl/worksheets/_rels/sheet43.xml.rels" ContentType="application/vnd.openxmlformats-package.relationships+xml"/>
  <Override PartName="/xl/worksheets/_rels/sheet44.xml.rels" ContentType="application/vnd.openxmlformats-package.relationships+xml"/>
  <Override PartName="/xl/worksheets/_rels/sheet45.xml.rels" ContentType="application/vnd.openxmlformats-package.relationships+xml"/>
  <Override PartName="/xl/worksheets/_rels/sheet46.xml.rels" ContentType="application/vnd.openxmlformats-package.relationships+xml"/>
  <Override PartName="/xl/worksheets/_rels/sheet39.xml.rels" ContentType="application/vnd.openxmlformats-package.relationships+xml"/>
  <Override PartName="/xl/worksheets/sheet29.xml" ContentType="application/vnd.openxmlformats-officedocument.spreadsheetml.worksheet+xml"/>
  <Override PartName="/xl/worksheets/sheet28.xml" ContentType="application/vnd.openxmlformats-officedocument.spreadsheetml.worksheet+xml"/>
  <Override PartName="/xl/worksheets/sheet27.xml" ContentType="application/vnd.openxmlformats-officedocument.spreadsheetml.worksheet+xml"/>
  <Override PartName="/xl/worksheets/sheet26.xml" ContentType="application/vnd.openxmlformats-officedocument.spreadsheetml.worksheet+xml"/>
  <Override PartName="/xl/worksheets/sheet25.xml" ContentType="application/vnd.openxmlformats-officedocument.spreadsheetml.worksheet+xml"/>
  <Override PartName="/xl/worksheets/sheet24.xml" ContentType="application/vnd.openxmlformats-officedocument.spreadsheetml.worksheet+xml"/>
  <Override PartName="/xl/worksheets/sheet23.xml" ContentType="application/vnd.openxmlformats-officedocument.spreadsheetml.worksheet+xml"/>
  <Override PartName="/xl/worksheets/sheet22.xml" ContentType="application/vnd.openxmlformats-officedocument.spreadsheetml.worksheet+xml"/>
  <Override PartName="/xl/worksheets/sheet21.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18.xml" ContentType="application/vnd.openxmlformats-officedocument.spreadsheetml.worksheet+xml"/>
  <Override PartName="/xl/worksheets/sheet1.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12.xml" ContentType="application/vnd.openxmlformats-officedocument.spreadsheetml.worksheet+xml"/>
  <Override PartName="/xl/worksheets/sheet49.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30.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5.xml" ContentType="application/vnd.openxmlformats-officedocument.spreadsheetml.worksheet+xml"/>
  <Override PartName="/xl/worksheets/sheet46.xml" ContentType="application/vnd.openxmlformats-officedocument.spreadsheetml.worksheet+xml"/>
  <Override PartName="/xl/worksheets/sheet6.xml" ContentType="application/vnd.openxmlformats-officedocument.spreadsheetml.worksheet+xml"/>
  <Override PartName="/xl/worksheets/sheet39.xml" ContentType="application/vnd.openxmlformats-officedocument.spreadsheetml.worksheet+xml"/>
  <Override PartName="/xl/worksheets/sheet41.xml" ContentType="application/vnd.openxmlformats-officedocument.spreadsheetml.worksheet+xml"/>
  <Override PartName="/xl/worksheets/sheet50.xml" ContentType="application/vnd.openxmlformats-officedocument.spreadsheetml.worksheet+xml"/>
  <Override PartName="/xl/worksheets/sheet11.xml" ContentType="application/vnd.openxmlformats-officedocument.spreadsheetml.worksheet+xml"/>
  <Override PartName="/xl/worksheets/sheet48.xml" ContentType="application/vnd.openxmlformats-officedocument.spreadsheetml.worksheet+xml"/>
  <Override PartName="/xl/worksheets/sheet51.xml" ContentType="application/vnd.openxmlformats-officedocument.spreadsheetml.worksheet+xml"/>
  <Override PartName="/xl/worksheets/sheet14.xml" ContentType="application/vnd.openxmlformats-officedocument.spreadsheetml.worksheet+xml"/>
  <Override PartName="/xl/worksheets/sheet40.xml" ContentType="application/vnd.openxmlformats-officedocument.spreadsheetml.worksheet+xml"/>
  <Override PartName="/xl/worksheets/sheet38.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42.xml" ContentType="application/vnd.openxmlformats-officedocument.spreadsheetml.worksheet+xml"/>
  <Override PartName="/xl/worksheets/sheet54.xml" ContentType="application/vnd.openxmlformats-officedocument.spreadsheetml.worksheet+xml"/>
  <Override PartName="/xl/worksheets/sheet37.xml" ContentType="application/vnd.openxmlformats-officedocument.spreadsheetml.worksheet+xml"/>
  <Override PartName="/xl/worksheets/sheet36.xml" ContentType="application/vnd.openxmlformats-officedocument.spreadsheetml.worksheet+xml"/>
  <Override PartName="/xl/worksheets/sheet35.xml" ContentType="application/vnd.openxmlformats-officedocument.spreadsheetml.worksheet+xml"/>
  <Override PartName="/xl/worksheets/sheet34.xml" ContentType="application/vnd.openxmlformats-officedocument.spreadsheetml.worksheet+xml"/>
  <Override PartName="/xl/worksheets/sheet33.xml" ContentType="application/vnd.openxmlformats-officedocument.spreadsheetml.worksheet+xml"/>
  <Override PartName="/xl/worksheets/sheet32.xml" ContentType="application/vnd.openxmlformats-officedocument.spreadsheetml.worksheet+xml"/>
  <Override PartName="/xl/worksheets/sheet10.xml" ContentType="application/vnd.openxmlformats-officedocument.spreadsheetml.worksheet+xml"/>
  <Override PartName="/xl/worksheets/sheet47.xml" ContentType="application/vnd.openxmlformats-officedocument.spreadsheetml.worksheet+xml"/>
  <Override PartName="/xl/worksheets/sheet9.xml" ContentType="application/vnd.openxmlformats-officedocument.spreadsheetml.worksheet+xml"/>
  <Override PartName="/xl/worksheets/sheet3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Navigation" sheetId="1" state="visible" r:id="rId3"/>
    <sheet name="Model Flow" sheetId="2" state="visible" r:id="rId4"/>
    <sheet name="Global Inputs" sheetId="3" state="visible" r:id="rId5"/>
    <sheet name="Project Summary" sheetId="4" state="visible" r:id="rId6"/>
    <sheet name="FSL Financials — Without BUMN" sheetId="5" state="visible" r:id="rId7"/>
    <sheet name="FSL Financials — With BUMN" sheetId="6" state="visible" r:id="rId8"/>
    <sheet name="Funding Requirement" sheetId="7" state="visible" r:id="rId9"/>
    <sheet name="Financing" sheetId="8" state="visible" r:id="rId10"/>
    <sheet name="Valuation — Without BUMN" sheetId="9" state="visible" r:id="rId11"/>
    <sheet name="Valuation — With BUMN" sheetId="10" state="visible" r:id="rId12"/>
    <sheet name="Checks" sheetId="11" state="visible" r:id="rId13"/>
    <sheet name="Reconciliation v29" sheetId="12" state="visible" r:id="rId14"/>
    <sheet name="E1 TelukLamong Input" sheetId="13" state="visible" r:id="rId15"/>
    <sheet name="E1 TelukLamong Calc" sheetId="14" state="visible" r:id="rId16"/>
    <sheet name="E1 TelukLamong Output" sheetId="15" state="visible" r:id="rId17"/>
    <sheet name="E2 CigadingExist Input" sheetId="16" state="visible" r:id="rId18"/>
    <sheet name="E2 CigadingExist Calc" sheetId="17" state="visible" r:id="rId19"/>
    <sheet name="E2 CigadingExist Output" sheetId="18" state="visible" r:id="rId20"/>
    <sheet name="E3 Belawan Input" sheetId="19" state="visible" r:id="rId21"/>
    <sheet name="E3 Belawan Calc" sheetId="20" state="visible" r:id="rId22"/>
    <sheet name="E3 Belawan Output" sheetId="21" state="visible" r:id="rId23"/>
    <sheet name="E4 WIN Input" sheetId="22" state="visible" r:id="rId24"/>
    <sheet name="E4 WIN Calc" sheetId="23" state="visible" r:id="rId25"/>
    <sheet name="E4 WIN Output" sheetId="24" state="visible" r:id="rId26"/>
    <sheet name="P01 CigWharf2 Input" sheetId="25" state="visible" r:id="rId27"/>
    <sheet name="P01 CigWharf2 Calc" sheetId="26" state="visible" r:id="rId28"/>
    <sheet name="P01 CigWharf2 Output" sheetId="27" state="visible" r:id="rId29"/>
    <sheet name="P02 CigConveyor Input" sheetId="28" state="visible" r:id="rId30"/>
    <sheet name="P02 CigConveyor Calc" sheetId="29" state="visible" r:id="rId31"/>
    <sheet name="P02 CigConveyor Output" sheetId="30" state="visible" r:id="rId32"/>
    <sheet name="P03 KBSWarehouse Input" sheetId="31" state="visible" r:id="rId33"/>
    <sheet name="P03 KBSWarehouse Calc" sheetId="32" state="visible" r:id="rId34"/>
    <sheet name="P03 KBSWarehouse Output" sheetId="33" state="visible" r:id="rId35"/>
    <sheet name="P04 TTLSilo Input" sheetId="34" state="visible" r:id="rId36"/>
    <sheet name="P04 TTLSilo Calc" sheetId="35" state="visible" r:id="rId37"/>
    <sheet name="P04 TTLSilo Output" sheetId="36" state="visible" r:id="rId38"/>
    <sheet name="P05 Dumai Input" sheetId="37" state="visible" r:id="rId39"/>
    <sheet name="P05 Dumai Calc" sheetId="38" state="visible" r:id="rId40"/>
    <sheet name="P05 Dumai Output" sheetId="39" state="visible" r:id="rId41"/>
    <sheet name="P06 Ciwandan Input" sheetId="40" state="visible" r:id="rId42"/>
    <sheet name="P06 Ciwandan Calc" sheetId="41" state="visible" r:id="rId43"/>
    <sheet name="P06 Ciwandan Output" sheetId="42" state="visible" r:id="rId44"/>
    <sheet name="P08 DMSTrucking Input" sheetId="43" state="visible" r:id="rId45"/>
    <sheet name="P08 DMSTrucking Calc" sheetId="44" state="visible" r:id="rId46"/>
    <sheet name="P08 DMSTrucking Output" sheetId="45" state="visible" r:id="rId47"/>
    <sheet name="P12 BUMNOps Input" sheetId="46" state="visible" r:id="rId48"/>
    <sheet name="P12 BUMNOps Calc" sheetId="47" state="visible" r:id="rId49"/>
    <sheet name="P12 BUMNOps Output" sheetId="48" state="visible" r:id="rId50"/>
    <sheet name="P15 TBM Input" sheetId="49" state="visible" r:id="rId51"/>
    <sheet name="P15 TBM Calc" sheetId="50" state="visible" r:id="rId52"/>
    <sheet name="P15 TBM Output" sheetId="51" state="visible" r:id="rId53"/>
    <sheet name="P19 Badas FS Working Paper" sheetId="52" state="visible" r:id="rId54"/>
    <sheet name="P19 Badas Calculation" sheetId="53" state="visible" r:id="rId55"/>
    <sheet name="P19 Badas Output" sheetId="54" state="visible" r:id="rId5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<sst xmlns="http://schemas.openxmlformats.org/spreadsheetml/2006/main" count="10393" uniqueCount="2657">
  <si>
    <t xml:space="preserve">FSL — FKS Solusi Logistik — Financial Model (revised from v29)</t>
  </si>
  <si>
    <t xml:space="preserve">Valuation date 31-Dec-2026 · IDR bn unless stated · Sapphire excluded · two BUMN cases · built with live Excel formulas</t>
  </si>
  <si>
    <t xml:space="preserve">Start here</t>
  </si>
  <si>
    <t xml:space="preserve">Model Flow</t>
  </si>
  <si>
    <t xml:space="preserve">How the model is organised, what changed versus v29, how to use the controls, tests performed.</t>
  </si>
  <si>
    <t xml:space="preserve">Global Inputs</t>
  </si>
  <si>
    <t xml:space="preserve">Shared assumptions, switches (depreciation method, funding case, Badas funding), valuation parameters, project register (inclusion / case / interest).</t>
  </si>
  <si>
    <t xml:space="preserve">Project Summary</t>
  </si>
  <si>
    <t xml:space="preserve">One section per project (income statement, FCFF, capex, funding need, returns) + comparison table.</t>
  </si>
  <si>
    <t xml:space="preserve">FSL Financials — Without BUMN</t>
  </si>
  <si>
    <t xml:space="preserve">Integrated statements — Without BUMN case.</t>
  </si>
  <si>
    <t xml:space="preserve">FSL Financials — With BUMN</t>
  </si>
  <si>
    <t xml:space="preserve">Integrated statements — With BUMN case.</t>
  </si>
  <si>
    <t xml:space="preserve">Funding Requirement</t>
  </si>
  <si>
    <t xml:space="preserve">How much equity do we need and when: cash roll-forward, requirement at the injection date, capex-only projects, bridge, use of proceeds.</t>
  </si>
  <si>
    <t xml:space="preserve">Financing</t>
  </si>
  <si>
    <t xml:space="preserve">Corporate loans: LT loan carried until the capital injection; interest to the repayment date; injection booking.</t>
  </si>
  <si>
    <t xml:space="preserve">Valuation — Without BUMN</t>
  </si>
  <si>
    <t xml:space="preserve">DCF from FY2027 at 31-Dec-2026 — Without BUMN.</t>
  </si>
  <si>
    <t xml:space="preserve">Valuation — With BUMN</t>
  </si>
  <si>
    <t xml:space="preserve">DCF from FY2027 at 31-Dec-2026 — With BUMN.</t>
  </si>
  <si>
    <t xml:space="preserve">Checks</t>
  </si>
  <si>
    <t xml:space="preserve">Formula-based integrity checks (balance sheet, cash, consolidation, funding, valuation timing, capex allocation).</t>
  </si>
  <si>
    <t xml:space="preserve">Reconciliation v29</t>
  </si>
  <si>
    <t xml:space="preserve">Line-by-line reconciliation to v29 (Output_FSL) with explanations of the differences.</t>
  </si>
  <si>
    <t xml:space="preserve">Project</t>
  </si>
  <si>
    <t xml:space="preserve">Description</t>
  </si>
  <si>
    <t xml:space="preserve">Input</t>
  </si>
  <si>
    <t xml:space="preserve">Calc</t>
  </si>
  <si>
    <t xml:space="preserve">Output</t>
  </si>
  <si>
    <t xml:space="preserve">Category / notes</t>
  </si>
  <si>
    <t xml:space="preserve">E1  Teluk Lamong (NPLOG) cargodoring &amp; delivery</t>
  </si>
  <si>
    <t xml:space="preserve">Existing grain and meal terminal operations at Teluk Lamong (conveyor, warehouse, delivery): volume x tariff for meals and grains; variable costs per ton indexed from FY2023; fixed G&amp;A lines; depreciation of existing assets.</t>
  </si>
  <si>
    <t xml:space="preserve">Existing business — NPLOG Teluk Lamong</t>
  </si>
  <si>
    <t xml:space="preserve">E2  Cigading Existing Terminal (SGT 2)</t>
  </si>
  <si>
    <t xml:space="preserve">Existing grain terminal at Cigading: stevedoring / cargodoring volume at a per-ton tariff (Wharf 2 tariff from FY2025), variable costs per ton indexed from FY2023 actuals, fixed G&amp;A lines, depreciation of existing assets.</t>
  </si>
  <si>
    <t xml:space="preserve">Existing business — SGT Cigading</t>
  </si>
  <si>
    <t xml:space="preserve">E3  Belawan terminal (SGT3) incl. Belawan expansion</t>
  </si>
  <si>
    <t xml:space="preserve">Existing grain terminal at Belawan plus its expansion: existing volume (3% growth) and typed additional expansion volume from FY2027 at a per-ton tariff; fixed and per-ton costs indexed from FY2023, concession fee 2.5% of revenue, insurance; nine fixed G&amp;A lines; existing-asset depreciation plus 14.0 USD m of new assets depreciated from FY2026.</t>
  </si>
  <si>
    <t xml:space="preserve">Existing business — SGT Belawan</t>
  </si>
  <si>
    <t xml:space="preserve">E4  WIN stevedoring (Cilegon, Makassar, Surabaya, Medan)</t>
  </si>
  <si>
    <t xml:space="preserve">Existing stevedoring business at four ports: per-commodity volume (FY2023 base x growth index) x stevedoring tariff; cost of sales = dock &amp; port facilities fee (share of sales), employee cost, maintenance and insurance; fixed G&amp;A lines; fixed depreciation of existing assets per site.</t>
  </si>
  <si>
    <t xml:space="preserve">Existing business — WIN</t>
  </si>
  <si>
    <t xml:space="preserve">P01  Cigading Wharf 2</t>
  </si>
  <si>
    <t xml:space="preserve">Second wharf at Cigading: additional meals/grains volume at a stevedoring tariff; variable costs use the existing terminal's cost per ton, opex 20% of revenue, insurance on new assets.</t>
  </si>
  <si>
    <t xml:space="preserve">Committed project — SGT Cigading</t>
  </si>
  <si>
    <t xml:space="preserve">P02  Cigading Extended Conveyor</t>
  </si>
  <si>
    <t xml:space="preserve">Conveyor extension at Cigading: additional cargodoring volume charged at a per-ton tariff; costs are electricity and maintenance shares of the existing terminal's cost per ton plus insurance on the new assets.</t>
  </si>
  <si>
    <t xml:space="preserve">P03  KBS Warehouse Revitalisation (Cigading)</t>
  </si>
  <si>
    <t xml:space="preserve">Revitalisation of the KBS warehouse at Cigading: handling/bagging, weighing and storage fees per ton on an indexed 1.7 m t base; FKS books 49% of gross revenue, with cost of sales 10% and opex 50% of that revenue.</t>
  </si>
  <si>
    <t xml:space="preserve">Planned project — SGT Cigading / KBS</t>
  </si>
  <si>
    <t xml:space="preserve">P04  Teluk Lamong Silo</t>
  </si>
  <si>
    <t xml:space="preserve">Two 8,500 t/month silos at Teluk Lamong charging a bagging/storage fee of 65,000 IDR per ton per month from 2027; a 300 IDR/t handling cost (booked as opex in v29) and depreciation of the 3.76 USD m capex (building 63% / 20 yrs, equipment 37% / 10 yrs).</t>
  </si>
  <si>
    <t xml:space="preserve">Planned project — NPLOG Teluk Lamong</t>
  </si>
  <si>
    <t xml:space="preserve">P05  Dumai bagging &amp; weighbridge</t>
  </si>
  <si>
    <t xml:space="preserve">Bagging and weighbridge services at Dumai from FY2026: a typed volume schedule (1.3 m t, stepping up 3% every four years) charged a bagging tariff (35,000 IDR/t, +4% every four years) and a weighbridge tariff (2,000 IDR/t); opex = insurance on the 6.81 USD m capex plus operational cost as a typed % of each revenue stream; cost of sales nil in v29.</t>
  </si>
  <si>
    <t xml:space="preserve">Planned project — FSL Dumai</t>
  </si>
  <si>
    <t xml:space="preserve">P06  Ciwandan Expansion</t>
  </si>
  <si>
    <t xml:space="preserve">Expansion at Ciwandan from FY2028: 1.6 m t growing 10% p.a. (6% from 2032) at an ASP of 36,411 IDR/t stepping up with the Cigading tariff; cost of sales and opex are the existing Cigading terminal's cost-to-revenue ratios applied to the expansion revenue; depreciation of the 5.02 USD m capex (50% building / 20 yrs, 50% equipment / 8 yrs).</t>
  </si>
  <si>
    <t xml:space="preserve">Planned project — FSL Ciwandan</t>
  </si>
  <si>
    <t xml:space="preserve">P08  DMS trucking fee (Teluk Lamong, Cigading, Ciwandan, Belawan)</t>
  </si>
  <si>
    <t xml:space="preserve">Digital trucking management service at four terminals: FKS earns a 2% service fee on the trucking cost per ton of each terminal's volume and keeps 50% of the fee; opex 20% of FKS revenue; small equipment depreciated per site (no capex in v29).</t>
  </si>
  <si>
    <t xml:space="preserve">Planned project — DMS trucking</t>
  </si>
  <si>
    <t xml:space="preserve">P12  BUMN operatorship schemes (Pelindo Teluk Lamong, KBS Cigading, Pelindo Belawan)</t>
  </si>
  <si>
    <t xml:space="preserve">FKS takes over part of the BUMN port operators' stevedoring services: revenue = volume handled at each terminal x (current-scheme tariff - new-scheme tariff); cost = revenue x (1 - FSL EBIT margin). No capex or depreciation in v29.</t>
  </si>
  <si>
    <t xml:space="preserve">BUMN synergy — FSL / Pelindo / KBS</t>
  </si>
  <si>
    <t xml:space="preserve">P15  TBM — Tanjung Batu / Pelindo land lease, warehousing and cargo handling</t>
  </si>
  <si>
    <t xml:space="preserve">Pipeline warehousing project on Pelindo land: flat storage and silo rental (stored tons per month x monthly fee, indexed), cargo handling on the stored volume, land sub-lease (no price in v29); warehouse cost 30% of warehouse revenue, cargo cost at the Teluk Lamong cost ratio, opex 18% of revenue; 40.0 USD m capex depreciated from 2027.</t>
  </si>
  <si>
    <t xml:space="preserve">Pipeline (excluded by default) — TBM (pipeline)</t>
  </si>
  <si>
    <t xml:space="preserve">P19  Badas bulk terminal (FS pending — DUMMY data)</t>
  </si>
  <si>
    <t xml:space="preserve">Bulk cargo terminal at Badas: capacity x utilisation -&gt; throughput; handling, storage and ancillary tariffs; variable, staff, fixed, maintenance, insurance and concession costs; 10 USD m provisional capex; project debt option. ALL operating inputs are DUMMY placeholders until the feasibility study is received.</t>
  </si>
  <si>
    <t xml:space="preserve">Pipeline — FS pending (DUMMY inputs, excluded from headline valuation) — Badas (new)</t>
  </si>
  <si>
    <t xml:space="preserve">Colour conventions</t>
  </si>
  <si>
    <t xml:space="preserve">Blue text on pale yellow = hard-coded input (v29 source or derived)</t>
  </si>
  <si>
    <t xml:space="preserve">Bold blue on gold = control / switch</t>
  </si>
  <si>
    <t xml:space="preserve">Light blue = user-requested modelling change</t>
  </si>
  <si>
    <t xml:space="preserve">Light green = updated information supplied by the user</t>
  </si>
  <si>
    <t xml:space="preserve">Orange = provisional — to confirm</t>
  </si>
  <si>
    <t xml:space="preserve">Salmon = DUMMY — REPLACE WITH FS DATA (Badas)</t>
  </si>
  <si>
    <t xml:space="preserve">Black text = formula; green text = link from another sheet; blue underlined = navigation link</t>
  </si>
  <si>
    <t xml:space="preserve">MODEL FLOW — architecture, changes versus v29, controls, tests</t>
  </si>
  <si>
    <t xml:space="preserve">Detailed explanations live here so that calculation sheets stay focused on drivers and numbers.</t>
  </si>
  <si>
    <t xml:space="preserve">1. Purpose</t>
  </si>
  <si>
    <t xml:space="preserve">Revised FSL model built from V29_Ruby_FM_Danantara.xlsm (v29) with live formulas. v29 remains the source of business assumptions and calculation logic; the changes requested by the user are: valuation date 31-Dec-2026 with a DCF from FY2027, LT loan repaid when the capital injection is received, capex spending controlled by annual percentages, Badas built as a feasibility-study working paper, a funding requirement sheet with five capex-only placeholders, and separate With / Without BUMN cases. Sapphire stays excluded.</t>
  </si>
  <si>
    <t xml:space="preserve">2. Architecture</t>
  </si>
  <si>
    <t xml:space="preserve">Global Inputs (shared assumptions and the project register) -&gt; one Input / Calc / Output triplet per project -&gt; Project Summary and the two FSL Financials sheets (sum of project outputs x case flags + corporate items) -&gt; Funding Requirement and Financing (LT loan, injection) -&gt; two Valuation sheets -&gt; Checks and Reconciliation.
Sheet names carry the project ID and code (e.g. 'P02 CigConveyor Input / Calc / Output'). Every time-series sheet uses the same columns: F = 2023 (opening / pre-2024), G..S = 2024..2036.</t>
  </si>
  <si>
    <t xml:space="preserve">3. Inputs and classification</t>
  </si>
  <si>
    <t xml:space="preserve">Column D on every input row classifies the assumption: v29 (value and cell reference from v29, including effective values typed inside v29 formulas), DERIVED (computed from v29), UPDATED (information supplied by the user, e.g. the board-deck use of proceeds), CHANGE (user-requested modelling change), DUMMY (Badas placeholders to be replaced with FS data), PROV (provisional, to confirm), CONTROL (switch). Annual assumptions have one editable cell per year; genuine one-off parameters sit in column E.</t>
  </si>
  <si>
    <t xml:space="preserve">4. Project sheets</t>
  </si>
  <si>
    <t xml:space="preserve">Input: register, controls (links to Global Inputs), commissioning year, operating assumptions, capex allocation (total USD m, % by year, USD and IDR schedules, pre- vs post-valuation split, allocation check, building share, useful lives). Calc: operating flag, revenue and cost drivers exactly as v29 computes them, capex and depreciation, working capital. Output: unlevered project income statement (tax on project EBIT, v29 line method), FCFF, net operating assets (no project-level cash or debt), funding need, returns (NPV at the valuation date, full-life IRR with and without terminal value, payback), case inclusion flags.</t>
  </si>
  <si>
    <t xml:space="preserve">5. Two BUMN cases</t>
  </si>
  <si>
    <t xml:space="preserve">v29 Output_FSL is the With-BUMN case: it includes the 'Operatorship with BUMN' block (FSL's entitlement under the Pelindo Teluk Lamong, KBS Cigading and Pelindo Belawan operatorship schemes; v29 Output_FSL!F35 = 1). The Without-BUMN case removes the case-2 projects (register column 'Case' = 2). Both cases are computed at the same time on their own Financials and Valuation sheets; the Funding Requirement uses the case selected on Global Inputs (default: Without BUMN, conservative). DMS trucking fees are shared 50/50 with the port operator but are kept in both cases as in v8; set their case to 2 on the register to treat them as BUMN-dependent.</t>
  </si>
  <si>
    <t xml:space="preserve">6. Valuation date and DCF</t>
  </si>
  <si>
    <t xml:space="preserve">Valuation date 31-Dec-2026 (Global Inputs). Only FCFF of years after the valuation date enters the DCF (flag row 'DCF window'); FY2027 is discounted one full year (year-end convention). FCFF = EBIT - tax on EBIT (sum of project line taxes) + D&amp;A - capex - increase in working capital, unlevered and consistent with WACC. Terminal value: Gordon growth on a normalised FY2036 cash flow (capex = factor x depreciation, working capital growing with g). Equity bridge at 31-Dec-2026: + cash, - LT loan outstanding at that date (depends on whether the injection date falls before or after it), +/- other balances (switch), - non-controlling interests (35% of NPLOG line values).</t>
  </si>
  <si>
    <t xml:space="preserve">7. LT loan and capital injection</t>
  </si>
  <si>
    <t xml:space="preserve">The 12 USD m LT loan (195.2 IDR bn) is carried until the capital injection. Injection date and mode are inputs on Global Inputs (provisional 30-Jun-2027). Mode 1 sizes the injection to the equity requirement of the funding case; mode 2 uses a fixed amount. Repayment = planned share of the balance in the injection year, limited in mode 2 to the proceeds received; any unpaid balance is retained, flagged, and keeps accruing interest. Interest accrues on the repaid part to the injection date and on the remaining balance for the full year. The equity receipt and the loan repayment are separate lines in the cash-flow statement. No circular references: the requirement is computed on a pre-equity cash path; dividends are capped by that path so they are never paid out of the injection.</t>
  </si>
  <si>
    <t xml:space="preserve">8. Capex percentages</t>
  </si>
  <si>
    <t xml:space="preserve">Each project's capex = total (USD m) x annual % of total (Input sheet). The 2023 column is pre-2024 (sunk) spend; columns up to the valuation year are pre-valuation estimates (v29 projected timing; actuals not supplied — flag 'historical spend confirmed' = 0). Only spend after the valuation date enters the 2027+ DCF. Depreciation method switch: 2 (default) depreciates each year's spend over its life from MAX(spend year, commissioning); 1 reproduces v29 (total x share / life from commissioning, no end).</t>
  </si>
  <si>
    <t xml:space="preserve">9. Badas</t>
  </si>
  <si>
    <t xml:space="preserve">P19 Badas is a complete project template with DUMMY inputs (salmon rows, 'DUMMY — REPLACE WITH FS DATA'). Its working paper lists definition, unit, period, status and destination for every requested input plus questions for the operations team. Badas is excluded from the headline valuation by default (register 'In valuation' = 0) while its capex (provisional 10 USD m from the board deck) enters the funding request through the separate 'Badas in funding' switch.</t>
  </si>
  <si>
    <t xml:space="preserve">10. Funding-only placeholders</t>
  </si>
  <si>
    <t xml:space="preserve">F01-F05 on the Funding Requirement sheet accept a name, total capex (USD m), annual % and an include switch. They add to the equity request only; they never enter the statements or the valuation and carry no revenue, profit or return ('FS not available').</t>
  </si>
  <si>
    <t xml:space="preserve">11. Corporate and unallocated items</t>
  </si>
  <si>
    <t xml:space="preserve">Existing fixed assets (Dec-23 NBV 826.0), other assets, other liabilities, inventory, the loans and paid-in capital are company-level balances from v29 and are not allocated to projects. Dec-23 receivables and payables are allocated to the existing businesses pro rata FY2024 activity (labelled as an allocation). Pre-2024 project spend on Wharf 2 and the conveyor (assets under construction) is reclassified from other assets to project fixed assets.</t>
  </si>
  <si>
    <t xml:space="preserve">12. Reconciliation to v29</t>
  </si>
  <si>
    <t xml:space="preserve">The Reconciliation sheet compares the With-BUMN case with v29 Output_FSL line by line and explains each difference (valuation date, LT loan timing and interest, depreciation method, injection basis, inventory and other v29 formula breaks). Setting depreciation method = 1 and the injection date to 31-Dec-2025 reproduces v29's income statement through EBIT; v29's two equity tranches (FY2026-27 capex) are replaced by one requirement-based injection.</t>
  </si>
  <si>
    <t xml:space="preserve">13. Checks</t>
  </si>
  <si>
    <t xml:space="preserve">All checks are live formulas (PASS / FAIL): balance sheets, cash reconciliation, sum of projects = company, capex allocations = 100%, sources = uses, valuation date and DCF window, loan repayment &lt;= balance, residual funding gap in mode 1, non-negative dividends, project NPVs vs enterprise value.</t>
  </si>
  <si>
    <t xml:space="preserve">14. Calculation engine and tests</t>
  </si>
  <si>
    <t xml:space="preserve">Recalculated and tested with LibreOffice Calc (headless), not Microsoft Excel. Tests: injection date moved (2026 / 2028) moves the repayment and interest; zero / insufficient proceeds keep the loan outstanding; capex % moved between years updates capex, depreciation, cash and funding; Badas dummy inputs replaced update its sheets; inclusion switches affect the correct case; funding-only placeholders change the request but not the valuation; project outputs reconcile to company outputs; balance sheets and cash reconcile. Settings were restored to the delivery values after testing (see model/tests/).</t>
  </si>
  <si>
    <t xml:space="preserve">GLOBAL INPUTS — shared assumptions, controls and project register</t>
  </si>
  <si>
    <t xml:space="preserve">Single source for every assumption used by more than one sheet. Blue = input (yellow fill); bold blue on gold = control switch; orange = provisional; light blue = user-requested change. Black = formula.</t>
  </si>
  <si>
    <t xml:space="preserve">Go to:</t>
  </si>
  <si>
    <t xml:space="preserve">Navigation</t>
  </si>
  <si>
    <t xml:space="preserve">Funding</t>
  </si>
  <si>
    <t xml:space="preserve">FSL w/o BUMN</t>
  </si>
  <si>
    <t xml:space="preserve">FSL w/ BUMN</t>
  </si>
  <si>
    <t xml:space="preserve">Val w/o BUMN</t>
  </si>
  <si>
    <t xml:space="preserve">Val w/ BUMN</t>
  </si>
  <si>
    <t xml:space="preserve">Year</t>
  </si>
  <si>
    <t xml:space="preserve">Unit</t>
  </si>
  <si>
    <t xml:space="preserve">Type</t>
  </si>
  <si>
    <t xml:space="preserve">Value / total</t>
  </si>
  <si>
    <t xml:space="preserve">Source (v29 reference / basis)</t>
  </si>
  <si>
    <t xml:space="preserve">Note</t>
  </si>
  <si>
    <t xml:space="preserve">Period end</t>
  </si>
  <si>
    <t xml:space="preserve">Days in year</t>
  </si>
  <si>
    <t xml:space="preserve">Forecast flag (1 = forecast year)</t>
  </si>
  <si>
    <t xml:space="preserve">1. Timeline and valuation date</t>
  </si>
  <si>
    <t xml:space="preserve">Valuation date</t>
  </si>
  <si>
    <t xml:space="preserve">date</t>
  </si>
  <si>
    <t xml:space="preserve">CHANGE</t>
  </si>
  <si>
    <t xml:space="preserve">User instruction (change from v29 which valued at model start)</t>
  </si>
  <si>
    <t xml:space="preserve">Company DCF uses FCFF from the year after this date (FY2027+). Balances at this date enter the equity bridge.</t>
  </si>
  <si>
    <t xml:space="preserve">Valuation year (financial year ending on the valuation date)</t>
  </si>
  <si>
    <t xml:space="preserve">year</t>
  </si>
  <si>
    <t xml:space="preserve">formula</t>
  </si>
  <si>
    <t xml:space="preserve">Formula</t>
  </si>
  <si>
    <t xml:space="preserve">First year of DCF cash flows</t>
  </si>
  <si>
    <t xml:space="preserve">Last explicit forecast year</t>
  </si>
  <si>
    <t xml:space="preserve">Model year (header)</t>
  </si>
  <si>
    <t xml:space="preserve">Timeline</t>
  </si>
  <si>
    <t xml:space="preserve">DCF window flag (1 = year after the valuation date)</t>
  </si>
  <si>
    <t xml:space="preserve">flag</t>
  </si>
  <si>
    <t xml:space="preserve">Discount period (years from the valuation date; year-end convention)</t>
  </si>
  <si>
    <t xml:space="preserve">years</t>
  </si>
  <si>
    <t xml:space="preserve">FY2027 cash flow is discounted one full year from 31-Dec-2026.</t>
  </si>
  <si>
    <t xml:space="preserve">Discount factor at WACC (0 before / at the valuation date)</t>
  </si>
  <si>
    <t xml:space="preserve">x</t>
  </si>
  <si>
    <t xml:space="preserve">Pre-valuation flag (1 = up to and including the valuation year)</t>
  </si>
  <si>
    <t xml:space="preserve">2. Exchange rate</t>
  </si>
  <si>
    <t xml:space="preserve">Exchange rate USD/IDR (applied to capex, USD presentation)</t>
  </si>
  <si>
    <t xml:space="preserve">IDR/USD</t>
  </si>
  <si>
    <t xml:space="preserve">v29</t>
  </si>
  <si>
    <t xml:space="preserve">Calculation_FSL!F17 (USD_IDR = 16,265, single rate in v29)</t>
  </si>
  <si>
    <t xml:space="preserve">v29 uses one rate for all years; each year is independently editable here.</t>
  </si>
  <si>
    <t xml:space="preserve">Exchange rate of the valuation year (USD presentation of values)</t>
  </si>
  <si>
    <t xml:space="preserve">Exchange rate of the opening column (FY2023) — used for Dec-23 USD balances</t>
  </si>
  <si>
    <t xml:space="preserve">3. Tax and working capital</t>
  </si>
  <si>
    <t xml:space="preserve">Corporate income tax rate</t>
  </si>
  <si>
    <t xml:space="preserve">%</t>
  </si>
  <si>
    <t xml:space="preserve">Output_Standalone (IDR)!J33 etc. (22% typed in each v29 tax formula)</t>
  </si>
  <si>
    <t xml:space="preserve">Applied per project line to MAX(0, EBIT) — v29 method, no loss relief between lines.</t>
  </si>
  <si>
    <t xml:space="preserve">Receivable days (on revenue)</t>
  </si>
  <si>
    <t xml:space="preserve">days</t>
  </si>
  <si>
    <t xml:space="preserve">Calculation_FSL!F1454</t>
  </si>
  <si>
    <t xml:space="preserve">Applied to every project line (v29 applies it to company revenue; result identical).</t>
  </si>
  <si>
    <t xml:space="preserve">Payable days (on cost of sales)</t>
  </si>
  <si>
    <t xml:space="preserve">Calculation_FSL!F1464</t>
  </si>
  <si>
    <t xml:space="preserve">Inventory balance (held at the Dec-23 level; centrally held, not allocated to projects)</t>
  </si>
  <si>
    <t xml:space="preserve">IDR bn</t>
  </si>
  <si>
    <t xml:space="preserve">Output_FSL!I96 (BS_Historical!V10/1000)</t>
  </si>
  <si>
    <t xml:space="preserve">v29 holds this balance to FY2033 and drops it to nil from FY2034 through a formula break (Calculation_FSL!T1460:V1460); held flat here — see Reconciliation.</t>
  </si>
  <si>
    <t xml:space="preserve">4. Model switches</t>
  </si>
  <si>
    <t xml:space="preserve">Depreciation method for project capex: 1 = v29 (total capex x share / life from commissioning, no end), 2 = by year of spend over the useful life from MAX(spend year, commissioning)</t>
  </si>
  <si>
    <t xml:space="preserve">1/2</t>
  </si>
  <si>
    <t xml:space="preserve">CONTROL</t>
  </si>
  <si>
    <t xml:space="preserve">User request (capex % allocation linked to depreciation); v29 method retained as option 1</t>
  </si>
  <si>
    <t xml:space="preserve">Method 2 links depreciation to the capex allocation and stops at the end of the useful life. Set 1 to reproduce v29 depreciation.</t>
  </si>
  <si>
    <t xml:space="preserve">Corporate LT-loan interest tax shield at company level: 1 = deductible at the tax rate, 0 = no shield</t>
  </si>
  <si>
    <t xml:space="preserve">0/1</t>
  </si>
  <si>
    <t xml:space="preserve">Modelling judgement (v29 charged the interest to the Cigading existing / Wharf 2 lines and taxed each line separately)</t>
  </si>
  <si>
    <t xml:space="preserve">Dividend policy: 1 = v29 rules (30% of attributable profit, limited by reserve and cash before new equity), 0 = no dividends</t>
  </si>
  <si>
    <t xml:space="preserve">Calculation_FSL rows 1527-1557</t>
  </si>
  <si>
    <t xml:space="preserve">Operating case underlying the Funding Requirement roll-forward: 1 = Without BUMN (conservative), 2 = With BUMN</t>
  </si>
  <si>
    <t xml:space="preserve">User instruction: show which BUMN case underlies the funding calculation</t>
  </si>
  <si>
    <t xml:space="preserve">Include Badas capex in the funding request while Badas is outside the valuation (1 = yes)</t>
  </si>
  <si>
    <t xml:space="preserve">User instruction (separate funding-inclusion control)</t>
  </si>
  <si>
    <t xml:space="preserve">When Badas is inside the valuation its capex is already in the company statements and this control is ignored.</t>
  </si>
  <si>
    <t xml:space="preserve">Include Dec-23 other assets / other liabilities (held flat) in the equity bridge: 1 = yes, 0 = no</t>
  </si>
  <si>
    <t xml:space="preserve">PROV</t>
  </si>
  <si>
    <t xml:space="preserve">Modelling judgement — classification of these balances (deposits, deferred tax, accruals) not available</t>
  </si>
  <si>
    <t xml:space="preserve">5. Valuation parameters (discount rate build-up, terminal value) — PROVISIONAL, not in v29</t>
  </si>
  <si>
    <t xml:space="preserve">IDR 10-year government bond yield</t>
  </si>
  <si>
    <t xml:space="preserve">Not in v29 — provisional market parameter</t>
  </si>
  <si>
    <t xml:space="preserve">Indonesia sovereign default spread (removed from the bond yield)</t>
  </si>
  <si>
    <t xml:space="preserve">Not in v29 — provisional</t>
  </si>
  <si>
    <t xml:space="preserve">Equity risk premium incl. country risk</t>
  </si>
  <si>
    <t xml:space="preserve">Unlevered beta (port / logistics infrastructure)</t>
  </si>
  <si>
    <t xml:space="preserve">Target debt / (debt + equity)</t>
  </si>
  <si>
    <t xml:space="preserve">Pre-tax cost of debt</t>
  </si>
  <si>
    <t xml:space="preserve">Call Rights!H71 note '10%-11%' (IDR) — provisional</t>
  </si>
  <si>
    <t xml:space="preserve">Company-specific risk premium</t>
  </si>
  <si>
    <t xml:space="preserve">Risk-free rate net of the sovereign spread</t>
  </si>
  <si>
    <t xml:space="preserve">Target debt / equity</t>
  </si>
  <si>
    <t xml:space="preserve">Relevered beta (Hamada)</t>
  </si>
  <si>
    <t xml:space="preserve">Cost of equity = rf + beta x ERP + specific premium</t>
  </si>
  <si>
    <t xml:space="preserve">After-tax cost of debt</t>
  </si>
  <si>
    <t xml:space="preserve">WACC (nominal IDR)</t>
  </si>
  <si>
    <t xml:space="preserve">Used by both valuation sheets and all project NPVs.</t>
  </si>
  <si>
    <t xml:space="preserve">Terminal growth rate after the last forecast year (nominal IDR)</t>
  </si>
  <si>
    <t xml:space="preserve">Terminal-year normalised capex as a multiple of terminal-year depreciation (1.00 = capex replaces depreciation)</t>
  </si>
  <si>
    <t xml:space="preserve">v29 forecasts no capex after FY2028; the terminal cash flow is normalised so that reinvestment sustains the asset base.</t>
  </si>
  <si>
    <t xml:space="preserve">6. Opening balance sheet at 31-Dec-2023 (v29 Output_FSL column I) — company level; not allocated to projects</t>
  </si>
  <si>
    <t xml:space="preserve">Cash and equivalents</t>
  </si>
  <si>
    <t xml:space="preserve">Output_FSL!I88 (BS_Historical!V7/1000)</t>
  </si>
  <si>
    <t xml:space="preserve">Inventory</t>
  </si>
  <si>
    <t xml:space="preserve">Output_FSL!I96</t>
  </si>
  <si>
    <t xml:space="preserve">Trade receivables (typed in v29; BS_Historical shows 104.1)</t>
  </si>
  <si>
    <t xml:space="preserve">Output_FSL!I97 (typed value)</t>
  </si>
  <si>
    <t xml:space="preserve">Kept as v29; source issue — see Checks / Reconciliation.</t>
  </si>
  <si>
    <t xml:space="preserve">Fixed assets, net (existing businesses; not allocated by business)</t>
  </si>
  <si>
    <t xml:space="preserve">Output_FSL!I98 (BS_Historical!V17/1000)</t>
  </si>
  <si>
    <t xml:space="preserve">Other assets as reported in v29 (includes assets under construction of Wharf 2 / conveyor)</t>
  </si>
  <si>
    <t xml:space="preserve">Output_FSL!I99 (BS_Historical!V23/1000)</t>
  </si>
  <si>
    <t xml:space="preserve">Trade payables (typed in v29; BS_Historical shows 23.3)</t>
  </si>
  <si>
    <t xml:space="preserve">Output_FSL!I103 (typed value)</t>
  </si>
  <si>
    <t xml:space="preserve">Bank loans (LT loan 12 USD m + other loans)</t>
  </si>
  <si>
    <t xml:space="preserve">Output_FSL!I104 (BS_Historical!V27/1000)</t>
  </si>
  <si>
    <t xml:space="preserve">Other liabilities (held flat)</t>
  </si>
  <si>
    <t xml:space="preserve">Output_FSL!I105 (= BS_Historical!V28/1000 - 65.83 + 15.32, a v29 plug)</t>
  </si>
  <si>
    <t xml:space="preserve">Source issue — see Checks.</t>
  </si>
  <si>
    <t xml:space="preserve">Paid-in capital</t>
  </si>
  <si>
    <t xml:space="preserve">Output_FSL!I109 (BS_Historical!V32/1000)</t>
  </si>
  <si>
    <t xml:space="preserve">Retained earnings</t>
  </si>
  <si>
    <t xml:space="preserve">Output_FSL!I111 (BS_Historical!V33/1000)</t>
  </si>
  <si>
    <t xml:space="preserve">Opening balance residual = assets - liabilities - equity (v29 source imbalance, not plugged)</t>
  </si>
  <si>
    <t xml:space="preserve">v29 hides this 0.006 residual with ROUNDDOWN; shown explicitly here and tolerated in the balance check.</t>
  </si>
  <si>
    <t xml:space="preserve">7. Financing, capital injection, cash and dividend policy</t>
  </si>
  <si>
    <t xml:space="preserve">Existing long-term loan — principal (USD m); v29 'FSL Loan Repayment' 12 USD m, shown as repaid in FY2025 but NOT repaid</t>
  </si>
  <si>
    <t xml:space="preserve">USD m</t>
  </si>
  <si>
    <t xml:space="preserve">Input!K1237 / Calculation_FSL!K1511</t>
  </si>
  <si>
    <t xml:space="preserve">Existing long-term loan — principal (IDR bn) at the opening exchange rate</t>
  </si>
  <si>
    <t xml:space="preserve">Calculation_FSL!K1513 (= 195.18)</t>
  </si>
  <si>
    <t xml:space="preserve">Other bank loans at Dec-23 = total loans - LT loan; repaid in FY2024 as in v29</t>
  </si>
  <si>
    <t xml:space="preserve">Calculation_FSL!J1516 (29.34 repaid FY2024)</t>
  </si>
  <si>
    <t xml:space="preserve">LT loan interest rate (p.a.) — implied by v29 FY2025 interest 15.27 / 195.18</t>
  </si>
  <si>
    <t xml:space="preserve">Derived: (Input!L388 + Input!L433) / Calculation_FSL!K1513</t>
  </si>
  <si>
    <t xml:space="preserve">Loan terms (rate, currency, maturity) to be confirmed; v29 shows no maturity.</t>
  </si>
  <si>
    <t xml:space="preserve">FY2024 interest on all existing loans (v29 figure kept for the historical year)</t>
  </si>
  <si>
    <t xml:space="preserve">Input!K388 -&gt; Output_Standalone (IDR)!J125</t>
  </si>
  <si>
    <t xml:space="preserve">Capital injection — date proceeds are received (PROVISIONAL — confirm with the transaction timetable)</t>
  </si>
  <si>
    <t xml:space="preserve">User instruction: loan repaid when the injection is received; timing provisional</t>
  </si>
  <si>
    <t xml:space="preserve">Moving this date moves the loan repayment, the interest charge and the year in which equity is received.</t>
  </si>
  <si>
    <t xml:space="preserve">Capital injection — financial year of receipt</t>
  </si>
  <si>
    <t xml:space="preserve">Fraction of the injection year elapsed before receipt (interest accrues on the repaid amount for this fraction)</t>
  </si>
  <si>
    <t xml:space="preserve">Capital injection amount: 1 = equal to the computed equity requirement (Funding Requirement), 2 = fixed amount below</t>
  </si>
  <si>
    <t xml:space="preserve">User instruction: editable amount; mode 1 self-sizes to the funding gap</t>
  </si>
  <si>
    <t xml:space="preserve">Capital injection — fixed amount received (USD m), used only in mode 2</t>
  </si>
  <si>
    <t xml:space="preserve">User input</t>
  </si>
  <si>
    <t xml:space="preserve">Set mode = 2 to test a fixed amount (e.g. 0 to test that the loan is not extinguished without proceeds).</t>
  </si>
  <si>
    <t xml:space="preserve">Planned repayment of the LT loan out of the injection proceeds (% of the balance outstanding at the injection date)</t>
  </si>
  <si>
    <t xml:space="preserve">UPDATED</t>
  </si>
  <si>
    <t xml:space="preserve">Board deck Dec-2024 use of proceeds: LT loan repayment 12 USD m</t>
  </si>
  <si>
    <t xml:space="preserve">Minimum operating cash balance</t>
  </si>
  <si>
    <t xml:space="preserve">Calculation_FSL!J1531 (-3.00, sign reversed)</t>
  </si>
  <si>
    <t xml:space="preserve">Dividend payout ratio (x profit attributable to FSL shareholders)</t>
  </si>
  <si>
    <t xml:space="preserve">Calculation_FSL!F1550</t>
  </si>
  <si>
    <t xml:space="preserve">Capital base for the statutory reserve test (USD m)</t>
  </si>
  <si>
    <t xml:space="preserve">Calculation_FSL!F1537 (18 USD m)</t>
  </si>
  <si>
    <t xml:space="preserve">Minimum reserve as % of the capital base</t>
  </si>
  <si>
    <t xml:space="preserve">Calculation_FSL!F1538</t>
  </si>
  <si>
    <t xml:space="preserve">8. Project register — inclusion in valuation, case membership, FSL economic interest (edit the blue cells)</t>
  </si>
  <si>
    <t xml:space="preserve">ID  Project</t>
  </si>
  <si>
    <t xml:space="preserve">Entity</t>
  </si>
  <si>
    <t xml:space="preserve">Category</t>
  </si>
  <si>
    <t xml:space="preserve">In valuation
(1/0)</t>
  </si>
  <si>
    <t xml:space="preserve">Case
(1 both / 2 With-BUMN only)</t>
  </si>
  <si>
    <t xml:space="preserve">FSL econ.
interest</t>
  </si>
  <si>
    <t xml:space="preserve">Commissioning
year</t>
  </si>
  <si>
    <t xml:space="preserve">Total capex
USD m</t>
  </si>
  <si>
    <t xml:space="preserve">Capex after
val. date USD m</t>
  </si>
  <si>
    <t xml:space="preserve">Included
w/o BUMN</t>
  </si>
  <si>
    <t xml:space="preserve">Included
w/ BUMN</t>
  </si>
  <si>
    <t xml:space="preserve">NPLOG Teluk Lamong</t>
  </si>
  <si>
    <t xml:space="preserve">Existing business</t>
  </si>
  <si>
    <t xml:space="preserve">existing</t>
  </si>
  <si>
    <t xml:space="preserve">open</t>
  </si>
  <si>
    <t xml:space="preserve">SGT Cigading</t>
  </si>
  <si>
    <t xml:space="preserve">SGT Belawan</t>
  </si>
  <si>
    <t xml:space="preserve">WIN</t>
  </si>
  <si>
    <t xml:space="preserve">Committed project</t>
  </si>
  <si>
    <t xml:space="preserve">SGT Cigading / KBS</t>
  </si>
  <si>
    <t xml:space="preserve">Planned project</t>
  </si>
  <si>
    <t xml:space="preserve">FSL Dumai</t>
  </si>
  <si>
    <t xml:space="preserve">FSL Ciwandan</t>
  </si>
  <si>
    <t xml:space="preserve">DMS trucking</t>
  </si>
  <si>
    <t xml:space="preserve">FSL / Pelindo / KBS</t>
  </si>
  <si>
    <t xml:space="preserve">BUMN synergy</t>
  </si>
  <si>
    <t xml:space="preserve">TBM (pipeline)</t>
  </si>
  <si>
    <t xml:space="preserve">Pipeline (excluded by default)</t>
  </si>
  <si>
    <t xml:space="preserve">Badas (new)</t>
  </si>
  <si>
    <t xml:space="preserve">Pipeline — FS pending (DUMMY inputs, excluded from headline valuation)</t>
  </si>
  <si>
    <t xml:space="preserve">Case 1 = the project is in both company cases; case 2 = only in the With-BUMN case (BUMN operatorship schemes). 'In valuation' = 0 removes the project from both cases, the funding roll-forward and the valuations (its sheets keep calculating for information).</t>
  </si>
  <si>
    <t xml:space="preserve">9. Allocation bases (formulas) — Dec-23 company receivables / payables allocated to existing businesses pro rata FY2024 activity; assets under construction reclassified</t>
  </si>
  <si>
    <t xml:space="preserve">FY2024 revenue of existing businesses (sum)</t>
  </si>
  <si>
    <t xml:space="preserve">FY2024 cost of sales of existing businesses (sum)</t>
  </si>
  <si>
    <t xml:space="preserve">Pre-2024 project capex (assets under construction at Dec-23) reclassified from other assets to project fixed assets</t>
  </si>
  <si>
    <t xml:space="preserve">Other assets at Dec-23 excluding the reclassified assets under construction</t>
  </si>
  <si>
    <t xml:space="preserve">Legend — input classification (column D)</t>
  </si>
  <si>
    <t xml:space="preserve">v29 source — value and cell reference from V29_Ruby_FM_Danantara.xlsm (effective value used by the v29 calculation)</t>
  </si>
  <si>
    <t xml:space="preserve">DERIVED</t>
  </si>
  <si>
    <t xml:space="preserve">v29 derived — computed from v29 figures (e.g. implied interest rate)</t>
  </si>
  <si>
    <t xml:space="preserve">Updated information supplied by the user (e.g. board-deck use of proceeds)</t>
  </si>
  <si>
    <t xml:space="preserve">User-requested modelling change (valuation date, injection-linked repayment, capex %, corrections of v29 formula breaks)</t>
  </si>
  <si>
    <t xml:space="preserve">DUMMY</t>
  </si>
  <si>
    <t xml:space="preserve">Dummy assumption — REPLACE WITH FS DATA (Badas working paper)</t>
  </si>
  <si>
    <t xml:space="preserve">Provisional — to confirm (timing, rates, market parameters)</t>
  </si>
  <si>
    <t xml:space="preserve">Control / switch</t>
  </si>
  <si>
    <t xml:space="preserve">PROJECT SUMMARY — project-by-project results (concept of v29 Output_Standalone)</t>
  </si>
  <si>
    <t xml:space="preserve">Each section links to the project's Output sheet; the comparison table gives the headline numbers side by side. IDR bn unless stated.</t>
  </si>
  <si>
    <t xml:space="preserve">A. Comparison table — all projects (links to the project Output sheets; values in IDR bn unless stated)</t>
  </si>
  <si>
    <t xml:space="preserve">In val.</t>
  </si>
  <si>
    <t xml:space="preserve">Case</t>
  </si>
  <si>
    <t xml:space="preserve">FSL int.</t>
  </si>
  <si>
    <t xml:space="preserve">Start yr</t>
  </si>
  <si>
    <t xml:space="preserve">Capex USD m</t>
  </si>
  <si>
    <t xml:space="preserve">Capex post-val USD m</t>
  </si>
  <si>
    <t xml:space="preserve">Revenue 2027</t>
  </si>
  <si>
    <t xml:space="preserve">Revenue 2030</t>
  </si>
  <si>
    <t xml:space="preserve">EBITDA 2030</t>
  </si>
  <si>
    <t xml:space="preserve">NPV @ 31-Dec-26</t>
  </si>
  <si>
    <t xml:space="preserve">IRR full life</t>
  </si>
  <si>
    <t xml:space="preserve">Payback yr</t>
  </si>
  <si>
    <t xml:space="preserve">Total (all projects listed, before case flags)</t>
  </si>
  <si>
    <t xml:space="preserve">B. Bridge: sum of project outputs -&gt; company statements (both cases; IDR bn)</t>
  </si>
  <si>
    <t xml:space="preserve">Sum of project revenue x Without-BUMN flags</t>
  </si>
  <si>
    <t xml:space="preserve">FSL Financials — Without BUMN revenue</t>
  </si>
  <si>
    <t xml:space="preserve">Difference</t>
  </si>
  <si>
    <t xml:space="preserve">Sum of project revenue x With-BUMN flags</t>
  </si>
  <si>
    <t xml:space="preserve">FSL Financials — With BUMN revenue</t>
  </si>
  <si>
    <t xml:space="preserve">Sum of project FCFF x With-BUMN flags</t>
  </si>
  <si>
    <t xml:space="preserve">Valuation — With BUMN FCFF</t>
  </si>
  <si>
    <t xml:space="preserve">Company statements add corporate items (LT loan interest and its tax shield, dividends, injection, existing fixed assets, other balances) to the project sums; unlevered FCFF is identical by construction.</t>
  </si>
  <si>
    <t xml:space="preserve">E1  Teluk Lamong (NPLOG) cargodoring &amp; delivery  —  Existing business  —  NPLOG Teluk Lamong</t>
  </si>
  <si>
    <t xml:space="preserve">Revenue</t>
  </si>
  <si>
    <t xml:space="preserve">EBITDA</t>
  </si>
  <si>
    <t xml:space="preserve">EBIT</t>
  </si>
  <si>
    <t xml:space="preserve">NOPAT (tax on project EBIT)</t>
  </si>
  <si>
    <t xml:space="preserve">Depreciation &amp; amortisation</t>
  </si>
  <si>
    <t xml:space="preserve">Capex (USD m)</t>
  </si>
  <si>
    <t xml:space="preserve">Capex (IDR bn)</t>
  </si>
  <si>
    <t xml:space="preserve">Increase in net working capital</t>
  </si>
  <si>
    <t xml:space="preserve">Free cash flow to firm</t>
  </si>
  <si>
    <t xml:space="preserve">Cumulative FCFF</t>
  </si>
  <si>
    <t xml:space="preserve">Net operating assets funded by FSL (PPE + receivables - payables)</t>
  </si>
  <si>
    <t xml:space="preserve">Funding need (cash shortfall to be funded by FSL)</t>
  </si>
  <si>
    <t xml:space="preserve">PV at the valuation date of FCFF incl. terminal value (years after 31-Dec-2026)</t>
  </si>
  <si>
    <t xml:space="preserve">Returns:</t>
  </si>
  <si>
    <t xml:space="preserve">NPV @ 31-Dec-2026 (IDR bn)</t>
  </si>
  <si>
    <t xml:space="preserve">Full-life project IRR</t>
  </si>
  <si>
    <t xml:space="preserve">IRR incl. terminal value</t>
  </si>
  <si>
    <t xml:space="preserve">Payback year</t>
  </si>
  <si>
    <t xml:space="preserve">Total capex (USD m)</t>
  </si>
  <si>
    <t xml:space="preserve">Capex after val. date (USD m)</t>
  </si>
  <si>
    <t xml:space="preserve">E2  Cigading Existing Terminal (SGT 2)  —  Existing business  —  SGT Cigading</t>
  </si>
  <si>
    <t xml:space="preserve">E3  Belawan terminal (SGT3) incl. Belawan expansion  —  Existing business  —  SGT Belawan</t>
  </si>
  <si>
    <t xml:space="preserve">E4  WIN stevedoring (Cilegon, Makassar, Surabaya, Medan)  —  Existing business  —  WIN</t>
  </si>
  <si>
    <t xml:space="preserve">P01  Cigading Wharf 2  —  Committed project  —  SGT Cigading</t>
  </si>
  <si>
    <t xml:space="preserve">P02  Cigading Extended Conveyor  —  Committed project  —  SGT Cigading</t>
  </si>
  <si>
    <t xml:space="preserve">P03  KBS Warehouse Revitalisation (Cigading)  —  Planned project  —  SGT Cigading / KBS</t>
  </si>
  <si>
    <t xml:space="preserve">P04  Teluk Lamong Silo  —  Planned project  —  NPLOG Teluk Lamong</t>
  </si>
  <si>
    <t xml:space="preserve">P05  Dumai bagging &amp; weighbridge  —  Planned project  —  FSL Dumai</t>
  </si>
  <si>
    <t xml:space="preserve">P06  Ciwandan Expansion  —  Planned project  —  FSL Ciwandan</t>
  </si>
  <si>
    <t xml:space="preserve">P08  DMS trucking fee (Teluk Lamong, Cigading, Ciwandan, Belawan)  —  Planned project  —  DMS trucking</t>
  </si>
  <si>
    <t xml:space="preserve">P12  BUMN operatorship schemes (Pelindo Teluk Lamong, KBS Cigading, Pelindo Belawan)  —  BUMN synergy  —  FSL / Pelindo / KBS</t>
  </si>
  <si>
    <t xml:space="preserve">P15  TBM — Tanjung Batu / Pelindo land lease, warehousing and cargo handling  —  Pipeline (excluded by default)  —  TBM (pipeline)</t>
  </si>
  <si>
    <t xml:space="preserve">P19  Badas bulk terminal (FS pending — DUMMY data)  —  Pipeline — FS pending (DUMMY inputs, excluded from headline valuation)  —  Badas (new)</t>
  </si>
  <si>
    <t xml:space="preserve">FSL FINANCIALS — WITHOUT BUMN (integrated income statement, balance sheet, cash flow)</t>
  </si>
  <si>
    <t xml:space="preserve">Sum of project outputs included in the Without-BUMN case + corporate items (LT loan, existing fixed assets, other balances). IDR bn. Green = link; black = formula.</t>
  </si>
  <si>
    <t xml:space="preserve">Flag / total</t>
  </si>
  <si>
    <t xml:space="preserve">Case: Without BUMN — scope and settings</t>
  </si>
  <si>
    <t xml:space="preserve">Company case</t>
  </si>
  <si>
    <t xml:space="preserve">Without BUMN</t>
  </si>
  <si>
    <t xml:space="preserve">Projects included in this case (count)</t>
  </si>
  <si>
    <t xml:space="preserve">count</t>
  </si>
  <si>
    <t xml:space="preserve">Scope</t>
  </si>
  <si>
    <t xml:space="preserve">Existing businesses + committed and planned projects that are switched on in the Global Inputs register; excludes BUMN operatorship schemes (case 2 projects).</t>
  </si>
  <si>
    <t xml:space="preserve">This case drives the Funding Requirement (1 = yes)</t>
  </si>
  <si>
    <t xml:space="preserve">Sapphire is excluded (v29 Output_FSL!D2 = 0). Corporate items (LT loan, existing fixed assets, other assets / liabilities, inventory) are held centrally and not allocated to projects.</t>
  </si>
  <si>
    <t xml:space="preserve">A. Income statement (IDR bn)</t>
  </si>
  <si>
    <t xml:space="preserve">Cost of sales</t>
  </si>
  <si>
    <t xml:space="preserve">Gross profit</t>
  </si>
  <si>
    <t xml:space="preserve">Operating expenses</t>
  </si>
  <si>
    <t xml:space="preserve">Corporate financing cost — existing / LT loan interest (Financing sheet)</t>
  </si>
  <si>
    <t xml:space="preserve">Profit before tax</t>
  </si>
  <si>
    <t xml:space="preserve">Tax on project EBIT (sum of project lines, v29 method)</t>
  </si>
  <si>
    <t xml:space="preserve">Tax shield on corporate interest (Global switch)</t>
  </si>
  <si>
    <t xml:space="preserve">Tax</t>
  </si>
  <si>
    <t xml:space="preserve">Net profit</t>
  </si>
  <si>
    <t xml:space="preserve">Memo: non-controlling share of project NOPAT (NPLOG 35% etc.; v29 consolidates 100%)</t>
  </si>
  <si>
    <t xml:space="preserve">Memo: net profit attributable to FSL shareholders</t>
  </si>
  <si>
    <t xml:space="preserve">EBITDA margin</t>
  </si>
  <si>
    <t xml:space="preserve">Net margin</t>
  </si>
  <si>
    <t xml:space="preserve">B. Balance sheet (IDR bn) — 2023 column = opening balances (v29 Output_FSL column I)</t>
  </si>
  <si>
    <t xml:space="preserve">Inventory (held flat, centrally)</t>
  </si>
  <si>
    <t xml:space="preserve">Trade receivables (sum of projects)</t>
  </si>
  <si>
    <t xml:space="preserve">Fixed assets — existing businesses (unallocated; opening NBV less existing-asset depreciation)</t>
  </si>
  <si>
    <t xml:space="preserve">Fixed assets — project capex (sum of project NBV)</t>
  </si>
  <si>
    <t xml:space="preserve">Other assets (Dec-23 balance excl. reclassified assets under construction; held flat)</t>
  </si>
  <si>
    <t xml:space="preserve">Total assets</t>
  </si>
  <si>
    <t xml:space="preserve">Trade payables (sum of projects)</t>
  </si>
  <si>
    <t xml:space="preserve">Bank loans (Financing sheet)</t>
  </si>
  <si>
    <t xml:space="preserve">Other liabilities (Dec-23 balance; held flat)</t>
  </si>
  <si>
    <t xml:space="preserve">Total liabilities</t>
  </si>
  <si>
    <t xml:space="preserve">Paid-in capital (opening + capital injection)</t>
  </si>
  <si>
    <t xml:space="preserve">Total equity</t>
  </si>
  <si>
    <t xml:space="preserve">Balance check: assets - liabilities - equity (2023 shows the v29 opening residual of 0.006)</t>
  </si>
  <si>
    <t xml:space="preserve">C. Cash flow statement (IDR bn)</t>
  </si>
  <si>
    <t xml:space="preserve">Add back depreciation &amp; amortisation</t>
  </si>
  <si>
    <t xml:space="preserve">Cash flow from operations</t>
  </si>
  <si>
    <t xml:space="preserve">Capex (all projects in this case)</t>
  </si>
  <si>
    <t xml:space="preserve">Cash flow from investing</t>
  </si>
  <si>
    <t xml:space="preserve">Capital injection received (Financing sheet)</t>
  </si>
  <si>
    <t xml:space="preserve">Loan repayments — other loans FY2024 and LT loan at the injection date</t>
  </si>
  <si>
    <t xml:space="preserve">Dividends paid</t>
  </si>
  <si>
    <t xml:space="preserve">Cash flow from financing</t>
  </si>
  <si>
    <t xml:space="preserve">Net cash flow</t>
  </si>
  <si>
    <t xml:space="preserve">Opening cash</t>
  </si>
  <si>
    <t xml:space="preserve">Closing cash</t>
  </si>
  <si>
    <t xml:space="preserve">Check: closing cash = pre-equity cash path + cumulative injection</t>
  </si>
  <si>
    <t xml:space="preserve">D. Funding roll-forward and dividends (this case) — cash BEFORE new equity; dividends are never paid out of the injection</t>
  </si>
  <si>
    <t xml:space="preserve">Opening cash — pre-equity path</t>
  </si>
  <si>
    <t xml:space="preserve">Capex</t>
  </si>
  <si>
    <t xml:space="preserve">Debt service (principal): other loans FY2024, LT loan at the injection date</t>
  </si>
  <si>
    <t xml:space="preserve">Cash before dividends and new equity</t>
  </si>
  <si>
    <t xml:space="preserve">Dividend cap 1: cash available above the minimum cash (pre-equity)</t>
  </si>
  <si>
    <t xml:space="preserve">Profit attributable to FSL shareholders (net profit less non-controlling share)</t>
  </si>
  <si>
    <t xml:space="preserve">Dividend cap 2: payout ratio x attributable profit</t>
  </si>
  <si>
    <t xml:space="preserve">Dividend cap 3: net profit + opening retained earnings - statutory reserve</t>
  </si>
  <si>
    <t xml:space="preserve">Dividends paid = -MIN(caps) x policy switch</t>
  </si>
  <si>
    <t xml:space="preserve">Cash before new equity (pre-equity path)</t>
  </si>
  <si>
    <t xml:space="preserve">Minimum operating cash</t>
  </si>
  <si>
    <t xml:space="preserve">Shortfall against minimum cash before new equity</t>
  </si>
  <si>
    <t xml:space="preserve">  of which before the injection year (bridge need — not covered by the injection assumption until received)</t>
  </si>
  <si>
    <t xml:space="preserve">  of which from the injection year onward</t>
  </si>
  <si>
    <t xml:space="preserve">Equity requirement at the injection date = MAX(largest shortfall from the injection year onward, planned LT loan repayment) — this case</t>
  </si>
  <si>
    <t xml:space="preserve">The injection always covers at least the planned loan repayment (board-deck use of proceeds); the shortfall already counts the repayment as a use of cash.</t>
  </si>
  <si>
    <t xml:space="preserve">Residual gap after the actual injection (should be nil; non-nil if the injection is fixed too low or sized on the other case)</t>
  </si>
  <si>
    <t xml:space="preserve">E. Consolidation workings — project outputs x case inclusion flag (column E). Sums feed the statements above.</t>
  </si>
  <si>
    <t xml:space="preserve">Total — Revenue</t>
  </si>
  <si>
    <t xml:space="preserve">Total — Cost of sales</t>
  </si>
  <si>
    <t xml:space="preserve">Total — Operating expenses</t>
  </si>
  <si>
    <t xml:space="preserve">Total — Depreciation &amp; amortisation</t>
  </si>
  <si>
    <t xml:space="preserve">Tax on project EBIT (unlevered, line method)</t>
  </si>
  <si>
    <t xml:space="preserve">Total — Tax on project EBIT (unlevered, line method)</t>
  </si>
  <si>
    <t xml:space="preserve">NOPAT</t>
  </si>
  <si>
    <t xml:space="preserve">Total — NOPAT</t>
  </si>
  <si>
    <t xml:space="preserve">Non-controlling share of NOPAT = NOPAT x (1 - FSL interest)</t>
  </si>
  <si>
    <t xml:space="preserve">Total — Non-controlling share of NOPAT = NOPAT x (1 - FSL interest)</t>
  </si>
  <si>
    <t xml:space="preserve">Total — Capex (IDR bn)</t>
  </si>
  <si>
    <t xml:space="preserve">Total — Capex (USD m)</t>
  </si>
  <si>
    <t xml:space="preserve">Total — Increase in net working capital</t>
  </si>
  <si>
    <t xml:space="preserve">Trade receivables</t>
  </si>
  <si>
    <t xml:space="preserve">Total — Trade receivables</t>
  </si>
  <si>
    <t xml:space="preserve">Trade payables (negative)</t>
  </si>
  <si>
    <t xml:space="preserve">Total — Trade payables (negative)</t>
  </si>
  <si>
    <t xml:space="preserve">Fixed assets from project capex (NBV)</t>
  </si>
  <si>
    <t xml:space="preserve">Total — Fixed assets from project capex (NBV)</t>
  </si>
  <si>
    <t xml:space="preserve">Depreciation of existing / other assets (not project capex)</t>
  </si>
  <si>
    <t xml:space="preserve">Total — Depreciation of existing / other assets (not project capex)</t>
  </si>
  <si>
    <t xml:space="preserve">Total — Free cash flow to firm</t>
  </si>
  <si>
    <t xml:space="preserve">Funding need (MAX(0, -FCFF))</t>
  </si>
  <si>
    <t xml:space="preserve">Total — Funding need (MAX(0, -FCFF))</t>
  </si>
  <si>
    <t xml:space="preserve">FSL FINANCIALS — WITH BUMN (integrated income statement, balance sheet, cash flow)</t>
  </si>
  <si>
    <t xml:space="preserve">Sum of project outputs included in the With-BUMN case (incl. BUMN operatorship schemes) + corporate items. IDR bn.</t>
  </si>
  <si>
    <t xml:space="preserve">Case: With BUMN — scope and settings</t>
  </si>
  <si>
    <t xml:space="preserve">With BUMN</t>
  </si>
  <si>
    <t xml:space="preserve">Existing businesses + committed and planned projects switched on + BUMN operatorship schemes (case 2 projects).</t>
  </si>
  <si>
    <t xml:space="preserve">FUNDING REQUIREMENT — how much equity do we need, and when?</t>
  </si>
  <si>
    <t xml:space="preserve">Cash roll-forward of the selected operating case: investment, internally generated cash, minimum cash, debt service incl. the LT loan repayment at the injection, remaining equity gap; capex-only projects added separately. IDR bn.</t>
  </si>
  <si>
    <t xml:space="preserve">A. How much equity do we need? (headline answers)</t>
  </si>
  <si>
    <t xml:space="preserve">Operating case underlying the funding calculation (Global Inputs switch)</t>
  </si>
  <si>
    <t xml:space="preserve">Capital injection date (provisional — Global Inputs)</t>
  </si>
  <si>
    <t xml:space="preserve">Injection amount mode (1 = computed requirement, 2 = fixed amount)</t>
  </si>
  <si>
    <t xml:space="preserve">Equity requirement — valuation-scope operations incl. LT loan repayment (funding case), IDR bn</t>
  </si>
  <si>
    <t xml:space="preserve">   same in USD m (injection-year exchange rate)</t>
  </si>
  <si>
    <t xml:space="preserve">Additional capex-only request — Badas (when outside the valuation) and funding-only placeholders F01-F05, IDR bn</t>
  </si>
  <si>
    <t xml:space="preserve">TOTAL EQUITY FUNDING REQUEST (IDR bn)</t>
  </si>
  <si>
    <t xml:space="preserve">TOTAL EQUITY FUNDING REQUEST (USD m)</t>
  </si>
  <si>
    <t xml:space="preserve">   of which depends on provisional / DUMMY assumptions (Badas dummy capex, blank placeholders, unconfirmed pre-valuation spend timing)</t>
  </si>
  <si>
    <t xml:space="preserve">   unconfirmed pre-valuation capex (v29 timing, not actuals) within the valuation-scope requirement, IDR bn</t>
  </si>
  <si>
    <t xml:space="preserve">   of which planned LT loan repayment funded from the proceeds</t>
  </si>
  <si>
    <t xml:space="preserve">Bridge need before the injection (largest pre-injection shortfall against minimum cash) — to be covered by shareholder / bank bridge</t>
  </si>
  <si>
    <t xml:space="preserve">Comparison: requirement Without BUMN</t>
  </si>
  <si>
    <t xml:space="preserve">Comparison: requirement With BUMN</t>
  </si>
  <si>
    <t xml:space="preserve">Residual gap after the actual injection (funding case) — nil in mode 1</t>
  </si>
  <si>
    <t xml:space="preserve">Equity requirement (cash to be contributed) is NOT the equity value of FSL — see the Valuation sheets.</t>
  </si>
  <si>
    <t xml:space="preserve">B. Cash roll-forward — funding case (linked from the selected FSL Financials sheet; IDR bn)</t>
  </si>
  <si>
    <t xml:space="preserve">Opening cash (pre-equity path)</t>
  </si>
  <si>
    <t xml:space="preserve">+ Cash flow from operations (net profit + D&amp;A - working capital increase; interest and tax inside net profit)</t>
  </si>
  <si>
    <t xml:space="preserve">- Project investment (capex, projects in the case)</t>
  </si>
  <si>
    <t xml:space="preserve">- Debt service: other loans FY2024, LT loan repayment at the injection</t>
  </si>
  <si>
    <t xml:space="preserve">- Dividends (policy; capped by pre-equity cash)</t>
  </si>
  <si>
    <t xml:space="preserve">Cash before new equity</t>
  </si>
  <si>
    <t xml:space="preserve">Shortfall against minimum cash (before new equity)</t>
  </si>
  <si>
    <t xml:space="preserve">  before the injection year (bridge need)</t>
  </si>
  <si>
    <t xml:space="preserve">  from the injection year onward</t>
  </si>
  <si>
    <t xml:space="preserve">EQUITY REQUIREMENT at the injection date = largest shortfall from the injection year onward</t>
  </si>
  <si>
    <t xml:space="preserve">Closing cash after the injection</t>
  </si>
  <si>
    <t xml:space="preserve">Residual gap after the injection</t>
  </si>
  <si>
    <t xml:space="preserve">No double counting: interest and tax are inside net profit (CFO); working-capital movements are inside CFO; the LT loan repayment appears once, as debt service.</t>
  </si>
  <si>
    <t xml:space="preserve">C. Funding needs by project and year — projects in the funding case (cash shortfall = MAX(0, -FCFF); IDR bn)</t>
  </si>
  <si>
    <t xml:space="preserve">Total project funding needs (before internally generated surpluses of other projects)</t>
  </si>
  <si>
    <t xml:space="preserve">LT loan repayment at the injection (planned)</t>
  </si>
  <si>
    <t xml:space="preserve">The company-level requirement in section B is lower than the sum of project needs where cash generated by other businesses funds them.</t>
  </si>
  <si>
    <t xml:space="preserve">D. Capex-only projects (no feasibility study — excluded from valuation, included in the funding request): Badas and five placeholders</t>
  </si>
  <si>
    <t xml:space="preserve">Badas capex while outside the valuation (P19 Badas Calc x (1 - in valuation) x funding-inclusion switch) — DUMMY capex</t>
  </si>
  <si>
    <t xml:space="preserve">F01 — funding-only placeholder (fill name, total capex in USD m, spending % by year and the include switch; leave blank if unused)</t>
  </si>
  <si>
    <t xml:space="preserve">F01 project name</t>
  </si>
  <si>
    <t xml:space="preserve">F01 total capex</t>
  </si>
  <si>
    <t xml:space="preserve">Blank / 0 = inactive placeholder (error-free).</t>
  </si>
  <si>
    <t xml:space="preserve">F01 include in the funding request (1 = yes)</t>
  </si>
  <si>
    <t xml:space="preserve">F01 spending % of total capex by year (must add to 100% when used)</t>
  </si>
  <si>
    <t xml:space="preserve">F01 capex (USD m)</t>
  </si>
  <si>
    <t xml:space="preserve">F01 capex (IDR bn) = USD m x FX / 1,000 — 100% equity-funded request (no FS, no revenue, no return assumed)</t>
  </si>
  <si>
    <t xml:space="preserve">F01 allocation check</t>
  </si>
  <si>
    <t xml:space="preserve">text</t>
  </si>
  <si>
    <t xml:space="preserve">F01 operating results / returns</t>
  </si>
  <si>
    <t xml:space="preserve">FS not available — capex requirement only</t>
  </si>
  <si>
    <t xml:space="preserve">F02 — funding-only placeholder (fill name, total capex in USD m, spending % by year and the include switch; leave blank if unused)</t>
  </si>
  <si>
    <t xml:space="preserve">F02 project name</t>
  </si>
  <si>
    <t xml:space="preserve">F02 total capex</t>
  </si>
  <si>
    <t xml:space="preserve">F02 include in the funding request (1 = yes)</t>
  </si>
  <si>
    <t xml:space="preserve">F02 spending % of total capex by year (must add to 100% when used)</t>
  </si>
  <si>
    <t xml:space="preserve">F02 capex (USD m)</t>
  </si>
  <si>
    <t xml:space="preserve">F02 capex (IDR bn) = USD m x FX / 1,000 — 100% equity-funded request (no FS, no revenue, no return assumed)</t>
  </si>
  <si>
    <t xml:space="preserve">F02 allocation check</t>
  </si>
  <si>
    <t xml:space="preserve">F02 operating results / returns</t>
  </si>
  <si>
    <t xml:space="preserve">F03 — funding-only placeholder (fill name, total capex in USD m, spending % by year and the include switch; leave blank if unused)</t>
  </si>
  <si>
    <t xml:space="preserve">F03 project name</t>
  </si>
  <si>
    <t xml:space="preserve">F03 total capex</t>
  </si>
  <si>
    <t xml:space="preserve">F03 include in the funding request (1 = yes)</t>
  </si>
  <si>
    <t xml:space="preserve">F03 spending % of total capex by year (must add to 100% when used)</t>
  </si>
  <si>
    <t xml:space="preserve">F03 capex (USD m)</t>
  </si>
  <si>
    <t xml:space="preserve">F03 capex (IDR bn) = USD m x FX / 1,000 — 100% equity-funded request (no FS, no revenue, no return assumed)</t>
  </si>
  <si>
    <t xml:space="preserve">F03 allocation check</t>
  </si>
  <si>
    <t xml:space="preserve">F03 operating results / returns</t>
  </si>
  <si>
    <t xml:space="preserve">F04 — funding-only placeholder (fill name, total capex in USD m, spending % by year and the include switch; leave blank if unused)</t>
  </si>
  <si>
    <t xml:space="preserve">F04 project name</t>
  </si>
  <si>
    <t xml:space="preserve">F04 total capex</t>
  </si>
  <si>
    <t xml:space="preserve">F04 include in the funding request (1 = yes)</t>
  </si>
  <si>
    <t xml:space="preserve">F04 spending % of total capex by year (must add to 100% when used)</t>
  </si>
  <si>
    <t xml:space="preserve">F04 capex (USD m)</t>
  </si>
  <si>
    <t xml:space="preserve">F04 capex (IDR bn) = USD m x FX / 1,000 — 100% equity-funded request (no FS, no revenue, no return assumed)</t>
  </si>
  <si>
    <t xml:space="preserve">F04 allocation check</t>
  </si>
  <si>
    <t xml:space="preserve">F04 operating results / returns</t>
  </si>
  <si>
    <t xml:space="preserve">F05 — funding-only placeholder (fill name, total capex in USD m, spending % by year and the include switch; leave blank if unused)</t>
  </si>
  <si>
    <t xml:space="preserve">F05 project name</t>
  </si>
  <si>
    <t xml:space="preserve">F05 total capex</t>
  </si>
  <si>
    <t xml:space="preserve">F05 include in the funding request (1 = yes)</t>
  </si>
  <si>
    <t xml:space="preserve">F05 spending % of total capex by year (must add to 100% when used)</t>
  </si>
  <si>
    <t xml:space="preserve">F05 capex (USD m)</t>
  </si>
  <si>
    <t xml:space="preserve">F05 capex (IDR bn) = USD m x FX / 1,000 — 100% equity-funded request (no FS, no revenue, no return assumed)</t>
  </si>
  <si>
    <t xml:space="preserve">F05 allocation check</t>
  </si>
  <si>
    <t xml:space="preserve">F05 operating results / returns</t>
  </si>
  <si>
    <t xml:space="preserve">Funding-only placeholders F01-F05 — total capex (IDR bn)</t>
  </si>
  <si>
    <t xml:space="preserve">Total capex-only request (IDR bn) — never enters the valuation or the company statements</t>
  </si>
  <si>
    <t xml:space="preserve">E. Bridge: valuation-scope requirement -&gt; total equity funding request (IDR bn by year)</t>
  </si>
  <si>
    <t xml:space="preserve">Equity requirement — valuation-scope operations (funding case), received in the injection year</t>
  </si>
  <si>
    <t xml:space="preserve">   memo: of which planned LT loan repayment</t>
  </si>
  <si>
    <t xml:space="preserve">+ Badas capex-only (DUMMY, when outside the valuation)</t>
  </si>
  <si>
    <t xml:space="preserve">+ Funding-only placeholders F01-F05</t>
  </si>
  <si>
    <t xml:space="preserve">TOTAL equity funding request by year</t>
  </si>
  <si>
    <t xml:space="preserve">TOTAL equity funding request by year (USD m)</t>
  </si>
  <si>
    <t xml:space="preserve">   of which provisional / DUMMY (capex-only items)</t>
  </si>
  <si>
    <t xml:space="preserve">Capital raised for capex-only projects is ring-fenced: it is not routed through the company cash balance and therefore never appears in the valuation as excess cash.</t>
  </si>
  <si>
    <t xml:space="preserve">F. Use of proceeds — board deck Dec-2024 (user screenshot) vs v29 and this model (USD m, total project capex)</t>
  </si>
  <si>
    <t xml:space="preserve">Board deck Stage 1</t>
  </si>
  <si>
    <t xml:space="preserve">Board deck Stage 2</t>
  </si>
  <si>
    <t xml:space="preserve">v29 model</t>
  </si>
  <si>
    <t xml:space="preserve">This model</t>
  </si>
  <si>
    <t xml:space="preserve">Model source</t>
  </si>
  <si>
    <t xml:space="preserve">Cigading Wharf 2</t>
  </si>
  <si>
    <t xml:space="preserve">-</t>
  </si>
  <si>
    <t xml:space="preserve">P01 Input — total project capex</t>
  </si>
  <si>
    <t xml:space="preserve">Cigading Ext. Conveyor</t>
  </si>
  <si>
    <t xml:space="preserve">P02 Input — total project capex</t>
  </si>
  <si>
    <t xml:space="preserve">Belawan / Medan (SGT3)</t>
  </si>
  <si>
    <t xml:space="preserve">E3 Input — total project capex</t>
  </si>
  <si>
    <t xml:space="preserve">Ciwandan Expansion (v29: Ciwandan 5.0 + KBS warehouse revitalisation 6.0)</t>
  </si>
  <si>
    <t xml:space="preserve">P06 Input + P03 Input (INFERRED grouping — to confirm)</t>
  </si>
  <si>
    <t xml:space="preserve">Teluk Lamong silo (Surabaya, NP Log)</t>
  </si>
  <si>
    <t xml:space="preserve">P04 Input — total project capex</t>
  </si>
  <si>
    <t xml:space="preserve">Dumai</t>
  </si>
  <si>
    <t xml:space="preserve">P05 Input — total project capex</t>
  </si>
  <si>
    <t xml:space="preserve">Badas</t>
  </si>
  <si>
    <t xml:space="preserve">P19 Input — total project capex</t>
  </si>
  <si>
    <t xml:space="preserve">Port long-term warehouse storage</t>
  </si>
  <si>
    <t xml:space="preserve">Not in v29 / no FS — use a funding-only placeholder F01-F05 if a capex figure is to be included</t>
  </si>
  <si>
    <t xml:space="preserve">Vietnam</t>
  </si>
  <si>
    <t xml:space="preserve">LT loan repayment</t>
  </si>
  <si>
    <t xml:space="preserve">Global Inputs — LT loan principal</t>
  </si>
  <si>
    <t xml:space="preserve">Stage 1 / Stage 2 columns = board deck Dec-2024 use of proceeds as supplied by the user (UPDATED information). v29 column = V29 Ruby FM totals. Model column links to the project Input sheets (v29 totals retained; Badas provisional 10.0).</t>
  </si>
  <si>
    <t xml:space="preserve">FINANCING — corporate loans and capital injection</t>
  </si>
  <si>
    <t xml:space="preserve">LT loan carried until the capital injection; repayment linked to the proceeds received; interest to the repayment date. IDR bn.</t>
  </si>
  <si>
    <t xml:space="preserve">A. Existing loans (IDR bn) — Dec-23 balance 224.5 = other loans 29.3 (repaid FY2024 as in v29) + LT loan 12 USD m (195.2)</t>
  </si>
  <si>
    <t xml:space="preserve">Other loans — opening balance</t>
  </si>
  <si>
    <t xml:space="preserve">Other loans — repayment (v29: repaid in FY2024)</t>
  </si>
  <si>
    <t xml:space="preserve">Other loans — closing balance</t>
  </si>
  <si>
    <t xml:space="preserve">LT loan — opening balance</t>
  </si>
  <si>
    <t xml:space="preserve">LT loan — planned repayment from the injection proceeds (share x balance, in the injection year)</t>
  </si>
  <si>
    <t xml:space="preserve">LT loan — actual repayment (mode 1: planned; mode 2: limited to the proceeds received)</t>
  </si>
  <si>
    <t xml:space="preserve">LT loan — repayment shortfall (planned - actual); balance stays outstanding</t>
  </si>
  <si>
    <t xml:space="preserve">LT loan — closing balance</t>
  </si>
  <si>
    <t xml:space="preserve">Fraction of the year the repaid amount is outstanding (injection year: to the injection date)</t>
  </si>
  <si>
    <t xml:space="preserve">Interest — FY2024 = v29 figure for all loans; from FY2025 = rate x (balance carried full year + repaid amount x fraction)</t>
  </si>
  <si>
    <t xml:space="preserve">Total corporate financing cost</t>
  </si>
  <si>
    <t xml:space="preserve">Tax shield on corporate interest = switch x tax rate x interest</t>
  </si>
  <si>
    <t xml:space="preserve">Total bank loans — closing balance</t>
  </si>
  <si>
    <t xml:space="preserve">Debt service (principal repayments)</t>
  </si>
  <si>
    <t xml:space="preserve">LT loan repaid in the year (1/0)</t>
  </si>
  <si>
    <t xml:space="preserve">Year of LT loan repayment (0 = not repaid within the horizon)</t>
  </si>
  <si>
    <t xml:space="preserve">LT loan outstanding at the valuation date (enters the equity bridge)</t>
  </si>
  <si>
    <t xml:space="preserve">Repayment shortfall check</t>
  </si>
  <si>
    <t xml:space="preserve">B. Capital injection (new equity) — timing and amount from Global Inputs; amount in mode 1 = equity requirement of the funding case</t>
  </si>
  <si>
    <t xml:space="preserve">Equity requirement at the injection date — funding case (Funding Requirement sheet)</t>
  </si>
  <si>
    <t xml:space="preserve">Capital injection received (IDR bn)</t>
  </si>
  <si>
    <t xml:space="preserve">Capital injection received (USD m)</t>
  </si>
  <si>
    <t xml:space="preserve">Cumulative capital injection</t>
  </si>
  <si>
    <t xml:space="preserve">Paid-in capital — closing balance</t>
  </si>
  <si>
    <t xml:space="preserve">Use of proceeds: LT loan repayment</t>
  </si>
  <si>
    <t xml:space="preserve">Use of proceeds: project funding and minimum cash (balance)</t>
  </si>
  <si>
    <t xml:space="preserve">Mode 1 repays the planned amount by construction (the requirement includes it as a funding use). Mode 2 tests a fixed amount: with insufficient proceeds the unpaid balance is retained and flagged above; with nil proceeds the loan is carried and keeps accruing interest.</t>
  </si>
  <si>
    <t xml:space="preserve">VALUATION — WITHOUT BUMN</t>
  </si>
  <si>
    <t xml:space="preserve">Company DCF at 31-Dec-2026 using FCFF from FY2027 (year-end convention), terminal value, enterprise value and equity bridge. Linked to 'FSL Financials — Without BUMN'. IDR bn.</t>
  </si>
  <si>
    <t xml:space="preserve">A. Basis — case: Without BUMN</t>
  </si>
  <si>
    <t xml:space="preserve">Company case valued</t>
  </si>
  <si>
    <t xml:space="preserve">First year of cash flows in the DCF (year-end convention: discounted one full year)</t>
  </si>
  <si>
    <t xml:space="preserve">Currency / units</t>
  </si>
  <si>
    <t xml:space="preserve">IDR bn (USD m at the valuation-year exchange rate where shown)</t>
  </si>
  <si>
    <t xml:space="preserve">WACC (Global Inputs — provisional build-up)</t>
  </si>
  <si>
    <t xml:space="preserve">Terminal growth rate</t>
  </si>
  <si>
    <t xml:space="preserve">Terminal-year normalised capex as a multiple of depreciation</t>
  </si>
  <si>
    <t xml:space="preserve">Projects included in this case (Global Inputs register)</t>
  </si>
  <si>
    <t xml:space="preserve">Existing businesses and projects switched on, excluding BUMN operatorship schemes.</t>
  </si>
  <si>
    <t xml:space="preserve">Excluded from this valuation</t>
  </si>
  <si>
    <t xml:space="preserve">Sapphire (v29 switch = 0); Badas while its register switch is 0 (dummy FS data); funding-only placeholders F01-F05; TBM unless switched on.</t>
  </si>
  <si>
    <t xml:space="preserve">B. Operating projections and unlevered free cash flow (linked to the FSL Financials of this case; IDR bn)</t>
  </si>
  <si>
    <t xml:space="preserve">Tax on EBIT (sum of project line taxes; excludes the corporate interest shield)</t>
  </si>
  <si>
    <t xml:space="preserve">Less capex</t>
  </si>
  <si>
    <t xml:space="preserve">Less increase in net working capital</t>
  </si>
  <si>
    <t xml:space="preserve">Free cash flow to firm (FCFF, unlevered)</t>
  </si>
  <si>
    <t xml:space="preserve">C. Discounting — only years after the valuation date</t>
  </si>
  <si>
    <t xml:space="preserve">In DCF window (1 = year after the valuation date)</t>
  </si>
  <si>
    <t xml:space="preserve">Discount period (years from the valuation date)</t>
  </si>
  <si>
    <t xml:space="preserve">Discount factor = 1 / (1 + WACC)^period (0 before the valuation date)</t>
  </si>
  <si>
    <t xml:space="preserve">FCFF in the DCF window</t>
  </si>
  <si>
    <t xml:space="preserve">Present value of FCFF</t>
  </si>
  <si>
    <t xml:space="preserve">D. Terminal value (Gordon growth on a normalised final-year cash flow)</t>
  </si>
  <si>
    <t xml:space="preserve">NOPAT in the final forecast year</t>
  </si>
  <si>
    <t xml:space="preserve">Depreciation in the final forecast year</t>
  </si>
  <si>
    <t xml:space="preserve">Normalised capex = factor x depreciation (v29 forecasts no capex after FY2028)</t>
  </si>
  <si>
    <t xml:space="preserve">Normalised working-capital investment = g x final-year net working capital</t>
  </si>
  <si>
    <t xml:space="preserve">Normalised FCFF (final year)</t>
  </si>
  <si>
    <t xml:space="preserve">Terminal value at end-2036 = normalised FCFF x (1 + g) / (WACC - g)</t>
  </si>
  <si>
    <t xml:space="preserve">Present value of the terminal value (discounted with the final-year factor)</t>
  </si>
  <si>
    <t xml:space="preserve">E. Enterprise value at the valuation date</t>
  </si>
  <si>
    <t xml:space="preserve">PV of FCFF FY2027-FY2036</t>
  </si>
  <si>
    <t xml:space="preserve">PV of terminal value</t>
  </si>
  <si>
    <t xml:space="preserve">ENTERPRISE VALUE (100%)</t>
  </si>
  <si>
    <t xml:space="preserve">Enterprise value (USD m, valuation-year rate)</t>
  </si>
  <si>
    <t xml:space="preserve">Terminal value as % of enterprise value</t>
  </si>
  <si>
    <t xml:space="preserve">F. Equity value bridge at the valuation date (balances at 31-Dec-2026 are projections — FY2024-26 actuals not available)</t>
  </si>
  <si>
    <t xml:space="preserve">Enterprise value</t>
  </si>
  <si>
    <t xml:space="preserve">+ Cash at the valuation date (projected closing cash of the valuation year; includes the injection only if received on/before the valuation date)</t>
  </si>
  <si>
    <t xml:space="preserve">- Bank loans at the valuation date (LT loan outstanding unless repaid before the valuation date)</t>
  </si>
  <si>
    <t xml:space="preserve">+/- Other assets less other liabilities (Dec-23 balances held flat) x switch (Global Inputs; default excluded)</t>
  </si>
  <si>
    <t xml:space="preserve">- Non-controlling interests: (1 - FSL interest) x value of each project line (NPLOG 35%)</t>
  </si>
  <si>
    <t xml:space="preserve">EQUITY VALUE attributable to FSL shareholders (100% of shares)</t>
  </si>
  <si>
    <t xml:space="preserve">Equity value (USD m, valuation-year rate)</t>
  </si>
  <si>
    <t xml:space="preserve">Pre-/post-money</t>
  </si>
  <si>
    <t xml:space="preserve">Memo: new equity funding requested (Funding Requirement — cash to be contributed; NOT a value)</t>
  </si>
  <si>
    <t xml:space="preserve">Memo: LT loan outstanding at the valuation date (Financing)</t>
  </si>
  <si>
    <t xml:space="preserve">G. Sensitivity of enterprise value (IDR bn) — WACC (rows) x terminal growth (columns)</t>
  </si>
  <si>
    <t xml:space="preserve">EV (IDR bn) — rows: WACC; columns: terminal growth</t>
  </si>
  <si>
    <t xml:space="preserve">Terminal value discounted 10 years (FY2036 = 10th year after the valuation date). Centre cell = base case.</t>
  </si>
  <si>
    <t xml:space="preserve">H. Value by project line at the valuation date (project Output sheets: PV of FY2027+ FCFF incl. plain Gordon terminal value) x case flag</t>
  </si>
  <si>
    <t xml:space="preserve">Sum of project line values</t>
  </si>
  <si>
    <t xml:space="preserve">Terminal-value normalisation at company level (company TV uses normalised capex / working capital; project TVs use the plain FY2036 FCFF)</t>
  </si>
  <si>
    <t xml:space="preserve">Check: sum of project PVs (explicit years) = company PV of explicit years</t>
  </si>
  <si>
    <t xml:space="preserve">VALUATION — WITH BUMN</t>
  </si>
  <si>
    <t xml:space="preserve">Company DCF at 31-Dec-2026 using FCFF from FY2027 (year-end convention), terminal value, enterprise value and equity bridge. Linked to 'FSL Financials — With BUMN'. IDR bn.</t>
  </si>
  <si>
    <t xml:space="preserve">A. Basis — case: With BUMN</t>
  </si>
  <si>
    <t xml:space="preserve">Existing businesses and projects switched on, including BUMN operatorship schemes (case 2).</t>
  </si>
  <si>
    <t xml:space="preserve">I. Value of the BUMN operatorship schemes to FSL</t>
  </si>
  <si>
    <t xml:space="preserve">Enterprise value With BUMN - Without BUMN</t>
  </si>
  <si>
    <t xml:space="preserve">Equity value With BUMN - Without BUMN</t>
  </si>
  <si>
    <t xml:space="preserve">Only FSL's entitlement under the schemes (tariff differential x volume, less FSL's operating cost) is valued; benefits retained by the BUMN partners are not included.</t>
  </si>
  <si>
    <t xml:space="preserve">CHECKS — mechanical integrity (live formulas)</t>
  </si>
  <si>
    <t xml:space="preserve">PASS / FAIL checks with tolerances (column F, editable). WARNING rows flag results that need attention but are not mechanical errors; INFO rows document settings.</t>
  </si>
  <si>
    <t xml:space="preserve">OVERALL STATUS (all PASS/FAIL checks)</t>
  </si>
  <si>
    <t xml:space="preserve">Check</t>
  </si>
  <si>
    <t xml:space="preserve">Value</t>
  </si>
  <si>
    <t xml:space="preserve">Tolerance</t>
  </si>
  <si>
    <t xml:space="preserve">Status</t>
  </si>
  <si>
    <t xml:space="preserve">Balance sheet balances — Without BUMN (max |assets - liabilities - equity|, FY2024-36)</t>
  </si>
  <si>
    <t xml:space="preserve">CHECK</t>
  </si>
  <si>
    <t xml:space="preserve">2023 opening residual 0.006 is a v29 source imbalance (typed receivables / payables)</t>
  </si>
  <si>
    <t xml:space="preserve">Balance sheet balances — With BUMN</t>
  </si>
  <si>
    <t xml:space="preserve">Cash: closing cash = pre-equity path + cumulative injection — Without BUMN</t>
  </si>
  <si>
    <t xml:space="preserve">Cash: closing cash = pre-equity path + cumulative injection — With BUMN</t>
  </si>
  <si>
    <t xml:space="preserve">Consolidation: sum of project revenue x flags = company revenue — Without BUMN</t>
  </si>
  <si>
    <t xml:space="preserve">Consolidation: sum of project revenue x flags = company revenue — With BUMN</t>
  </si>
  <si>
    <t xml:space="preserve">Consolidation: sum of project FCFF x flags = valuation FCFF — With BUMN</t>
  </si>
  <si>
    <t xml:space="preserve">Capex allocation: number of projects whose spending % do not add to 100%</t>
  </si>
  <si>
    <t xml:space="preserve">Capex allocation: unallocated capex across projects (USD m)</t>
  </si>
  <si>
    <t xml:space="preserve">Valuation date = 31-Dec-2026 (days difference)</t>
  </si>
  <si>
    <t xml:space="preserve">Change the date on Global Inputs deliberately; this check documents the delivered setting</t>
  </si>
  <si>
    <t xml:space="preserve">DCF window starts the year after the valuation date (sum of discount factors up to the valuation year)</t>
  </si>
  <si>
    <t xml:space="preserve">First DCF year discounted one full year: DF(first year) - 1/(1+WACC)</t>
  </si>
  <si>
    <t xml:space="preserve">LT loan balance never negative (repayment &lt;= balance)</t>
  </si>
  <si>
    <t xml:space="preserve">LT loan not extinguished without proceeds: if total injection = 0 the FY2036 balance equals the principal</t>
  </si>
  <si>
    <t xml:space="preserve">Funding: residual gap after the injection in the funding case (must be nil in mode 1)</t>
  </si>
  <si>
    <t xml:space="preserve">Funding: in mode 1 the injection covers the planned LT loan repayment</t>
  </si>
  <si>
    <t xml:space="preserve">Dividends never negative — Without BUMN</t>
  </si>
  <si>
    <t xml:space="preserve">Dividends never negative — With BUMN</t>
  </si>
  <si>
    <t xml:space="preserve">Opening balance sheet residual (v29 source imbalance, tolerated)</t>
  </si>
  <si>
    <t xml:space="preserve">v29 Output_FSL hides a 0.006 residual with ROUNDDOWN; kept visible</t>
  </si>
  <si>
    <t xml:space="preserve">Valuation: sum of project explicit PVs = company explicit PV — Without BUMN</t>
  </si>
  <si>
    <t xml:space="preserve">Valuation: sum of project explicit PVs = company explicit PV — With BUMN</t>
  </si>
  <si>
    <t xml:space="preserve">Funding-only placeholders: active placeholders with % not adding to 100%</t>
  </si>
  <si>
    <t xml:space="preserve">Badas outside the headline valuation while dummy (register switch, delivered = 0)</t>
  </si>
  <si>
    <t xml:space="preserve">INFO</t>
  </si>
  <si>
    <t xml:space="preserve">Bridge need before the injection (largest pre-injection shortfall vs minimum cash, funding case)</t>
  </si>
  <si>
    <t xml:space="preserve">WARN</t>
  </si>
  <si>
    <t xml:space="preserve">v29 assumed equity in FY2026-27 matching capex; with the injection after 2026 the FY2026 capex needs bridge funding until the injection is received</t>
  </si>
  <si>
    <t xml:space="preserve">Project fixed assets: most negative project NBV (method 1 can depreciate beyond cost — v29 behaviour)</t>
  </si>
  <si>
    <t xml:space="preserve">Existing fixed assets NBV at FY2036 (v29 depreciates existing assets beyond their Dec-23 book value: negative = source issue)</t>
  </si>
  <si>
    <t xml:space="preserve">LT loan repayment shortfall (mode 2 with insufficient proceeds)</t>
  </si>
  <si>
    <t xml:space="preserve">Residual funding gap in the non-funding case after the injection</t>
  </si>
  <si>
    <t xml:space="preserve">Genuine v29 source issues — documented, not concealed (see Reconciliation and the project Input notes)</t>
  </si>
  <si>
    <t xml:space="preserve">S1  Opening balance sheet: v29 types receivables 45.0 and payables 14.672 (BS_Historical shows 104.1 / 23.3) and plugs other liabilities; residual 0.006 hidden by ROUNDDOWN. Kept as v29; shown in the Checks.</t>
  </si>
  <si>
    <t xml:space="preserve">S2  Existing-asset depreciation runs for the whole forecast without a net-book-value cap (existing fixed assets turn negative by FY2035 in v29). Kept; flagged as a warning.</t>
  </si>
  <si>
    <t xml:space="preserve">S3  KBS warehouse revitalisation: 6.02 USD m capex never depreciated in v29 (Calculation_FSL!F461 -&gt; empty Input!L1270). Revised model depreciates it (difference explained in the Reconciliation).</t>
  </si>
  <si>
    <t xml:space="preserve">S4  DMS trucking: equipment (0.04/0.04/0.03/0.04 USD m) depreciated in v29 with no capex cash flow. Reproduced as v29 and documented in the P08 sheets.</t>
  </si>
  <si>
    <t xml:space="preserve">S5  Inventory drops to nil from FY2034 in v29 (formula break); held flat in the revised model.</t>
  </si>
  <si>
    <t xml:space="preserve">S6  Belawan expansion volume ends in FY2034 (Calculation_SOEs row 450 empty in FY2035-36) — source gap kept; flagged in E3 inputs.</t>
  </si>
  <si>
    <t xml:space="preserve">S7  WIN Makassar sugar tariff FY2034-36 references an empty row (nil revenue) — kept; flagged in E4 inputs.</t>
  </si>
  <si>
    <t xml:space="preserve">S8  Teluk Lamong G&amp;A staff cost grown with the legal-fee growth row (3% instead of 3.5%) — kept; flagged in E1 inputs.</t>
  </si>
  <si>
    <t xml:space="preserve">S9  Cigading existing volume: v29 overrides the input (1.99 m t) with a typed 1.1 m t; tariff from FY2025 linked to the Wharf 2 tariff — kept and cited.</t>
  </si>
  <si>
    <t xml:space="preserve">S10  LT loan terms (rate implied 7.83%, maturity, currency) and the capital injection date are provisional; FY2024-26 figures are v29 projections, not actuals.</t>
  </si>
  <si>
    <t xml:space="preserve">S11  Minority interest: v29 applies FSL's 65% NPLOG share only in the dividend base; the revised model shows the non-controlling share as a memo and deducts it in the equity bridge.</t>
  </si>
  <si>
    <t xml:space="preserve">RECONCILIATION TO v29 — With-BUMN case vs V29 Output_FSL (Sapphire excluded in both)</t>
  </si>
  <si>
    <t xml:space="preserve">v29 values are static copies (grey input style, source cited). Differences are explained in the note column of each difference row and in section C.</t>
  </si>
  <si>
    <t xml:space="preserve">A. Company income statement — v29 Output_FSL (With BUMN, Sapphire excluded) vs revised model With-BUMN case (IDR bn). v29 values are static references.</t>
  </si>
  <si>
    <t xml:space="preserve">v29: Net sales</t>
  </si>
  <si>
    <t xml:space="preserve">Output_FSL row 44 (static copy)</t>
  </si>
  <si>
    <t xml:space="preserve">Revised: Net sales</t>
  </si>
  <si>
    <t xml:space="preserve">Difference (revised - v29)</t>
  </si>
  <si>
    <t xml:space="preserve">Identical unless project inputs are changed (DMS / BUMN / all lines included in both).</t>
  </si>
  <si>
    <t xml:space="preserve">v29: Cost of sales</t>
  </si>
  <si>
    <t xml:space="preserve">Output_FSL row 45 (static copy)</t>
  </si>
  <si>
    <t xml:space="preserve">Revised: Cost of sales</t>
  </si>
  <si>
    <t xml:space="preserve">Identical unless inputs change.</t>
  </si>
  <si>
    <t xml:space="preserve">v29: Operating expenses</t>
  </si>
  <si>
    <t xml:space="preserve">Output_FSL row 48 (static copy)</t>
  </si>
  <si>
    <t xml:space="preserve">Revised: Operating expenses</t>
  </si>
  <si>
    <t xml:space="preserve">v29: EBITDA</t>
  </si>
  <si>
    <t xml:space="preserve">Output_FSL row 49 (static copy)</t>
  </si>
  <si>
    <t xml:space="preserve">Revised: EBITDA</t>
  </si>
  <si>
    <t xml:space="preserve">v29: Depreciation &amp; amortisation</t>
  </si>
  <si>
    <t xml:space="preserve">Output_FSL row 51 (static copy)</t>
  </si>
  <si>
    <t xml:space="preserve">Revised: Depreciation &amp; amortisation</t>
  </si>
  <si>
    <t xml:space="preserve">Depreciation method 2 (by year of spend, capped at useful life) vs v29 method 1; KBS warehouse depreciation added (v29 nil through a broken reference). Set method = 1 to compare.</t>
  </si>
  <si>
    <t xml:space="preserve">v29: EBIT</t>
  </si>
  <si>
    <t xml:space="preserve">Output_FSL row 52 (static copy)</t>
  </si>
  <si>
    <t xml:space="preserve">Revised: EBIT</t>
  </si>
  <si>
    <t xml:space="preserve">Follows D&amp;A.</t>
  </si>
  <si>
    <t xml:space="preserve">v29: Financing cost</t>
  </si>
  <si>
    <t xml:space="preserve">Output_FSL row 54 (static copy)</t>
  </si>
  <si>
    <t xml:space="preserve">Revised: Financing cost</t>
  </si>
  <si>
    <t xml:space="preserve">LT loan carried until the injection date (v29: repaid FY2025). FY2024-25 identical (v29 figures / implied rate).</t>
  </si>
  <si>
    <t xml:space="preserve">v29: Tax</t>
  </si>
  <si>
    <t xml:space="preserve">Output_FSL row 57 (static copy)</t>
  </si>
  <si>
    <t xml:space="preserve">Revised: Tax</t>
  </si>
  <si>
    <t xml:space="preserve">Tax on EBIT per line identical to v29 method; corporate interest shield at company level (v29: shield only inside the Cigading / Wharf 2 lines).</t>
  </si>
  <si>
    <t xml:space="preserve">v29: Net profit</t>
  </si>
  <si>
    <t xml:space="preserve">Output_FSL row 58 (static copy)</t>
  </si>
  <si>
    <t xml:space="preserve">Revised: Net profit</t>
  </si>
  <si>
    <t xml:space="preserve">Follows financing cost, tax and D&amp;A.</t>
  </si>
  <si>
    <t xml:space="preserve">v29: Fixed asset acquisition (capex)</t>
  </si>
  <si>
    <t xml:space="preserve">Output_FSL row 77 (static copy)</t>
  </si>
  <si>
    <t xml:space="preserve">Revised: Fixed asset acquisition (capex)</t>
  </si>
  <si>
    <t xml:space="preserve">Identical timing unless capex % are moved; v29 excludes pre-2024 spend from the cash flow, as here.</t>
  </si>
  <si>
    <t xml:space="preserve">v29: Equity injection</t>
  </si>
  <si>
    <t xml:space="preserve">Output_FSL row 81 (static copy)</t>
  </si>
  <si>
    <t xml:space="preserve">Revised: Equity injection</t>
  </si>
  <si>
    <t xml:space="preserve">v29: FY2026 + FY2027 capex-matching tranches; revised: single injection at the injection date sized to the funding requirement.</t>
  </si>
  <si>
    <t xml:space="preserve">v29: Loan repayment</t>
  </si>
  <si>
    <t xml:space="preserve">Output_FSL row 82 (static copy)</t>
  </si>
  <si>
    <t xml:space="preserve">Revised: Loan repayment</t>
  </si>
  <si>
    <t xml:space="preserve">v29 repays the LT loan in FY2025; revised repays at the injection date.</t>
  </si>
  <si>
    <t xml:space="preserve">v29: Dividend payment</t>
  </si>
  <si>
    <t xml:space="preserve">Output_FSL row 83 (static copy)</t>
  </si>
  <si>
    <t xml:space="preserve">Revised: Dividend payment</t>
  </si>
  <si>
    <t xml:space="preserve">Same policy; cash cap excludes the injection; reserve test on actual retained earnings.</t>
  </si>
  <si>
    <t xml:space="preserve">v29: Closing cash</t>
  </si>
  <si>
    <t xml:space="preserve">Output_FSL row 88 (static copy)</t>
  </si>
  <si>
    <t xml:space="preserve">Revised: Closing cash</t>
  </si>
  <si>
    <t xml:space="preserve">Cumulative effect of the above.</t>
  </si>
  <si>
    <t xml:space="preserve">v29: Fixed assets (total)</t>
  </si>
  <si>
    <t xml:space="preserve">Output_FSL row 98 (static copy)</t>
  </si>
  <si>
    <t xml:space="preserve">Revised: Fixed assets (total)</t>
  </si>
  <si>
    <t xml:space="preserve">Revised total = existing (unallocated) + project NBV incl. 198.4 reclassified assets under construction (v29 kept them in other assets).</t>
  </si>
  <si>
    <t xml:space="preserve">v29: Bank loan</t>
  </si>
  <si>
    <t xml:space="preserve">Output_FSL row 104 (static copy)</t>
  </si>
  <si>
    <t xml:space="preserve">Revised: Bank loan</t>
  </si>
  <si>
    <t xml:space="preserve">LT loan outstanding until the injection date.</t>
  </si>
  <si>
    <t xml:space="preserve">v29: Paid-in capital</t>
  </si>
  <si>
    <t xml:space="preserve">Output_FSL row 109 (static copy)</t>
  </si>
  <si>
    <t xml:space="preserve">Revised: Paid-in capital</t>
  </si>
  <si>
    <t xml:space="preserve">Injection timing / amount.</t>
  </si>
  <si>
    <t xml:space="preserve">v29: Retained earnings</t>
  </si>
  <si>
    <t xml:space="preserve">Output_FSL row 111 (static copy)</t>
  </si>
  <si>
    <t xml:space="preserve">Revised: Retained earnings</t>
  </si>
  <si>
    <t xml:space="preserve">Follows net profit and dividends.</t>
  </si>
  <si>
    <t xml:space="preserve">B. Project lines — v29 Output_Standalone (IDR) EBIT vs project Output EBIT (IDR bn); differences arise only from the depreciation method (switch = 1 reproduces v29) and documented v29 breaks</t>
  </si>
  <si>
    <t xml:space="preserve">v29 EBIT — E1 Teluk Lamong (NPLOG) cargodoring &amp; delivery</t>
  </si>
  <si>
    <t xml:space="preserve">Output_Standalone (IDR) row 28 (static copy)</t>
  </si>
  <si>
    <t xml:space="preserve">Revised EBIT — E1</t>
  </si>
  <si>
    <t xml:space="preserve">Depreciation method 2 vs v29 method 1 (see Global Inputs switch)</t>
  </si>
  <si>
    <t xml:space="preserve">v29 EBIT — E2 Cigading Existing Terminal (SGT 2)</t>
  </si>
  <si>
    <t xml:space="preserve">Output_Standalone (IDR) row 123 (static copy)</t>
  </si>
  <si>
    <t xml:space="preserve">Revised EBIT — E2</t>
  </si>
  <si>
    <t xml:space="preserve">v29 EBIT — E3 Belawan terminal (SGT3) incl. Belawan expansion</t>
  </si>
  <si>
    <t xml:space="preserve">Output_Standalone (IDR) row 331 (static copy)</t>
  </si>
  <si>
    <t xml:space="preserve">Revised EBIT — E3</t>
  </si>
  <si>
    <t xml:space="preserve">v29 EBIT — E4 WIN stevedoring (Cilegon, Makassar, Surabaya, Medan)</t>
  </si>
  <si>
    <t xml:space="preserve">Output_Standalone (IDR) row 469 (static copy)</t>
  </si>
  <si>
    <t xml:space="preserve">Revised EBIT — E4</t>
  </si>
  <si>
    <t xml:space="preserve">v29 EBIT — P01 Cigading Wharf 2</t>
  </si>
  <si>
    <t xml:space="preserve">Output_Standalone (IDR) row 147 (static copy)</t>
  </si>
  <si>
    <t xml:space="preserve">Revised EBIT — P01</t>
  </si>
  <si>
    <t xml:space="preserve">v29 EBIT — P02 Cigading Extended Conveyor</t>
  </si>
  <si>
    <t xml:space="preserve">Output_Standalone (IDR) row 170 (static copy)</t>
  </si>
  <si>
    <t xml:space="preserve">Revised EBIT — P02</t>
  </si>
  <si>
    <t xml:space="preserve">v29 EBIT — P03 KBS Warehouse Revitalisation (Cigading)</t>
  </si>
  <si>
    <t xml:space="preserve">Output_Standalone (IDR) row 216 (static copy)</t>
  </si>
  <si>
    <t xml:space="preserve">Revised EBIT — P03</t>
  </si>
  <si>
    <t xml:space="preserve">v29 EBIT — P04 Teluk Lamong Silo</t>
  </si>
  <si>
    <t xml:space="preserve">Output_Standalone (IDR) row 52 (static copy)</t>
  </si>
  <si>
    <t xml:space="preserve">Revised EBIT — P04</t>
  </si>
  <si>
    <t xml:space="preserve">v29 EBIT — P05 Dumai bagging &amp; weighbridge</t>
  </si>
  <si>
    <t xml:space="preserve">Output_Standalone (IDR) row 76 (static copy)</t>
  </si>
  <si>
    <t xml:space="preserve">Revised EBIT — P05</t>
  </si>
  <si>
    <t xml:space="preserve">v29 EBIT — P06 Ciwandan Expansion</t>
  </si>
  <si>
    <t xml:space="preserve">Output_Standalone (IDR) row 285 (static copy)</t>
  </si>
  <si>
    <t xml:space="preserve">Revised EBIT — P06</t>
  </si>
  <si>
    <t xml:space="preserve">v29 EBIT — P08 DMS trucking fee (Teluk Lamong, Cigading, Ciwandan, Belawan)</t>
  </si>
  <si>
    <t xml:space="preserve">Output_Standalone (IDR) row 515 (static copy)</t>
  </si>
  <si>
    <t xml:space="preserve">Revised EBIT — P08</t>
  </si>
  <si>
    <t xml:space="preserve">v29 EBIT — P12 BUMN operatorship schemes (Pelindo Teluk Lamong, KBS Cigading, Pelindo Belawan)</t>
  </si>
  <si>
    <t xml:space="preserve">Output_Standalone (IDR) row 193 (static copy)</t>
  </si>
  <si>
    <t xml:space="preserve">Revised EBIT — P12</t>
  </si>
  <si>
    <t xml:space="preserve">P15 TBM — Tanjung Batu / Pelindo land lease, warehousing and cargo handling: v29 standalone block is zero (excluded by v29 flag) — see the project Output sheet; v29 Calculation_FSL values were matched in the build tests.</t>
  </si>
  <si>
    <t xml:space="preserve">P19 Badas bulk terminal (FS pending — DUMMY data): not in v29 (new project template).</t>
  </si>
  <si>
    <t xml:space="preserve">C. Explanation of differences (summary)</t>
  </si>
  <si>
    <t xml:space="preserve">1) Valuation date 31-Dec-2026: does not change the statements; only the DCF window and the balances used in the equity bridge.</t>
  </si>
  <si>
    <t xml:space="preserve">2) LT loan: v29 repays 195.2 in FY2025; revised carries it to the injection date -&gt; financing cost from FY2026, tax shield at company level, loan on the balance sheet until repaid, repayment funded by the injection.</t>
  </si>
  <si>
    <t xml:space="preserve">3) Equity injection: v29 injects FY2026 (419.8) and FY2027 (160.0) = capex of those years ('Ass Oct 2025' scenario, Call Rights row 48); revised injects once, at the injection date, the requirement of the funding case.</t>
  </si>
  <si>
    <t xml:space="preserve">4) Depreciation: default method 2 depreciates each year's capex over its life from MAX(spend year, commissioning) and stops at the end of life; v29 (method 1) depreciates total capex from commissioning without end. KBS warehouse: v29 depreciates nil through a broken reference; revised depreciates the 6.02 USD m.</t>
  </si>
  <si>
    <t xml:space="preserve">5) Inventory: v29 drops the 0.52 balance to nil from FY2034 (formula break); revised holds it flat. Other assets: 198.4 of pre-2024 project spend reclassified from other assets to project fixed assets (total assets unchanged).</t>
  </si>
  <si>
    <t xml:space="preserve">6) Dividends: same rules (30% payout, reserve, cash cap) but the cash cap uses cash before the injection so dividends are not paid out of new equity; reserve test uses actual retained earnings.</t>
  </si>
  <si>
    <t xml:space="preserve">7) Working capital: identical days; allocated to projects; company totals equal v29 by construction. Corporate interest tax shield: v29 taxed each block separately (shield only where the block was profitable).</t>
  </si>
  <si>
    <t xml:space="preserve">Set Global Inputs: depreciation method = 1, injection date = 31-Dec-2025, injection mode = 2 with 12 USD m to reproduce v29's income statement through EBIT and its FY2025 repayment (equity and cash then differ only by the injection basis).</t>
  </si>
  <si>
    <t xml:space="preserve">E1 Teluk Lamong (NPLOG) cargodoring &amp; delivery — INPUT</t>
  </si>
  <si>
    <t xml:space="preserve">Teluk Lamong (NPLOG) cargodoring &amp; delivery — PT Nusantara Pelabuhan Logistik (NPLOG, Teluk Lamong, Surabaya) — 65% FSL — Existing business. IDR bn unless stated. Blue = input; black = formula; green = link.</t>
  </si>
  <si>
    <t xml:space="preserve">1. Project register (identification)</t>
  </si>
  <si>
    <t xml:space="preserve">Project ID</t>
  </si>
  <si>
    <t xml:space="preserve">E1</t>
  </si>
  <si>
    <t xml:space="preserve">Teluk Lamong (NPLOG) cargodoring &amp; delivery</t>
  </si>
  <si>
    <t xml:space="preserve">Legal entity / operator</t>
  </si>
  <si>
    <t xml:space="preserve">PT Nusantara Pelabuhan Logistik (NPLOG, Teluk Lamong, Surabaya) — 65% FSL</t>
  </si>
  <si>
    <t xml:space="preserve">v29 calculation block</t>
  </si>
  <si>
    <t xml:space="preserve">Calculation_FSL rows 18-125</t>
  </si>
  <si>
    <t xml:space="preserve">v29 input block</t>
  </si>
  <si>
    <t xml:space="preserve">Input rows 29-191</t>
  </si>
  <si>
    <t xml:space="preserve">v29 standalone P&amp;L block</t>
  </si>
  <si>
    <t xml:space="preserve">Output_Standalone (IDR) rows 18-40 (Nplog)</t>
  </si>
  <si>
    <t xml:space="preserve">v29 inclusion flag</t>
  </si>
  <si>
    <t xml:space="preserve">Output_FSL!F28 (= 1)</t>
  </si>
  <si>
    <t xml:space="preserve">2. Controls (company-level settings — edit on Global Inputs; shown here for reference)</t>
  </si>
  <si>
    <t xml:space="preserve">Included in valuation (1 = yes, 0 = no)</t>
  </si>
  <si>
    <t xml:space="preserve">link</t>
  </si>
  <si>
    <t xml:space="preserve">Global Inputs — project register</t>
  </si>
  <si>
    <t xml:space="preserve">Case membership (1 = both cases, 2 = With-BUMN case only)</t>
  </si>
  <si>
    <t xml:space="preserve">FSL economic interest</t>
  </si>
  <si>
    <t xml:space="preserve">3. Revenue drivers</t>
  </si>
  <si>
    <t xml:space="preserve">Meals — base volume FY2023</t>
  </si>
  <si>
    <t xml:space="preserve">t</t>
  </si>
  <si>
    <t xml:space="preserve">Input!J41 (Calculation_FSL!F22)</t>
  </si>
  <si>
    <t xml:space="preserve">Meals — volume growth</t>
  </si>
  <si>
    <t xml:space="preserve">Input!K36:W36 (baseline row 37)</t>
  </si>
  <si>
    <t xml:space="preserve">Meals — tariff</t>
  </si>
  <si>
    <t xml:space="preserve">IDR/t</t>
  </si>
  <si>
    <t xml:space="preserve">Input!K43:W43 (baseline row 44; steps in FY2029 and FY2032)</t>
  </si>
  <si>
    <t xml:space="preserve">Grains — base volume FY2023</t>
  </si>
  <si>
    <t xml:space="preserve">Input!J55 (Calculation_FSL!F27)</t>
  </si>
  <si>
    <t xml:space="preserve">Grains — volume growth</t>
  </si>
  <si>
    <t xml:space="preserve">Input!K50:W50 (baseline row 51)</t>
  </si>
  <si>
    <t xml:space="preserve">Grains — tariff</t>
  </si>
  <si>
    <t xml:space="preserve">Input!K57:W57 (baseline row 58)</t>
  </si>
  <si>
    <t xml:space="preserve">Additional grains volume switch (v29 Calculation_FSL!D5 = 0: TBM-linked additional volume not counted)</t>
  </si>
  <si>
    <t xml:space="preserve">Calculation_FSL!D5</t>
  </si>
  <si>
    <t xml:space="preserve">v29 multiplies the TBM cargo-handling volume by this switch (0) and by the TBM operating flag; kept at 0.</t>
  </si>
  <si>
    <t xml:space="preserve">Additional grains volume (TBM cargo-handling volume; effective only when the switch = 1)</t>
  </si>
  <si>
    <t xml:space="preserve">Input!K1172:W1172 (Calculation_FSL row 32)</t>
  </si>
  <si>
    <t xml:space="preserve">4. Cost of sales drivers</t>
  </si>
  <si>
    <t xml:space="preserve">Employee cost — base FY2023</t>
  </si>
  <si>
    <t xml:space="preserve">Calculation_FSL!F47 (typed)</t>
  </si>
  <si>
    <t xml:space="preserve">Employee cost growth</t>
  </si>
  <si>
    <t xml:space="preserve">Input!K68:W68</t>
  </si>
  <si>
    <t xml:space="preserve">Volume base for cost per ton (FY2023 throughput)</t>
  </si>
  <si>
    <t xml:space="preserve">Calculation_FSL!E52 (3,579,865.85 t)</t>
  </si>
  <si>
    <t xml:space="preserve">Cost-per-ton uplift applied by v29 to electricity, fuel and R&amp;M (x1.20)</t>
  </si>
  <si>
    <t xml:space="preserve">Calculation_FSL!F52, F58, F69 (x120%)</t>
  </si>
  <si>
    <t xml:space="preserve">Electricity — cost FY2023</t>
  </si>
  <si>
    <t xml:space="preserve">Calculation_FSL!F53</t>
  </si>
  <si>
    <t xml:space="preserve">Electricity cost growth</t>
  </si>
  <si>
    <t xml:space="preserve">Input!K75:W75</t>
  </si>
  <si>
    <t xml:space="preserve">Fuel — cost FY2023</t>
  </si>
  <si>
    <t xml:space="preserve">Calculation_FSL!F59</t>
  </si>
  <si>
    <t xml:space="preserve">Fuel cost growth</t>
  </si>
  <si>
    <t xml:space="preserve">Input!K80:W80</t>
  </si>
  <si>
    <t xml:space="preserve">Security expense — base FY2023</t>
  </si>
  <si>
    <t xml:space="preserve">Calculation_FSL!F64</t>
  </si>
  <si>
    <t xml:space="preserve">Security expense growth</t>
  </si>
  <si>
    <t xml:space="preserve">Input!K85:W85</t>
  </si>
  <si>
    <t xml:space="preserve">Repair &amp; maintenance — cost FY2023</t>
  </si>
  <si>
    <t xml:space="preserve">Calculation_FSL!F70</t>
  </si>
  <si>
    <t xml:space="preserve">Repair &amp; maintenance growth</t>
  </si>
  <si>
    <t xml:space="preserve">Input!K91:W91</t>
  </si>
  <si>
    <t xml:space="preserve">Employee overtime (variable) — cost FY2023</t>
  </si>
  <si>
    <t xml:space="preserve">Calculation_FSL!F76</t>
  </si>
  <si>
    <t xml:space="preserve">Overtime growth</t>
  </si>
  <si>
    <t xml:space="preserve">Input!K95:W95</t>
  </si>
  <si>
    <t xml:space="preserve">Insurance — % of depreciation charge</t>
  </si>
  <si>
    <t xml:space="preserve">Input!K100:W100</t>
  </si>
  <si>
    <t xml:space="preserve">Labour (variable) — cost FY2023</t>
  </si>
  <si>
    <t xml:space="preserve">Calculation_FSL!F88</t>
  </si>
  <si>
    <t xml:space="preserve">Labour growth</t>
  </si>
  <si>
    <t xml:space="preserve">Input!K105:W105</t>
  </si>
  <si>
    <t xml:space="preserve">Ops other expense (variable) — cost FY2023</t>
  </si>
  <si>
    <t xml:space="preserve">Calculation_FSL!F94</t>
  </si>
  <si>
    <t xml:space="preserve">Ops other expense growth</t>
  </si>
  <si>
    <t xml:space="preserve">Input!K110:W110</t>
  </si>
  <si>
    <t xml:space="preserve">5. Depreciation</t>
  </si>
  <si>
    <t xml:space="preserve">Depreciation of existing assets — annual charge</t>
  </si>
  <si>
    <t xml:space="preserve">Calculation_FSL!F41</t>
  </si>
  <si>
    <t xml:space="preserve">Charged for the whole forecast in v29 (no net-book-value cap) — see Checks.</t>
  </si>
  <si>
    <t xml:space="preserve">Additional depreciation on replacement / minor capex</t>
  </si>
  <si>
    <t xml:space="preserve">Input!K62:W62 (baseline row 63)</t>
  </si>
  <si>
    <t xml:space="preserve">v29 shows no corresponding capex cash flow for these additions.</t>
  </si>
  <si>
    <t xml:space="preserve">Depreciation — G&amp;A assets, base FY2023</t>
  </si>
  <si>
    <t xml:space="preserve">Input!J126</t>
  </si>
  <si>
    <t xml:space="preserve">Depreciation — G&amp;A growth</t>
  </si>
  <si>
    <t xml:space="preserve">Input!K170:W170</t>
  </si>
  <si>
    <t xml:space="preserve">6. Operating expenses (G&amp;A)</t>
  </si>
  <si>
    <t xml:space="preserve">Legal and professional fees — base FY2023</t>
  </si>
  <si>
    <t xml:space="preserve">Input!J119</t>
  </si>
  <si>
    <t xml:space="preserve">Legal and professional fees — growth</t>
  </si>
  <si>
    <t xml:space="preserve">Input!K134:W134</t>
  </si>
  <si>
    <t xml:space="preserve">Staff costs — G&amp;A — base FY2023</t>
  </si>
  <si>
    <t xml:space="preserve">Input!J120</t>
  </si>
  <si>
    <t xml:space="preserve">Staff costs — G&amp;A — growth</t>
  </si>
  <si>
    <t xml:space="preserve">Input!K134:W134 (v29 Calculation_FSL row 99 references the legal-fee growth row instead of Input!K139 = 3.5%; effective 3% kept)</t>
  </si>
  <si>
    <t xml:space="preserve">Tax fees — base FY2023</t>
  </si>
  <si>
    <t xml:space="preserve">Input!J121</t>
  </si>
  <si>
    <t xml:space="preserve">Tax fees — growth</t>
  </si>
  <si>
    <t xml:space="preserve">Input!K144:W144</t>
  </si>
  <si>
    <t xml:space="preserve">Travelling and entertainment — base FY2023</t>
  </si>
  <si>
    <t xml:space="preserve">Input!J122</t>
  </si>
  <si>
    <t xml:space="preserve">Travelling and entertainment — growth</t>
  </si>
  <si>
    <t xml:space="preserve">Input!K150:W150</t>
  </si>
  <si>
    <t xml:space="preserve">Office expenses — base FY2023</t>
  </si>
  <si>
    <t xml:space="preserve">Input!J123</t>
  </si>
  <si>
    <t xml:space="preserve">Office expenses — growth</t>
  </si>
  <si>
    <t xml:space="preserve">Input!K155:W155</t>
  </si>
  <si>
    <t xml:space="preserve">Other administrative expenses — base FY2023</t>
  </si>
  <si>
    <t xml:space="preserve">Input!J124</t>
  </si>
  <si>
    <t xml:space="preserve">Other administrative expenses — growth</t>
  </si>
  <si>
    <t xml:space="preserve">Input!K160:W160</t>
  </si>
  <si>
    <t xml:space="preserve">Rental expenses — G&amp;A — base FY2023</t>
  </si>
  <si>
    <t xml:space="preserve">Input!J125</t>
  </si>
  <si>
    <t xml:space="preserve">Rental expenses — G&amp;A — growth</t>
  </si>
  <si>
    <t xml:space="preserve">Input!K165:W165</t>
  </si>
  <si>
    <t xml:space="preserve">Communication expenses — G&amp;A — base FY2023</t>
  </si>
  <si>
    <t xml:space="preserve">Input!J127</t>
  </si>
  <si>
    <t xml:space="preserve">Communication expenses — G&amp;A — growth</t>
  </si>
  <si>
    <t xml:space="preserve">Input!K175:W175</t>
  </si>
  <si>
    <t xml:space="preserve">Security services / outsourcing — base FY2023</t>
  </si>
  <si>
    <t xml:space="preserve">Input!J128</t>
  </si>
  <si>
    <t xml:space="preserve">Security services / outsourcing — growth</t>
  </si>
  <si>
    <t xml:space="preserve">Input!K180:W180</t>
  </si>
  <si>
    <t xml:space="preserve">Donation &amp; CSR — base FY2023</t>
  </si>
  <si>
    <t xml:space="preserve">Input!J129</t>
  </si>
  <si>
    <t xml:space="preserve">Donation &amp; CSR — growth</t>
  </si>
  <si>
    <t xml:space="preserve">Input!K185:W185</t>
  </si>
  <si>
    <t xml:space="preserve">Utility expenses — base FY2023</t>
  </si>
  <si>
    <t xml:space="preserve">Input!J130</t>
  </si>
  <si>
    <t xml:space="preserve">Utility expenses — growth</t>
  </si>
  <si>
    <t xml:space="preserve">Input!K190:W190</t>
  </si>
  <si>
    <t xml:space="preserve">E1 Teluk Lamong (NPLOG) cargodoring &amp; delivery — CALCULATION</t>
  </si>
  <si>
    <t xml:space="preserve">Drivers and supporting schedules. All cells are formulas; edit assumptions on the Input sheet.</t>
  </si>
  <si>
    <t xml:space="preserve">A. Operating period</t>
  </si>
  <si>
    <t xml:space="preserve">Operating flag (1 = project operating in the year)</t>
  </si>
  <si>
    <t xml:space="preserve">C. Revenue</t>
  </si>
  <si>
    <t xml:space="preserve">Meals — volume index (1.00 in FY2023)</t>
  </si>
  <si>
    <t xml:space="preserve">index</t>
  </si>
  <si>
    <t xml:space="preserve">Meals — volume</t>
  </si>
  <si>
    <t xml:space="preserve">Meals — revenue = volume x tariff / 1e9</t>
  </si>
  <si>
    <t xml:space="preserve">Grains — volume index (1.00 in FY2023)</t>
  </si>
  <si>
    <t xml:space="preserve">Grains — volume</t>
  </si>
  <si>
    <t xml:space="preserve">Grains — revenue = volume x tariff / 1e9</t>
  </si>
  <si>
    <t xml:space="preserve">Additional grains volume (TBM-linked) x switch</t>
  </si>
  <si>
    <t xml:space="preserve">Additional grains — revenue at the grains tariff</t>
  </si>
  <si>
    <t xml:space="preserve">Total volume handled</t>
  </si>
  <si>
    <t xml:space="preserve">Total revenue</t>
  </si>
  <si>
    <t xml:space="preserve">D. Cost of sales</t>
  </si>
  <si>
    <t xml:space="preserve">Employee cost — index</t>
  </si>
  <si>
    <t xml:space="preserve">Employee cost = base x index</t>
  </si>
  <si>
    <t xml:space="preserve">Electricity — cost per ton in 2023 (base cost / base volume)</t>
  </si>
  <si>
    <t xml:space="preserve">Electricity — cost index</t>
  </si>
  <si>
    <t xml:space="preserve">Electricity — cost per ton</t>
  </si>
  <si>
    <t xml:space="preserve">Electricity = cost per ton x volume / 1e9</t>
  </si>
  <si>
    <t xml:space="preserve">Fuel — cost per ton in 2023 (base cost / base volume)</t>
  </si>
  <si>
    <t xml:space="preserve">Fuel — cost index</t>
  </si>
  <si>
    <t xml:space="preserve">Fuel — cost per ton</t>
  </si>
  <si>
    <t xml:space="preserve">Fuel = cost per ton x volume / 1e9</t>
  </si>
  <si>
    <t xml:space="preserve">Security expense — index</t>
  </si>
  <si>
    <t xml:space="preserve">Security expense = base x index</t>
  </si>
  <si>
    <t xml:space="preserve">Repair &amp; maintenance — cost per ton in 2023 (base cost / base volume)</t>
  </si>
  <si>
    <t xml:space="preserve">Repair &amp; maintenance — cost index</t>
  </si>
  <si>
    <t xml:space="preserve">Repair &amp; maintenance — cost per ton</t>
  </si>
  <si>
    <t xml:space="preserve">Repair &amp; maintenance = cost per ton x volume / 1e9</t>
  </si>
  <si>
    <t xml:space="preserve">Employee overtime (variable) — cost per ton in 2023 (base cost / base volume)</t>
  </si>
  <si>
    <t xml:space="preserve">Employee overtime (variable) — cost index</t>
  </si>
  <si>
    <t xml:space="preserve">Employee overtime (variable) — cost per ton</t>
  </si>
  <si>
    <t xml:space="preserve">Employee overtime (variable) = cost per ton x volume / 1e9</t>
  </si>
  <si>
    <t xml:space="preserve">Insurance = rate x depreciation of existing assets</t>
  </si>
  <si>
    <t xml:space="preserve">Labour (variable) — cost per ton in 2023 (base cost / base volume)</t>
  </si>
  <si>
    <t xml:space="preserve">Labour (variable) — cost index</t>
  </si>
  <si>
    <t xml:space="preserve">Labour (variable) — cost per ton</t>
  </si>
  <si>
    <t xml:space="preserve">Labour (variable) = cost per ton x volume / 1e9</t>
  </si>
  <si>
    <t xml:space="preserve">Ops other expense (variable) — cost per ton in 2023 (base cost / base volume)</t>
  </si>
  <si>
    <t xml:space="preserve">Ops other expense (variable) — cost index</t>
  </si>
  <si>
    <t xml:space="preserve">Ops other expense (variable) — cost per ton</t>
  </si>
  <si>
    <t xml:space="preserve">Ops other expense (variable) = cost per ton x volume / 1e9</t>
  </si>
  <si>
    <t xml:space="preserve">Total cost of sales (excl. depreciation)</t>
  </si>
  <si>
    <t xml:space="preserve">E. Operating expenses (G&amp;A)</t>
  </si>
  <si>
    <t xml:space="preserve">Legal and professional fees — index</t>
  </si>
  <si>
    <t xml:space="preserve">Legal and professional fees = base x index</t>
  </si>
  <si>
    <t xml:space="preserve">Staff costs — G&amp;A — index</t>
  </si>
  <si>
    <t xml:space="preserve">Staff costs — G&amp;A = base x index</t>
  </si>
  <si>
    <t xml:space="preserve">Tax fees — index</t>
  </si>
  <si>
    <t xml:space="preserve">Tax fees = base x index</t>
  </si>
  <si>
    <t xml:space="preserve">Travelling and entertainment — index</t>
  </si>
  <si>
    <t xml:space="preserve">Travelling and entertainment = base x index</t>
  </si>
  <si>
    <t xml:space="preserve">Office expenses — index</t>
  </si>
  <si>
    <t xml:space="preserve">Office expenses = base x index</t>
  </si>
  <si>
    <t xml:space="preserve">Other administrative expenses — index</t>
  </si>
  <si>
    <t xml:space="preserve">Other administrative expenses = base x index</t>
  </si>
  <si>
    <t xml:space="preserve">Rental expenses — G&amp;A — index</t>
  </si>
  <si>
    <t xml:space="preserve">Rental expenses — G&amp;A = base x index</t>
  </si>
  <si>
    <t xml:space="preserve">Communication expenses — G&amp;A — index</t>
  </si>
  <si>
    <t xml:space="preserve">Communication expenses — G&amp;A = base x index</t>
  </si>
  <si>
    <t xml:space="preserve">Security services / outsourcing — index</t>
  </si>
  <si>
    <t xml:space="preserve">Security services / outsourcing = base x index</t>
  </si>
  <si>
    <t xml:space="preserve">Donation &amp; CSR — index</t>
  </si>
  <si>
    <t xml:space="preserve">Donation &amp; CSR = base x index</t>
  </si>
  <si>
    <t xml:space="preserve">Utility expenses — index</t>
  </si>
  <si>
    <t xml:space="preserve">Utility expenses = base x index</t>
  </si>
  <si>
    <t xml:space="preserve">Total operating expenses (excl. G&amp;A depreciation)</t>
  </si>
  <si>
    <t xml:space="preserve">F. Depreciation of existing assets</t>
  </si>
  <si>
    <t xml:space="preserve">Depreciation of existing assets = annual charge x flag + additions</t>
  </si>
  <si>
    <t xml:space="preserve">Depreciation — G&amp;A assets — index</t>
  </si>
  <si>
    <t xml:space="preserve">Depreciation — G&amp;A assets = base x index</t>
  </si>
  <si>
    <t xml:space="preserve">Depreciation of existing and G&amp;A assets (excl. project capex)</t>
  </si>
  <si>
    <t xml:space="preserve">G. Capex, depreciation and fixed assets (project)</t>
  </si>
  <si>
    <t xml:space="preserve">Capex (USD m) — none in this block</t>
  </si>
  <si>
    <t xml:space="preserve">Capex (IDR bn) — none in this block</t>
  </si>
  <si>
    <t xml:space="preserve">Depreciation on project capex — none</t>
  </si>
  <si>
    <t xml:space="preserve">Net book value of project capex — none</t>
  </si>
  <si>
    <t xml:space="preserve">Total depreciation &amp; amortisation (project capex + existing assets / other)</t>
  </si>
  <si>
    <t xml:space="preserve">H. Working capital (days from Global Inputs)</t>
  </si>
  <si>
    <t xml:space="preserve">Trade receivables (revenue x AR days / days)</t>
  </si>
  <si>
    <t xml:space="preserve">2023 = allocated share of the company Dec-23 receivables (pro rata FY2024 revenue) — allocation, not source data</t>
  </si>
  <si>
    <t xml:space="preserve">Trade payables (cost of sales x AP days / days)</t>
  </si>
  <si>
    <t xml:space="preserve">Net working capital (receivables - payables)</t>
  </si>
  <si>
    <t xml:space="preserve">Increase in net working capital (cash outflow +)</t>
  </si>
  <si>
    <t xml:space="preserve">E1 Teluk Lamong (NPLOG) cargodoring &amp; delivery — OUTPUT</t>
  </si>
  <si>
    <t xml:space="preserve">Project income statement, FCFF, net operating assets, funding need and returns (unlevered, IDR bn). Linked into Project Summary, FSL Financials and Valuation.</t>
  </si>
  <si>
    <t xml:space="preserve">A. Income statement — project, unlevered (before corporate financing; tax on project EBIT)</t>
  </si>
  <si>
    <t xml:space="preserve">Tax on project EBIT (rate x MAX(0, EBIT); v29 line method — no loss relief between lines)</t>
  </si>
  <si>
    <t xml:space="preserve">Net operating profit after tax (NOPAT)</t>
  </si>
  <si>
    <t xml:space="preserve">EBIT margin</t>
  </si>
  <si>
    <t xml:space="preserve">B. Free cash flow to firm (unlevered)</t>
  </si>
  <si>
    <t xml:space="preserve">Less capex (IDR bn)</t>
  </si>
  <si>
    <t xml:space="preserve">Free cash flow to firm (FCFF)</t>
  </si>
  <si>
    <t xml:space="preserve">FCFF in the company DCF window (years after the valuation date)</t>
  </si>
  <si>
    <t xml:space="preserve">Funding need = cash shortfall to be funded by FSL (MAX(0, -FCFF))</t>
  </si>
  <si>
    <t xml:space="preserve">C. Project balance sheet — net operating assets (no project-level cash or debt: funded by FSL corporate)</t>
  </si>
  <si>
    <t xml:space="preserve">Capex in the year (USD m)</t>
  </si>
  <si>
    <t xml:space="preserve">Capex in the year (IDR bn)</t>
  </si>
  <si>
    <t xml:space="preserve">Fixed assets — project capex at net book value</t>
  </si>
  <si>
    <t xml:space="preserve">Trade payables</t>
  </si>
  <si>
    <t xml:space="preserve">Net operating assets funded by FSL</t>
  </si>
  <si>
    <t xml:space="preserve">Existing fixed assets of this business are held at company level (Dec-23 net book value not allocated by business in v29); their depreciation is charged in this project's P&amp;L.</t>
  </si>
  <si>
    <t xml:space="preserve">D. Investment returns</t>
  </si>
  <si>
    <t xml:space="preserve">Payback helper: payback already reached in an earlier year (1/0)</t>
  </si>
  <si>
    <t xml:space="preserve">Payback helper: first year in which cumulative FCFF turns non-negative after being negative (1/0)</t>
  </si>
  <si>
    <t xml:space="preserve">Terminal value at end-2036 (Gordon growth on FY2036 FCFF at WACC and g from Global Inputs) — in 2036 column</t>
  </si>
  <si>
    <t xml:space="preserve">FCFF incl. terminal value</t>
  </si>
  <si>
    <t xml:space="preserve">Present value at the valuation date of FCFF incl. terminal value (years after the valuation date only)</t>
  </si>
  <si>
    <t xml:space="preserve">Value at the valuation date (31-Dec-2026): PV of FY2027+ FCFF incl. terminal value, at WACC</t>
  </si>
  <si>
    <t xml:space="preserve">  of which PV of FY2027-FY2036 FCFF (excl. terminal value)</t>
  </si>
  <si>
    <t xml:space="preserve">Full-life project IRR incl. terminal value</t>
  </si>
  <si>
    <t xml:space="preserve">Equity IRR</t>
  </si>
  <si>
    <t xml:space="preserve">Payback year (cumulative FCFF turns positive)</t>
  </si>
  <si>
    <t xml:space="preserve">First year of capex spend (2023 = pre-2024)</t>
  </si>
  <si>
    <t xml:space="preserve">Total capex (USD m) / of which after the valuation date</t>
  </si>
  <si>
    <t xml:space="preserve">Capex after the valuation date (USD m)</t>
  </si>
  <si>
    <t xml:space="preserve">E. Case inclusion (drives the company statements and valuations)</t>
  </si>
  <si>
    <t xml:space="preserve">Included in the Without-BUMN case (1/0)</t>
  </si>
  <si>
    <t xml:space="preserve">Included in the With-BUMN case (1/0)</t>
  </si>
  <si>
    <t xml:space="preserve">E2 Cigading Existing Terminal (SGT 2) — INPUT</t>
  </si>
  <si>
    <t xml:space="preserve">Cigading Existing Terminal (SGT 2) — PT Sentral Grain Terminal (SGT, Cigading) — Existing business. IDR bn unless stated. Blue = input; black = formula; green = link.</t>
  </si>
  <si>
    <t xml:space="preserve">E2</t>
  </si>
  <si>
    <t xml:space="preserve">Cigading Existing Terminal (SGT 2)</t>
  </si>
  <si>
    <t xml:space="preserve">PT Sentral Grain Terminal (SGT, Cigading)</t>
  </si>
  <si>
    <t xml:space="preserve">Calculation_FSL rows 252-353</t>
  </si>
  <si>
    <t xml:space="preserve">Input rows 195-392</t>
  </si>
  <si>
    <t xml:space="preserve">Output_Standalone (IDR) rows 113-135</t>
  </si>
  <si>
    <t xml:space="preserve">Output_FSL!F31 (= 1)</t>
  </si>
  <si>
    <t xml:space="preserve">Base volume FY2023 (grains &amp; meals)</t>
  </si>
  <si>
    <t xml:space="preserve">Calculation_FSL!F256 (typed 1,100,000; Input!J209 = 1,990,025 is multiplied by 0 and not used)</t>
  </si>
  <si>
    <t xml:space="preserve">v29 overrides the input sheet with a typed 1.1 m t; kept as the effective v29 assumption.</t>
  </si>
  <si>
    <t xml:space="preserve">Volume growth</t>
  </si>
  <si>
    <t xml:space="preserve">Input!K204:W204 (baseline row 205)</t>
  </si>
  <si>
    <t xml:space="preserve">Tariff FY2024</t>
  </si>
  <si>
    <t xml:space="preserve">Calculation_FSL!J259 = Input!L211 (34,120) x 1.03</t>
  </si>
  <si>
    <t xml:space="preserve">From FY2025 v29 applies the Wharf 2 tariff to the existing terminal (Calculation_FSL!K259:V259 = row 362); linked to P01 in the calc sheet.</t>
  </si>
  <si>
    <t xml:space="preserve">Input!J231</t>
  </si>
  <si>
    <t xml:space="preserve">Input!K226:W226</t>
  </si>
  <si>
    <t xml:space="preserve">Calculation_FSL!E277 (1,990,024.66 t)</t>
  </si>
  <si>
    <t xml:space="preserve">Input!J239 / Calculation_FSL!F278</t>
  </si>
  <si>
    <t xml:space="preserve">Input!K234:W234</t>
  </si>
  <si>
    <t xml:space="preserve">Input!J255</t>
  </si>
  <si>
    <t xml:space="preserve">Input!K250:W250</t>
  </si>
  <si>
    <t xml:space="preserve">Input!J263 / Calculation_FSL!F289</t>
  </si>
  <si>
    <t xml:space="preserve">Input!K258:W258</t>
  </si>
  <si>
    <t xml:space="preserve">Input!K274:W274</t>
  </si>
  <si>
    <t xml:space="preserve">Heavy-equipment rental (solar) — cost FY2023</t>
  </si>
  <si>
    <t xml:space="preserve">Input!J271 / Calculation_FSL!F300</t>
  </si>
  <si>
    <t xml:space="preserve">Heavy-equipment rental growth</t>
  </si>
  <si>
    <t xml:space="preserve">Input!K266:W266</t>
  </si>
  <si>
    <t xml:space="preserve">Input!J288 / Calculation_FSL!F306</t>
  </si>
  <si>
    <t xml:space="preserve">Input!K283:W283</t>
  </si>
  <si>
    <t xml:space="preserve">Input!J296 / Calculation_FSL!F312</t>
  </si>
  <si>
    <t xml:space="preserve">Input!K291:W291</t>
  </si>
  <si>
    <t xml:space="preserve">Input!J303 / Calculation_FSL!F318</t>
  </si>
  <si>
    <t xml:space="preserve">Input!K298:W298</t>
  </si>
  <si>
    <t xml:space="preserve">Pest control (fixed) — base FY2023</t>
  </si>
  <si>
    <t xml:space="preserve">Input!J311</t>
  </si>
  <si>
    <t xml:space="preserve">Pest control growth</t>
  </si>
  <si>
    <t xml:space="preserve">Input!K306:W306</t>
  </si>
  <si>
    <t xml:space="preserve">Input!J223 / Calculation_FSL!F266</t>
  </si>
  <si>
    <t xml:space="preserve">Input!K218:W218 (baseline row 219)</t>
  </si>
  <si>
    <t xml:space="preserve">Input!J324</t>
  </si>
  <si>
    <t xml:space="preserve">Input!K363:W363</t>
  </si>
  <si>
    <t xml:space="preserve">Input!J318</t>
  </si>
  <si>
    <t xml:space="preserve">Input!K332:W332</t>
  </si>
  <si>
    <t xml:space="preserve">Input!J319</t>
  </si>
  <si>
    <t xml:space="preserve">Input!K337:W337</t>
  </si>
  <si>
    <t xml:space="preserve">Input!J320</t>
  </si>
  <si>
    <t xml:space="preserve">Input!K342:W342</t>
  </si>
  <si>
    <t xml:space="preserve">Input!J321</t>
  </si>
  <si>
    <t xml:space="preserve">Input!K348:W348</t>
  </si>
  <si>
    <t xml:space="preserve">Input!J322</t>
  </si>
  <si>
    <t xml:space="preserve">Input!K353:W353</t>
  </si>
  <si>
    <t xml:space="preserve">Input!J323</t>
  </si>
  <si>
    <t xml:space="preserve">Input!K358:W358</t>
  </si>
  <si>
    <t xml:space="preserve">Input!J325</t>
  </si>
  <si>
    <t xml:space="preserve">Input!K368:W368</t>
  </si>
  <si>
    <t xml:space="preserve">Input!J326</t>
  </si>
  <si>
    <t xml:space="preserve">Input!K373:W373</t>
  </si>
  <si>
    <t xml:space="preserve">Input!J327</t>
  </si>
  <si>
    <t xml:space="preserve">Input!K378:W378</t>
  </si>
  <si>
    <t xml:space="preserve">Input!J328</t>
  </si>
  <si>
    <t xml:space="preserve">Input!K383:W383</t>
  </si>
  <si>
    <t xml:space="preserve">E2 Cigading Existing Terminal (SGT 2) — CALCULATION</t>
  </si>
  <si>
    <t xml:space="preserve">Volume index (1.00 in FY2023)</t>
  </si>
  <si>
    <t xml:space="preserve">Volume handled (grains &amp; meals)</t>
  </si>
  <si>
    <t xml:space="preserve">Tariff (FY2024 own tariff; FY2025+ = Wharf 2 tariff, as in v29)</t>
  </si>
  <si>
    <t xml:space="preserve">v29 Calculation_FSL!K259:V259 link to the Wharf 2 tariff row 362</t>
  </si>
  <si>
    <t xml:space="preserve">Revenue = volume x tariff / 1e9</t>
  </si>
  <si>
    <t xml:space="preserve">Heavy-equipment rental — cost per ton in 2023 (base cost / base volume)</t>
  </si>
  <si>
    <t xml:space="preserve">Heavy-equipment rental — cost index</t>
  </si>
  <si>
    <t xml:space="preserve">Heavy-equipment rental — cost per ton</t>
  </si>
  <si>
    <t xml:space="preserve">Heavy-equipment rental = cost per ton x volume / 1e9</t>
  </si>
  <si>
    <t xml:space="preserve">Pest control (fixed) — index</t>
  </si>
  <si>
    <t xml:space="preserve">Pest control (fixed) = base x index</t>
  </si>
  <si>
    <t xml:space="preserve">E2 Cigading Existing Terminal (SGT 2) — OUTPUT</t>
  </si>
  <si>
    <t xml:space="preserve">E3 Belawan terminal (SGT3) incl. Belawan expansion — INPUT</t>
  </si>
  <si>
    <t xml:space="preserve">Belawan terminal (SGT3) incl. Belawan expansion — PT Sentral Grain Terminal (SGT3, Belawan) — Existing business. IDR bn unless stated. Blue = input; black = formula; green = link.</t>
  </si>
  <si>
    <t xml:space="preserve">E3</t>
  </si>
  <si>
    <t xml:space="preserve">Belawan terminal (SGT3) incl. Belawan expansion</t>
  </si>
  <si>
    <t xml:space="preserve">PT Sentral Grain Terminal (SGT3, Belawan)</t>
  </si>
  <si>
    <t xml:space="preserve">Calculation_FSL rows 580-695</t>
  </si>
  <si>
    <t xml:space="preserve">Input rows 529-693</t>
  </si>
  <si>
    <t xml:space="preserve">Output_Standalone (IDR) rows 321-342</t>
  </si>
  <si>
    <t xml:space="preserve">Output_FSL!F37 (= 1)</t>
  </si>
  <si>
    <t xml:space="preserve">Base volume FY2023 — existing terminal</t>
  </si>
  <si>
    <t xml:space="preserve">Input!J537 (= Input!K537; Calculation_FSL!F586)</t>
  </si>
  <si>
    <t xml:space="preserve">Input!L537 (922,782 t, the FY2023 throughput used for cost per ton) is the second, unselected column of the INDEX.</t>
  </si>
  <si>
    <t xml:space="preserve">Volume growth — existing terminal</t>
  </si>
  <si>
    <t xml:space="preserve">Input!K532:W532 (baseline row 533)</t>
  </si>
  <si>
    <t xml:space="preserve">Additional volume — Belawan expansion (SGT3)</t>
  </si>
  <si>
    <t xml:space="preserve">Calculation_FSL!J587:V587 = Calculation_SOEs!J450:V450 (typed 200,000 in M450, +50,000 p.a. to T450)</t>
  </si>
  <si>
    <t xml:space="preserve">v29 source issue: Calculation_SOEs!U450:V450 (FY2035-36) are empty cells, so the expansion volume drops to nil in FY2035-36; reproduced as 0.</t>
  </si>
  <si>
    <t xml:space="preserve">Tariff (ASP)</t>
  </si>
  <si>
    <t xml:space="preserve">Input!K539:W539 (baseline row 540; 29,658 FY2024-25, 43,947.5 FY2026-27, then +3% p.a.)</t>
  </si>
  <si>
    <t xml:space="preserve">Employee cost (ops) — base FY2023</t>
  </si>
  <si>
    <t xml:space="preserve">Input!J568 (Calculation_FSL!F613)</t>
  </si>
  <si>
    <t xml:space="preserve">Input!K563:W563</t>
  </si>
  <si>
    <t xml:space="preserve">Input!J575 (Calculation_FSL!F618)</t>
  </si>
  <si>
    <t xml:space="preserve">Input!K570:W570</t>
  </si>
  <si>
    <t xml:space="preserve">Calculation_FSL!E623 (= E629, E641, E647, E653, E670; typed 922,782 t)</t>
  </si>
  <si>
    <t xml:space="preserve">Input!J582 (Calculation_FSL!F624)</t>
  </si>
  <si>
    <t xml:space="preserve">Input!K577:W577</t>
  </si>
  <si>
    <t xml:space="preserve">Utilities — cost FY2023</t>
  </si>
  <si>
    <t xml:space="preserve">Input!J589 (Calculation_FSL!F630)</t>
  </si>
  <si>
    <t xml:space="preserve">Utilities cost growth</t>
  </si>
  <si>
    <t xml:space="preserve">Input!K584:W584</t>
  </si>
  <si>
    <t xml:space="preserve">Concession fee — % of revenue</t>
  </si>
  <si>
    <t xml:space="preserve">Calculation_FSL!J636:V636 = Input!K591:W591 (baseline row 592)</t>
  </si>
  <si>
    <t xml:space="preserve">Input!J596 = 0.5514 IDR bn is the FY2023 actual concession fee (~2.5% of FY2023 revenue of 22.24 bn); v29 row 637 applies the 2.5% of Input!K591:W591 directly to revenue; Calculation_FSL!F636 (labelled '% to Revenue' but holding that IDR bn amount) and the index row 634 are unused.</t>
  </si>
  <si>
    <t xml:space="preserve">Input!J603 (Calculation_FSL!F642)</t>
  </si>
  <si>
    <t xml:space="preserve">Input!K598:W598</t>
  </si>
  <si>
    <t xml:space="preserve">Input!J610 (Calculation_FSL!F648)</t>
  </si>
  <si>
    <t xml:space="preserve">Input!K605:W605</t>
  </si>
  <si>
    <t xml:space="preserve">Input!J617 (Calculation_FSL!F654)</t>
  </si>
  <si>
    <t xml:space="preserve">Input!K612:W612</t>
  </si>
  <si>
    <t xml:space="preserve">Insurance on existing assets — % of existing depreciation charge</t>
  </si>
  <si>
    <t xml:space="preserve">Calculation_FSL!J658:L658 (typed 1.0919279% FY2024-26); M658:V658 = Input!N619:W619 (0.2%)</t>
  </si>
  <si>
    <t xml:space="preserve">The typed FY2024-26 rate overrides the input sheet (Input!K619:M619 = 0, 0, 0.2%); from FY2027 the existing depreciation is nil so the rate has no effect.</t>
  </si>
  <si>
    <t xml:space="preserve">Insurance on new assets — % of total capex p.a.</t>
  </si>
  <si>
    <t xml:space="preserve">Input!K619:W619 (baseline row 620; Calculation_FSL!J665:V665)</t>
  </si>
  <si>
    <t xml:space="preserve">Applied to the full 14.0246 USD m capex (Calculation_FSL!F664 = F605) from FY2026; the rate row is nil in FY2024-25 (no operating flag in the v29 formula).</t>
  </si>
  <si>
    <t xml:space="preserve">Input!J631 (Calculation_FSL!F671)</t>
  </si>
  <si>
    <t xml:space="preserve">Input!K626:W626</t>
  </si>
  <si>
    <t xml:space="preserve">Input!K546:W546 (baseline row 547; Calculation_FSL!J595:V595)</t>
  </si>
  <si>
    <t xml:space="preserve">Existing Belawan assets are fully depreciated by FY2026 in v29 (5.23, 5.23, 2.62, then nil).</t>
  </si>
  <si>
    <t xml:space="preserve">Calculation_FSL!J596:V596 = Input!K437:W437</t>
  </si>
  <si>
    <t xml:space="preserve">v29 source issue: Input!K437:W437 are EMPTY cells (inside the Cigading conveyor input block, between rows 436 and 438), so the 'Addition' line is nil; the base cell Calculation_FSL!F595 = Input!J442 is likewise empty and unused. Reproduced as 0.</t>
  </si>
  <si>
    <t xml:space="preserve">Input!J637</t>
  </si>
  <si>
    <t xml:space="preserve">Input!K649:W649</t>
  </si>
  <si>
    <t xml:space="preserve">Input!J638</t>
  </si>
  <si>
    <t xml:space="preserve">Input!K654:W654</t>
  </si>
  <si>
    <t xml:space="preserve">Input!J639</t>
  </si>
  <si>
    <t xml:space="preserve">Input!K659:W659</t>
  </si>
  <si>
    <t xml:space="preserve">Input!J640</t>
  </si>
  <si>
    <t xml:space="preserve">Input!K665:W665</t>
  </si>
  <si>
    <t xml:space="preserve">Input!J641</t>
  </si>
  <si>
    <t xml:space="preserve">Input!K670:W670</t>
  </si>
  <si>
    <t xml:space="preserve">Input!J642</t>
  </si>
  <si>
    <t xml:space="preserve">Input!K675:W675</t>
  </si>
  <si>
    <t xml:space="preserve">Input!J643</t>
  </si>
  <si>
    <t xml:space="preserve">Input!K680:W680</t>
  </si>
  <si>
    <t xml:space="preserve">Input!J644</t>
  </si>
  <si>
    <t xml:space="preserve">Input!K685:W685</t>
  </si>
  <si>
    <t xml:space="preserve">Audit fees — base FY2023</t>
  </si>
  <si>
    <t xml:space="preserve">Input!J645</t>
  </si>
  <si>
    <t xml:space="preserve">Audit fees — growth</t>
  </si>
  <si>
    <t xml:space="preserve">Input!K690:W690</t>
  </si>
  <si>
    <t xml:space="preserve">7. Capex allocation — percentages apply to TOTAL project capex (USD m); pre-2024 column = spend before FY2024 (sunk)</t>
  </si>
  <si>
    <t xml:space="preserve">Total project capex (lifetime investment)</t>
  </si>
  <si>
    <t xml:space="preserve">Input!M551:N551 (7.02459 FY2026 + 7.0 FY2027; M552 = 7 + Input!K1276 legal-fee allocation); Calculation_FSL!F600 = SUM(Input!K551:O551); Calculation_FSL row 1480</t>
  </si>
  <si>
    <t xml:space="preserve">Belawan expansion (SGT3) capex; the business itself is existing (operating flag = forecast flag) while depreciation of the new assets starts in the capex commissioning year 2026. Percentages apply to total capex.</t>
  </si>
  <si>
    <t xml:space="preserve">Annual spending % of total capex (2023 column = pre-2024 spend)</t>
  </si>
  <si>
    <t xml:space="preserve">v29 timing: Input!M551 (FY2026), N551 (FY2027); Calculation_FSL!L1480:M1480</t>
  </si>
  <si>
    <t xml:space="preserve">Move spend between years by editing these percentages; the row must add to 100%. Columns up to the valuation year are pre-valuation estimates unless confirmed below.</t>
  </si>
  <si>
    <t xml:space="preserve">Annual capex (USD m) = total x %</t>
  </si>
  <si>
    <t xml:space="preserve">Exchange rate applied (Global Inputs)</t>
  </si>
  <si>
    <t xml:space="preserve">Annual capex (IDR bn) = USD m x FX / 1,000</t>
  </si>
  <si>
    <t xml:space="preserve">Spent up to the valuation date (pre-2024 + FY2024 to valuation year) — estimate unless confirmed</t>
  </si>
  <si>
    <t xml:space="preserve">Remaining spend after the valuation date (enters the FY2027+ DCF)</t>
  </si>
  <si>
    <t xml:space="preserve">Unallocated (total - allocated); must be nil</t>
  </si>
  <si>
    <t xml:space="preserve">Allocation check (percentages add to 100%)</t>
  </si>
  <si>
    <t xml:space="preserve">Commissioning year of the capex (depreciation starts; may differ from the business start year)</t>
  </si>
  <si>
    <t xml:space="preserve">Calculation_FSL!F582 (Operation Period 2026); rows 602/607 also multiply by the Wharf 2 operating period row 357 (1 from 2025) — effective start FY2026</t>
  </si>
  <si>
    <t xml:space="preserve">Historical / pre-valuation spend confirmed from actuals? (1 = confirmed, 0 = v29 projection / unconfirmed estimate)</t>
  </si>
  <si>
    <t xml:space="preserve">User confirmation required</t>
  </si>
  <si>
    <t xml:space="preserve">Pre-valuation capex is carried at v29 projected timing; actual spend to date has not been supplied.</t>
  </si>
  <si>
    <t xml:space="preserve">Building / civil share of capex (balance = equipment)</t>
  </si>
  <si>
    <t xml:space="preserve">Input!J556 (= K556; equipment Input!J557 = 100% - K556)</t>
  </si>
  <si>
    <t xml:space="preserve">Useful life — building / civil assets</t>
  </si>
  <si>
    <t xml:space="preserve">Input!J559:J560 (= K559:K560)</t>
  </si>
  <si>
    <t xml:space="preserve">Useful life — equipment</t>
  </si>
  <si>
    <t xml:space="preserve">E3 Belawan terminal (SGT3) incl. Belawan expansion — CALCULATION</t>
  </si>
  <si>
    <t xml:space="preserve">Volume index — existing terminal (1.00 in FY2023)</t>
  </si>
  <si>
    <t xml:space="preserve">Volume — existing terminal = base x index</t>
  </si>
  <si>
    <t xml:space="preserve">Volume — Belawan expansion (additional)</t>
  </si>
  <si>
    <t xml:space="preserve">Total volume handled (existing + expansion)</t>
  </si>
  <si>
    <t xml:space="preserve">Revenue = total volume x tariff / 1e9</t>
  </si>
  <si>
    <t xml:space="preserve">Employee cost (ops) — index</t>
  </si>
  <si>
    <t xml:space="preserve">Employee cost (ops) = base x index</t>
  </si>
  <si>
    <t xml:space="preserve">Utilities — cost per ton in 2023 (base cost / base volume)</t>
  </si>
  <si>
    <t xml:space="preserve">Utilities — cost index</t>
  </si>
  <si>
    <t xml:space="preserve">Utilities — cost per ton</t>
  </si>
  <si>
    <t xml:space="preserve">Utilities = cost per ton x volume / 1e9</t>
  </si>
  <si>
    <t xml:space="preserve">Concession fee = revenue x %</t>
  </si>
  <si>
    <t xml:space="preserve">Insurance on existing assets = rate x depreciation of existing assets</t>
  </si>
  <si>
    <t xml:space="preserve">Insurance on new assets = total capex (IDR bn) x rate</t>
  </si>
  <si>
    <t xml:space="preserve">v29 Calculation_FSL row 666: 14.0246 USD m x USD_IDR x Input!K619:W619 (0.2% from FY2026)</t>
  </si>
  <si>
    <t xml:space="preserve">Audit fees — index</t>
  </si>
  <si>
    <t xml:space="preserve">Audit fees = base x index</t>
  </si>
  <si>
    <t xml:space="preserve">Total operating expenses</t>
  </si>
  <si>
    <t xml:space="preserve">Depreciation of existing assets (excl. project capex — see capex module below)</t>
  </si>
  <si>
    <t xml:space="preserve">Capex (USD m) — from Input allocation</t>
  </si>
  <si>
    <t xml:space="preserve">Exchange rate (IDR/USD)</t>
  </si>
  <si>
    <t xml:space="preserve">Cumulative capex (IDR bn)</t>
  </si>
  <si>
    <t xml:space="preserve">Capex in service flag (1 from the capex commissioning year)</t>
  </si>
  <si>
    <t xml:space="preserve">Depreciation start year of the year's spend = MAX(spend year, capex commissioning year)</t>
  </si>
  <si>
    <t xml:space="preserve">Depreciation — building / civil</t>
  </si>
  <si>
    <t xml:space="preserve">Method 1 (v29): total capex x share / life from commissioning, no end. Method 2: each year's spend over its life from MAX(spend year, commissioning).</t>
  </si>
  <si>
    <t xml:space="preserve">Depreciation — equipment</t>
  </si>
  <si>
    <t xml:space="preserve">Depreciation on project capex</t>
  </si>
  <si>
    <t xml:space="preserve">Net book value of project capex (opening = pre-2024 spend)</t>
  </si>
  <si>
    <t xml:space="preserve">Helper: first year with capex spend (1/0)</t>
  </si>
  <si>
    <t xml:space="preserve">E3 Belawan terminal (SGT3) incl. Belawan expansion — OUTPUT</t>
  </si>
  <si>
    <t xml:space="preserve">E4 WIN stevedoring (Cilegon, Makassar, Surabaya, Medan) — INPUT</t>
  </si>
  <si>
    <t xml:space="preserve">WIN stevedoring (Cilegon, Makassar, Surabaya, Medan) — PT Wahana Insan Nusantara (WIN) — stevedoring at Cilegon, Makassar, Surabaya and Medan — Existing business. IDR bn unless stated. Blue = input; black = formula; green = link.</t>
  </si>
  <si>
    <t xml:space="preserve">E4</t>
  </si>
  <si>
    <t xml:space="preserve">WIN stevedoring (Cilegon, Makassar, Surabaya, Medan)</t>
  </si>
  <si>
    <t xml:space="preserve">PT Wahana Insan Nusantara (WIN) — stevedoring at Cilegon, Makassar, Surabaya and Medan</t>
  </si>
  <si>
    <t xml:space="preserve">Calculation_FSL rows 729-1087 (Cilegon 729-843, Makassar 846-921, Surabaya 924-999, Medan 1001-1087)</t>
  </si>
  <si>
    <t xml:space="preserve">Input rows 695-1126</t>
  </si>
  <si>
    <t xml:space="preserve">Output_Standalone (IDR) rows 459-480 (combined; site blocks 367-457)</t>
  </si>
  <si>
    <t xml:space="preserve">Output_FSL!F39 (= 1)</t>
  </si>
  <si>
    <t xml:space="preserve">3. Cilegon — revenue</t>
  </si>
  <si>
    <t xml:space="preserve">Cilegon — Corn: base volume (FY2023)</t>
  </si>
  <si>
    <t xml:space="preserve">Input!J704 (= K704)</t>
  </si>
  <si>
    <t xml:space="preserve">Cilegon — Corn: volume growth</t>
  </si>
  <si>
    <t xml:space="preserve">Input!K699:W699 (baseline row 700)</t>
  </si>
  <si>
    <t xml:space="preserve">Cilegon — Corn: stevedoring tariff (ASP)</t>
  </si>
  <si>
    <t xml:space="preserve">Input!K706:W706 (baseline row 707)</t>
  </si>
  <si>
    <t xml:space="preserve">Cilegon — Soybean meal (SBM): base volume (FY2023)</t>
  </si>
  <si>
    <t xml:space="preserve">Input!J717 (= K717)</t>
  </si>
  <si>
    <t xml:space="preserve">Cilegon — Soybean meal (SBM): volume growth</t>
  </si>
  <si>
    <t xml:space="preserve">Input!K712:W712 (baseline row 713 = row 699)</t>
  </si>
  <si>
    <t xml:space="preserve">Cilegon — Soybean meal (SBM): stevedoring tariff (ASP)</t>
  </si>
  <si>
    <t xml:space="preserve">Input!K719:W719 (baseline row 720)</t>
  </si>
  <si>
    <t xml:space="preserve">Cilegon — Soybean: base volume (FY2023)</t>
  </si>
  <si>
    <t xml:space="preserve">Input!J730 (= K730)</t>
  </si>
  <si>
    <t xml:space="preserve">Cilegon — Soybean: volume growth</t>
  </si>
  <si>
    <t xml:space="preserve">Input!K725:W725 (baseline row 726 = row 712)</t>
  </si>
  <si>
    <t xml:space="preserve">Cilegon — Soybean: stevedoring tariff (ASP)</t>
  </si>
  <si>
    <t xml:space="preserve">Input!K732:W732 (baseline row 733)</t>
  </si>
  <si>
    <t xml:space="preserve">Cilegon — Sugar: base volume (FY2023)</t>
  </si>
  <si>
    <t xml:space="preserve">Input!J743 (= K743)</t>
  </si>
  <si>
    <t xml:space="preserve">Cilegon — Sugar: volume growth</t>
  </si>
  <si>
    <t xml:space="preserve">Input!K738:W738 (baseline row 739 = row 725)</t>
  </si>
  <si>
    <t xml:space="preserve">Cilegon — Sugar: stevedoring tariff (ASP)</t>
  </si>
  <si>
    <t xml:space="preserve">Input!K745:W745 (baseline row 746; FY2025 typed 35,926.4)</t>
  </si>
  <si>
    <t xml:space="preserve">Cilegon — Wheat: base volume (FY2023)</t>
  </si>
  <si>
    <t xml:space="preserve">Input!J756 (= K756)</t>
  </si>
  <si>
    <t xml:space="preserve">Cilegon — Wheat: volume growth</t>
  </si>
  <si>
    <t xml:space="preserve">Input!K751:W751 (baseline row 752 = row 738)</t>
  </si>
  <si>
    <t xml:space="preserve">Cilegon — Wheat: stevedoring tariff (ASP)</t>
  </si>
  <si>
    <t xml:space="preserve">Input!K758:W758 (baseline row 759)</t>
  </si>
  <si>
    <t xml:space="preserve">4. Makassar — revenue</t>
  </si>
  <si>
    <t xml:space="preserve">Makassar — Sugar: base volume (FY2023)</t>
  </si>
  <si>
    <t xml:space="preserve">Input!J849 (= K849)</t>
  </si>
  <si>
    <t xml:space="preserve">Makassar — Sugar: volume growth</t>
  </si>
  <si>
    <t xml:space="preserve">Input!K844:W844 (baseline row 845; empty in FY2024 -&gt; 0%)</t>
  </si>
  <si>
    <t xml:space="preserve">Makassar — Sugar: stevedoring tariff (ASP)</t>
  </si>
  <si>
    <t xml:space="preserve">Calculation_FSL!J853:S853 = Input!K852:T852 (baseline row); T853:V853 = Input!U810:W810 (EMPTY) -&gt; 0 in FY2034-36</t>
  </si>
  <si>
    <t xml:space="preserve">v29 source issue: Calculation_FSL!T853:V853 (FY2034-36) reference the EMPTY cells Input!U810:W810 instead of Input!U852:W852 (41,752.7 IDR/t), so Makassar sugar revenue is nil in FY2034-36. Reproduced with a 0 tariff; Input!U852:W852 hold 41,752.74.</t>
  </si>
  <si>
    <t xml:space="preserve">Makassar — Wheat: base volume (FY2023)</t>
  </si>
  <si>
    <t xml:space="preserve">Input!J862 (= K862)</t>
  </si>
  <si>
    <t xml:space="preserve">Makassar — Wheat: volume growth</t>
  </si>
  <si>
    <t xml:space="preserve">Input!K857:W857 (baseline row 858 = row 844)</t>
  </si>
  <si>
    <t xml:space="preserve">Makassar — Wheat: stevedoring tariff (ASP)</t>
  </si>
  <si>
    <t xml:space="preserve">Input!K864:W864 (baseline row 865)</t>
  </si>
  <si>
    <t xml:space="preserve">5. Surabaya — revenue</t>
  </si>
  <si>
    <t xml:space="preserve">Surabaya — Soybean meal (SBM): base volume (FY2023)</t>
  </si>
  <si>
    <t xml:space="preserve">Input!J940 (= K940)</t>
  </si>
  <si>
    <t xml:space="preserve">Surabaya — Soybean meal (SBM): volume growth</t>
  </si>
  <si>
    <t xml:space="preserve">Input!K935:W935 (baseline row 936; empty in FY2024 -&gt; 0%)</t>
  </si>
  <si>
    <t xml:space="preserve">Surabaya — Soybean meal (SBM): stevedoring tariff (ASP)</t>
  </si>
  <si>
    <t xml:space="preserve">Input!K942:W942 (baseline row 943)</t>
  </si>
  <si>
    <t xml:space="preserve">Surabaya — Soybean: base volume (FY2023)</t>
  </si>
  <si>
    <t xml:space="preserve">Input!J953 (= K953)</t>
  </si>
  <si>
    <t xml:space="preserve">Surabaya — Soybean: volume growth</t>
  </si>
  <si>
    <t xml:space="preserve">Input!K948:W948 (baseline row 949 = row 935)</t>
  </si>
  <si>
    <t xml:space="preserve">Surabaya — Soybean: stevedoring tariff (ASP)</t>
  </si>
  <si>
    <t xml:space="preserve">Input!K955:W955 (baseline row 956)</t>
  </si>
  <si>
    <t xml:space="preserve">6. Medan — revenue</t>
  </si>
  <si>
    <t xml:space="preserve">Medan — operation period start (site operating flag)</t>
  </si>
  <si>
    <t xml:space="preserve">Calculation_FSL!F1003</t>
  </si>
  <si>
    <t xml:space="preserve">v29 multiplies the Medan corn volume by this operation-period flag (row 1003); SBM and wheat run from FY2024 regardless.</t>
  </si>
  <si>
    <t xml:space="preserve">Medan — Corn: first year of volume</t>
  </si>
  <si>
    <t xml:space="preserve">Calculation_FSL!F1006</t>
  </si>
  <si>
    <t xml:space="preserve">Volume index = 0 before this year, 1 in this year, then grown; v29 cites the FY2026 column of the Input volume row.</t>
  </si>
  <si>
    <t xml:space="preserve">Medan — Corn: base volume (first operating year)</t>
  </si>
  <si>
    <t xml:space="preserve">Input!M1021 (Calculation_FSL!F1007; FY2026 column)</t>
  </si>
  <si>
    <t xml:space="preserve">Medan — Corn: volume growth</t>
  </si>
  <si>
    <t xml:space="preserve">Input!K1016:W1016 (baseline row 1017)</t>
  </si>
  <si>
    <t xml:space="preserve">Medan — Corn: stevedoring tariff (ASP)</t>
  </si>
  <si>
    <t xml:space="preserve">Input!K1023:W1023 (baseline row 1024; empty before FY2026)</t>
  </si>
  <si>
    <t xml:space="preserve">Empty in v29 before the first operating year (shown as 0).</t>
  </si>
  <si>
    <t xml:space="preserve">Medan — Soybean meal (SBM): base volume (FY2023)</t>
  </si>
  <si>
    <t xml:space="preserve">Input!K1034 (Calculation_FSL!F1012)</t>
  </si>
  <si>
    <t xml:space="preserve">Medan — Soybean meal (SBM): volume growth</t>
  </si>
  <si>
    <t xml:space="preserve">Input!K1029:W1029 (baseline row 1030 = row 1016)</t>
  </si>
  <si>
    <t xml:space="preserve">Medan — Soybean meal (SBM): stevedoring tariff (ASP)</t>
  </si>
  <si>
    <t xml:space="preserve">Input!K1036:W1036 (baseline row 1037)</t>
  </si>
  <si>
    <t xml:space="preserve">Medan — Soybean: first year of volume</t>
  </si>
  <si>
    <t xml:space="preserve">Calculation_FSL!F1016</t>
  </si>
  <si>
    <t xml:space="preserve">Medan — Soybean: base volume (first operating year)</t>
  </si>
  <si>
    <t xml:space="preserve">Input!M1047 (Calculation_FSL!F1017; FY2026 column)</t>
  </si>
  <si>
    <t xml:space="preserve">Medan — Soybean: volume growth</t>
  </si>
  <si>
    <t xml:space="preserve">Input!K1042:W1042 (baseline row 1043 = row 1029)</t>
  </si>
  <si>
    <t xml:space="preserve">Medan — Soybean: stevedoring tariff (ASP)</t>
  </si>
  <si>
    <t xml:space="preserve">Input!K1049:W1049 (baseline row 1050; empty before FY2026)</t>
  </si>
  <si>
    <t xml:space="preserve">Medan — Wheat: base volume (FY2023)</t>
  </si>
  <si>
    <t xml:space="preserve">Input!K1060 (Calculation_FSL!F1022)</t>
  </si>
  <si>
    <t xml:space="preserve">Medan — Wheat: volume growth</t>
  </si>
  <si>
    <t xml:space="preserve">Input!K1055:W1055 (baseline row 1056 = row 1042)</t>
  </si>
  <si>
    <t xml:space="preserve">Medan — Wheat: stevedoring tariff (ASP)</t>
  </si>
  <si>
    <t xml:space="preserve">Input!K1062:W1062 (baseline row 1063)</t>
  </si>
  <si>
    <t xml:space="preserve">7. Cilegon — cost of sales</t>
  </si>
  <si>
    <t xml:space="preserve">Cilegon — dock &amp; port facilities fee: blended % of total sales</t>
  </si>
  <si>
    <t xml:space="preserve">Input!K767:W767 (only K767 = 85.1376% is filled; L767:W767 empty -&gt; 0)</t>
  </si>
  <si>
    <t xml:space="preserve">v29 Calculation_FSL row 774 = Input!K767 x total sales; from FY2025 the per-commodity proportions (row 776) take over.</t>
  </si>
  <si>
    <t xml:space="preserve">Cilegon — dock fee proportion of corn sales</t>
  </si>
  <si>
    <t xml:space="preserve">Input!K769:W769 (K769 empty -&gt; 0 in FY2024)</t>
  </si>
  <si>
    <t xml:space="preserve">Cilegon — dock fee proportion of SBM sales</t>
  </si>
  <si>
    <t xml:space="preserve">Input!K770:W770 (K770 empty -&gt; 0 in FY2024)</t>
  </si>
  <si>
    <t xml:space="preserve">Cilegon — dock fee proportion of soybean sales</t>
  </si>
  <si>
    <t xml:space="preserve">Input!K771:W771 (K771 empty -&gt; 0 in FY2024)</t>
  </si>
  <si>
    <t xml:space="preserve">Cilegon — dock fee proportion of sugar sales</t>
  </si>
  <si>
    <t xml:space="preserve">Input!K772:W772 (K772 empty -&gt; 0 in FY2024; L772 = 87.19% typed for FY2025)</t>
  </si>
  <si>
    <t xml:space="preserve">Cilegon — dock fee proportion of wheat sales</t>
  </si>
  <si>
    <t xml:space="preserve">Input!K773:W773 (K773 empty -&gt; 0 in FY2024)</t>
  </si>
  <si>
    <t xml:space="preserve">Cilegon — employee cost, base FY2023</t>
  </si>
  <si>
    <t xml:space="preserve">Input!J787 (Calculation_FSL!F804)</t>
  </si>
  <si>
    <t xml:space="preserve">Cilegon — employee cost growth</t>
  </si>
  <si>
    <t xml:space="preserve">Input!K782:W782 (baseline row 783)</t>
  </si>
  <si>
    <t xml:space="preserve">Cilegon — maintenance, base FY2023 (fixed)</t>
  </si>
  <si>
    <t xml:space="preserve">Input!J794 (Calculation_FSL!F809)</t>
  </si>
  <si>
    <t xml:space="preserve">Cilegon — maintenance growth</t>
  </si>
  <si>
    <t xml:space="preserve">Input!K789:W789 (baseline row 790)</t>
  </si>
  <si>
    <t xml:space="preserve">Cilegon — insurance, % of total sales (0.0149747%)</t>
  </si>
  <si>
    <t xml:space="preserve">Calculation_FSL!F815 (typed; = Input!K796:W796)</t>
  </si>
  <si>
    <t xml:space="preserve">v29 also builds an insurance index (row 813, growth Input!K796) that is not used.</t>
  </si>
  <si>
    <t xml:space="preserve">8. Makassar — cost of sales</t>
  </si>
  <si>
    <t xml:space="preserve">Makassar — dock &amp; port facilities fee, % of total sales</t>
  </si>
  <si>
    <t xml:space="preserve">Calculation_FSL!F872 (typed; Input!J875 = 0.017999 'Sales' base not used)</t>
  </si>
  <si>
    <t xml:space="preserve">Makassar — employee cost, base FY2023</t>
  </si>
  <si>
    <t xml:space="preserve">Input!J884 (Calculation_FSL!F878)</t>
  </si>
  <si>
    <t xml:space="preserve">Makassar — employee cost growth</t>
  </si>
  <si>
    <t xml:space="preserve">Input!K879:W879 (baseline row 880)</t>
  </si>
  <si>
    <t xml:space="preserve">Makassar — maintenance, % of total sales (0.110652%)</t>
  </si>
  <si>
    <t xml:space="preserve">Calculation_FSL!F883 (typed)</t>
  </si>
  <si>
    <t xml:space="preserve">Makassar — insurance, fixed annual amount</t>
  </si>
  <si>
    <t xml:space="preserve">Input!J876 (Calculation_FSL!F888)</t>
  </si>
  <si>
    <t xml:space="preserve">v29 builds an index (row 887, growth Input!K912) but applies the flat base every year.</t>
  </si>
  <si>
    <t xml:space="preserve">9. Surabaya — cost of sales</t>
  </si>
  <si>
    <t xml:space="preserve">Surabaya — dock &amp; port facilities fee, % of total sales</t>
  </si>
  <si>
    <t xml:space="preserve">Calculation_FSL!F950 (typed)</t>
  </si>
  <si>
    <t xml:space="preserve">Surabaya — employee cost, base FY2023</t>
  </si>
  <si>
    <t xml:space="preserve">Input!J979 (Calculation_FSL!F956)</t>
  </si>
  <si>
    <t xml:space="preserve">Surabaya — employee cost growth</t>
  </si>
  <si>
    <t xml:space="preserve">Input!K974:W974 (baseline row 975)</t>
  </si>
  <si>
    <t xml:space="preserve">Surabaya — maintenance, % of total sales (0.000528% p.a.)</t>
  </si>
  <si>
    <t xml:space="preserve">Input!K969:W969 (Calculation_FSL row 961; the typed 0.110652% in F961 is not used)</t>
  </si>
  <si>
    <t xml:space="preserve">Surabaya — insurance, fixed annual amount</t>
  </si>
  <si>
    <t xml:space="preserve">Input!J971 (Calculation_FSL!F966)</t>
  </si>
  <si>
    <t xml:space="preserve">v29 builds an index (row 965, growth Input!K990) but applies the flat base every year.</t>
  </si>
  <si>
    <t xml:space="preserve">10. Medan — cost of sales</t>
  </si>
  <si>
    <t xml:space="preserve">Medan — dock &amp; port facilities fee, % of total sales</t>
  </si>
  <si>
    <t xml:space="preserve">Calculation_FSL!F1038 (typed)</t>
  </si>
  <si>
    <t xml:space="preserve">Medan — employee cost, base FY2023</t>
  </si>
  <si>
    <t xml:space="preserve">Input!J1082 (Calculation_FSL!F1044)</t>
  </si>
  <si>
    <t xml:space="preserve">Medan — employee cost growth</t>
  </si>
  <si>
    <t xml:space="preserve">Input!K1077:W1077 (baseline row 1078)</t>
  </si>
  <si>
    <t xml:space="preserve">Medan — maintenance, % of total sales (0.004625%)</t>
  </si>
  <si>
    <t xml:space="preserve">Calculation_FSL!F1049 (typed)</t>
  </si>
  <si>
    <t xml:space="preserve">Medan — insurance, fixed annual amount</t>
  </si>
  <si>
    <t xml:space="preserve">Calculation_FSL!F1054 (EMPTY -&gt; nil)</t>
  </si>
  <si>
    <t xml:space="preserve">v29 source gap: the Medan insurance base cell is empty, so no insurance is charged (index row 1053 unused).</t>
  </si>
  <si>
    <t xml:space="preserve">11. Cilegon — operating expenses (G&amp;A)</t>
  </si>
  <si>
    <t xml:space="preserve">Cilegon — Legal and professional fees, base FY2023</t>
  </si>
  <si>
    <t xml:space="preserve">Input!J809 (Calculation_FSL!F822)</t>
  </si>
  <si>
    <t xml:space="preserve">Cilegon — Legal and professional fees growth</t>
  </si>
  <si>
    <t xml:space="preserve">Input!K804:W804</t>
  </si>
  <si>
    <t xml:space="preserve">Cilegon — Travelling and entertainment costs, base FY2023</t>
  </si>
  <si>
    <t xml:space="preserve">Input!J816 (Calculation_FSL!F827)</t>
  </si>
  <si>
    <t xml:space="preserve">Cilegon — Travelling and entertainment costs growth</t>
  </si>
  <si>
    <t xml:space="preserve">Input!K811:W811</t>
  </si>
  <si>
    <t xml:space="preserve">Cilegon — Audit fees, base FY2023</t>
  </si>
  <si>
    <t xml:space="preserve">Input!J823 (Calculation_FSL!F832)</t>
  </si>
  <si>
    <t xml:space="preserve">Cilegon — Audit fees growth</t>
  </si>
  <si>
    <t xml:space="preserve">Input!K818:W818</t>
  </si>
  <si>
    <t xml:space="preserve">Cilegon — Other administrative expenses, base FY2023</t>
  </si>
  <si>
    <t xml:space="preserve">Input!J830 (Calculation_FSL!F837)</t>
  </si>
  <si>
    <t xml:space="preserve">Cilegon — Other administrative expenses growth</t>
  </si>
  <si>
    <t xml:space="preserve">Input!K825:W825</t>
  </si>
  <si>
    <t xml:space="preserve">Cilegon — Office expenses, base FY2023</t>
  </si>
  <si>
    <t xml:space="preserve">Input!J837 (Calculation_FSL!F842)</t>
  </si>
  <si>
    <t xml:space="preserve">Cilegon — Office expenses growth</t>
  </si>
  <si>
    <t xml:space="preserve">Input!K832:W832</t>
  </si>
  <si>
    <t xml:space="preserve">12. Makassar — operating expenses (G&amp;A)</t>
  </si>
  <si>
    <t xml:space="preserve">Makassar — Legal and professional fees, base FY2023</t>
  </si>
  <si>
    <t xml:space="preserve">Input!J893 (Calculation_FSL!F895)</t>
  </si>
  <si>
    <t xml:space="preserve">Makassar — Legal and professional fees growth</t>
  </si>
  <si>
    <t xml:space="preserve">Input!K888:W888</t>
  </si>
  <si>
    <t xml:space="preserve">Makassar — Travelling and entertainment costs, base FY2023</t>
  </si>
  <si>
    <t xml:space="preserve">Input!J900 (Calculation_FSL!F900)</t>
  </si>
  <si>
    <t xml:space="preserve">Makassar — Travelling and entertainment costs growth</t>
  </si>
  <si>
    <t xml:space="preserve">Input!K895:W895</t>
  </si>
  <si>
    <t xml:space="preserve">Makassar — Audit fees, base FY2023</t>
  </si>
  <si>
    <t xml:space="preserve">Input!J907 (Calculation_FSL!F905)</t>
  </si>
  <si>
    <t xml:space="preserve">Makassar — Audit fees growth</t>
  </si>
  <si>
    <t xml:space="preserve">Input!K902:W902</t>
  </si>
  <si>
    <t xml:space="preserve">Makassar — Other administrative expenses, base FY2023</t>
  </si>
  <si>
    <t xml:space="preserve">Input!J914 (Calculation_FSL!F910)</t>
  </si>
  <si>
    <t xml:space="preserve">Makassar — Other administrative expenses growth</t>
  </si>
  <si>
    <t xml:space="preserve">Input!K909:W909</t>
  </si>
  <si>
    <t xml:space="preserve">Makassar — Office expenses, base FY2023</t>
  </si>
  <si>
    <t xml:space="preserve">Input!J921 (Calculation_FSL!F915)</t>
  </si>
  <si>
    <t xml:space="preserve">Makassar — Office expenses growth</t>
  </si>
  <si>
    <t xml:space="preserve">Input!K916:W916</t>
  </si>
  <si>
    <t xml:space="preserve">Makassar — Utility expenses, base FY2023</t>
  </si>
  <si>
    <t xml:space="preserve">Input!J928 (Calculation_FSL!F920)</t>
  </si>
  <si>
    <t xml:space="preserve">Makassar — Utility expenses growth</t>
  </si>
  <si>
    <t xml:space="preserve">Input!K923:W923</t>
  </si>
  <si>
    <t xml:space="preserve">13. Surabaya — operating expenses (G&amp;A)</t>
  </si>
  <si>
    <t xml:space="preserve">Surabaya — Legal and professional fees, base FY2023</t>
  </si>
  <si>
    <t xml:space="preserve">Input!J988 (Calculation_FSL!F973)</t>
  </si>
  <si>
    <t xml:space="preserve">Surabaya — Legal and professional fees growth</t>
  </si>
  <si>
    <t xml:space="preserve">Input!K983:W983</t>
  </si>
  <si>
    <t xml:space="preserve">Surabaya — Travelling and entertainment costs, base FY2023</t>
  </si>
  <si>
    <t xml:space="preserve">Input!J995 (Calculation_FSL!F978)</t>
  </si>
  <si>
    <t xml:space="preserve">Surabaya — Travelling and entertainment costs growth</t>
  </si>
  <si>
    <t xml:space="preserve">Input!K990:W990</t>
  </si>
  <si>
    <t xml:space="preserve">Surabaya — Audit fees, base FY2023</t>
  </si>
  <si>
    <t xml:space="preserve">Calculation_FSL!F983 (EMPTY -&gt; nil)</t>
  </si>
  <si>
    <t xml:space="preserve">v29 source gap: empty / zero base and a growth reference to an empty Input row -&gt; nil line; kept for structure.</t>
  </si>
  <si>
    <t xml:space="preserve">Surabaya — Audit fees growth</t>
  </si>
  <si>
    <t xml:space="preserve">Calculation_FSL row 982 -&gt; Input!K980:W980 (empty row -&gt; 0%)</t>
  </si>
  <si>
    <t xml:space="preserve">Surabaya — Other administrative expenses, base FY2023</t>
  </si>
  <si>
    <t xml:space="preserve">Input!J1002 (Calculation_FSL!F988)</t>
  </si>
  <si>
    <t xml:space="preserve">Surabaya — Other administrative expenses growth</t>
  </si>
  <si>
    <t xml:space="preserve">Input!K997:W997</t>
  </si>
  <si>
    <t xml:space="preserve">Surabaya — Office expenses, base FY2023</t>
  </si>
  <si>
    <t xml:space="preserve">Input!J1009 (Calculation_FSL!F993)</t>
  </si>
  <si>
    <t xml:space="preserve">Surabaya — Office expenses growth</t>
  </si>
  <si>
    <t xml:space="preserve">Input!K1004:W1004</t>
  </si>
  <si>
    <t xml:space="preserve">Surabaya — Utility expenses, base FY2023</t>
  </si>
  <si>
    <t xml:space="preserve">Calculation_FSL!F998 (typed 0)</t>
  </si>
  <si>
    <t xml:space="preserve">Surabaya — Utility expenses growth</t>
  </si>
  <si>
    <t xml:space="preserve">Calculation_FSL row 997 -&gt; Input!K1001:W1001 (empty row -&gt; 0%)</t>
  </si>
  <si>
    <t xml:space="preserve">14. Medan — operating expenses (G&amp;A)</t>
  </si>
  <si>
    <t xml:space="preserve">Medan — Legal and professional fees, base FY2023</t>
  </si>
  <si>
    <t xml:space="preserve">Input!J1091 (Calculation_FSL!F1061)</t>
  </si>
  <si>
    <t xml:space="preserve">Medan — Legal and professional fees growth</t>
  </si>
  <si>
    <t xml:space="preserve">Input!K1086:W1086</t>
  </si>
  <si>
    <t xml:space="preserve">Medan — Travelling and entertainment costs, base FY2023</t>
  </si>
  <si>
    <t xml:space="preserve">Input!J1098 (Calculation_FSL!F1066)</t>
  </si>
  <si>
    <t xml:space="preserve">Medan — Travelling and entertainment costs growth</t>
  </si>
  <si>
    <t xml:space="preserve">Input!K1093:W1093</t>
  </si>
  <si>
    <t xml:space="preserve">Medan — Audit fees, base FY2023</t>
  </si>
  <si>
    <t xml:space="preserve">Input!J1105 (Calculation_FSL!F1071)</t>
  </si>
  <si>
    <t xml:space="preserve">Medan — Audit fees growth</t>
  </si>
  <si>
    <t xml:space="preserve">Input!K1100:W1100</t>
  </si>
  <si>
    <t xml:space="preserve">Medan — Other administrative expenses, base FY2023</t>
  </si>
  <si>
    <t xml:space="preserve">Input!J1112 (Calculation_FSL!F1076)</t>
  </si>
  <si>
    <t xml:space="preserve">Medan — Other administrative expenses growth</t>
  </si>
  <si>
    <t xml:space="preserve">Input!K1107:W1107</t>
  </si>
  <si>
    <t xml:space="preserve">Medan — Office expenses, base FY2023</t>
  </si>
  <si>
    <t xml:space="preserve">Input!J1119 (Calculation_FSL!F1081)</t>
  </si>
  <si>
    <t xml:space="preserve">Medan — Office expenses growth</t>
  </si>
  <si>
    <t xml:space="preserve">Input!K1114:W1114</t>
  </si>
  <si>
    <t xml:space="preserve">Medan — Rental expenses, base FY2023</t>
  </si>
  <si>
    <t xml:space="preserve">Input!J1126 (Calculation_FSL!F1086)</t>
  </si>
  <si>
    <t xml:space="preserve">Medan — Rental expenses growth</t>
  </si>
  <si>
    <t xml:space="preserve">Input!K1121:W1121</t>
  </si>
  <si>
    <t xml:space="preserve">15. Cilegon — depreciation of existing assets</t>
  </si>
  <si>
    <t xml:space="preserve">Cilegon — depreciation of existing assets, annual charge</t>
  </si>
  <si>
    <t xml:space="preserve">Input!K777 (Calculation_FSL!F765; baseline row 778 'Actual Cost')</t>
  </si>
  <si>
    <t xml:space="preserve">Fixed charge for the whole forecast in v29 (no net-book-value cap; 'Capex up to 2025' label).</t>
  </si>
  <si>
    <t xml:space="preserve">16. Makassar — depreciation of existing assets</t>
  </si>
  <si>
    <t xml:space="preserve">Makassar — depreciation of existing assets, annual charge</t>
  </si>
  <si>
    <t xml:space="preserve">Input!J874 (Calculation_FSL!F866)</t>
  </si>
  <si>
    <t xml:space="preserve">17. Surabaya — depreciation of existing assets</t>
  </si>
  <si>
    <t xml:space="preserve">Surabaya — depreciation of existing assets, annual charge</t>
  </si>
  <si>
    <t xml:space="preserve">Input!J965 (Calculation_FSL!F944)</t>
  </si>
  <si>
    <t xml:space="preserve">18. Medan — depreciation of existing assets</t>
  </si>
  <si>
    <t xml:space="preserve">Medan — depreciation of existing assets, annual charge</t>
  </si>
  <si>
    <t xml:space="preserve">Input!J1072 (Calculation_FSL!F1032)</t>
  </si>
  <si>
    <t xml:space="preserve">E4 WIN stevedoring (Cilegon, Makassar, Surabaya, Medan) — CALCULATION</t>
  </si>
  <si>
    <t xml:space="preserve">C. Cilegon — revenue</t>
  </si>
  <si>
    <t xml:space="preserve">Cilegon — Corn: volume index (1.00 in FY2023)</t>
  </si>
  <si>
    <t xml:space="preserve">Cilegon — Corn: volume = base x index</t>
  </si>
  <si>
    <t xml:space="preserve">Cilegon — Corn: tariff</t>
  </si>
  <si>
    <t xml:space="preserve">Cilegon — Corn: revenue = volume x tariff / 1e9</t>
  </si>
  <si>
    <t xml:space="preserve">Cilegon — Soybean meal (SBM): volume index (1.00 in FY2023)</t>
  </si>
  <si>
    <t xml:space="preserve">Cilegon — Soybean meal (SBM): volume = base x index</t>
  </si>
  <si>
    <t xml:space="preserve">Cilegon — Soybean meal (SBM): tariff</t>
  </si>
  <si>
    <t xml:space="preserve">Cilegon — Soybean meal (SBM): revenue = volume x tariff / 1e9</t>
  </si>
  <si>
    <t xml:space="preserve">Cilegon — Soybean: volume index (1.00 in FY2023)</t>
  </si>
  <si>
    <t xml:space="preserve">Cilegon — Soybean: volume = base x index</t>
  </si>
  <si>
    <t xml:space="preserve">Cilegon — Soybean: tariff</t>
  </si>
  <si>
    <t xml:space="preserve">Cilegon — Soybean: revenue = volume x tariff / 1e9</t>
  </si>
  <si>
    <t xml:space="preserve">Cilegon — Sugar: volume index (1.00 in FY2023)</t>
  </si>
  <si>
    <t xml:space="preserve">Cilegon — Sugar: volume = base x index</t>
  </si>
  <si>
    <t xml:space="preserve">Cilegon — Sugar: tariff</t>
  </si>
  <si>
    <t xml:space="preserve">Cilegon — Sugar: revenue = volume x tariff / 1e9</t>
  </si>
  <si>
    <t xml:space="preserve">Cilegon — Wheat: volume index (1.00 in FY2023)</t>
  </si>
  <si>
    <t xml:space="preserve">Cilegon — Wheat: volume = base x index</t>
  </si>
  <si>
    <t xml:space="preserve">Cilegon — Wheat: tariff</t>
  </si>
  <si>
    <t xml:space="preserve">Cilegon — Wheat: revenue = volume x tariff / 1e9</t>
  </si>
  <si>
    <t xml:space="preserve">Cilegon — total volume</t>
  </si>
  <si>
    <t xml:space="preserve">Cilegon — total revenue</t>
  </si>
  <si>
    <t xml:space="preserve">D. Makassar — revenue</t>
  </si>
  <si>
    <t xml:space="preserve">Makassar — Sugar: volume index (1.00 in FY2023)</t>
  </si>
  <si>
    <t xml:space="preserve">Makassar — Sugar: volume = base x index</t>
  </si>
  <si>
    <t xml:space="preserve">Makassar — Sugar: tariff</t>
  </si>
  <si>
    <t xml:space="preserve">Makassar — Sugar: revenue = volume x tariff / 1e9</t>
  </si>
  <si>
    <t xml:space="preserve">Makassar — Wheat: volume index (1.00 in FY2023)</t>
  </si>
  <si>
    <t xml:space="preserve">Makassar — Wheat: volume = base x index</t>
  </si>
  <si>
    <t xml:space="preserve">Makassar — Wheat: tariff</t>
  </si>
  <si>
    <t xml:space="preserve">Makassar — Wheat: revenue = volume x tariff / 1e9</t>
  </si>
  <si>
    <t xml:space="preserve">Makassar — total volume</t>
  </si>
  <si>
    <t xml:space="preserve">Makassar — total revenue</t>
  </si>
  <si>
    <t xml:space="preserve">E. Surabaya — revenue</t>
  </si>
  <si>
    <t xml:space="preserve">Surabaya — Soybean meal (SBM): volume index (1.00 in FY2023)</t>
  </si>
  <si>
    <t xml:space="preserve">Surabaya — Soybean meal (SBM): volume = base x index</t>
  </si>
  <si>
    <t xml:space="preserve">Surabaya — Soybean meal (SBM): tariff</t>
  </si>
  <si>
    <t xml:space="preserve">Surabaya — Soybean meal (SBM): revenue = volume x tariff / 1e9</t>
  </si>
  <si>
    <t xml:space="preserve">Surabaya — Soybean: volume index (1.00 in FY2023)</t>
  </si>
  <si>
    <t xml:space="preserve">Surabaya — Soybean: volume = base x index</t>
  </si>
  <si>
    <t xml:space="preserve">Surabaya — Soybean: tariff</t>
  </si>
  <si>
    <t xml:space="preserve">Surabaya — Soybean: revenue = volume x tariff / 1e9</t>
  </si>
  <si>
    <t xml:space="preserve">Surabaya — total volume</t>
  </si>
  <si>
    <t xml:space="preserve">Surabaya — total revenue</t>
  </si>
  <si>
    <t xml:space="preserve">F. Medan — revenue</t>
  </si>
  <si>
    <t xml:space="preserve">Medan — operation period flag (1 from the start year)</t>
  </si>
  <si>
    <t xml:space="preserve">Medan — Corn: volume index (0 before the start year, 1.00 in the start year, then x (1 + growth))</t>
  </si>
  <si>
    <t xml:space="preserve">Medan — Corn: volume = base x index x Medan operation flag</t>
  </si>
  <si>
    <t xml:space="preserve">Medan — Corn: tariff</t>
  </si>
  <si>
    <t xml:space="preserve">Medan — Corn: revenue = volume x tariff / 1e9</t>
  </si>
  <si>
    <t xml:space="preserve">Medan — Soybean meal (SBM): volume index (1.00 in FY2023)</t>
  </si>
  <si>
    <t xml:space="preserve">Medan — Soybean meal (SBM): volume = base x index</t>
  </si>
  <si>
    <t xml:space="preserve">Medan — Soybean meal (SBM): tariff</t>
  </si>
  <si>
    <t xml:space="preserve">Medan — Soybean meal (SBM): revenue = volume x tariff / 1e9</t>
  </si>
  <si>
    <t xml:space="preserve">Medan — Soybean: volume index (0 before the start year, 1.00 in the start year, then x (1 + growth))</t>
  </si>
  <si>
    <t xml:space="preserve">Medan — Soybean: volume = base x index</t>
  </si>
  <si>
    <t xml:space="preserve">Medan — Soybean: tariff</t>
  </si>
  <si>
    <t xml:space="preserve">Medan — Soybean: revenue = volume x tariff / 1e9</t>
  </si>
  <si>
    <t xml:space="preserve">Medan — Wheat: volume index (1.00 in FY2023)</t>
  </si>
  <si>
    <t xml:space="preserve">Medan — Wheat: volume = base x index</t>
  </si>
  <si>
    <t xml:space="preserve">Medan — Wheat: tariff</t>
  </si>
  <si>
    <t xml:space="preserve">Medan — Wheat: revenue = volume x tariff / 1e9</t>
  </si>
  <si>
    <t xml:space="preserve">Medan — total volume</t>
  </si>
  <si>
    <t xml:space="preserve">Medan — total revenue</t>
  </si>
  <si>
    <t xml:space="preserve">G. Cilegon — cost of sales</t>
  </si>
  <si>
    <t xml:space="preserve">Cilegon — dock fee (blended) = blended % x total sales</t>
  </si>
  <si>
    <t xml:space="preserve">Cilegon — dock fee on corn sales = proportion x corn revenue</t>
  </si>
  <si>
    <t xml:space="preserve">Cilegon — dock fee on sbm sales = proportion x sbm revenue</t>
  </si>
  <si>
    <t xml:space="preserve">Cilegon — dock fee on soy sales = proportion x soy revenue</t>
  </si>
  <si>
    <t xml:space="preserve">Cilegon — dock fee on sugar sales = proportion x sugar revenue</t>
  </si>
  <si>
    <t xml:space="preserve">Cilegon — dock fee on wheat sales = proportion x wheat revenue</t>
  </si>
  <si>
    <t xml:space="preserve">Cilegon — dock &amp; port facilities fee (blended + per commodity)</t>
  </si>
  <si>
    <t xml:space="preserve">Cilegon — employee cost — index</t>
  </si>
  <si>
    <t xml:space="preserve">Cilegon — employee cost = base x index</t>
  </si>
  <si>
    <t xml:space="preserve">Cilegon — maintenance (fixed) — index</t>
  </si>
  <si>
    <t xml:space="preserve">Cilegon — maintenance (fixed) = base x index</t>
  </si>
  <si>
    <t xml:space="preserve">Cilegon — insurance = rate x total sales</t>
  </si>
  <si>
    <t xml:space="preserve">Cilegon — total cost of sales (excl. depreciation)</t>
  </si>
  <si>
    <t xml:space="preserve">H. Makassar — cost of sales</t>
  </si>
  <si>
    <t xml:space="preserve">Makassar — dock &amp; port facilities fee = % x total sales</t>
  </si>
  <si>
    <t xml:space="preserve">Makassar — employee cost — index</t>
  </si>
  <si>
    <t xml:space="preserve">Makassar — employee cost = base x index</t>
  </si>
  <si>
    <t xml:space="preserve">Makassar — maintenance = % x total sales</t>
  </si>
  <si>
    <t xml:space="preserve">Makassar — insurance = fixed amount x flag</t>
  </si>
  <si>
    <t xml:space="preserve">Makassar — total cost of sales (excl. depreciation)</t>
  </si>
  <si>
    <t xml:space="preserve">I. Surabaya — cost of sales</t>
  </si>
  <si>
    <t xml:space="preserve">Surabaya — dock &amp; port facilities fee = % x total sales</t>
  </si>
  <si>
    <t xml:space="preserve">Surabaya — employee cost — index</t>
  </si>
  <si>
    <t xml:space="preserve">Surabaya — employee cost = base x index</t>
  </si>
  <si>
    <t xml:space="preserve">Surabaya — maintenance = % x total sales</t>
  </si>
  <si>
    <t xml:space="preserve">Surabaya — insurance = fixed amount x flag</t>
  </si>
  <si>
    <t xml:space="preserve">Surabaya — total cost of sales (excl. depreciation)</t>
  </si>
  <si>
    <t xml:space="preserve">J. Medan — cost of sales</t>
  </si>
  <si>
    <t xml:space="preserve">Medan — dock &amp; port facilities fee = % x total sales</t>
  </si>
  <si>
    <t xml:space="preserve">Medan — employee cost — index</t>
  </si>
  <si>
    <t xml:space="preserve">Medan — employee cost = base x index</t>
  </si>
  <si>
    <t xml:space="preserve">Medan — maintenance = % x total sales</t>
  </si>
  <si>
    <t xml:space="preserve">Medan — insurance = fixed amount x flag</t>
  </si>
  <si>
    <t xml:space="preserve">Medan — total cost of sales (excl. depreciation)</t>
  </si>
  <si>
    <t xml:space="preserve">K. Cilegon — operating expenses (G&amp;A)</t>
  </si>
  <si>
    <t xml:space="preserve">Cilegon — Legal and professional fees — index</t>
  </si>
  <si>
    <t xml:space="preserve">Cilegon — Legal and professional fees = base x index</t>
  </si>
  <si>
    <t xml:space="preserve">Cilegon — Travelling and entertainment costs — index</t>
  </si>
  <si>
    <t xml:space="preserve">Cilegon — Travelling and entertainment costs = base x index</t>
  </si>
  <si>
    <t xml:space="preserve">Cilegon — Audit fees — index</t>
  </si>
  <si>
    <t xml:space="preserve">Cilegon — Audit fees = base x index</t>
  </si>
  <si>
    <t xml:space="preserve">Cilegon — Other administrative expenses — index</t>
  </si>
  <si>
    <t xml:space="preserve">Cilegon — Other administrative expenses = base x index</t>
  </si>
  <si>
    <t xml:space="preserve">Cilegon — Office expenses — index</t>
  </si>
  <si>
    <t xml:space="preserve">Cilegon — Office expenses = base x index</t>
  </si>
  <si>
    <t xml:space="preserve">Cilegon — total operating expenses (G&amp;A)</t>
  </si>
  <si>
    <t xml:space="preserve">L. Makassar — operating expenses (G&amp;A)</t>
  </si>
  <si>
    <t xml:space="preserve">Makassar — Legal and professional fees — index</t>
  </si>
  <si>
    <t xml:space="preserve">Makassar — Legal and professional fees = base x index</t>
  </si>
  <si>
    <t xml:space="preserve">Makassar — Travelling and entertainment costs — index</t>
  </si>
  <si>
    <t xml:space="preserve">Makassar — Travelling and entertainment costs = base x index</t>
  </si>
  <si>
    <t xml:space="preserve">Makassar — Audit fees — index</t>
  </si>
  <si>
    <t xml:space="preserve">Makassar — Audit fees = base x index</t>
  </si>
  <si>
    <t xml:space="preserve">Makassar — Other administrative expenses — index</t>
  </si>
  <si>
    <t xml:space="preserve">Makassar — Other administrative expenses = base x index</t>
  </si>
  <si>
    <t xml:space="preserve">Makassar — Office expenses — index</t>
  </si>
  <si>
    <t xml:space="preserve">Makassar — Office expenses = base x index</t>
  </si>
  <si>
    <t xml:space="preserve">Makassar — Utility expenses — index</t>
  </si>
  <si>
    <t xml:space="preserve">Makassar — Utility expenses = base x index</t>
  </si>
  <si>
    <t xml:space="preserve">Makassar — total operating expenses (G&amp;A)</t>
  </si>
  <si>
    <t xml:space="preserve">M. Surabaya — operating expenses (G&amp;A)</t>
  </si>
  <si>
    <t xml:space="preserve">Surabaya — Legal and professional fees — index</t>
  </si>
  <si>
    <t xml:space="preserve">Surabaya — Legal and professional fees = base x index</t>
  </si>
  <si>
    <t xml:space="preserve">Surabaya — Travelling and entertainment costs — index</t>
  </si>
  <si>
    <t xml:space="preserve">Surabaya — Travelling and entertainment costs = base x index</t>
  </si>
  <si>
    <t xml:space="preserve">Surabaya — Audit fees — index</t>
  </si>
  <si>
    <t xml:space="preserve">Surabaya — Audit fees = base x index</t>
  </si>
  <si>
    <t xml:space="preserve">Surabaya — Other administrative expenses — index</t>
  </si>
  <si>
    <t xml:space="preserve">Surabaya — Other administrative expenses = base x index</t>
  </si>
  <si>
    <t xml:space="preserve">Surabaya — Office expenses — index</t>
  </si>
  <si>
    <t xml:space="preserve">Surabaya — Office expenses = base x index</t>
  </si>
  <si>
    <t xml:space="preserve">Surabaya — Utility expenses — index</t>
  </si>
  <si>
    <t xml:space="preserve">Surabaya — Utility expenses = base x index</t>
  </si>
  <si>
    <t xml:space="preserve">Surabaya — total operating expenses (G&amp;A)</t>
  </si>
  <si>
    <t xml:space="preserve">N. Medan — operating expenses (G&amp;A)</t>
  </si>
  <si>
    <t xml:space="preserve">Medan — Legal and professional fees — index</t>
  </si>
  <si>
    <t xml:space="preserve">Medan — Legal and professional fees = base x index</t>
  </si>
  <si>
    <t xml:space="preserve">Medan — Travelling and entertainment costs — index</t>
  </si>
  <si>
    <t xml:space="preserve">Medan — Travelling and entertainment costs = base x index</t>
  </si>
  <si>
    <t xml:space="preserve">Medan — Audit fees — index</t>
  </si>
  <si>
    <t xml:space="preserve">Medan — Audit fees = base x index</t>
  </si>
  <si>
    <t xml:space="preserve">Medan — Other administrative expenses — index</t>
  </si>
  <si>
    <t xml:space="preserve">Medan — Other administrative expenses = base x index</t>
  </si>
  <si>
    <t xml:space="preserve">Medan — Office expenses — index</t>
  </si>
  <si>
    <t xml:space="preserve">Medan — Office expenses = base x index</t>
  </si>
  <si>
    <t xml:space="preserve">Medan — Rental expenses — index</t>
  </si>
  <si>
    <t xml:space="preserve">Medan — Rental expenses = base x index</t>
  </si>
  <si>
    <t xml:space="preserve">Medan — total operating expenses (G&amp;A)</t>
  </si>
  <si>
    <t xml:space="preserve">O. Cilegon — depreciation of existing assets</t>
  </si>
  <si>
    <t xml:space="preserve">Cilegon — depreciation of existing assets = annual charge x flag</t>
  </si>
  <si>
    <t xml:space="preserve">P. Makassar — depreciation of existing assets</t>
  </si>
  <si>
    <t xml:space="preserve">Makassar — depreciation of existing assets = annual charge x flag</t>
  </si>
  <si>
    <t xml:space="preserve">Q. Surabaya — depreciation of existing assets</t>
  </si>
  <si>
    <t xml:space="preserve">Surabaya — depreciation of existing assets = annual charge x flag</t>
  </si>
  <si>
    <t xml:space="preserve">R. Medan — depreciation of existing assets</t>
  </si>
  <si>
    <t xml:space="preserve">Medan — depreciation of existing assets = annual charge x flag</t>
  </si>
  <si>
    <t xml:space="preserve">S. WIN combined (four sites)</t>
  </si>
  <si>
    <t xml:space="preserve">WIN — total volume handled (all sites)</t>
  </si>
  <si>
    <t xml:space="preserve">WIN — total revenue (Cilegon + Makassar + Surabaya + Medan)</t>
  </si>
  <si>
    <t xml:space="preserve">WIN — total cost of sales excl. depreciation</t>
  </si>
  <si>
    <t xml:space="preserve">WIN — total operating expenses (G&amp;A)</t>
  </si>
  <si>
    <t xml:space="preserve">WIN — depreciation of existing assets (all sites)</t>
  </si>
  <si>
    <t xml:space="preserve">T. Capex, depreciation and fixed assets (project)</t>
  </si>
  <si>
    <t xml:space="preserve">U. Working capital (days from Global Inputs)</t>
  </si>
  <si>
    <t xml:space="preserve">E4 WIN stevedoring (Cilegon, Makassar, Surabaya, Medan) — OUTPUT</t>
  </si>
  <si>
    <t xml:space="preserve">P01 Cigading Wharf 2 — INPUT</t>
  </si>
  <si>
    <t xml:space="preserve">Cigading Wharf 2 — PT Sentral Grain Terminal (SGT, Cigading) — Committed project. IDR bn unless stated. Blue = input; black = formula; green = link.</t>
  </si>
  <si>
    <t xml:space="preserve">P01</t>
  </si>
  <si>
    <t xml:space="preserve">Calculation_FSL rows 355-396</t>
  </si>
  <si>
    <t xml:space="preserve">Input rows 393-435</t>
  </si>
  <si>
    <t xml:space="preserve">Output_Standalone (IDR) rows 137-158</t>
  </si>
  <si>
    <t xml:space="preserve">Output_FSL!F32 (= 1)</t>
  </si>
  <si>
    <t xml:space="preserve">Commissioning / first operating (revenue) year</t>
  </si>
  <si>
    <t xml:space="preserve">Calculation_FSL!F357</t>
  </si>
  <si>
    <t xml:space="preserve">Wharf 2 operating from FY2025.</t>
  </si>
  <si>
    <t xml:space="preserve">Base volume in the first operating year (FY2025)</t>
  </si>
  <si>
    <t xml:space="preserve">Input!K405 (= 3,049,985.568 - 600,000)</t>
  </si>
  <si>
    <t xml:space="preserve">Volume growth (applied from the second operating year)</t>
  </si>
  <si>
    <t xml:space="preserve">Input!K400:W400 (baseline row 401)</t>
  </si>
  <si>
    <t xml:space="preserve">Stevedoring tariff (meals)</t>
  </si>
  <si>
    <t xml:space="preserve">Input!K407:W407 (baseline row 408; step-ups every two years)</t>
  </si>
  <si>
    <t xml:space="preserve">4. Cost drivers</t>
  </si>
  <si>
    <t xml:space="preserve">Operating expenses as % of revenue</t>
  </si>
  <si>
    <t xml:space="preserve">Calculation_FSL!F366</t>
  </si>
  <si>
    <t xml:space="preserve">Insurance on new assets (% of total capex p.a.)</t>
  </si>
  <si>
    <t xml:space="preserve">Calculation_FSL!F390 (0.5%; the 0.2% in Input!K431 is not used by v29)</t>
  </si>
  <si>
    <t xml:space="preserve">5. Capex allocation — percentages apply to TOTAL project capex (USD m); pre-2024 column = spend before FY2024 (sunk)</t>
  </si>
  <si>
    <t xml:space="preserve">Input!J420:L420 (10.0 + 2.3 + 0.5 USD m); board deck / v29 use of proceeds 12.8</t>
  </si>
  <si>
    <t xml:space="preserve">Percentages apply to total capex. Pre-2024 spend (78.1%) sits in Dec-23 assets under construction.</t>
  </si>
  <si>
    <t xml:space="preserve">v29 timing: Input!J420 (pre-2024), K420 (FY2024), L420 (FY2025)</t>
  </si>
  <si>
    <t xml:space="preserve">Commissioning year of the capex (= project commissioning year)</t>
  </si>
  <si>
    <t xml:space="preserve">Same as the operating start above</t>
  </si>
  <si>
    <t xml:space="preserve">Input!K425 (equipment = Input!K426)</t>
  </si>
  <si>
    <t xml:space="preserve">Input!K428:K429</t>
  </si>
  <si>
    <t xml:space="preserve">P01 Cigading Wharf 2 — CALCULATION</t>
  </si>
  <si>
    <t xml:space="preserve">Volume index (1.00 in the commissioning year, then x (1 + growth))</t>
  </si>
  <si>
    <t xml:space="preserve">Volume handled</t>
  </si>
  <si>
    <t xml:space="preserve">Tariff</t>
  </si>
  <si>
    <t xml:space="preserve">Electricity cost per ton — existing Cigading terminal (link)</t>
  </si>
  <si>
    <t xml:space="preserve">Electricity = cost/t x volume / 1e9</t>
  </si>
  <si>
    <t xml:space="preserve">Heavy-equipment rental cost per ton — existing Cigading terminal (link)</t>
  </si>
  <si>
    <t xml:space="preserve">Heavy-equipment rental = cost/t x volume / 1e9</t>
  </si>
  <si>
    <t xml:space="preserve">Insurance = total capex (IDR bn) x rate x operating flag</t>
  </si>
  <si>
    <t xml:space="preserve">Repair &amp; maintenance cost per ton — existing Cigading terminal (link)</t>
  </si>
  <si>
    <t xml:space="preserve">Repair &amp; maintenance = cost/t x volume / 1e9</t>
  </si>
  <si>
    <t xml:space="preserve">E. Operating expenses</t>
  </si>
  <si>
    <t xml:space="preserve">Operating expenses = revenue x %</t>
  </si>
  <si>
    <t xml:space="preserve">F. Capex, depreciation and fixed assets (project)</t>
  </si>
  <si>
    <t xml:space="preserve">G. Working capital (days from Global Inputs)</t>
  </si>
  <si>
    <t xml:space="preserve">P01 Cigading Wharf 2 — OUTPUT</t>
  </si>
  <si>
    <t xml:space="preserve">Full-life project IRR — FCFF 2023-2036 incl. pre-2024 spend, no terminal value</t>
  </si>
  <si>
    <t xml:space="preserve">Full-life project IRR incl. terminal value at end-2036</t>
  </si>
  <si>
    <t xml:space="preserve">P02 Cigading Extended Conveyor — INPUT</t>
  </si>
  <si>
    <t xml:space="preserve">Cigading Extended Conveyor — PT Sentral Grain Terminal (SGT, Cigading) — Committed project. IDR bn unless stated. Blue = input; black = formula; green = link.</t>
  </si>
  <si>
    <t xml:space="preserve">P02</t>
  </si>
  <si>
    <t xml:space="preserve">Cigading Extended Conveyor</t>
  </si>
  <si>
    <t xml:space="preserve">Calculation_FSL rows 398-436</t>
  </si>
  <si>
    <t xml:space="preserve">Input rows 436-481</t>
  </si>
  <si>
    <t xml:space="preserve">Output_Standalone (IDR) rows 160-181</t>
  </si>
  <si>
    <t xml:space="preserve">Output_FSL!F33 (= 1)</t>
  </si>
  <si>
    <t xml:space="preserve">Calculation_FSL!F400</t>
  </si>
  <si>
    <t xml:space="preserve">Conveyor operating from FY2025.</t>
  </si>
  <si>
    <t xml:space="preserve">Base volume in the first operating year (grows with the Wharf 2 volume index thereafter)</t>
  </si>
  <si>
    <t xml:space="preserve">Input!L439 (= Calculation_FSL!K404); 2026+ volume = base x Calculation_SOEs!J328 (Wharf 2 index)</t>
  </si>
  <si>
    <t xml:space="preserve">v29 grows conveyor volume with the Wharf 2 index (3% p.a.) and does not use the 2.35 m t entered in Input!P439:W439.</t>
  </si>
  <si>
    <t xml:space="preserve">Conveyor tariff</t>
  </si>
  <si>
    <t xml:space="preserve">Input!K445:W445 (INDEX of baseline row 446)</t>
  </si>
  <si>
    <t xml:space="preserve">Electricity: consumption relative to the existing Cigading terminal (share of its cost per ton)</t>
  </si>
  <si>
    <t xml:space="preserve">Input!K464:W464 (baseline row 465)</t>
  </si>
  <si>
    <t xml:space="preserve">Repair &amp; maintenance: share of the existing Cigading terminal cost per ton</t>
  </si>
  <si>
    <t xml:space="preserve">Input!K470:W470 (baseline row 471)</t>
  </si>
  <si>
    <t xml:space="preserve">Calculation_FSL!F429 (0.5%; the 0.2% in Input!K475 is not used by v29)</t>
  </si>
  <si>
    <t xml:space="preserve">Input!J452:L452 (2.2 + 5.4 + 0.4 USD m); board deck Dec-2024 use of proceeds 8.0</t>
  </si>
  <si>
    <t xml:space="preserve">Percentages apply to total capex. Pre-2024 spend (27.5%) sits in Dec-23 assets under construction.</t>
  </si>
  <si>
    <t xml:space="preserve">v29 timing: Input!J452 (pre-2024), K452 (FY2024), L452 (FY2025)</t>
  </si>
  <si>
    <t xml:space="preserve">Input!K457 (equipment = Input!K458)</t>
  </si>
  <si>
    <t xml:space="preserve">Input!K460:K461</t>
  </si>
  <si>
    <t xml:space="preserve">P02 Cigading Extended Conveyor — CALCULATION</t>
  </si>
  <si>
    <t xml:space="preserve">Volume index (Wharf 2 volume index; 1.00 in 2025)</t>
  </si>
  <si>
    <t xml:space="preserve">Electricity = cost/t x volume x share / 1e9</t>
  </si>
  <si>
    <t xml:space="preserve">Repair &amp; maintenance = cost/t x volume x share / 1e9</t>
  </si>
  <si>
    <t xml:space="preserve">E. Capex, depreciation and fixed assets (project)</t>
  </si>
  <si>
    <t xml:space="preserve">F. Working capital (days from Global Inputs)</t>
  </si>
  <si>
    <t xml:space="preserve">P02 Cigading Extended Conveyor — OUTPUT</t>
  </si>
  <si>
    <t xml:space="preserve">P03 KBS Warehouse Revitalisation (Cigading) — INPUT</t>
  </si>
  <si>
    <t xml:space="preserve">KBS Warehouse Revitalisation (Cigading) — PT Sentral Grain Terminal (SGT, Cigading) with PT Krakatau Bandar Samudera (KBS) — Planned project. IDR bn unless stated. Blue = input; black = formula; green = link.</t>
  </si>
  <si>
    <t xml:space="preserve">P03</t>
  </si>
  <si>
    <t xml:space="preserve">KBS Warehouse Revitalisation (Cigading)</t>
  </si>
  <si>
    <t xml:space="preserve">PT Sentral Grain Terminal (SGT, Cigading) with PT Krakatau Bandar Samudera (KBS)</t>
  </si>
  <si>
    <t xml:space="preserve">Calculation_FSL rows 438-472 (+ Calculation_SOEs rows 363-373)</t>
  </si>
  <si>
    <t xml:space="preserve">Input rows 1269-1276</t>
  </si>
  <si>
    <t xml:space="preserve">Output_Standalone (IDR) rows 206-227</t>
  </si>
  <si>
    <t xml:space="preserve">Output_FSL!F34 (= 1)</t>
  </si>
  <si>
    <t xml:space="preserve">Calculation_FSL!F441</t>
  </si>
  <si>
    <t xml:space="preserve">Revenue from FY2027 (Calculation_SOEs!F365 = 2026 only starts the volume index).</t>
  </si>
  <si>
    <t xml:space="preserve">Base volume (tons handled through the revitalised warehouse, before indexation)</t>
  </si>
  <si>
    <t xml:space="preserve">Calculation_FSL!F445 (= Calculation_SOEs!F369*0 + 1.7*Million)</t>
  </si>
  <si>
    <t xml:space="preserve">v29 overrides the 2.8 m t in Calculation_SOEs!F369 with a typed 1.7 m t; the typed value is the effective assumption.</t>
  </si>
  <si>
    <t xml:space="preserve">First year of volume indexation (index grows from this year; Calculation_SOEs 'Operation Period')</t>
  </si>
  <si>
    <t xml:space="preserve">Calculation_SOEs!F365</t>
  </si>
  <si>
    <t xml:space="preserve">The index starts growing in 2026 although revenue starts in 2027 (Calculation_FSL!F441), so the first operating year already carries index 1.0609.</t>
  </si>
  <si>
    <t xml:space="preserve">Volume index growth p.a. (applied from the indexation start year)</t>
  </si>
  <si>
    <t xml:space="preserve">Calculation_SOEs!J368:V368 (3% typed inside the formula IF(J365=0,1,I368*(1+3%)))</t>
  </si>
  <si>
    <t xml:space="preserve">Handling / bagging fee per ton</t>
  </si>
  <si>
    <t xml:space="preserve">Calculation_FSL!F446 (L446:V446 = $F$446)</t>
  </si>
  <si>
    <t xml:space="preserve">v29 labels the cell 'Ton/Month' but row 449 applies it per ton handled. J446:K446 (2024-25) reference Input!K485:L485 (= 0), irrelevant as volume is nil before 2027.</t>
  </si>
  <si>
    <t xml:space="preserve">Weighing fee per ton</t>
  </si>
  <si>
    <t xml:space="preserve">Calculation_FSL!F447 (L447:V447 = $F$447; blank in 2024-25)</t>
  </si>
  <si>
    <t xml:space="preserve">Storage fee per ton</t>
  </si>
  <si>
    <t xml:space="preserve">Calculation_FSL!F448 (L448:V448 = $F$448; blank in 2024-25)</t>
  </si>
  <si>
    <t xml:space="preserve">FKS (FSL) share of gross warehouse revenue (KBS keeps the remainder)</t>
  </si>
  <si>
    <t xml:space="preserve">Calculation_FSL!F452 (KBS share F451 = 1 - F452 = 51%)</t>
  </si>
  <si>
    <t xml:space="preserve">Cost of sales as % of FKS revenue</t>
  </si>
  <si>
    <t xml:space="preserve">Calculation_FSL!F457</t>
  </si>
  <si>
    <t xml:space="preserve">Operating expenses as % of FKS revenue</t>
  </si>
  <si>
    <t xml:space="preserve">Calculation_FSL!F458 (= (38/60*100%-10%)*0 + 50%: typed 50% override)</t>
  </si>
  <si>
    <t xml:space="preserve">The 53.3% expression in the same cell is multiplied by 0; 50% is the effective assumption.</t>
  </si>
  <si>
    <t xml:space="preserve">Input!M1270 (= Input!M1271 baseline = 6 + Input!K1276 legal fee 2 IDR bn / USD_IDR / 5 = 0.0246); Calculation_FSL!L1477</t>
  </si>
  <si>
    <t xml:space="preserve">v29 source issue C02: Calculation_FSL!F461 (= Input!L1270, FY2025) is empty so v29 depreciates nothing; the revised model depreciates the FY2026 spend from the 2027 commissioning year.</t>
  </si>
  <si>
    <t xml:space="preserve">v29 timing: Input!M1270 (FY2026 only); Calculation_FSL row 1477</t>
  </si>
  <si>
    <t xml:space="preserve">Calculation_FSL!F462 (equipment = F467 = 1 - F462 = 0)</t>
  </si>
  <si>
    <t xml:space="preserve">Calculation_FSL!E461 (building 20) / E466 (equipment 10)</t>
  </si>
  <si>
    <t xml:space="preserve">P03 KBS Warehouse Revitalisation (Cigading) — CALCULATION</t>
  </si>
  <si>
    <t xml:space="preserve">Volume index (1.00 until the indexation start year, then x (1 + growth))</t>
  </si>
  <si>
    <t xml:space="preserve">Calculation_SOEs row 368 (1.03 in 2026, 1.0609 in 2027 ...)</t>
  </si>
  <si>
    <t xml:space="preserve">Volume handled = base x index x operating flag</t>
  </si>
  <si>
    <t xml:space="preserve">Calculation_FSL row 445</t>
  </si>
  <si>
    <t xml:space="preserve">Tariff per ton = handling + weighing + storage</t>
  </si>
  <si>
    <t xml:space="preserve">Calculation_FSL SUM(J446:J448) = 60,000 IDR/t</t>
  </si>
  <si>
    <t xml:space="preserve">Gross warehouse revenue = volume x tariff / 1e9</t>
  </si>
  <si>
    <t xml:space="preserve">Calculation_FSL row 449</t>
  </si>
  <si>
    <t xml:space="preserve">Revenue attributable to KBS = gross x (1 - FKS share) (memo, not FSL revenue)</t>
  </si>
  <si>
    <t xml:space="preserve">Calculation_FSL row 451</t>
  </si>
  <si>
    <t xml:space="preserve">Revenue FKS = gross x FKS share</t>
  </si>
  <si>
    <t xml:space="preserve">Calculation_FSL row 453 -&gt; Output_Standalone (IDR) row 208</t>
  </si>
  <si>
    <t xml:space="preserve">Cost of sales = FKS revenue x %</t>
  </si>
  <si>
    <t xml:space="preserve">Calculation_FSL row 457</t>
  </si>
  <si>
    <t xml:space="preserve">Operating expenses = FKS revenue x %</t>
  </si>
  <si>
    <t xml:space="preserve">Calculation_FSL row 458</t>
  </si>
  <si>
    <t xml:space="preserve">P03 KBS Warehouse Revitalisation (Cigading) — OUTPUT</t>
  </si>
  <si>
    <t xml:space="preserve">P04 Teluk Lamong Silo — INPUT</t>
  </si>
  <si>
    <t xml:space="preserve">Teluk Lamong Silo — PT Nusantara Pelabuhan Logistik (NPLOG, Teluk Lamong, Surabaya) — v29 treats the silo as 100% FSL — Planned project. IDR bn unless stated. Blue = input; black = formula; green = link.</t>
  </si>
  <si>
    <t xml:space="preserve">P04</t>
  </si>
  <si>
    <t xml:space="preserve">Teluk Lamong Silo</t>
  </si>
  <si>
    <t xml:space="preserve">PT Nusantara Pelabuhan Logistik (NPLOG, Teluk Lamong, Surabaya) — v29 treats the silo as 100% FSL</t>
  </si>
  <si>
    <t xml:space="preserve">Calculation_FSL rows 127-165</t>
  </si>
  <si>
    <t xml:space="preserve">Input rows 1263-1267 (capex)</t>
  </si>
  <si>
    <t xml:space="preserve">Output_Standalone (IDR) rows 42-64</t>
  </si>
  <si>
    <t xml:space="preserve">Output_FSL!F29 (= 1)</t>
  </si>
  <si>
    <t xml:space="preserve">Calculation_FSL!F129</t>
  </si>
  <si>
    <t xml:space="preserve">Silo operating (revenue, handling cost and depreciation) from FY2027; capex spent in FY2026.</t>
  </si>
  <si>
    <t xml:space="preserve">3. Revenue drivers (silo bagging / storage)</t>
  </si>
  <si>
    <t xml:space="preserve">Number of silos</t>
  </si>
  <si>
    <t xml:space="preserve">silos</t>
  </si>
  <si>
    <t xml:space="preserve">Calculation_FSL!E133</t>
  </si>
  <si>
    <t xml:space="preserve">Throughput capacity per silo per month</t>
  </si>
  <si>
    <t xml:space="preserve">t/month</t>
  </si>
  <si>
    <t xml:space="preserve">Calculation_FSL!F133 (row 133 = E133 x F133 = 17,000 t/month)</t>
  </si>
  <si>
    <t xml:space="preserve">Operating months per year</t>
  </si>
  <si>
    <t xml:space="preserve">months</t>
  </si>
  <si>
    <t xml:space="preserve">Named constant Month_Year (= 12) used in Calculation_FSL rows 135 and 147</t>
  </si>
  <si>
    <t xml:space="preserve">Silo bagging / storage fee per ton per month</t>
  </si>
  <si>
    <t xml:space="preserve">IDR/t/month</t>
  </si>
  <si>
    <t xml:space="preserve">Calculation_FSL!F132 (row 134 J134:V134 = $F$132)</t>
  </si>
  <si>
    <t xml:space="preserve">v29 labels F132 'Volume Index' but applies it as the price index (IDR/ton/month) in row 134/135.</t>
  </si>
  <si>
    <t xml:space="preserve">4. Revenue drivers (weighbridge — nil in v29)</t>
  </si>
  <si>
    <t xml:space="preserve">Weighbridge revenue switch (1 = include, 0 = excluded as in v29)</t>
  </si>
  <si>
    <t xml:space="preserve">Calculation_FSL!J143:V143 — formula ends '*0' so weighbridge revenue is nil</t>
  </si>
  <si>
    <t xml:space="preserve">v29 source issue: the weighbridge revenue row exists but is multiplied by 0; Output_Standalone row 44 only links to the bagging revenue row 135.</t>
  </si>
  <si>
    <t xml:space="preserve">Weighbridge price per ton (effective v29 values; not used while the switch is 0)</t>
  </si>
  <si>
    <t xml:space="preserve">Calculation_FSL!J142:K142 = Input!K227:L227 (2024-25); L142 = 2,000 typed, M142:V142 = prior year</t>
  </si>
  <si>
    <t xml:space="preserve">v29 source issue: J142:K142 point at Input!K227:L227 = Teluk Lamong employee-cost growth baseline (3.5%), not a price; the effective values are reproduced as-is because the row is inert (x 0).</t>
  </si>
  <si>
    <t xml:space="preserve">5. Cost drivers</t>
  </si>
  <si>
    <t xml:space="preserve">Handling cost per ton (v29 'Cost of Sales' 300 IDR/MT; posted as operating expenses in the standalone block)</t>
  </si>
  <si>
    <t xml:space="preserve">Calculation_FSL!F147 (row 147 = -F147 x row 133 / Billion x Month_Year x row 129)</t>
  </si>
  <si>
    <t xml:space="preserve">Output_Standalone (IDR) row 48 (Operating Expenses) = Calculation_FSL row 147 -&gt; effective classification is opex.</t>
  </si>
  <si>
    <t xml:space="preserve">6. Capex allocation — percentages apply to TOTAL project capex (USD m); pre-2024 column = spend before FY2024 (sunk)</t>
  </si>
  <si>
    <t xml:space="preserve">Input!M1264 (= INDEX baseline Input!M1265 = (7.5 + Input!K1276 legal fee 0.0246) / 2); Calculation_FSL!L1478; F151</t>
  </si>
  <si>
    <t xml:space="preserve">Single FY2026 spend depreciated from the 2027 operating year: 3.7623 x 0.63 / 20 + 3.7623 x 0.37 / 10 USD m x USD_IDR = 4.19177 IDR bn p.a. (Calculation_FSL rows 153/158). v29 treats the asset as 100% FSL although it sits at the 65%-owned NPLOG terminal.</t>
  </si>
  <si>
    <t xml:space="preserve">v29 timing: Input!M1264 (FY2026 only); Calculation_FSL row 1478</t>
  </si>
  <si>
    <t xml:space="preserve">Calculation_FSL!F152 (equipment = F157 = 1 - F152 = 37%)</t>
  </si>
  <si>
    <t xml:space="preserve">Calculation_FSL!E151 (building 20) / E156 (equipment 10)</t>
  </si>
  <si>
    <t xml:space="preserve">P04 Teluk Lamong Silo — CALCULATION</t>
  </si>
  <si>
    <t xml:space="preserve">C. Revenue — silo bagging / storage</t>
  </si>
  <si>
    <t xml:space="preserve">Silo capacity per month = number of silos x capacity per silo</t>
  </si>
  <si>
    <t xml:space="preserve">Calculation_FSL row 133 (= row 137 'Total Volume'; 17,000 t/month, constant in all years)</t>
  </si>
  <si>
    <t xml:space="preserve">Annual volume = monthly capacity x months x operating flag</t>
  </si>
  <si>
    <t xml:space="preserve">Derived: v29 keeps the monthly figure in row 133/137 and applies Month_Year (12) inside the revenue and cost formulas (rows 135, 147)</t>
  </si>
  <si>
    <t xml:space="preserve">Fee per ton per month</t>
  </si>
  <si>
    <t xml:space="preserve">Calculation_FSL row 134</t>
  </si>
  <si>
    <t xml:space="preserve">Revenue bagging = annual volume x fee / 1e9</t>
  </si>
  <si>
    <t xml:space="preserve">Calculation_FSL row 135 (= 17,000 x 65,000 / Billion x flag x 12 = 13.26 p.a. from 2027) -&gt; Output_Standalone (IDR) row 44</t>
  </si>
  <si>
    <t xml:space="preserve">D. Revenue — weighbridge (nil in v29)</t>
  </si>
  <si>
    <t xml:space="preserve">Weighbridge price per ton</t>
  </si>
  <si>
    <t xml:space="preserve">Calculation_FSL row 142</t>
  </si>
  <si>
    <t xml:space="preserve">Revenue weighbridge = monthly capacity x price / 1e9 x forecast flag x switch</t>
  </si>
  <si>
    <t xml:space="preserve">Calculation_FSL row 143 (= row 141 x row 142 / Billion x J$12 x 0): v29 uses the MONTHLY tonnage without x12 and without the operating flag; nil because of the x0</t>
  </si>
  <si>
    <t xml:space="preserve">E. Revenue — total</t>
  </si>
  <si>
    <t xml:space="preserve">Total revenue = bagging + weighbridge</t>
  </si>
  <si>
    <t xml:space="preserve">Output_Standalone (IDR) row 44 links to the bagging row only; the weighbridge row is nil in v29</t>
  </si>
  <si>
    <t xml:space="preserve">F. Cost of sales</t>
  </si>
  <si>
    <t xml:space="preserve">Cost of sales — nil in v29 (standalone block links to an empty header row)</t>
  </si>
  <si>
    <t xml:space="preserve">v29 source issue: Output_Standalone (IDR) row 45 = -Calculation_FSL!J62 x $F$19; row 62 is the empty header '5. Security Expense' of the Teluk Lamong block -&gt; 0</t>
  </si>
  <si>
    <t xml:space="preserve">G. Operating expenses</t>
  </si>
  <si>
    <t xml:space="preserve">Handling cost = cost per ton x annual volume / 1e9 (v29 'Cost of Sales', posted as opex)</t>
  </si>
  <si>
    <t xml:space="preserve">Calculation_FSL row 147 (= -300 x 17,000 / Billion x 12 x flag = -0.0612 p.a. from 2027) -&gt; Output_Standalone (IDR) row 48</t>
  </si>
  <si>
    <t xml:space="preserve">Operating expenses (total)</t>
  </si>
  <si>
    <t xml:space="preserve">Output_Standalone (IDR) row 48 = Calculation_FSL row 147</t>
  </si>
  <si>
    <t xml:space="preserve">H. Capex, depreciation and fixed assets (project)</t>
  </si>
  <si>
    <t xml:space="preserve">I. Working capital (days from Global Inputs)</t>
  </si>
  <si>
    <t xml:space="preserve">P04 Teluk Lamong Silo — OUTPUT</t>
  </si>
  <si>
    <t xml:space="preserve">P05 Dumai bagging &amp; weighbridge — INPUT</t>
  </si>
  <si>
    <t xml:space="preserve">Dumai bagging &amp; weighbridge — FKS Sinar Lautan (FSL) — Dumai, Riau — Planned project. IDR bn unless stated. Blue = input; black = formula; green = link.</t>
  </si>
  <si>
    <t xml:space="preserve">P05</t>
  </si>
  <si>
    <t xml:space="preserve">Dumai bagging &amp; weighbridge</t>
  </si>
  <si>
    <t xml:space="preserve">FKS Sinar Lautan (FSL) — Dumai, Riau</t>
  </si>
  <si>
    <t xml:space="preserve">Calculation_FSL rows 168-218</t>
  </si>
  <si>
    <t xml:space="preserve">Input rows 1257-1261 (capex only; operating assumptions typed in Calculation_FSL)</t>
  </si>
  <si>
    <t xml:space="preserve">Output_Standalone (IDR) rows 66-87</t>
  </si>
  <si>
    <t xml:space="preserve">Output_FSL!F30 (= 1)</t>
  </si>
  <si>
    <t xml:space="preserve">Calculation_FSL!F170</t>
  </si>
  <si>
    <t xml:space="preserve">Bagging and weighbridge operating from FY2026 (row 170 flag).</t>
  </si>
  <si>
    <t xml:space="preserve">Bagging volume (also the weighbridge volume)</t>
  </si>
  <si>
    <t xml:space="preserve">Calculation_FSL!L174:U174 (typed; V174 = U174; J174:K174 blank = 0)</t>
  </si>
  <si>
    <t xml:space="preserve">Typed in the calculation sheet, not on the Input sheet (F174 = Input!J267 is a stale Cigading reference = 0, unused). Steps +3% in FY2029 and FY2033. v29 row 182 sets the weighbridge volume equal to the bagging volume.</t>
  </si>
  <si>
    <t xml:space="preserve">Bagging tariff</t>
  </si>
  <si>
    <t xml:space="preserve">Calculation_FSL!L175:V175 (typed); J175:K175 = Input!K261:L261 (empty Cigading cells = 0)</t>
  </si>
  <si>
    <t xml:space="preserve">Steps +4% in FY2029 and FY2033. The 2024-25 cells reference unrelated empty Input cells; effective 0 with nil volume.</t>
  </si>
  <si>
    <t xml:space="preserve">Weighbridge tariff</t>
  </si>
  <si>
    <t xml:space="preserve">Calculation_FSL!L183 (typed 2,000; M183:V183 = previous year); J183:K183 = Input!K268:L268 (empty = 0)</t>
  </si>
  <si>
    <t xml:space="preserve">Cost of sales as % of total revenue</t>
  </si>
  <si>
    <t xml:space="preserve">Calculation_FSL!F188 (EMPTY cell -&gt; 0%)</t>
  </si>
  <si>
    <t xml:space="preserve">v29 source issue: row 188 = (bagging + WB revenue) x $F$188 and F188 was never populated, so cost of sales is nil in every year. Kept at 0% as the effective v29 assumption.</t>
  </si>
  <si>
    <t xml:space="preserve">5. Operating expense drivers</t>
  </si>
  <si>
    <t xml:space="preserve">Calculation_FSL!F209 (applied to F208 = F192 = Input!J1258 = 6.80952 USD m x USD_IDR)</t>
  </si>
  <si>
    <t xml:space="preserve">0.2184% x 110.757 IDR bn = 0.241851 IDR bn p.a. from FY2026 (x row 170 operating flag).</t>
  </si>
  <si>
    <t xml:space="preserve">Operational cost (excl. depreciation &amp; insurance) as % of bagging revenue</t>
  </si>
  <si>
    <t xml:space="preserve">Calculation_FSL!L214:V214 (typed); J214:K214 = Input!K286:L286 (empty Cigading cells = 0)</t>
  </si>
  <si>
    <t xml:space="preserve">Typed year by year in v29 (47.5% FY2026 rising to 54.6% FY2036).</t>
  </si>
  <si>
    <t xml:space="preserve">Operational cost (excl. depreciation &amp; insurance) as % of weighbridge revenue</t>
  </si>
  <si>
    <t xml:space="preserve">Calculation_FSL!L216:V216 (typed); J216 = Input!K288 (= 0.659907, Cigading 'Ops other expense' actual cost), K216 = Input!L288 (= 0)</t>
  </si>
  <si>
    <t xml:space="preserve">v29 source issue: the FY2024 cell is a stale reference to a Cigading cost input (65.99%); harmless because WB revenue is nil before FY2026. Effective values kept (19.2% FY2026 rising to 22.7% FY2036).</t>
  </si>
  <si>
    <t xml:space="preserve">Input!J1258 = SUM(K1258:W1258) = Input!M1259 (6.5 + 0.30952380952381 USD m, baseline row selected by Input!G1258 = 1)</t>
  </si>
  <si>
    <t xml:space="preserve">Percentages apply to total capex (95.2% FY2026, 4.8% FY2027 per Calculation_FSL row 1474). v29 depreciates the full amount from FY2026 (row 170) irrespective of the FY2027 spend. v29 ends the equipment charge after its 8-year life (row 197 life flag, FY2026-33 only); framework method 1 has no life-end, so the calc row dep_e_adj (hooked as da_other) reverses the equipment charge from FY2034 to make da_total / P&amp;L D&amp;A equal v29. KNOWN LIMITATION: under method 1 the framework's nbv_new and the Output line 'Fixed assets — project capex at net book value' subtract dep_new (not da_total), so they keep charging 5.53785 IDR bn p.a. of equipment depreciation in FY2034-36 and do not reflect the equipment life-end (NBV understated by 5.54 IDR bn p.a. cumulatively from FY2034; equipment NBV goes negative). Under method 2 the adjustment is nil and NBV ties. Framework fix requested: method-1 dep_b/dep_e x life flag; then drop op_years/equip_life_flag/dep_e_adj and set da_other = None.</t>
  </si>
  <si>
    <t xml:space="preserve">v29 timing: Calculation_FSL!L1474 = 6.48452380952381 (FY2026) and M1474 = 0.325 (FY2027), typed; Input!M1258 shows the full amount in FY2026</t>
  </si>
  <si>
    <t xml:space="preserve">Calculation_FSL!F193 (equipment = F198 = 40%)</t>
  </si>
  <si>
    <t xml:space="preserve">Calculation_FSL!E192 (building 20 yrs) / E197 (equipment 8 yrs)</t>
  </si>
  <si>
    <t xml:space="preserve">P05 Dumai bagging &amp; weighbridge — CALCULATION</t>
  </si>
  <si>
    <t xml:space="preserve">Bagging volume = input x operating flag</t>
  </si>
  <si>
    <t xml:space="preserve">Calculation_FSL row 174 (v29 leaves 2024-25 blank instead of applying row 170; identical values)</t>
  </si>
  <si>
    <t xml:space="preserve">Calculation_FSL row 175</t>
  </si>
  <si>
    <t xml:space="preserve">Bagging revenue = volume x tariff / 1e9</t>
  </si>
  <si>
    <t xml:space="preserve">Calculation_FSL row 176</t>
  </si>
  <si>
    <t xml:space="preserve">Weighbridge volume = bagging volume</t>
  </si>
  <si>
    <t xml:space="preserve">Calculation_FSL row 182 (= row 174)</t>
  </si>
  <si>
    <t xml:space="preserve">Calculation_FSL row 183</t>
  </si>
  <si>
    <t xml:space="preserve">Weighbridge revenue = volume x tariff / 1e9</t>
  </si>
  <si>
    <t xml:space="preserve">Calculation_FSL row 184</t>
  </si>
  <si>
    <t xml:space="preserve">Output_Standalone (IDR) row 68 = Calculation_FSL row 176 + row 184</t>
  </si>
  <si>
    <t xml:space="preserve">Cost of sales = total revenue x %</t>
  </si>
  <si>
    <t xml:space="preserve">Calculation_FSL row 188 (x empty $F$188 -&gt; nil)</t>
  </si>
  <si>
    <t xml:space="preserve">Calculation_FSL row 210</t>
  </si>
  <si>
    <t xml:space="preserve">Operational cost on bagging = bagging revenue x %</t>
  </si>
  <si>
    <t xml:space="preserve">Calculation_FSL row 213 x row 214</t>
  </si>
  <si>
    <t xml:space="preserve">Operational cost on weighbridge = WB revenue x %</t>
  </si>
  <si>
    <t xml:space="preserve">Calculation_FSL row 215 x row 216</t>
  </si>
  <si>
    <t xml:space="preserve">Operational cost (excl. depreciation &amp; insurance)</t>
  </si>
  <si>
    <t xml:space="preserve">Calculation_FSL row 217</t>
  </si>
  <si>
    <t xml:space="preserve">Total operating expenses = insurance + operational cost</t>
  </si>
  <si>
    <t xml:space="preserve">Output_Standalone (IDR) row 72 = -(Calculation_FSL row 210 + row 217)</t>
  </si>
  <si>
    <t xml:space="preserve">F. Depreciation</t>
  </si>
  <si>
    <t xml:space="preserve">Cumulative operating years (v29 SUM($J$170:J170))</t>
  </si>
  <si>
    <t xml:space="preserve">Calculation_FSL row 197 argument</t>
  </si>
  <si>
    <t xml:space="preserve">Equipment within its useful life (1 while 1 &lt;= cumulative operating years &lt;= equipment life)</t>
  </si>
  <si>
    <t xml:space="preserve">Calculation_FSL row 197 (= 1 in 2026-2033 only)</t>
  </si>
  <si>
    <t xml:space="preserve">Adjustment: equipment depreciation ceases after its useful life (reverses the open-ended method-1 charge; nil under method 2)</t>
  </si>
  <si>
    <t xml:space="preserve">v29 row 199 = equipment charge x row 197 life flag -&gt; 5.53785 IDR bn 2026-2033, nil from 2034. Negative by construction: it is netted into da_total (P&amp;L D&amp;A correct). Workaround for a framework limitation: nbv_new / balance-sheet PPE subtract dep_new only, so under method 1 they do NOT reflect the equipment life-end (see module docstring). Remove once framework method 1 applies a life flag to dep_b/dep_e.</t>
  </si>
  <si>
    <t xml:space="preserve">P05 Dumai bagging &amp; weighbridge — OUTPUT</t>
  </si>
  <si>
    <t xml:space="preserve">P06 Ciwandan Expansion — INPUT</t>
  </si>
  <si>
    <t xml:space="preserve">Ciwandan Expansion — FSL Ciwandan expansion (Banten) — 100% FSL in v29 — Planned project. IDR bn unless stated. Blue = input; black = formula; green = link.</t>
  </si>
  <si>
    <t xml:space="preserve">P06</t>
  </si>
  <si>
    <t xml:space="preserve">Ciwandan Expansion</t>
  </si>
  <si>
    <t xml:space="preserve">FSL Ciwandan expansion (Banten) — 100% FSL in v29</t>
  </si>
  <si>
    <t xml:space="preserve">Calculation_FSL rows 508-546</t>
  </si>
  <si>
    <t xml:space="preserve">Input rows 482-527</t>
  </si>
  <si>
    <t xml:space="preserve">Output_Standalone (IDR) rows 275-296</t>
  </si>
  <si>
    <t xml:space="preserve">Output_FSL!F38 (= 1)</t>
  </si>
  <si>
    <t xml:space="preserve">Calculation_FSL!F510</t>
  </si>
  <si>
    <t xml:space="preserve">Ciwandan expansion operating (revenue, costs and depreciation) from FY2028; capex spent in FY2026-FY2027.</t>
  </si>
  <si>
    <t xml:space="preserve">Base volume in the first operating year (FY2028)</t>
  </si>
  <si>
    <t xml:space="preserve">Calculation_FSL!F514 (= Input!J490*0 + 1,600,000)</t>
  </si>
  <si>
    <t xml:space="preserve">v29 overrides the 1.9 m t in Input!J490 with a typed 1.6 m t (the Input value is multiplied by 0); the typed value is the effective assumption. Calculation_SOEs row 413 still uses 1.9 m t but is not read by the FSL standalone block.</t>
  </si>
  <si>
    <t xml:space="preserve">Input!K485:W485 (INDEX of baseline row 486: 10% 2027-2031, 6% 2032-2036)</t>
  </si>
  <si>
    <t xml:space="preserve">Row 513 applies the growth of the year to the prior index from 2029 (index = 1 in 2028).</t>
  </si>
  <si>
    <t xml:space="preserve">ASP (average selling price per ton)</t>
  </si>
  <si>
    <t xml:space="preserve">Input!K492:W492 (selector Input!G492 = 2 -&gt; row 494: O494 = 36,411.15 typed; P494:W494 = prior x (1 + row 496 baseline growth, lagged one year))</t>
  </si>
  <si>
    <t xml:space="preserve">Second ASP row selected (not the 40,944 baseline row 493). Step-ups x1.2 in 2029, x1.1 in 2031, x1.06 in 2033 and 2035 follow the baseline tariff steps one year late.</t>
  </si>
  <si>
    <t xml:space="preserve">4. Capex allocation — percentages apply to TOTAL project capex (USD m); pre-2024 column = spend before FY2024 (sunk)</t>
  </si>
  <si>
    <t xml:space="preserve">Input!M499:N499 (= INDEX baseline Input!M500:N500 = (5 + Input!K1276 legal fee 0.0246) / 2 = 2.51230 each); Calculation_FSL row 1479 (x Output_FSL!F38 = 1); Calculation_FSL!F524 = SUM(I1479:V1479) = 5.02459</t>
  </si>
  <si>
    <t xml:space="preserve">Two equal spends (FY2026, FY2027) depreciated from the 2028 operating year: 5.02459 x 0.5 / 20 + 5.02459 x 0.5 / 8 USD m x USD_IDR = 2.04312 + 5.10781 = 7.15094 IDR bn p.a. (Calculation_FSL rows 526/531). v29 keeps charging the 8-year equipment depreciation in 2036 (no end within the horizon).</t>
  </si>
  <si>
    <t xml:space="preserve">v29 timing: Input!M499 (FY2026) and N499 (FY2027), equal halves; Calculation_FSL row 1479</t>
  </si>
  <si>
    <t xml:space="preserve">Input!J504 (-&gt; Calculation_FSL!F525); equipment Input!J505 (-&gt; F530) = 50%</t>
  </si>
  <si>
    <t xml:space="preserve">Input!J507 (building 20, -&gt; Calculation_FSL!E524) / Input!J508 (equipment 8, -&gt; E529)</t>
  </si>
  <si>
    <t xml:space="preserve">P06 Ciwandan Expansion — CALCULATION</t>
  </si>
  <si>
    <t xml:space="preserve">Calculation_FSL row 513</t>
  </si>
  <si>
    <t xml:space="preserve">Volume handled = base x index</t>
  </si>
  <si>
    <t xml:space="preserve">Calculation_FSL row 514 (= row 518 'Total Volume')</t>
  </si>
  <si>
    <t xml:space="preserve">ASP</t>
  </si>
  <si>
    <t xml:space="preserve">Calculation_FSL row 515</t>
  </si>
  <si>
    <t xml:space="preserve">Revenue = volume x ASP / 1e9</t>
  </si>
  <si>
    <t xml:space="preserve">Calculation_FSL row 516 -&gt; Output_Standalone (IDR) row 277</t>
  </si>
  <si>
    <t xml:space="preserve">Cigading existing terminal — revenue (link)</t>
  </si>
  <si>
    <t xml:space="preserve">Calculation_FSL row 260</t>
  </si>
  <si>
    <t xml:space="preserve">Cigading existing terminal — cost of sales excl. depreciation (link)</t>
  </si>
  <si>
    <t xml:space="preserve">Calculation_FSL row 264 'Cost of Sales - Non Depre'</t>
  </si>
  <si>
    <t xml:space="preserve">Cost of sales proportion vs existing = existing cost of sales / existing revenue</t>
  </si>
  <si>
    <t xml:space="preserve">Calculation_FSL row 534 (= IFERROR(J264/J260, 0)); 0.2585 in 2028 ... 0.2292 in 2036</t>
  </si>
  <si>
    <t xml:space="preserve">Other cost of sales = proportion x revenue</t>
  </si>
  <si>
    <t xml:space="preserve">Calculation_FSL rows 535-536 -&gt; row 522 -&gt; Output_Standalone (IDR) row 278 (depreciation is NOT in this line; it is in row 520)</t>
  </si>
  <si>
    <t xml:space="preserve">Cigading existing terminal — operating cost excl. depreciation (link)</t>
  </si>
  <si>
    <t xml:space="preserve">Calculation_FSL row 340 'Operating Cost - Non Depre'</t>
  </si>
  <si>
    <t xml:space="preserve">Cigading existing terminal — G&amp;A depreciation (link; v29 adds it back into the opex ratio)</t>
  </si>
  <si>
    <t xml:space="preserve">Calculation_FSL row 347 'Depreciation - G&amp;A (fixed)'</t>
  </si>
  <si>
    <t xml:space="preserve">Opex proportion to revenue = (existing operating cost + existing G&amp;A depreciation) / existing revenue</t>
  </si>
  <si>
    <t xml:space="preserve">Calculation_FSL row 540 (= IFERROR((J340+J347)/J260, 0)); 0.1732 in 2028 ... 0.1426 in 2036</t>
  </si>
  <si>
    <t xml:space="preserve">Operating expenses = proportion x revenue</t>
  </si>
  <si>
    <t xml:space="preserve">Calculation_FSL rows 541-542 -&gt; Output_Standalone (IDR) row 281</t>
  </si>
  <si>
    <t xml:space="preserve">P06 Ciwandan Expansion — OUTPUT</t>
  </si>
  <si>
    <t xml:space="preserve">P08 DMS trucking fee (Teluk Lamong, Cigading, Ciwandan, Belawan) — INPUT</t>
  </si>
  <si>
    <t xml:space="preserve">DMS trucking fee (Teluk Lamong, Cigading, Ciwandan, Belawan) — PT FKS Multi Agro / DMS trucking partnership with the port operators (Pelindo, KBS, SOE partner) — Planned project. IDR bn unless stated. Blue = input; black = formula; green = link.</t>
  </si>
  <si>
    <t xml:space="preserve">P08</t>
  </si>
  <si>
    <t xml:space="preserve">DMS trucking fee (Teluk Lamong, Cigading, Ciwandan, Belawan)</t>
  </si>
  <si>
    <t xml:space="preserve">PT FKS Multi Agro / DMS trucking partnership with the port operators (Pelindo, KBS, SOE partner)</t>
  </si>
  <si>
    <t xml:space="preserve">Calculation_FSL rows 220-250 (TTL), 474-503 (Cigading), 548-578 (Ciwandan), 697-727 (Belawan)</t>
  </si>
  <si>
    <t xml:space="preserve">none — all drivers typed in Calculation_FSL (Input!J1264 referenced with a 0% proportion)</t>
  </si>
  <si>
    <t xml:space="preserve">Output_Standalone (IDR) rows 505-526 (DMS All; sub-blocks 90-111, 229-250, 298-319, 344-365)</t>
  </si>
  <si>
    <t xml:space="preserve">Output_FSL!F36 (= 1)</t>
  </si>
  <si>
    <t xml:space="preserve">Calculation_FSL!F223 (TTL), F477 (Cigading), F700 (Belawan); Ciwandan F551 = 2028</t>
  </si>
  <si>
    <t xml:space="preserve">First DMS revenue year (three sites in 2027; Ciwandan follows in 2028 — per-site start years are inputs below).</t>
  </si>
  <si>
    <t xml:space="preserve">3. Site start years</t>
  </si>
  <si>
    <t xml:space="preserve">Teluk Lamong — first operating year of the DMS trucking service</t>
  </si>
  <si>
    <t xml:space="preserve">Calculation_FSL!F223</t>
  </si>
  <si>
    <t xml:space="preserve">v29 applies the flag to the volume (row 227) and again to the revenue (row 230).</t>
  </si>
  <si>
    <t xml:space="preserve">Cigading — first operating year of the DMS trucking service</t>
  </si>
  <si>
    <t xml:space="preserve">Calculation_FSL!F477</t>
  </si>
  <si>
    <t xml:space="preserve">v29 applies the flag to the volume (row 481); the revenue row 484 carries no flag.</t>
  </si>
  <si>
    <t xml:space="preserve">Ciwandan — first operating year of the DMS trucking service</t>
  </si>
  <si>
    <t xml:space="preserve">Calculation_FSL!F551</t>
  </si>
  <si>
    <t xml:space="preserve">v29 applies no site flag to the Ciwandan revenue (rows 555-562): the volume is nil before 2028 because the Ciwandan expansion (P06) starts in 2028. The flag is used for depreciation (row 572).</t>
  </si>
  <si>
    <t xml:space="preserve">Belawan — first operating year of the DMS trucking service</t>
  </si>
  <si>
    <t xml:space="preserve">Calculation_FSL!F700</t>
  </si>
  <si>
    <t xml:space="preserve">v29 applies the flag to the revenue (row 707); the volume row 704 (= E3 volume) is not flagged.</t>
  </si>
  <si>
    <t xml:space="preserve">4. Revenue drivers</t>
  </si>
  <si>
    <t xml:space="preserve">Teluk Lamong — volume not trucked by DMS ('IWF'), deducted from the terminal volume</t>
  </si>
  <si>
    <t xml:space="preserve">Calculation_FSL!F222 (row 222 = rows 22 + 27 + 32 - $F$222)</t>
  </si>
  <si>
    <t xml:space="preserve">Rows 22 + 27 + 32 = Teluk Lamong meals + grains + additional grains volume = E1 total volume (linked in the calc sheet).</t>
  </si>
  <si>
    <t xml:space="preserve">Cigading — base volume trucked (typed KBS-warehouse volume, before indexation)</t>
  </si>
  <si>
    <t xml:space="preserve">Calculation_FSL!$F$445 (= Calculation_SOEs!F369*0 + 1.7*Million), referenced by row 481</t>
  </si>
  <si>
    <t xml:space="preserve">v29 grows this base with the Cigading EXISTING terminal volume index (row 255 = E2 index, 3% p.a. from 2025), not with the KBS-warehouse index (row 444). Row 476 'Total Cigading Volume' = SUM(J389, J284:J286) sums a capex cell and revenue rows and is not used by the block.</t>
  </si>
  <si>
    <t xml:space="preserve">DMS service fee — % of the trucking cost per ton earned as revenue (all four sites)</t>
  </si>
  <si>
    <t xml:space="preserve">Calculation_FSL!$F$483 (rows 229, 483, 557 and 706 all reference $F$483)</t>
  </si>
  <si>
    <t xml:space="preserve">Teluk Lamong — trucking cost per ton (fee base)</t>
  </si>
  <si>
    <t xml:space="preserve">Calculation_FSL!F228 (J228:V228 = $F228)</t>
  </si>
  <si>
    <t xml:space="preserve">Fee per ton = trucking cost x service fee (Calculation_FSL row 229).</t>
  </si>
  <si>
    <t xml:space="preserve">Teluk Lamong — FKS share of the DMS service fee (partner keeps the remainder)</t>
  </si>
  <si>
    <t xml:space="preserve">Calculation_FSL!F233 (Pelindo share F232 = 1 - F233)</t>
  </si>
  <si>
    <t xml:space="preserve">Cigading — trucking cost per ton (fee base)</t>
  </si>
  <si>
    <t xml:space="preserve">Calculation_FSL!F482 (J482:V482 = $F$482; labelled 'Ton/Month' but applied as IDR/t)</t>
  </si>
  <si>
    <t xml:space="preserve">Fee per ton = trucking cost x service fee (Calculation_FSL row 483).</t>
  </si>
  <si>
    <t xml:space="preserve">Cigading — FKS share of the DMS service fee (partner keeps the remainder)</t>
  </si>
  <si>
    <t xml:space="preserve">Calculation_FSL!F487 (= 1 - F486 KBS portion 50%)</t>
  </si>
  <si>
    <t xml:space="preserve">Ciwandan — trucking cost per ton (fee base)</t>
  </si>
  <si>
    <t xml:space="preserve">Calculation_FSL!F556 (J556:V556 = $F$556)</t>
  </si>
  <si>
    <t xml:space="preserve">Fee per ton = trucking cost x service fee (Calculation_FSL row 557).</t>
  </si>
  <si>
    <t xml:space="preserve">Ciwandan — FKS share of the DMS service fee (partner keeps the remainder)</t>
  </si>
  <si>
    <t xml:space="preserve">Calculation_FSL!F561 (= 1 - F560 SOE share 50%)</t>
  </si>
  <si>
    <t xml:space="preserve">Belawan — trucking cost per ton (fee base)</t>
  </si>
  <si>
    <t xml:space="preserve">Calculation_FSL!F705 (J705:V705 = $F705)</t>
  </si>
  <si>
    <t xml:space="preserve">Fee per ton = trucking cost x service fee (Calculation_FSL row 706).</t>
  </si>
  <si>
    <t xml:space="preserve">Belawan — FKS share of the DMS service fee (partner keeps the remainder)</t>
  </si>
  <si>
    <t xml:space="preserve">Calculation_FSL!F710 (Pelindo share F709 = 1 - F710)</t>
  </si>
  <si>
    <t xml:space="preserve">Operating expenses — % of FKS revenue (all four sites)</t>
  </si>
  <si>
    <t xml:space="preserve">Calculation_FSL!F239, F493, F567, F716 (each typed 20%)</t>
  </si>
  <si>
    <t xml:space="preserve">Cost of sales is nil in v29: rows 238, 492, 566 and 715 multiply an empty cell (column F) by Calculation_FSL row 453 (KBS warehouse FKS revenue); Output_Standalone Cost of Sales rows 93 / 232 / 301 / 347 are blank. Not modelled.</t>
  </si>
  <si>
    <t xml:space="preserve">6. Depreciation of DMS equipment (no capex in v29 — source issue C08)</t>
  </si>
  <si>
    <t xml:space="preserve">Useful life of the DMS equipment</t>
  </si>
  <si>
    <t xml:space="preserve">Calculation_FSL!E242 (= E496 = E570 = E719)</t>
  </si>
  <si>
    <t xml:space="preserve">v29 source issue: the annual charge (amount / 5) is applied in every year from the site start to 2036 and never stops after the 5-year life (no net-book-value cap); reproduced as effective behaviour.</t>
  </si>
  <si>
    <t xml:space="preserve">Teluk Lamong — DMS equipment depreciated by v29 (no capex cash flow — source issue C08)</t>
  </si>
  <si>
    <t xml:space="preserve">Calculation_FSL!F242 (= 40000/Million)</t>
  </si>
  <si>
    <t xml:space="preserve">v29 source issue C08: depreciated in Calculation_FSL row 244 but absent from the v29 investment schedule (rows 1474-1481). The depreciation flag in v29 is the KBS-warehouse operation period (row 441 = 2027); the site flag reproduces the same values. Equipment row 247 references Input!$J$1264 (Teluk Lamong silo capex 3.7623 USD m) with proportion 0 -&gt; nil.</t>
  </si>
  <si>
    <t xml:space="preserve">Cigading — DMS equipment depreciated by v29 (no capex cash flow — source issue C08)</t>
  </si>
  <si>
    <t xml:space="preserve">Calculation_FSL!F496 (= 40000/Million)</t>
  </si>
  <si>
    <t xml:space="preserve">v29 source issue C08: depreciated in Calculation_FSL row 498 but absent from the v29 investment schedule (rows 1474-1481). The depreciation flag in v29 is the KBS-warehouse operation period (row 441 = 2027); the site flag reproduces the same values. Equipment row 501 references Input!$J$1264 (Teluk Lamong silo capex 3.7623 USD m) with proportion 0 -&gt; nil.</t>
  </si>
  <si>
    <t xml:space="preserve">Ciwandan — DMS equipment depreciated by v29 (no capex cash flow — source issue C08)</t>
  </si>
  <si>
    <t xml:space="preserve">Calculation_FSL!F570 (= 30000/Million)</t>
  </si>
  <si>
    <t xml:space="preserve">v29 source issue C08: depreciated in Calculation_FSL row 572 but absent from the v29 investment schedule (rows 1474-1481). The depreciation flag in v29 is the KBS-warehouse operation period (row 441 = 2027) x the Ciwandan site flag (row 551 = 2028); the site flag reproduces the same values. Equipment row 575 is empty -&gt; nil.</t>
  </si>
  <si>
    <t xml:space="preserve">Belawan — DMS equipment depreciated by v29 (no capex cash flow — source issue C08)</t>
  </si>
  <si>
    <t xml:space="preserve">Calculation_FSL!F719 (= 40000/Million)</t>
  </si>
  <si>
    <t xml:space="preserve">v29 source issue C08: depreciated in Calculation_FSL row 721 but absent from the v29 investment schedule (rows 1474-1481). The depreciation flag in v29 is the KBS-warehouse operation period (row 441 = 2027); the site flag reproduces the same values. Equipment row 724 references Input!$J$1264 (Teluk Lamong silo capex 3.7623 USD m) with proportion 0 -&gt; nil.</t>
  </si>
  <si>
    <t xml:space="preserve">P08 DMS trucking fee (Teluk Lamong, Cigading, Ciwandan, Belawan) — CALCULATION</t>
  </si>
  <si>
    <t xml:space="preserve">C. Teluk Lamong — DMS trucking</t>
  </si>
  <si>
    <t xml:space="preserve">Teluk Lamong — site operating flag (1 from the site start year)</t>
  </si>
  <si>
    <t xml:space="preserve">Teluk Lamong — Teluk Lamong terminal volume — meals + grains + additional grains (link to E1; Calculation_FSL rows 22 + 27 + 32)</t>
  </si>
  <si>
    <t xml:space="preserve">Teluk Lamong — Volume trucked = (terminal volume - IWF deduction) x site flag</t>
  </si>
  <si>
    <t xml:space="preserve">Teluk Lamong — fee per ton = trucking cost/t x service fee</t>
  </si>
  <si>
    <t xml:space="preserve">Teluk Lamong — gross service fee = volume x fee/t / 1e9</t>
  </si>
  <si>
    <t xml:space="preserve">Teluk Lamong — FKS revenue = gross fee x FKS share</t>
  </si>
  <si>
    <t xml:space="preserve">Teluk Lamong — operating expenses = FKS revenue x %</t>
  </si>
  <si>
    <t xml:space="preserve">Teluk Lamong — depreciation of DMS equipment = USD m x fx / 1000 / life x site flag</t>
  </si>
  <si>
    <t xml:space="preserve">No capex cash flow in v29 (C08); the charge does not stop after the useful life, as in v29.</t>
  </si>
  <si>
    <t xml:space="preserve">D. Cigading — DMS trucking</t>
  </si>
  <si>
    <t xml:space="preserve">Cigading — site operating flag (1 from the site start year)</t>
  </si>
  <si>
    <t xml:space="preserve">Cigading — Cigading existing-terminal volume index (link to E2; Calculation_FSL row 255, 1.00 in FY2023)</t>
  </si>
  <si>
    <t xml:space="preserve">Cigading — Volume trucked = base volume x Cigading existing index x site flag</t>
  </si>
  <si>
    <t xml:space="preserve">Cigading — fee per ton = trucking cost/t x service fee</t>
  </si>
  <si>
    <t xml:space="preserve">Cigading — gross service fee = volume x fee/t / 1e9</t>
  </si>
  <si>
    <t xml:space="preserve">Cigading — FKS revenue = gross fee x FKS share</t>
  </si>
  <si>
    <t xml:space="preserve">Cigading — operating expenses = FKS revenue x %</t>
  </si>
  <si>
    <t xml:space="preserve">Cigading — depreciation of DMS equipment = USD m x fx / 1000 / life x site flag</t>
  </si>
  <si>
    <t xml:space="preserve">E. Ciwandan — DMS trucking</t>
  </si>
  <si>
    <t xml:space="preserve">Ciwandan — site operating flag (1 from the site start year)</t>
  </si>
  <si>
    <t xml:space="preserve">Ciwandan — Ciwandan expansion volume (link to P06; Calculation_FSL row 514)</t>
  </si>
  <si>
    <t xml:space="preserve">Ciwandan — Volume trucked = Ciwandan expansion volume x site flag</t>
  </si>
  <si>
    <t xml:space="preserve">Ciwandan — fee per ton = trucking cost/t x service fee</t>
  </si>
  <si>
    <t xml:space="preserve">Ciwandan — gross service fee = volume x fee/t / 1e9</t>
  </si>
  <si>
    <t xml:space="preserve">Ciwandan — FKS revenue = gross fee x FKS share</t>
  </si>
  <si>
    <t xml:space="preserve">Ciwandan — operating expenses = FKS revenue x %</t>
  </si>
  <si>
    <t xml:space="preserve">Ciwandan — depreciation of DMS equipment = USD m x fx / 1000 / life x site flag</t>
  </si>
  <si>
    <t xml:space="preserve">F. Belawan — DMS trucking</t>
  </si>
  <si>
    <t xml:space="preserve">Belawan — site operating flag (1 from the site start year)</t>
  </si>
  <si>
    <t xml:space="preserve">Belawan — Belawan existing-terminal volume, excl. expansion (link to E3; Calculation_FSL row 586)</t>
  </si>
  <si>
    <t xml:space="preserve">Belawan — Volume trucked = Belawan existing volume x site flag</t>
  </si>
  <si>
    <t xml:space="preserve">Belawan — fee per ton = trucking cost/t x service fee</t>
  </si>
  <si>
    <t xml:space="preserve">Belawan — gross service fee = volume x fee/t / 1e9</t>
  </si>
  <si>
    <t xml:space="preserve">Belawan — FKS revenue = gross fee x FKS share</t>
  </si>
  <si>
    <t xml:space="preserve">Belawan — operating expenses = FKS revenue x %</t>
  </si>
  <si>
    <t xml:space="preserve">Belawan — depreciation of DMS equipment = USD m x fx / 1000 / life x site flag</t>
  </si>
  <si>
    <t xml:space="preserve">G. DMS total (four sites)</t>
  </si>
  <si>
    <t xml:space="preserve">Total volume trucked (four sites)</t>
  </si>
  <si>
    <t xml:space="preserve">Total gross DMS service fee (before partner shares)</t>
  </si>
  <si>
    <t xml:space="preserve">Total FKS revenue</t>
  </si>
  <si>
    <t xml:space="preserve">Total depreciation of DMS equipment (no project capex)</t>
  </si>
  <si>
    <t xml:space="preserve">P08 DMS trucking fee (Teluk Lamong, Cigading, Ciwandan, Belawan) — OUTPUT</t>
  </si>
  <si>
    <t xml:space="preserve">P12 BUMN operatorship schemes (Pelindo Teluk Lamong, KBS Cigading, Pelindo Belawan) — INPUT</t>
  </si>
  <si>
    <t xml:space="preserve">BUMN operatorship schemes (Pelindo Teluk Lamong, KBS Cigading, Pelindo Belawan) — PT FKS Sinar Logistik (FSL) with Pelindo (Teluk Lamong, Belawan) and KBS (Cigading) — BUMN synergy. IDR bn unless stated. Blue = input; black = formula; green = link.</t>
  </si>
  <si>
    <t xml:space="preserve">P12</t>
  </si>
  <si>
    <t xml:space="preserve">BUMN operatorship schemes (Pelindo Teluk Lamong, KBS Cigading, Pelindo Belawan)</t>
  </si>
  <si>
    <t xml:space="preserve">PT FKS Sinar Logistik (FSL) with Pelindo (Teluk Lamong, Belawan) and KBS (Cigading)</t>
  </si>
  <si>
    <t xml:space="preserve">Calculation_FSL rows 1161-1445 (FKS PART rows 1404-1445); tariffs Sheet3!G4, G6, G8</t>
  </si>
  <si>
    <t xml:space="preserve">none (all drivers typed in Calculation_FSL)</t>
  </si>
  <si>
    <t xml:space="preserve">Output_Standalone (IDR) rows 183-204</t>
  </si>
  <si>
    <t xml:space="preserve">Output_FSL!F35 (= 1)</t>
  </si>
  <si>
    <t xml:space="preserve">Output_Standalone (IDR)!L185 / L189 and Calculation_FSL!L1417 (formulas exist from column L = FY2026; FY2024-25 blank)</t>
  </si>
  <si>
    <t xml:space="preserve">First revenue year of the FKS PART P&amp;L. v29 source issue: Calculation_FSL!F1163 / F1275 show an Operation Period of 2027, but those flags are not used by the FKS PART rows — the standalone P&amp;L starts in FY2026.</t>
  </si>
  <si>
    <t xml:space="preserve">3. Scheme timing and volume allocation</t>
  </si>
  <si>
    <t xml:space="preserve">Share of the additional (TBM-linked) grains volume of E1 allocated to each of grains and meals under the Pelindo scheme</t>
  </si>
  <si>
    <t xml:space="preserve">Calculation_FSL!J1215:V1215 and J1239:V1239 ('+ row 32 / 2')</t>
  </si>
  <si>
    <t xml:space="preserve">Row 32 (additional grains) is nil in v29 (switch Calculation_FSL!D5 = 0), so this allocation has no effect on the v29 result.</t>
  </si>
  <si>
    <t xml:space="preserve">4. Pelindo Teluk Lamong (NPLOG) — tariff differential (IDR/t)</t>
  </si>
  <si>
    <t xml:space="preserve">Grains — current-scheme tariff: 1. Dermaga</t>
  </si>
  <si>
    <t xml:space="preserve">Calculation_FSL!E1218 (= F1169)</t>
  </si>
  <si>
    <t xml:space="preserve">Grains — current-scheme tariff: 2. Biaya OPP/OPT</t>
  </si>
  <si>
    <t xml:space="preserve">Calculation_FSL!E1219 (= F1170)</t>
  </si>
  <si>
    <t xml:space="preserve">Grains — current-scheme tariff: 3. Ship unloader, grabber, hopper</t>
  </si>
  <si>
    <t xml:space="preserve">Calculation_FSL!E1220 (= F1171)</t>
  </si>
  <si>
    <t xml:space="preserve">Grains — current-scheme tariff: 4. Sewa conveyor</t>
  </si>
  <si>
    <t xml:space="preserve">Calculation_FSL!E1221 (= F1172)</t>
  </si>
  <si>
    <t xml:space="preserve">Grains — current-scheme tariff: 5. Throughput fee</t>
  </si>
  <si>
    <t xml:space="preserve">Calculation_FSL!E1222 (= F1173)</t>
  </si>
  <si>
    <t xml:space="preserve">Grains — current-scheme tariff: 6. Dana sosial &amp; APBMI</t>
  </si>
  <si>
    <t xml:space="preserve">Calculation_FSL!E1223 (= F1174)</t>
  </si>
  <si>
    <t xml:space="preserve">Grains — Pelindo depreciation per ton recovered under the new scheme: 2 GSU units</t>
  </si>
  <si>
    <t xml:space="preserve">Calculation_FSL!E1233 (stored as -3,175.81)</t>
  </si>
  <si>
    <t xml:space="preserve">Grains — Pelindo overhead &amp; others per ton recovered: 2 GSU units</t>
  </si>
  <si>
    <t xml:space="preserve">Calculation_FSL!F1233 (stored as -3,091.01)</t>
  </si>
  <si>
    <t xml:space="preserve">Grains — Pelindo depreciation per ton recovered: conveyor</t>
  </si>
  <si>
    <t xml:space="preserve">Calculation_FSL!E1234 (stored as -3,572.78)</t>
  </si>
  <si>
    <t xml:space="preserve">Grains — Pelindo overhead &amp; others per ton recovered: conveyor</t>
  </si>
  <si>
    <t xml:space="preserve">Calculation_FSL!F1234 (stored as -1,094.73)</t>
  </si>
  <si>
    <t xml:space="preserve">Pelindo / KBS EBIT margin retained on the new-scheme tariff components (new tariff = cost per ton / (1 - margin))</t>
  </si>
  <si>
    <t xml:space="preserve">Calculation_FSL!E1185 (-&gt; E1236, E1261, E1297)</t>
  </si>
  <si>
    <t xml:space="preserve">Grains — v29 tariff differential (current scheme - new scheme), for reconciliation only (check)</t>
  </si>
  <si>
    <t xml:space="preserve">Calculation_FSL!F1409 = E1224 - F1224 (78,259 - 61,039.53); derivation E1218:F1224 reproduced in the Calc memo rows</t>
  </si>
  <si>
    <t xml:space="preserve">Reference value only — does NOT drive revenue. Revenue uses the Calc memo derivation from the components above; the check row (derived - v29) must be nil.</t>
  </si>
  <si>
    <t xml:space="preserve">Meals — current-scheme tariff: 1. Dermaga</t>
  </si>
  <si>
    <t xml:space="preserve">Calculation_FSL!E1242 (= F1191)</t>
  </si>
  <si>
    <t xml:space="preserve">Meals — current-scheme tariff: 2. Biaya OPP/OPT</t>
  </si>
  <si>
    <t xml:space="preserve">Calculation_FSL!E1243 (= F1192)</t>
  </si>
  <si>
    <t xml:space="preserve">Meals — current-scheme tariff: 3. Ship unloader, grabber, hopper</t>
  </si>
  <si>
    <t xml:space="preserve">Calculation_FSL!E1244 (= F1193)</t>
  </si>
  <si>
    <t xml:space="preserve">Meals — current-scheme tariff: 4. Sewa conveyor</t>
  </si>
  <si>
    <t xml:space="preserve">Calculation_FSL!E1245 (= F1194)</t>
  </si>
  <si>
    <t xml:space="preserve">Meals — current-scheme tariff: 5. Throughput fee</t>
  </si>
  <si>
    <t xml:space="preserve">Calculation_FSL!E1246 (= F1195)</t>
  </si>
  <si>
    <t xml:space="preserve">Meals — current-scheme tariff: 6. Dana sosial &amp; APBMI</t>
  </si>
  <si>
    <t xml:space="preserve">Calculation_FSL!E1247 (= F1196)</t>
  </si>
  <si>
    <t xml:space="preserve">Meals — Pelindo depreciation per ton recovered under the new scheme: 2 GSU units</t>
  </si>
  <si>
    <t xml:space="preserve">Calculation_FSL!E1257 (stored as -4,339.11)</t>
  </si>
  <si>
    <t xml:space="preserve">Meals — Pelindo overhead &amp; others per ton recovered: 2 GSU units</t>
  </si>
  <si>
    <t xml:space="preserve">Calculation_FSL!F1257 (stored as -3,021.85)</t>
  </si>
  <si>
    <t xml:space="preserve">Meals — Pelindo depreciation per ton recovered: conveyor</t>
  </si>
  <si>
    <t xml:space="preserve">Calculation_FSL!E1258 (stored as -4,881.49)</t>
  </si>
  <si>
    <t xml:space="preserve">Meals — Pelindo overhead &amp; others per ton recovered: conveyor</t>
  </si>
  <si>
    <t xml:space="preserve">Calculation_FSL!F1258 (stored as -1,070.16)</t>
  </si>
  <si>
    <t xml:space="preserve">Meals — v29 tariff differential (current scheme - new scheme), for reconciliation only (check)</t>
  </si>
  <si>
    <t xml:space="preserve">Calculation_FSL!F1414 = E1248 - F1248 (84,841 - 71,600.45); derivation E1242:F1248</t>
  </si>
  <si>
    <t xml:space="preserve">5. KBS Cigading — tariff differential (IDR/t)</t>
  </si>
  <si>
    <t xml:space="preserve">KBS — current all-in stevedoring tariff (grains)</t>
  </si>
  <si>
    <t xml:space="preserve">Calculation_FSL!F1279 (Cigading existing FY2023 tariff)</t>
  </si>
  <si>
    <t xml:space="preserve">KBS — ship unloader / grabber / hopper share of the all-in tariff (balance = dermaga)</t>
  </si>
  <si>
    <t xml:space="preserve">Calculation_FSL!F1283 = F1279 x 70%; F1281 = F1279 - F1283</t>
  </si>
  <si>
    <t xml:space="preserve">KBS — depreciation per ton recovered under the new scheme: crane</t>
  </si>
  <si>
    <t xml:space="preserve">Calculation_FSL!E1320 (stored as -2,377.46)</t>
  </si>
  <si>
    <t xml:space="preserve">KBS — overhead &amp; others per ton recovered</t>
  </si>
  <si>
    <t xml:space="preserve">Calculation_FSL!F1320 = F1315 = F1291 (stored as -3,174.08)</t>
  </si>
  <si>
    <t xml:space="preserve">KBS — uplift applied to the new-scheme ship-unloader tariff (x120%)</t>
  </si>
  <si>
    <t xml:space="preserve">Calculation_FSL!F1307 ('*120%' typed inside the formula)</t>
  </si>
  <si>
    <t xml:space="preserve">KBS — v29 tariff differential (current scheme - new scheme), for reconciliation only (check)</t>
  </si>
  <si>
    <t xml:space="preserve">Calculation_FSL!F1426 = E1311 - F1311 (34,880 - 19,589.81); derivation E1305:F1311</t>
  </si>
  <si>
    <t xml:space="preserve">6. Pelindo Belawan — tariff differential (IDR/t)</t>
  </si>
  <si>
    <t xml:space="preserve">Belawan — current all-in stevedoring tariff (port + ship unloader)</t>
  </si>
  <si>
    <t xml:space="preserve">Sheet3!G4</t>
  </si>
  <si>
    <t xml:space="preserve">Belawan — current ship unloader &amp; hopper tariff</t>
  </si>
  <si>
    <t xml:space="preserve">Sheet3!G8 (-&gt; Calculation_FSL!F1348)</t>
  </si>
  <si>
    <t xml:space="preserve">Belawan — new-scheme ship unloader &amp; hopper tariff (Pelindo share)</t>
  </si>
  <si>
    <t xml:space="preserve">Calculation_FSL!F1365 (typed 12,910.74)</t>
  </si>
  <si>
    <t xml:space="preserve">Port operation tariff is unchanged under the new scheme (F1364 = F1347 = Sheet3!G6 = G4 - G8 = 26,000).</t>
  </si>
  <si>
    <t xml:space="preserve">Belawan — v29 tariff differential (current scheme - new scheme), for reconciliation only (check)</t>
  </si>
  <si>
    <t xml:space="preserve">Calculation_FSL!F1436 = SUM(F1347:F1348) - SUM(F1364:F1365) (55,000 - 38,910.74); derivation F1347:F1348 vs F1364:F1365</t>
  </si>
  <si>
    <t xml:space="preserve">7. FSL EBIT margins per scheme (cost = revenue x (1 - margin))</t>
  </si>
  <si>
    <t xml:space="preserve">NPLOG-Pelindo scheme — FSL EBIT margin</t>
  </si>
  <si>
    <t xml:space="preserve">Calculation_FSL!F1420 (cost row 1418 = revenue x (1 - 49%), F1418 = 0.51)</t>
  </si>
  <si>
    <t xml:space="preserve">KBS scheme — FSL EBIT margin</t>
  </si>
  <si>
    <t xml:space="preserve">Calculation_FSL!F1431 (cost row 1429 = revenue - EBIT)</t>
  </si>
  <si>
    <t xml:space="preserve">Belawan scheme — FSL EBIT margin</t>
  </si>
  <si>
    <t xml:space="preserve">Calculation_FSL!F1441 (cost row 1439 = revenue - EBIT)</t>
  </si>
  <si>
    <t xml:space="preserve">8. KBS volume components (v29 rows 257-258, switched off)</t>
  </si>
  <si>
    <t xml:space="preserve">KBS — ethanol volume added to the Cigading volume</t>
  </si>
  <si>
    <t xml:space="preserve">Calculation_FSL!J257:V257 (= 1,490,024.66 t x D5 from 2027, +3% p.a.; D5 = 0 -&gt; nil)</t>
  </si>
  <si>
    <t xml:space="preserve">v29 switch Calculation_FSL!D5 = 0 zeroes this row; the base 1.49 m t in F257 is not used.</t>
  </si>
  <si>
    <t xml:space="preserve">KBS — additional volume added to the Cigading volume</t>
  </si>
  <si>
    <t xml:space="preserve">Calculation_FSL!J258:V258 (= 300,000 t x D5 from 2028, +20% p.a.; D5 = 0 -&gt; nil)</t>
  </si>
  <si>
    <t xml:space="preserve">v29 switch Calculation_FSL!D5 = 0 zeroes this row; the base 300,000 t in F258 is not used.</t>
  </si>
  <si>
    <t xml:space="preserve">P12 BUMN operatorship schemes (Pelindo Teluk Lamong, KBS Cigading, Pelindo Belawan) — CALCULATION</t>
  </si>
  <si>
    <t xml:space="preserve">C. Memo: tariff differential derivation — Pelindo Teluk Lamong (IDR/t, as v29 rows 1217-1248)</t>
  </si>
  <si>
    <t xml:space="preserve">Grains — current-scheme tariff = sum of the six components</t>
  </si>
  <si>
    <t xml:space="preserve">Grains — new-scheme ship unloader tariff = (GSU depreciation + overhead) / (1 - Pelindo margin)</t>
  </si>
  <si>
    <t xml:space="preserve">Grains — new-scheme conveyor tariff = (conveyor depreciation + overhead) / (1 - Pelindo margin)</t>
  </si>
  <si>
    <t xml:space="preserve">Grains — new-scheme tariff = unchanged components 1, 2, 5, 6 + new ship unloader + new conveyor</t>
  </si>
  <si>
    <t xml:space="preserve">Grains — derived differential = current - new — DRIVES REVENUE</t>
  </si>
  <si>
    <t xml:space="preserve">Grains — check: derived differential - v29 reference input (must be nil)</t>
  </si>
  <si>
    <t xml:space="preserve">Meals — current-scheme tariff = sum of the six components</t>
  </si>
  <si>
    <t xml:space="preserve">Meals — new-scheme ship unloader tariff = (GSU depreciation + overhead) / (1 - Pelindo margin)</t>
  </si>
  <si>
    <t xml:space="preserve">Meals — new-scheme conveyor tariff = (conveyor depreciation + overhead) / (1 - Pelindo margin)</t>
  </si>
  <si>
    <t xml:space="preserve">Meals — new-scheme tariff = unchanged components 1, 2, 5, 6 + new ship unloader + new conveyor</t>
  </si>
  <si>
    <t xml:space="preserve">Meals — derived differential = current - new — DRIVES REVENUE</t>
  </si>
  <si>
    <t xml:space="preserve">Meals — check: derived differential - v29 reference input (must be nil)</t>
  </si>
  <si>
    <t xml:space="preserve">D. Memo: tariff differential derivation — KBS Cigading (IDR/t, as v29 rows 1304-1311)</t>
  </si>
  <si>
    <t xml:space="preserve">KBS — current ship unloader tariff = all-in tariff x share</t>
  </si>
  <si>
    <t xml:space="preserve">KBS — dermaga tariff = all-in tariff - ship unloader (unchanged under the new scheme)</t>
  </si>
  <si>
    <t xml:space="preserve">KBS — new-scheme ship unloader tariff = (crane depreciation + overhead) / (1 - margin) x uplift</t>
  </si>
  <si>
    <t xml:space="preserve">KBS — derived differential = (dermaga + current SU) - (dermaga + new SU) — DRIVES REVENUE</t>
  </si>
  <si>
    <t xml:space="preserve">KBS — check: derived differential - v29 reference input (must be nil)</t>
  </si>
  <si>
    <t xml:space="preserve">E. Memo: tariff differential derivation — Pelindo Belawan (IDR/t, as v29 rows 1347-1365)</t>
  </si>
  <si>
    <t xml:space="preserve">Belawan — port operation tariff = all-in - ship unloader (unchanged under the new scheme)</t>
  </si>
  <si>
    <t xml:space="preserve">Belawan — derived differential = (port + current SU) - (port + new SU) — DRIVES REVENUE</t>
  </si>
  <si>
    <t xml:space="preserve">Belawan — check: derived differential - v29 reference input (must be nil)</t>
  </si>
  <si>
    <t xml:space="preserve">F. Volumes handled under the schemes</t>
  </si>
  <si>
    <t xml:space="preserve">NPLOG grains volume under the scheme = E1 grains volume + share x E1 additional grains volume, x operating flag</t>
  </si>
  <si>
    <t xml:space="preserve">v29 Calculation_FSL row 1215 = row 27 + row 32 / 2</t>
  </si>
  <si>
    <t xml:space="preserve">NPLOG meals volume under the scheme = E1 meals volume + share x E1 additional grains volume, x operating flag</t>
  </si>
  <si>
    <t xml:space="preserve">v29 Calculation_FSL row 1239 = row 22 + row 32 / 2</t>
  </si>
  <si>
    <t xml:space="preserve">KBS volume under the scheme = E2 Cigading existing volume + ethanol + addition + P01 Wharf 2 volume, x operating flag</t>
  </si>
  <si>
    <t xml:space="preserve">v29 Calculation_FSL row 1302 = SUM(rows 256:258, 361)</t>
  </si>
  <si>
    <t xml:space="preserve">Belawan volume under the scheme = E3 Belawan total volume (existing terminal + expansion), x operating flag</t>
  </si>
  <si>
    <t xml:space="preserve">v29 Calculation_FSL row 1363 = SUM(rows 586:587); E3 'volume' = existing (row 586) + additional expansion (row 587)</t>
  </si>
  <si>
    <t xml:space="preserve">G. Revenue (FSL share of the scheme tariffs)</t>
  </si>
  <si>
    <t xml:space="preserve">NPLOG grains revenue = volume x derived grains differential (memo row) / 1e9</t>
  </si>
  <si>
    <t xml:space="preserve">NPLOG meals revenue = volume x derived meals differential (memo row) / 1e9</t>
  </si>
  <si>
    <t xml:space="preserve">NPLOG-Pelindo scheme revenue</t>
  </si>
  <si>
    <t xml:space="preserve">KBS scheme revenue = volume x derived KBS differential (memo row) / 1e9</t>
  </si>
  <si>
    <t xml:space="preserve">Belawan scheme revenue = volume x derived Belawan differential (memo row) / 1e9</t>
  </si>
  <si>
    <t xml:space="preserve">Total revenue — BUMN operatorship schemes</t>
  </si>
  <si>
    <t xml:space="preserve">H. Scheme operating cost (v29: Operating Expenses)</t>
  </si>
  <si>
    <t xml:space="preserve">NPLOG-Pelindo scheme cost = revenue x (1 - FSL EBIT margin)</t>
  </si>
  <si>
    <t xml:space="preserve">KBS scheme cost = revenue x (1 - FSL EBIT margin)</t>
  </si>
  <si>
    <t xml:space="preserve">Belawan scheme cost = revenue x (1 - FSL EBIT margin)</t>
  </si>
  <si>
    <t xml:space="preserve">Total scheme operating cost (v29 Calculation_FSL row 1445 -&gt; Operating Expenses)</t>
  </si>
  <si>
    <t xml:space="preserve">I. Memo: EBIT by scheme</t>
  </si>
  <si>
    <t xml:space="preserve">Memo: NPLOG-Pelindo scheme EBIT = revenue - cost</t>
  </si>
  <si>
    <t xml:space="preserve">Memo: KBS scheme EBIT = revenue - cost</t>
  </si>
  <si>
    <t xml:space="preserve">Memo: Belawan scheme EBIT = revenue - cost</t>
  </si>
  <si>
    <t xml:space="preserve">J. Capex, depreciation and fixed assets (project)</t>
  </si>
  <si>
    <t xml:space="preserve">K. Working capital (days from Global Inputs)</t>
  </si>
  <si>
    <t xml:space="preserve">P12 BUMN operatorship schemes (Pelindo Teluk Lamong, KBS Cigading, Pelindo Belawan) — OUTPUT</t>
  </si>
  <si>
    <t xml:space="preserve">P15 TBM — Tanjung Batu / Pelindo land lease, warehousing and cargo handling — INPUT</t>
  </si>
  <si>
    <t xml:space="preserve">TBM — Tanjung Batu / Pelindo land lease, warehousing and cargo handling — PT FKS Multi Agro / NPLOG (Pelindo land, Teluk Lamong area) — pipeline — Pipeline (excluded by default). IDR bn unless stated. Blue = input; black = formula; green = link.</t>
  </si>
  <si>
    <t xml:space="preserve">P15</t>
  </si>
  <si>
    <t xml:space="preserve">TBM — Tanjung Batu / Pelindo land lease, warehousing and cargo handling</t>
  </si>
  <si>
    <t xml:space="preserve">PT FKS Multi Agro / NPLOG (Pelindo land, Teluk Lamong area) — pipeline</t>
  </si>
  <si>
    <t xml:space="preserve">Calculation_FSL rows 1089-1159</t>
  </si>
  <si>
    <t xml:space="preserve">Input rows 1128-1231</t>
  </si>
  <si>
    <t xml:space="preserve">Output_Standalone (IDR) rows 482-503 (all nil: flag = 0)</t>
  </si>
  <si>
    <t xml:space="preserve">Output_FSL!F40 (= 0 — TBM excluded in v29)</t>
  </si>
  <si>
    <t xml:space="preserve">Calculation_FSL!F1091 (Operation Period); depreciation flag Input!K1202:W1202 = 1 from 2027</t>
  </si>
  <si>
    <t xml:space="preserve">Depreciation and the land-lease index start in 2027; the priced revenue streams start in 2029 (separate input).</t>
  </si>
  <si>
    <t xml:space="preserve">3. Revenue timing</t>
  </si>
  <si>
    <t xml:space="preserve">First revenue year of flat storage, silo and cargo handling (price index = 1.00 in this year)</t>
  </si>
  <si>
    <t xml:space="preserve">Calculation_FSL!F1099, F1106, F1113 (typed 2029)</t>
  </si>
  <si>
    <t xml:space="preserve">Two years after the 2027 commissioning (F1091) that starts depreciation; the land-lease index starts in the commissioning year (F1094 = F1091).</t>
  </si>
  <si>
    <t xml:space="preserve">First-year factor applied by v29 to opex (and depreciation) in the commissioning year (0.5 = half year)</t>
  </si>
  <si>
    <t xml:space="preserve">Calculation_FSL!M1159 (*0.5), M1121 (*0.5)</t>
  </si>
  <si>
    <t xml:space="preserve">v29 source issue: typed half-year factor in 2027 only. Applied to opex here; the framework's depreciation cannot take it (declared v29 known diff).</t>
  </si>
  <si>
    <t xml:space="preserve">4. Land lease</t>
  </si>
  <si>
    <t xml:space="preserve">Land lease — leased area</t>
  </si>
  <si>
    <t xml:space="preserve">sqm</t>
  </si>
  <si>
    <t xml:space="preserve">Input!K1133:W1133 (INDEX of baseline row 1134) -&gt; Calculation_FSL row 1095</t>
  </si>
  <si>
    <t xml:space="preserve">Land lease — rent per sqm per month (base, indexed from the commissioning year)</t>
  </si>
  <si>
    <t xml:space="preserve">IDR/sqm/month</t>
  </si>
  <si>
    <t xml:space="preserve">Input!N1138 (= Calculation_FSL!F1096)</t>
  </si>
  <si>
    <t xml:space="preserve">v29 carries no land-lease price: revenue stream is nil.</t>
  </si>
  <si>
    <t xml:space="preserve">Land lease — rent growth p.a.</t>
  </si>
  <si>
    <t xml:space="preserve">Input!K1140:W1140 (baseline row 1141; 3% from FY2028) -&gt; Calculation_FSL row 1094</t>
  </si>
  <si>
    <t xml:space="preserve">5. Warehouse rental — flat storage</t>
  </si>
  <si>
    <t xml:space="preserve">Flat storage — % of Teluk Lamong (E1) meals volume stored (used only when the override below is 0)</t>
  </si>
  <si>
    <t xml:space="preserve">Calculation_FSL!J1100:V1100 (2024-26 = Input!K1146:M1146 = 0; 0.49 typed in M1100, 0.145 N1100, 0.13 O1100, 0.145 P1100:V1100)</t>
  </si>
  <si>
    <t xml:space="preserve">Bypassed by v29 from 2027 because the stored volume is typed directly into row 1102 (see override).</t>
  </si>
  <si>
    <t xml:space="preserve">Flat storage — stored volume per month typed by v29 (0 = derive from % of E1 meals volume)</t>
  </si>
  <si>
    <t xml:space="preserve">Calculation_FSL!M1102:O1102 (= 1.6*Million/Month_Year), P1102:V1102 (240,000)</t>
  </si>
  <si>
    <t xml:space="preserve">v29 typed values inside the formulas; effective assumption. 2024-26 formula = E1 meals volume x % / 12 with % = 0.</t>
  </si>
  <si>
    <t xml:space="preserve">Flat storage — storage fee per ton per month (base, indexed from the first revenue year)</t>
  </si>
  <si>
    <t xml:space="preserve">Input!O1151 (= Calculation_FSL!F1103)</t>
  </si>
  <si>
    <t xml:space="preserve">Flat storage — fee growth p.a.</t>
  </si>
  <si>
    <t xml:space="preserve">Input!K1153:W1153 (baseline row 1154; 3% from FY2029) -&gt; Calculation_FSL row 1099</t>
  </si>
  <si>
    <t xml:space="preserve">6. Warehouse rental — silo</t>
  </si>
  <si>
    <t xml:space="preserve">Silo — stored volume per month typed by v29 (0 = derive from E1 grains volume below)</t>
  </si>
  <si>
    <t xml:space="preserve">Calculation_FSL!M1109 (= 1*Million/12), N1109 (= 1.6*Million/12), P1109:V1109 (208,000); O1109 (2029) is a formula</t>
  </si>
  <si>
    <t xml:space="preserve">v29 typed values inside the formulas; the '% of Teluk Lamong' input (Input!K1159:W1159 / row 1107 = 15%) is multiplied by 0 and never effective.</t>
  </si>
  <si>
    <t xml:space="preserve">Silo — grains volume deducted before applying the share (2029 formula)</t>
  </si>
  <si>
    <t xml:space="preserve">Calculation_FSL!O1109 (= (O1108 - 0.3*Million) * 70% / 12)</t>
  </si>
  <si>
    <t xml:space="preserve">Silo — share of (E1 grains volume - deduction) stored per year, / 12 for the monthly volume (used when the override is 0)</t>
  </si>
  <si>
    <t xml:space="preserve">Calculation_FSL!O1109 (70% typed, FY2029 only); other years 0 (2024-26 formula = cargo-handling volume / 12 = 0)</t>
  </si>
  <si>
    <t xml:space="preserve">Silo — storage fee per ton per month (base, indexed from the first revenue year)</t>
  </si>
  <si>
    <t xml:space="preserve">Input!P1164 (= Calculation_FSL!F1110)</t>
  </si>
  <si>
    <t xml:space="preserve">Silo — fee growth p.a.</t>
  </si>
  <si>
    <t xml:space="preserve">Input!K1166:W1166 (baseline row 1167; 3% from FY2030) -&gt; Calculation_FSL row 1106</t>
  </si>
  <si>
    <t xml:space="preserve">7. Cargo handling</t>
  </si>
  <si>
    <t xml:space="preserve">Cargo handling — fee per ton (base, x silo price index)</t>
  </si>
  <si>
    <t xml:space="preserve">Input!K1177:W1177 (baseline row 1178; 15,000 from FY2028) -&gt; Calculation_FSL row 1115</t>
  </si>
  <si>
    <t xml:space="preserve">Index row 1113 = silo index (row 1106) from 2026; 2024-25 reference the empty growth row Input!K1143:L1143 (-&gt; 0). Volume = flat-storage monthly volume x 12 (row 1114); Input!K1172:W1172 is not used by the block.</t>
  </si>
  <si>
    <t xml:space="preserve">8. Cost of sales drivers</t>
  </si>
  <si>
    <t xml:space="preserve">Warehouse rental cost as % of warehouse (flat storage + silo) revenue</t>
  </si>
  <si>
    <t xml:space="preserve">Input!K1207:W1207 (INDEX of row 1208; 0 in FY2024) -&gt; Calculation_FSL row 1143</t>
  </si>
  <si>
    <t xml:space="preserve">9. Operating expenses</t>
  </si>
  <si>
    <t xml:space="preserve">Operating expenses as % of total revenue</t>
  </si>
  <si>
    <t xml:space="preserve">Input!K1215:W1215 (baseline row 1216; 18% from FY2027) -&gt; Calculation_FSL row 1158</t>
  </si>
  <si>
    <t xml:space="preserve">10. Capex allocation — percentages apply to TOTAL project capex (USD m); pre-2024 column = spend before FY2024 (sunk)</t>
  </si>
  <si>
    <t xml:space="preserve">Input!M1186 (= 108 - 68 + Input!K1276: 40 USD m + legal fee 2 IDR bn / USD_IDR / 5 = 40.0246 USD m); Calculation_FSL!F1126</t>
  </si>
  <si>
    <t xml:space="preserve">Percentages apply to total capex; no pre-2024 spend. In v29 the cash flow is multiplied by Output_FSL!F40 = 0 (project excluded) while depreciation is still computed in Calculation_FSL row 1121 (x0.5 in 2027).</t>
  </si>
  <si>
    <t xml:space="preserve">v29 timing: Input!L1190 (FY2025 28.0172 USD m), M1190 (FY2026 12.0074 USD m) S-curve; Calculation_FSL row 1481 (x Output_FSL!F40 = 0 in v29)</t>
  </si>
  <si>
    <t xml:space="preserve">Input!J1194 (building 90%; equipment Input!J1195 = 10%; land Input!J1193 = 0% / 90 yrs Input!J1197 -&gt; no charge)</t>
  </si>
  <si>
    <t xml:space="preserve">Input!J1198 (20 yrs, labelled 'Equipment' in v29), J1199 (8 yrs)</t>
  </si>
  <si>
    <t xml:space="preserve">P15 TBM — Tanjung Batu / Pelindo land lease, warehousing and cargo handling — CALCULATION</t>
  </si>
  <si>
    <t xml:space="preserve">C. Revenue — land lease</t>
  </si>
  <si>
    <t xml:space="preserve">Land lease — rent index (1.00 in the commissioning year, then x (1 + growth))</t>
  </si>
  <si>
    <t xml:space="preserve">Calculation_FSL row 1094</t>
  </si>
  <si>
    <t xml:space="preserve">Calculation_FSL row 1095</t>
  </si>
  <si>
    <t xml:space="preserve">Land lease — rent per sqm per month = base x index</t>
  </si>
  <si>
    <t xml:space="preserve">Calculation_FSL row 1096</t>
  </si>
  <si>
    <t xml:space="preserve">Land lease revenue = area x rent x 12 / 1e9</t>
  </si>
  <si>
    <t xml:space="preserve">Calculation_FSL row 1097</t>
  </si>
  <si>
    <t xml:space="preserve">D. Revenue — flat storage</t>
  </si>
  <si>
    <t xml:space="preserve">Flat storage — fee index (1.00 in the first revenue year, then x (1 + growth))</t>
  </si>
  <si>
    <t xml:space="preserve">Calculation_FSL row 1099</t>
  </si>
  <si>
    <t xml:space="preserve">Teluk Lamong meals volume (E1 link)</t>
  </si>
  <si>
    <t xml:space="preserve">Calculation_FSL row 1101 = row 22</t>
  </si>
  <si>
    <t xml:space="preserve">Flat storage — monthly volume from % of E1 meals volume = volume x % / 12</t>
  </si>
  <si>
    <t xml:space="preserve">Calculation_FSL row 1102 (2024-26 formula)</t>
  </si>
  <si>
    <t xml:space="preserve">Flat storage — stored volume per month = override if &gt; 0, else % of E1 volume</t>
  </si>
  <si>
    <t xml:space="preserve">Calculation_FSL row 1102</t>
  </si>
  <si>
    <t xml:space="preserve">Flat storage — fee per ton per month = base x index</t>
  </si>
  <si>
    <t xml:space="preserve">Calculation_FSL row 1103</t>
  </si>
  <si>
    <t xml:space="preserve">Flat storage revenue = monthly volume x fee x 12 / 1e9</t>
  </si>
  <si>
    <t xml:space="preserve">Calculation_FSL row 1104</t>
  </si>
  <si>
    <t xml:space="preserve">E. Revenue — silo</t>
  </si>
  <si>
    <t xml:space="preserve">Silo — fee index (1.00 in the first revenue year, then x (1 + growth))</t>
  </si>
  <si>
    <t xml:space="preserve">Calculation_FSL row 1106</t>
  </si>
  <si>
    <t xml:space="preserve">Teluk Lamong grains volume (E1 link)</t>
  </si>
  <si>
    <t xml:space="preserve">Calculation_FSL row 1108 = row 27</t>
  </si>
  <si>
    <t xml:space="preserve">Silo — monthly volume from E1 grains = (grains volume - deduction) x share / 12</t>
  </si>
  <si>
    <t xml:space="preserve">Calculation_FSL!O1109</t>
  </si>
  <si>
    <t xml:space="preserve">Silo — stored volume per month = override if &gt; 0, else from E1 grains volume</t>
  </si>
  <si>
    <t xml:space="preserve">Calculation_FSL row 1109</t>
  </si>
  <si>
    <t xml:space="preserve">Silo — fee per ton per month = base x index</t>
  </si>
  <si>
    <t xml:space="preserve">Calculation_FSL row 1110</t>
  </si>
  <si>
    <t xml:space="preserve">Silo revenue = monthly volume x fee x 12 / 1e9</t>
  </si>
  <si>
    <t xml:space="preserve">Calculation_FSL row 1111</t>
  </si>
  <si>
    <t xml:space="preserve">F. Revenue — cargo handling</t>
  </si>
  <si>
    <t xml:space="preserve">Cargo handling — price index (= silo index, as in v29)</t>
  </si>
  <si>
    <t xml:space="preserve">Calculation_FSL row 1113 (= row 1106 from 2026)</t>
  </si>
  <si>
    <t xml:space="preserve">Cargo handling — annual volume = flat-storage monthly volume x 12</t>
  </si>
  <si>
    <t xml:space="preserve">Calculation_FSL row 1114</t>
  </si>
  <si>
    <t xml:space="preserve">Cargo handling — fee per ton = base x index</t>
  </si>
  <si>
    <t xml:space="preserve">Calculation_FSL row 1115</t>
  </si>
  <si>
    <t xml:space="preserve">Cargo handling revenue = volume x fee / 1e9</t>
  </si>
  <si>
    <t xml:space="preserve">Calculation_FSL row 1116</t>
  </si>
  <si>
    <t xml:space="preserve">Total revenue (land lease + flat storage + silo + cargo handling)</t>
  </si>
  <si>
    <t xml:space="preserve">Calculation_FSL row 1119</t>
  </si>
  <si>
    <t xml:space="preserve">G. Cost of sales</t>
  </si>
  <si>
    <t xml:space="preserve">Warehouse revenue (flat storage + silo)</t>
  </si>
  <si>
    <t xml:space="preserve">Calculation_FSL row 1142</t>
  </si>
  <si>
    <t xml:space="preserve">Warehouse rental cost = warehouse revenue x %</t>
  </si>
  <si>
    <t xml:space="preserve">Calculation_FSL row 1144</t>
  </si>
  <si>
    <t xml:space="preserve">Teluk Lamong cost of sales excl. depreciation (E1 link)</t>
  </si>
  <si>
    <t xml:space="preserve">Calculation_FSL row 39</t>
  </si>
  <si>
    <t xml:space="preserve">Teluk Lamong revenue (E1 link)</t>
  </si>
  <si>
    <t xml:space="preserve">Calculation_FSL row 38</t>
  </si>
  <si>
    <t xml:space="preserve">Cargo handling cost ratio = E1 cost of sales / E1 revenue</t>
  </si>
  <si>
    <t xml:space="preserve">Calculation_FSL row 1148</t>
  </si>
  <si>
    <t xml:space="preserve">Cargo handling cost = cargo handling revenue x ratio</t>
  </si>
  <si>
    <t xml:space="preserve">Calculation_FSL row 1149</t>
  </si>
  <si>
    <t xml:space="preserve">Calculation_FSL row 1140</t>
  </si>
  <si>
    <t xml:space="preserve">H. Operating expenses</t>
  </si>
  <si>
    <t xml:space="preserve">Operating expenses = total revenue x % x first-year factor</t>
  </si>
  <si>
    <t xml:space="preserve">Calculation_FSL row 1159</t>
  </si>
  <si>
    <t xml:space="preserve">I. Capex, depreciation and fixed assets (project)</t>
  </si>
  <si>
    <t xml:space="preserve">J. Working capital (days from Global Inputs)</t>
  </si>
  <si>
    <t xml:space="preserve">P15 TBM — Tanjung Batu / Pelindo land lease, warehousing and cargo handling — OUTPUT</t>
  </si>
  <si>
    <t xml:space="preserve">P19 Badas bulk terminal (FS pending — DUMMY data) — FS WORKING PAPER (INPUT)</t>
  </si>
  <si>
    <t xml:space="preserve">Badas bulk terminal (FS pending — DUMMY data) — New project company (FSL share DUMMY 100%) — Badas port, Sumbawa (NTB) — Pipeline — FS pending (DUMMY inputs, excluded from headline valuation). IDR bn unless stated. Blue = input; black = formula; green = link.</t>
  </si>
  <si>
    <t xml:space="preserve">Definition (what the FS should provide)</t>
  </si>
  <si>
    <t xml:space="preserve">Period</t>
  </si>
  <si>
    <t xml:space="preserve">Source / status</t>
  </si>
  <si>
    <t xml:space="preserve">Calculation destination</t>
  </si>
  <si>
    <t xml:space="preserve">Question for the operations team</t>
  </si>
  <si>
    <t xml:space="preserve">P19</t>
  </si>
  <si>
    <t xml:space="preserve">Badas bulk terminal (FS pending — DUMMY data)</t>
  </si>
  <si>
    <t xml:space="preserve">New project company (FSL share DUMMY 100%) — Badas port, Sumbawa (NTB)</t>
  </si>
  <si>
    <t xml:space="preserve">not in v29 (structure adapted from Dumai rows 168-218 and Ciwandan rows 508-546)</t>
  </si>
  <si>
    <t xml:space="preserve">board deck Dec-2024 Stage 2: Badas 10.0 USD m</t>
  </si>
  <si>
    <t xml:space="preserve">n/a</t>
  </si>
  <si>
    <t xml:space="preserve">Global Inputs register (delivered: In valuation = 0; Badas in funding = 1)</t>
  </si>
  <si>
    <t xml:space="preserve">Commissioning / first operating (revenue) year   [DUMMY — REPLACE WITH FS DATA]</t>
  </si>
  <si>
    <t xml:space="preserve">DUMMY — REPLACE WITH FS DATA</t>
  </si>
  <si>
    <t xml:space="preserve">First year of commercial operations (construction 2027-28). Q: expected construction period and COD?</t>
  </si>
  <si>
    <t xml:space="preserve">3. Capacity, utilisation and throughput</t>
  </si>
  <si>
    <t xml:space="preserve">Design capacity (annual throughput at 100% utilisation)   [DUMMY — REPLACE WITH FS DATA]</t>
  </si>
  <si>
    <t xml:space="preserve">Maximum tonnes per year the terminal can handle with the planned berth, unloading/loading equipment and storage.</t>
  </si>
  <si>
    <t xml:space="preserve">Parameter</t>
  </si>
  <si>
    <t xml:space="preserve">Calc: throughput = capacity x utilisation</t>
  </si>
  <si>
    <t xml:space="preserve">What is the design capacity of the Badas facility (t p.a.) and its binding constraint (berth, equipment, storage)?</t>
  </si>
  <si>
    <t xml:space="preserve">Utilisation of design capacity   [DUMMY — REPLACE WITH FS DATA]</t>
  </si>
  <si>
    <t xml:space="preserve">Expected throughput / design capacity in each operating year (ramp-up to steady state).</t>
  </si>
  <si>
    <t xml:space="preserve">Annual FY2024-36</t>
  </si>
  <si>
    <t xml:space="preserve">Calc: throughput</t>
  </si>
  <si>
    <t xml:space="preserve">Which commodities and customers underpin the volume ramp-up, and how firm are the offtake / handling agreements?</t>
  </si>
  <si>
    <t xml:space="preserve">Share of throughput stored in the terminal   [DUMMY — REPLACE WITH FS DATA]</t>
  </si>
  <si>
    <t xml:space="preserve">Share of the annual throughput that uses the storage facility (silo / warehouse) before onward delivery.</t>
  </si>
  <si>
    <t xml:space="preserve">Calc: stored tonnes = throughput x share</t>
  </si>
  <si>
    <t xml:space="preserve">What share of the cargo will be stored on site rather than delivered directly?</t>
  </si>
  <si>
    <t xml:space="preserve">Average storage period   [DUMMY — REPLACE WITH FS DATA]</t>
  </si>
  <si>
    <t xml:space="preserve">Average number of months a stored tonne stays in storage (drives storage revenue = stored tonnes x months x tariff).</t>
  </si>
  <si>
    <t xml:space="preserve">Calc: storage revenue</t>
  </si>
  <si>
    <t xml:space="preserve">What dwell time do customers expect and how is storage charged (per month, per day, minimum period)?</t>
  </si>
  <si>
    <t xml:space="preserve">Share of throughput using ancillary services (bagging / weighing)   [DUMMY — REPLACE WITH FS DATA]</t>
  </si>
  <si>
    <t xml:space="preserve">Share of throughput that is bagged or weighed as an additional paid service.</t>
  </si>
  <si>
    <t xml:space="preserve">Calc: ancillary revenue</t>
  </si>
  <si>
    <t xml:space="preserve">Which ancillary services (bagging, weighing, trucking, fumigation) will Badas offer and at what expected take-up?</t>
  </si>
  <si>
    <t xml:space="preserve">4. Tariffs and revenue streams</t>
  </si>
  <si>
    <t xml:space="preserve">Handling tariff (100%, before revenue sharing)   [DUMMY — REPLACE WITH FS DATA]</t>
  </si>
  <si>
    <t xml:space="preserve">Stevedoring / cargodoring tariff per tonne handled, in nominal IDR, by year.</t>
  </si>
  <si>
    <t xml:space="preserve">Calc: handling revenue = throughput x tariff</t>
  </si>
  <si>
    <t xml:space="preserve">What handling tariff is assumed and is it regulated (port authority) or negotiated? Any indexation?</t>
  </si>
  <si>
    <t xml:space="preserve">Storage tariff   [DUMMY — REPLACE WITH FS DATA]</t>
  </si>
  <si>
    <t xml:space="preserve">Storage tariff per tonne per month in nominal IDR.</t>
  </si>
  <si>
    <t xml:space="preserve">What storage tariff and indexation are assumed?</t>
  </si>
  <si>
    <t xml:space="preserve">Ancillary services tariff (bagging / weighing)   [DUMMY — REPLACE WITH FS DATA]</t>
  </si>
  <si>
    <t xml:space="preserve">Tariff per tonne for ancillary services.</t>
  </si>
  <si>
    <t xml:space="preserve">What do bagging / weighing services cost customers today at comparable ports?</t>
  </si>
  <si>
    <t xml:space="preserve">5. Economic ownership and sharing</t>
  </si>
  <si>
    <t xml:space="preserve">FSL share of gross revenue (revenue sharing with the port owner / concession grantor)   [DUMMY — REPLACE WITH FS DATA]</t>
  </si>
  <si>
    <t xml:space="preserve">Share of gross terminal revenue that accrues to FSL under the port cooperation / concession agreement (the balance goes to the port owner).</t>
  </si>
  <si>
    <t xml:space="preserve">Calc: FSL revenue = gross revenue x share</t>
  </si>
  <si>
    <t xml:space="preserve">Is the Badas scheme a revenue share (like Ciwandan 52% / KBS warehouse 49%), a concession fee, or a fully owned operation?</t>
  </si>
  <si>
    <t xml:space="preserve">6. Variable costs</t>
  </si>
  <si>
    <t xml:space="preserve">Concession / port fee (% of gross revenue)   [DUMMY — REPLACE WITH FS DATA]</t>
  </si>
  <si>
    <t xml:space="preserve">Fee paid to the port owner or concession grantor as a percentage of gross revenue (in addition to any revenue share).</t>
  </si>
  <si>
    <t xml:space="preserve">Calc: cost of sales</t>
  </si>
  <si>
    <t xml:space="preserve">Are port dues / concession fees payable on top of the revenue share, and at what rate?</t>
  </si>
  <si>
    <t xml:space="preserve">Variable operating cost per tonne (fuel, power, casual labour, consumables)   [DUMMY — REPLACE WITH FS DATA]</t>
  </si>
  <si>
    <t xml:space="preserve">Direct cost per tonne handled, nominal IDR.</t>
  </si>
  <si>
    <t xml:space="preserve">What are the expected fuel / power / casual labour costs per tonne for the chosen equipment configuration?</t>
  </si>
  <si>
    <t xml:space="preserve">7. Fixed costs, staffing and maintenance</t>
  </si>
  <si>
    <t xml:space="preserve">Permanent staff headcount   [DUMMY — REPLACE WITH FS DATA]</t>
  </si>
  <si>
    <t xml:space="preserve">persons</t>
  </si>
  <si>
    <t xml:space="preserve">Number of permanent employees (operations, maintenance, administration) by year.</t>
  </si>
  <si>
    <t xml:space="preserve">Calc: staff cost = headcount x cost per head</t>
  </si>
  <si>
    <t xml:space="preserve">What is the staffing plan (headcount by function) and when is recruitment needed relative to commissioning?</t>
  </si>
  <si>
    <t xml:space="preserve">Staff cost per head (salary, benefits, allowances)   [DUMMY — REPLACE WITH FS DATA]</t>
  </si>
  <si>
    <t xml:space="preserve">IDR m p.a.</t>
  </si>
  <si>
    <t xml:space="preserve">Average annual employment cost per permanent employee, IDR million.</t>
  </si>
  <si>
    <t xml:space="preserve">Calc: staff cost</t>
  </si>
  <si>
    <t xml:space="preserve">What average employment cost per head applies at Badas (regional wage levels)?</t>
  </si>
  <si>
    <t xml:space="preserve">Other fixed operating costs (G&amp;A, security, utilities, IT, licences)   [DUMMY — REPLACE WITH FS DATA]</t>
  </si>
  <si>
    <t xml:space="preserve">IDR bn p.a.</t>
  </si>
  <si>
    <t xml:space="preserve">Fixed overheads not driven by volume, IDR bn per year.</t>
  </si>
  <si>
    <t xml:space="preserve">Calc: operating expenses</t>
  </si>
  <si>
    <t xml:space="preserve">Which fixed costs are expected (security, utilities, office, insurance not covered below)?</t>
  </si>
  <si>
    <t xml:space="preserve">Maintenance (% of total capex p.a.)   [DUMMY — REPLACE WITH FS DATA]</t>
  </si>
  <si>
    <t xml:space="preserve">Annual maintenance cost as a percentage of the total investment (from commissioning).</t>
  </si>
  <si>
    <t xml:space="preserve">What maintenance regime and cost (% of capex or IDR per year) is planned for the equipment?</t>
  </si>
  <si>
    <t xml:space="preserve">Insurance (% of total capex p.a.)   [DUMMY — REPLACE WITH FS DATA]</t>
  </si>
  <si>
    <t xml:space="preserve">Annual insurance premium as a percentage of the total investment (from commissioning).</t>
  </si>
  <si>
    <t xml:space="preserve">What insurance cover and premium are assumed?</t>
  </si>
  <si>
    <t xml:space="preserve">8. Investment and commissioning (capex allocation below)</t>
  </si>
  <si>
    <t xml:space="preserve">Pre-operating costs (recruitment, training, commissioning), expensed in the year before commissioning   [DUMMY — REPLACE WITH FS DATA]</t>
  </si>
  <si>
    <t xml:space="preserve">One-off costs incurred before commercial operations, expensed.</t>
  </si>
  <si>
    <t xml:space="preserve">Calc: operating expenses (year before commissioning)</t>
  </si>
  <si>
    <t xml:space="preserve">What pre-operating and commissioning costs are expected and when are they incurred?</t>
  </si>
  <si>
    <t xml:space="preserve">9. Project financing (project-level debt)</t>
  </si>
  <si>
    <t xml:space="preserve">Project debt — share of capex funded by project-level debt   [DUMMY — REPLACE WITH FS DATA]</t>
  </si>
  <si>
    <t xml:space="preserve">Share of each year's capex financed with project debt (the balance is equity from FSL / partners).</t>
  </si>
  <si>
    <t xml:space="preserve">Calc: debt drawdown = capex x share; Output: equity IRR</t>
  </si>
  <si>
    <t xml:space="preserve">Is project-level debt envisaged for Badas (lender, leverage), or will FSL fund it fully from the capital injection?</t>
  </si>
  <si>
    <t xml:space="preserve">Project debt — interest rate   [DUMMY — REPLACE WITH FS DATA]</t>
  </si>
  <si>
    <t xml:space="preserve">All-in interest rate on the project debt (nominal IDR), by year.</t>
  </si>
  <si>
    <t xml:space="preserve">Calc: interest</t>
  </si>
  <si>
    <t xml:space="preserve">Indicative lending terms (rate, tenor, grace, security)?</t>
  </si>
  <si>
    <t xml:space="preserve">Project debt — tenor of each drawdown incl. grace period   [DUMMY — REPLACE WITH FS DATA]</t>
  </si>
  <si>
    <t xml:space="preserve">Years from drawdown to final repayment.</t>
  </si>
  <si>
    <t xml:space="preserve">Calc: repayment schedule</t>
  </si>
  <si>
    <t xml:space="preserve">Project debt — grace period before principal repayments start   [DUMMY — REPLACE WITH FS DATA]</t>
  </si>
  <si>
    <t xml:space="preserve">Years after drawdown during which no principal is repaid.</t>
  </si>
  <si>
    <t xml:space="preserve">Board deck Dec-2024 use of proceeds, Stage 2 (Badas 10.0 USD m) — PROVISIONAL</t>
  </si>
  <si>
    <t xml:space="preserve">Q: total investment incl. contingency, split civil works / equipment, and construction schedule?</t>
  </si>
  <si>
    <t xml:space="preserve">Annual spending % of total capex (2023 column = pre-2024 spend)   [DUMMY — REPLACE WITH FS DATA]</t>
  </si>
  <si>
    <t xml:space="preserve">DUMMY — REPLACE WITH FS DATA (construction phasing)</t>
  </si>
  <si>
    <t xml:space="preserve">P19 Badas bulk terminal (FS pending — DUMMY data) — CALCULATION</t>
  </si>
  <si>
    <t xml:space="preserve">C. Volume</t>
  </si>
  <si>
    <t xml:space="preserve">Throughput = capacity x utilisation x operating flag</t>
  </si>
  <si>
    <t xml:space="preserve">Stored tonnes = throughput x share stored</t>
  </si>
  <si>
    <t xml:space="preserve">Tonnes using ancillary services</t>
  </si>
  <si>
    <t xml:space="preserve">D. Revenue (gross, 100%)</t>
  </si>
  <si>
    <t xml:space="preserve">Handling revenue = throughput x tariff / 1e9</t>
  </si>
  <si>
    <t xml:space="preserve">Storage revenue = stored tonnes x months x tariff / 1e9</t>
  </si>
  <si>
    <t xml:space="preserve">Ancillary revenue = tonnes x tariff / 1e9</t>
  </si>
  <si>
    <t xml:space="preserve">Gross terminal revenue</t>
  </si>
  <si>
    <t xml:space="preserve">FSL revenue = gross revenue x FSL revenue share</t>
  </si>
  <si>
    <t xml:space="preserve">E. Cost of sales</t>
  </si>
  <si>
    <t xml:space="preserve">Variable cost = throughput x cost per tonne / 1e9</t>
  </si>
  <si>
    <t xml:space="preserve">Concession / port fee = gross revenue x %</t>
  </si>
  <si>
    <t xml:space="preserve">Maintenance = total capex (IDR bn) x % x capex-in-service flag</t>
  </si>
  <si>
    <t xml:space="preserve">Insurance = total capex (IDR bn) x % x capex-in-service flag</t>
  </si>
  <si>
    <t xml:space="preserve">F. Operating expenses</t>
  </si>
  <si>
    <t xml:space="preserve">Staff cost = headcount x cost per head / 1,000</t>
  </si>
  <si>
    <t xml:space="preserve">Other fixed costs</t>
  </si>
  <si>
    <t xml:space="preserve">Pre-operating costs (year before commissioning)</t>
  </si>
  <si>
    <t xml:space="preserve">G. Project debt (DUMMY financing plan)</t>
  </si>
  <si>
    <t xml:space="preserve">Project debt drawdown = capex (IDR bn) x debt share</t>
  </si>
  <si>
    <t xml:space="preserve">Project debt — opening balance</t>
  </si>
  <si>
    <t xml:space="preserve">Project debt — repayment (each drawdown repaid straight-line after the grace period)</t>
  </si>
  <si>
    <t xml:space="preserve">Project debt — closing balance</t>
  </si>
  <si>
    <t xml:space="preserve">Project debt — interest = rate x opening balance</t>
  </si>
  <si>
    <t xml:space="preserve">P19 Badas bulk terminal (FS pending — DUMMY data) — OUTPUT</t>
  </si>
  <si>
    <t xml:space="preserve">D2. Equity cash flow with project debt (project-level financing from the Calc sheet) — equity IRR</t>
  </si>
  <si>
    <t xml:space="preserve">FCFF</t>
  </si>
  <si>
    <t xml:space="preserve">+ Project debt drawdown</t>
  </si>
  <si>
    <t xml:space="preserve">- Project debt repayment</t>
  </si>
  <si>
    <t xml:space="preserve">- Interest after tax shield (interest x (1 - tax rate))</t>
  </si>
  <si>
    <t xml:space="preserve">Free cash flow to equity (100% of the project)</t>
  </si>
  <si>
    <t xml:space="preserve">Free cash flow to FSL = FCFE x FSL economic interest</t>
  </si>
  <si>
    <t xml:space="preserve">FCFE incl. terminal value (equity value at end-2036 = FCFF terminal value less debt outstanding)</t>
  </si>
  <si>
    <t xml:space="preserve">Equity IRR — FCFE 2023-2036, no terminal value</t>
  </si>
  <si>
    <t xml:space="preserve">Equity IRR — FCFE incl. terminal value</t>
  </si>
  <si>
    <t xml:space="preserve">Project debt is a project-level financing assumption (DUMMY for Badas); it is not part of the corporate LT loan and is not added to the company balance sheet while the project is outside the valuation.</t>
  </si>
</sst>
</file>

<file path=xl/styles.xml><?xml version="1.0" encoding="utf-8"?>
<styleSheet xmlns="http://schemas.openxmlformats.org/spreadsheetml/2006/main">
  <numFmts count="14">
    <numFmt numFmtId="164" formatCode="General"/>
    <numFmt numFmtId="165" formatCode="0"/>
    <numFmt numFmtId="166" formatCode="dd\-mmm\-yyyy"/>
    <numFmt numFmtId="167" formatCode="0;\(0\);\-"/>
    <numFmt numFmtId="168" formatCode="#,##0;\(#,##0\);\-"/>
    <numFmt numFmtId="169" formatCode="#,##0.0000;\(#,##0.0000\);\-"/>
    <numFmt numFmtId="170" formatCode="#,##0"/>
    <numFmt numFmtId="171" formatCode="0.0%;\(0.0%\);\-"/>
    <numFmt numFmtId="172" formatCode="#,##0.00;\(#,##0.00\);\-"/>
    <numFmt numFmtId="173" formatCode="0.00%;\(0.00%\);\-"/>
    <numFmt numFmtId="174" formatCode="#,##0.0;\(#,##0.0\);\-"/>
    <numFmt numFmtId="175" formatCode="0%;\(0%\);\-"/>
    <numFmt numFmtId="176" formatCode="@"/>
    <numFmt numFmtId="177" formatCode="0.0000;\(0.0000\);\-"/>
  </numFmts>
  <fonts count="22">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i val="true"/>
      <sz val="9"/>
      <color rgb="FF595959"/>
      <name val="Arial"/>
      <family val="0"/>
      <charset val="1"/>
    </font>
    <font>
      <b val="true"/>
      <sz val="9"/>
      <color rgb="FF000000"/>
      <name val="Arial"/>
      <family val="0"/>
      <charset val="1"/>
    </font>
    <font>
      <u val="single"/>
      <sz val="9"/>
      <color rgb="FF0563C1"/>
      <name val="Arial"/>
      <family val="0"/>
      <charset val="1"/>
    </font>
    <font>
      <i val="true"/>
      <sz val="8"/>
      <color rgb="FF7F7F7F"/>
      <name val="Arial"/>
      <family val="0"/>
      <charset val="1"/>
    </font>
    <font>
      <b val="true"/>
      <sz val="9"/>
      <color rgb="FFFFFFFF"/>
      <name val="Arial"/>
      <family val="0"/>
      <charset val="1"/>
    </font>
    <font>
      <sz val="9"/>
      <color rgb="FF000000"/>
      <name val="Arial"/>
      <family val="0"/>
      <charset val="1"/>
    </font>
    <font>
      <b val="true"/>
      <sz val="8"/>
      <color rgb="FF595959"/>
      <name val="Arial"/>
      <family val="0"/>
      <charset val="1"/>
    </font>
    <font>
      <sz val="9"/>
      <color rgb="FF0000FF"/>
      <name val="Arial"/>
      <family val="0"/>
      <charset val="1"/>
    </font>
    <font>
      <sz val="8"/>
      <color rgb="FF595959"/>
      <name val="Arial"/>
      <family val="0"/>
      <charset val="1"/>
    </font>
    <font>
      <b val="true"/>
      <sz val="9"/>
      <color rgb="FF0000FF"/>
      <name val="Arial"/>
      <family val="0"/>
      <charset val="1"/>
    </font>
    <font>
      <sz val="9"/>
      <color rgb="FF00703C"/>
      <name val="Arial"/>
      <family val="0"/>
      <charset val="1"/>
    </font>
    <font>
      <b val="true"/>
      <sz val="8"/>
      <color rgb="FF000000"/>
      <name val="Arial"/>
      <family val="0"/>
      <charset val="1"/>
    </font>
    <font>
      <b val="true"/>
      <sz val="9"/>
      <color rgb="FF00703C"/>
      <name val="Arial"/>
      <family val="0"/>
      <charset val="1"/>
    </font>
    <font>
      <b val="true"/>
      <sz val="9"/>
      <color rgb="FF1F3864"/>
      <name val="Arial"/>
      <family val="0"/>
      <charset val="1"/>
    </font>
    <font>
      <b val="true"/>
      <sz val="9"/>
      <color rgb="FFC00000"/>
      <name val="Arial"/>
      <family val="0"/>
      <charset val="1"/>
    </font>
    <font>
      <b val="true"/>
      <sz val="8"/>
      <color rgb="FFC00000"/>
      <name val="Arial"/>
      <family val="0"/>
      <charset val="1"/>
    </font>
    <font>
      <sz val="8"/>
      <color rgb="FF404040"/>
      <name val="Arial"/>
      <family val="0"/>
      <charset val="1"/>
    </font>
  </fonts>
  <fills count="13">
    <fill>
      <patternFill patternType="none"/>
    </fill>
    <fill>
      <patternFill patternType="gray125"/>
    </fill>
    <fill>
      <patternFill patternType="solid">
        <fgColor rgb="FF1F3864"/>
        <bgColor rgb="FF333399"/>
      </patternFill>
    </fill>
    <fill>
      <patternFill patternType="solid">
        <fgColor rgb="FFFFF2CC"/>
        <bgColor rgb="FFFFFFCC"/>
      </patternFill>
    </fill>
    <fill>
      <patternFill patternType="solid">
        <fgColor rgb="FFFFE699"/>
        <bgColor rgb="FFFFF2CC"/>
      </patternFill>
    </fill>
    <fill>
      <patternFill patternType="solid">
        <fgColor rgb="FFDDEBF7"/>
        <bgColor rgb="FFD9E1F2"/>
      </patternFill>
    </fill>
    <fill>
      <patternFill patternType="solid">
        <fgColor rgb="FFE2EFDA"/>
        <bgColor rgb="FFDDEBF7"/>
      </patternFill>
    </fill>
    <fill>
      <patternFill patternType="solid">
        <fgColor rgb="FFFCE4D6"/>
        <bgColor rgb="FFFFF2CC"/>
      </patternFill>
    </fill>
    <fill>
      <patternFill patternType="solid">
        <fgColor rgb="FFF8CBAD"/>
        <bgColor rgb="FFFFE699"/>
      </patternFill>
    </fill>
    <fill>
      <patternFill patternType="solid">
        <fgColor rgb="FFFFFFFF"/>
        <bgColor rgb="FFF2F2F2"/>
      </patternFill>
    </fill>
    <fill>
      <patternFill patternType="solid">
        <fgColor rgb="FFD9E1F2"/>
        <bgColor rgb="FFDDEBF7"/>
      </patternFill>
    </fill>
    <fill>
      <patternFill patternType="solid">
        <fgColor rgb="FFF2F2F2"/>
        <bgColor rgb="FFE2EFDA"/>
      </patternFill>
    </fill>
    <fill>
      <patternFill patternType="solid">
        <fgColor rgb="FFFFFFCC"/>
        <bgColor rgb="FFFFF2CC"/>
      </patternFill>
    </fill>
  </fills>
  <borders count="2">
    <border diagonalUp="false" diagonalDown="false">
      <left/>
      <right/>
      <top/>
      <bottom/>
      <diagonal/>
    </border>
    <border diagonalUp="false" diagonalDown="false">
      <left/>
      <right/>
      <top style="thin">
        <color rgb="FFBFBFBF"/>
      </top>
      <bottom style="double">
        <color rgb="FF1F3864"/>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2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2"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left" vertical="top" textRotation="0" wrapText="tru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0" fillId="4" borderId="0" xfId="0" applyFont="false" applyBorder="false" applyAlignment="false" applyProtection="false">
      <alignment horizontal="general" vertical="bottom" textRotation="0" wrapText="false" indent="0" shrinkToFit="false"/>
      <protection locked="true" hidden="false"/>
    </xf>
    <xf numFmtId="164" fontId="0" fillId="5" borderId="0" xfId="0" applyFont="false" applyBorder="false" applyAlignment="false" applyProtection="false">
      <alignment horizontal="general" vertical="bottom" textRotation="0" wrapText="false" indent="0" shrinkToFit="false"/>
      <protection locked="true" hidden="false"/>
    </xf>
    <xf numFmtId="164" fontId="0" fillId="6" borderId="0" xfId="0" applyFont="false" applyBorder="false" applyAlignment="false" applyProtection="false">
      <alignment horizontal="general" vertical="bottom" textRotation="0" wrapText="false" indent="0" shrinkToFit="false"/>
      <protection locked="true" hidden="false"/>
    </xf>
    <xf numFmtId="164" fontId="0" fillId="7" borderId="0" xfId="0" applyFont="false" applyBorder="false" applyAlignment="false" applyProtection="false">
      <alignment horizontal="general" vertical="bottom" textRotation="0" wrapText="false" indent="0" shrinkToFit="false"/>
      <protection locked="true" hidden="false"/>
    </xf>
    <xf numFmtId="164" fontId="0" fillId="8" borderId="0" xfId="0" applyFont="false" applyBorder="false" applyAlignment="false" applyProtection="false">
      <alignment horizontal="general" vertical="bottom" textRotation="0" wrapText="false" indent="0" shrinkToFit="false"/>
      <protection locked="true" hidden="false"/>
    </xf>
    <xf numFmtId="164" fontId="0" fillId="9" borderId="0" xfId="0" applyFont="fals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left" vertical="top" textRotation="0" wrapText="true" indent="0" shrinkToFit="false"/>
      <protection locked="true" hidden="false"/>
    </xf>
    <xf numFmtId="164" fontId="10" fillId="0" borderId="0" xfId="0" applyFont="true" applyBorder="false" applyAlignment="true" applyProtection="false">
      <alignment horizontal="left" vertical="top" textRotation="0" wrapText="true" indent="0" shrinkToFit="false"/>
      <protection locked="true" hidden="false"/>
    </xf>
    <xf numFmtId="164" fontId="7" fillId="0" borderId="0" xfId="0" applyFont="true" applyBorder="false" applyAlignment="true" applyProtection="false">
      <alignment horizontal="center" vertical="center" textRotation="0" wrapText="false" indent="0" shrinkToFit="false"/>
      <protection locked="true" hidden="false"/>
    </xf>
    <xf numFmtId="165" fontId="9" fillId="2" borderId="0" xfId="0" applyFont="true" applyBorder="false" applyAlignment="true" applyProtection="false">
      <alignment horizontal="center" vertical="center"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6" fontId="8" fillId="0" borderId="0" xfId="0" applyFont="true" applyBorder="false" applyAlignment="true" applyProtection="false">
      <alignment horizontal="center" vertical="center" textRotation="0" wrapText="false" indent="0" shrinkToFit="false"/>
      <protection locked="true" hidden="false"/>
    </xf>
    <xf numFmtId="165" fontId="8" fillId="0" borderId="0" xfId="0" applyFont="true" applyBorder="false" applyAlignment="true" applyProtection="false">
      <alignment horizontal="center" vertical="center" textRotation="0" wrapText="false" indent="0" shrinkToFit="false"/>
      <protection locked="true" hidden="false"/>
    </xf>
    <xf numFmtId="164" fontId="6" fillId="10" borderId="0" xfId="0" applyFont="true" applyBorder="false" applyAlignment="false" applyProtection="false">
      <alignment horizontal="general" vertical="bottom" textRotation="0" wrapText="false" indent="0" shrinkToFit="false"/>
      <protection locked="true" hidden="false"/>
    </xf>
    <xf numFmtId="164" fontId="0" fillId="10" borderId="0" xfId="0" applyFont="fals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left" vertical="center" textRotation="0" wrapText="false" indent="0" shrinkToFit="false"/>
      <protection locked="true" hidden="false"/>
    </xf>
    <xf numFmtId="164" fontId="8" fillId="0" borderId="0" xfId="0" applyFont="true" applyBorder="false" applyAlignment="true" applyProtection="false">
      <alignment horizontal="center" vertical="center" textRotation="0" wrapText="false" indent="0" shrinkToFit="false"/>
      <protection locked="true" hidden="false"/>
    </xf>
    <xf numFmtId="164" fontId="11" fillId="0" borderId="0" xfId="0" applyFont="true" applyBorder="false" applyAlignment="true" applyProtection="false">
      <alignment horizontal="center" vertical="center" textRotation="0" wrapText="false" indent="0" shrinkToFit="false"/>
      <protection locked="true" hidden="false"/>
    </xf>
    <xf numFmtId="166" fontId="12" fillId="5" borderId="0" xfId="0" applyFont="true" applyBorder="false" applyAlignment="true" applyProtection="false">
      <alignment horizontal="right" vertical="center" textRotation="0" wrapText="false" indent="0" shrinkToFit="false"/>
      <protection locked="true" hidden="false"/>
    </xf>
    <xf numFmtId="164" fontId="13" fillId="0" borderId="0" xfId="0" applyFont="true" applyBorder="false" applyAlignment="true" applyProtection="false">
      <alignment horizontal="center" vertical="center" textRotation="0" wrapText="false" indent="0" shrinkToFit="false"/>
      <protection locked="true" hidden="false"/>
    </xf>
    <xf numFmtId="165" fontId="10" fillId="0" borderId="0" xfId="0" applyFont="true" applyBorder="false" applyAlignment="true" applyProtection="false">
      <alignment horizontal="right" vertical="center" textRotation="0" wrapText="false" indent="0" shrinkToFit="false"/>
      <protection locked="true" hidden="false"/>
    </xf>
    <xf numFmtId="167" fontId="10" fillId="0" borderId="0" xfId="0" applyFont="true" applyBorder="false" applyAlignment="true" applyProtection="false">
      <alignment horizontal="right" vertical="center" textRotation="0" wrapText="false" indent="0" shrinkToFit="false"/>
      <protection locked="true" hidden="false"/>
    </xf>
    <xf numFmtId="168" fontId="10" fillId="0" borderId="0" xfId="0" applyFont="true" applyBorder="false" applyAlignment="true" applyProtection="false">
      <alignment horizontal="right" vertical="center" textRotation="0" wrapText="false" indent="0" shrinkToFit="false"/>
      <protection locked="true" hidden="false"/>
    </xf>
    <xf numFmtId="169" fontId="10" fillId="0" borderId="0" xfId="0" applyFont="true" applyBorder="false" applyAlignment="true" applyProtection="false">
      <alignment horizontal="right" vertical="center" textRotation="0" wrapText="false" indent="0" shrinkToFit="false"/>
      <protection locked="true" hidden="false"/>
    </xf>
    <xf numFmtId="170" fontId="12" fillId="3" borderId="0" xfId="0" applyFont="true" applyBorder="false" applyAlignment="true" applyProtection="false">
      <alignment horizontal="right" vertical="center" textRotation="0" wrapText="false" indent="0" shrinkToFit="false"/>
      <protection locked="true" hidden="false"/>
    </xf>
    <xf numFmtId="170" fontId="10" fillId="0" borderId="0" xfId="0" applyFont="true" applyBorder="false" applyAlignment="true" applyProtection="false">
      <alignment horizontal="right" vertical="center" textRotation="0" wrapText="false" indent="0" shrinkToFit="false"/>
      <protection locked="true" hidden="false"/>
    </xf>
    <xf numFmtId="171" fontId="12" fillId="3" borderId="0" xfId="0" applyFont="true" applyBorder="false" applyAlignment="true" applyProtection="false">
      <alignment horizontal="right" vertical="center" textRotation="0" wrapText="false" indent="0" shrinkToFit="false"/>
      <protection locked="true" hidden="false"/>
    </xf>
    <xf numFmtId="165" fontId="12" fillId="3" borderId="0" xfId="0" applyFont="true" applyBorder="false" applyAlignment="true" applyProtection="false">
      <alignment horizontal="right" vertical="center" textRotation="0" wrapText="false" indent="0" shrinkToFit="false"/>
      <protection locked="true" hidden="false"/>
    </xf>
    <xf numFmtId="172" fontId="12" fillId="3" borderId="0" xfId="0" applyFont="true" applyBorder="false" applyAlignment="true" applyProtection="false">
      <alignment horizontal="right" vertical="center" textRotation="0" wrapText="false" indent="0" shrinkToFit="false"/>
      <protection locked="true" hidden="false"/>
    </xf>
    <xf numFmtId="165" fontId="14" fillId="4" borderId="0" xfId="0" applyFont="true" applyBorder="false" applyAlignment="true" applyProtection="false">
      <alignment horizontal="right" vertical="center" textRotation="0" wrapText="false" indent="0" shrinkToFit="false"/>
      <protection locked="true" hidden="false"/>
    </xf>
    <xf numFmtId="165" fontId="12" fillId="7" borderId="0" xfId="0" applyFont="true" applyBorder="false" applyAlignment="true" applyProtection="false">
      <alignment horizontal="right" vertical="center" textRotation="0" wrapText="false" indent="0" shrinkToFit="false"/>
      <protection locked="true" hidden="false"/>
    </xf>
    <xf numFmtId="173" fontId="12" fillId="7" borderId="0" xfId="0" applyFont="true" applyBorder="false" applyAlignment="true" applyProtection="false">
      <alignment horizontal="right" vertical="center" textRotation="0" wrapText="false" indent="0" shrinkToFit="false"/>
      <protection locked="true" hidden="false"/>
    </xf>
    <xf numFmtId="172" fontId="12" fillId="7" borderId="0" xfId="0" applyFont="true" applyBorder="false" applyAlignment="true" applyProtection="false">
      <alignment horizontal="right" vertical="center" textRotation="0" wrapText="false" indent="0" shrinkToFit="false"/>
      <protection locked="true" hidden="false"/>
    </xf>
    <xf numFmtId="171" fontId="12" fillId="7" borderId="0" xfId="0" applyFont="true" applyBorder="false" applyAlignment="true" applyProtection="false">
      <alignment horizontal="right" vertical="center" textRotation="0" wrapText="false" indent="0" shrinkToFit="false"/>
      <protection locked="true" hidden="false"/>
    </xf>
    <xf numFmtId="173" fontId="10" fillId="0" borderId="0" xfId="0" applyFont="true" applyBorder="false" applyAlignment="true" applyProtection="false">
      <alignment horizontal="right" vertical="center" textRotation="0" wrapText="false" indent="0" shrinkToFit="false"/>
      <protection locked="true" hidden="false"/>
    </xf>
    <xf numFmtId="172" fontId="10" fillId="0" borderId="0" xfId="0" applyFont="true" applyBorder="false" applyAlignment="true" applyProtection="false">
      <alignment horizontal="right" vertical="center" textRotation="0" wrapText="false" indent="0" shrinkToFit="false"/>
      <protection locked="true" hidden="false"/>
    </xf>
    <xf numFmtId="174" fontId="12" fillId="3" borderId="0" xfId="0" applyFont="true" applyBorder="false" applyAlignment="true" applyProtection="false">
      <alignment horizontal="right" vertical="center" textRotation="0" wrapText="false" indent="0" shrinkToFit="false"/>
      <protection locked="true" hidden="false"/>
    </xf>
    <xf numFmtId="172" fontId="12" fillId="0" borderId="0" xfId="0" applyFont="true" applyBorder="false" applyAlignment="true" applyProtection="false">
      <alignment horizontal="right" vertical="center" textRotation="0" wrapText="false" indent="0" shrinkToFit="false"/>
      <protection locked="true" hidden="false"/>
    </xf>
    <xf numFmtId="174" fontId="10" fillId="0" borderId="0" xfId="0" applyFont="true" applyBorder="false" applyAlignment="true" applyProtection="false">
      <alignment horizontal="right" vertical="center" textRotation="0" wrapText="false" indent="0" shrinkToFit="false"/>
      <protection locked="true" hidden="false"/>
    </xf>
    <xf numFmtId="166" fontId="12" fillId="7" borderId="0" xfId="0" applyFont="true" applyBorder="false" applyAlignment="true" applyProtection="false">
      <alignment horizontal="right" vertical="center" textRotation="0" wrapText="false" indent="0" shrinkToFit="false"/>
      <protection locked="true" hidden="false"/>
    </xf>
    <xf numFmtId="171" fontId="10" fillId="0" borderId="0" xfId="0" applyFont="true" applyBorder="false" applyAlignment="true" applyProtection="false">
      <alignment horizontal="right" vertical="center" textRotation="0" wrapText="false" indent="0" shrinkToFit="false"/>
      <protection locked="true" hidden="false"/>
    </xf>
    <xf numFmtId="172" fontId="14" fillId="4" borderId="0" xfId="0" applyFont="true" applyBorder="false" applyAlignment="true" applyProtection="false">
      <alignment horizontal="right" vertical="center" textRotation="0" wrapText="false" indent="0" shrinkToFit="false"/>
      <protection locked="true" hidden="false"/>
    </xf>
    <xf numFmtId="171" fontId="12" fillId="6" borderId="0" xfId="0" applyFont="true" applyBorder="false" applyAlignment="true" applyProtection="false">
      <alignment horizontal="right" vertical="center" textRotation="0" wrapText="false" indent="0" shrinkToFit="false"/>
      <protection locked="true" hidden="false"/>
    </xf>
    <xf numFmtId="164" fontId="9" fillId="2" borderId="0" xfId="0" applyFont="true" applyBorder="false" applyAlignment="true" applyProtection="false">
      <alignment horizontal="center" vertical="center" textRotation="0" wrapText="true" indent="0" shrinkToFit="false"/>
      <protection locked="true" hidden="false"/>
    </xf>
    <xf numFmtId="165" fontId="14" fillId="4" borderId="0" xfId="0" applyFont="true" applyBorder="false" applyAlignment="true" applyProtection="false">
      <alignment horizontal="center" vertical="center" textRotation="0" wrapText="false" indent="0" shrinkToFit="false"/>
      <protection locked="true" hidden="false"/>
    </xf>
    <xf numFmtId="171" fontId="14" fillId="4" borderId="0" xfId="0" applyFont="true" applyBorder="false" applyAlignment="true" applyProtection="false">
      <alignment horizontal="center" vertical="center" textRotation="0" wrapText="false" indent="0" shrinkToFit="false"/>
      <protection locked="true" hidden="false"/>
    </xf>
    <xf numFmtId="165" fontId="15" fillId="0" borderId="0" xfId="0" applyFont="true" applyBorder="false" applyAlignment="true" applyProtection="false">
      <alignment horizontal="center" vertical="center" textRotation="0" wrapText="false" indent="0" shrinkToFit="false"/>
      <protection locked="true" hidden="false"/>
    </xf>
    <xf numFmtId="172" fontId="15" fillId="0" borderId="0" xfId="0" applyFont="tru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true" applyProtection="false">
      <alignment horizontal="center" vertical="center" textRotation="0" wrapText="false" indent="0" shrinkToFit="false"/>
      <protection locked="true" hidden="false"/>
    </xf>
    <xf numFmtId="174" fontId="15" fillId="0" borderId="0" xfId="0" applyFont="true" applyBorder="false" applyAlignment="true" applyProtection="false">
      <alignment horizontal="right" vertical="center" textRotation="0" wrapText="false" indent="0" shrinkToFit="false"/>
      <protection locked="true" hidden="false"/>
    </xf>
    <xf numFmtId="164" fontId="16" fillId="3" borderId="0" xfId="0" applyFont="true" applyBorder="false" applyAlignment="true" applyProtection="false">
      <alignment horizontal="center" vertical="center" textRotation="0" wrapText="false" indent="0" shrinkToFit="false"/>
      <protection locked="true" hidden="false"/>
    </xf>
    <xf numFmtId="164" fontId="16" fillId="6" borderId="0" xfId="0" applyFont="true" applyBorder="false" applyAlignment="true" applyProtection="false">
      <alignment horizontal="center" vertical="center" textRotation="0" wrapText="false" indent="0" shrinkToFit="false"/>
      <protection locked="true" hidden="false"/>
    </xf>
    <xf numFmtId="164" fontId="16" fillId="5" borderId="0" xfId="0" applyFont="true" applyBorder="false" applyAlignment="true" applyProtection="false">
      <alignment horizontal="center" vertical="center" textRotation="0" wrapText="false" indent="0" shrinkToFit="false"/>
      <protection locked="true" hidden="false"/>
    </xf>
    <xf numFmtId="164" fontId="16" fillId="8" borderId="0" xfId="0" applyFont="true" applyBorder="false" applyAlignment="true" applyProtection="false">
      <alignment horizontal="center" vertical="center" textRotation="0" wrapText="false" indent="0" shrinkToFit="false"/>
      <protection locked="true" hidden="false"/>
    </xf>
    <xf numFmtId="164" fontId="16" fillId="7" borderId="0" xfId="0" applyFont="true" applyBorder="false" applyAlignment="true" applyProtection="false">
      <alignment horizontal="center" vertical="center" textRotation="0" wrapText="false" indent="0" shrinkToFit="false"/>
      <protection locked="true" hidden="false"/>
    </xf>
    <xf numFmtId="164" fontId="16" fillId="4" borderId="0" xfId="0" applyFont="true" applyBorder="false" applyAlignment="true" applyProtection="false">
      <alignment horizontal="center" vertical="center" textRotation="0" wrapText="false" indent="0" shrinkToFit="false"/>
      <protection locked="true" hidden="false"/>
    </xf>
    <xf numFmtId="165" fontId="15" fillId="0" borderId="0" xfId="0" applyFont="true" applyBorder="false" applyAlignment="true" applyProtection="false">
      <alignment horizontal="right" vertical="center" textRotation="0" wrapText="false" indent="0" shrinkToFit="false"/>
      <protection locked="true" hidden="false"/>
    </xf>
    <xf numFmtId="175" fontId="15" fillId="0" borderId="0" xfId="0" applyFont="true" applyBorder="false" applyAlignment="true" applyProtection="false">
      <alignment horizontal="right" vertical="center" textRotation="0" wrapText="false" indent="0" shrinkToFit="false"/>
      <protection locked="true" hidden="false"/>
    </xf>
    <xf numFmtId="171" fontId="15" fillId="0" borderId="0" xfId="0" applyFont="true" applyBorder="false" applyAlignment="true" applyProtection="false">
      <alignment horizontal="right" vertical="center" textRotation="0" wrapText="false" indent="0" shrinkToFit="false"/>
      <protection locked="true" hidden="false"/>
    </xf>
    <xf numFmtId="174" fontId="6" fillId="0" borderId="1" xfId="0" applyFont="true" applyBorder="true" applyAlignment="true" applyProtection="false">
      <alignment horizontal="right" vertical="center" textRotation="0" wrapText="false" indent="0" shrinkToFit="false"/>
      <protection locked="true" hidden="false"/>
    </xf>
    <xf numFmtId="164" fontId="6" fillId="0" borderId="0" xfId="0" applyFont="true" applyBorder="false" applyAlignment="true" applyProtection="false">
      <alignment horizontal="left" vertical="center" textRotation="0" wrapText="false" indent="0" shrinkToFit="false"/>
      <protection locked="true" hidden="false"/>
    </xf>
    <xf numFmtId="174" fontId="6" fillId="0" borderId="0" xfId="0" applyFont="true" applyBorder="false" applyAlignment="true" applyProtection="false">
      <alignment horizontal="right" vertical="center" textRotation="0" wrapText="false" indent="0" shrinkToFit="false"/>
      <protection locked="true" hidden="false"/>
    </xf>
    <xf numFmtId="174" fontId="15" fillId="0" borderId="1" xfId="0" applyFont="true" applyBorder="true" applyAlignment="true" applyProtection="false">
      <alignment horizontal="right" vertical="center" textRotation="0" wrapText="false" indent="0" shrinkToFit="false"/>
      <protection locked="true" hidden="false"/>
    </xf>
    <xf numFmtId="172" fontId="15" fillId="0" borderId="0" xfId="0" applyFont="true" applyBorder="false" applyAlignment="true" applyProtection="false">
      <alignment horizontal="right" vertical="center" textRotation="0" wrapText="false" indent="0" shrinkToFit="false"/>
      <protection locked="true" hidden="false"/>
    </xf>
    <xf numFmtId="164" fontId="8" fillId="0" borderId="0" xfId="0" applyFont="true" applyBorder="false" applyAlignment="true" applyProtection="false">
      <alignment horizontal="right" vertical="center" textRotation="0" wrapText="false" indent="0" shrinkToFit="false"/>
      <protection locked="true" hidden="false"/>
    </xf>
    <xf numFmtId="174" fontId="17" fillId="0" borderId="0" xfId="0" applyFont="true" applyBorder="false" applyAlignment="true" applyProtection="false">
      <alignment horizontal="right" vertical="center" textRotation="0" wrapText="false" indent="0" shrinkToFit="false"/>
      <protection locked="true" hidden="false"/>
    </xf>
    <xf numFmtId="171" fontId="17" fillId="0" borderId="0" xfId="0" applyFont="true" applyBorder="false" applyAlignment="true" applyProtection="false">
      <alignment horizontal="right" vertical="center" textRotation="0" wrapText="false" indent="0" shrinkToFit="false"/>
      <protection locked="true" hidden="false"/>
    </xf>
    <xf numFmtId="165" fontId="17" fillId="0" borderId="0" xfId="0" applyFont="true" applyBorder="false" applyAlignment="true" applyProtection="false">
      <alignment horizontal="right" vertical="center" textRotation="0" wrapText="false" indent="0" shrinkToFit="false"/>
      <protection locked="true" hidden="false"/>
    </xf>
    <xf numFmtId="164" fontId="10" fillId="0" borderId="0" xfId="0" applyFont="true" applyBorder="false" applyAlignment="true" applyProtection="false">
      <alignment horizontal="left" vertical="center" textRotation="0" wrapText="false" indent="1" shrinkToFit="false"/>
      <protection locked="true" hidden="false"/>
    </xf>
    <xf numFmtId="164" fontId="18" fillId="11" borderId="0" xfId="0" applyFont="true" applyBorder="false" applyAlignment="false" applyProtection="false">
      <alignment horizontal="general" vertical="bottom" textRotation="0" wrapText="false" indent="0" shrinkToFit="false"/>
      <protection locked="true" hidden="false"/>
    </xf>
    <xf numFmtId="164" fontId="0" fillId="11" borderId="0" xfId="0" applyFont="false" applyBorder="false" applyAlignment="false" applyProtection="false">
      <alignment horizontal="general" vertical="bottom" textRotation="0" wrapText="false" indent="0" shrinkToFit="false"/>
      <protection locked="true" hidden="false"/>
    </xf>
    <xf numFmtId="172" fontId="6" fillId="0" borderId="0" xfId="0" applyFont="true" applyBorder="false" applyAlignment="true" applyProtection="false">
      <alignment horizontal="right" vertical="center" textRotation="0" wrapText="false" indent="0" shrinkToFit="false"/>
      <protection locked="true" hidden="false"/>
    </xf>
    <xf numFmtId="172" fontId="6" fillId="0" borderId="1" xfId="0" applyFont="true" applyBorder="true" applyAlignment="true" applyProtection="false">
      <alignment horizontal="right" vertical="center" textRotation="0" wrapText="false" indent="0" shrinkToFit="false"/>
      <protection locked="true" hidden="false"/>
    </xf>
    <xf numFmtId="164" fontId="15" fillId="0" borderId="0" xfId="0" applyFont="true" applyBorder="false" applyAlignment="true" applyProtection="false">
      <alignment horizontal="left" vertical="center" textRotation="0" wrapText="false" indent="0" shrinkToFit="false"/>
      <protection locked="true" hidden="false"/>
    </xf>
    <xf numFmtId="166" fontId="15" fillId="0" borderId="0" xfId="0" applyFont="true" applyBorder="false" applyAlignment="true" applyProtection="false">
      <alignment horizontal="right" vertical="center" textRotation="0" wrapText="false" indent="0" shrinkToFit="false"/>
      <protection locked="true" hidden="false"/>
    </xf>
    <xf numFmtId="164" fontId="12" fillId="4" borderId="0" xfId="0" applyFont="true" applyBorder="false" applyAlignment="true" applyProtection="false">
      <alignment horizontal="left" vertical="center" textRotation="0" wrapText="false" indent="0" shrinkToFit="false"/>
      <protection locked="true" hidden="false"/>
    </xf>
    <xf numFmtId="171" fontId="6" fillId="0" borderId="0" xfId="0" applyFont="true" applyBorder="false" applyAlignment="true" applyProtection="false">
      <alignment horizontal="right" vertical="center" textRotation="0" wrapText="false" indent="0" shrinkToFit="false"/>
      <protection locked="true" hidden="false"/>
    </xf>
    <xf numFmtId="171" fontId="12" fillId="4" borderId="0" xfId="0" applyFont="true" applyBorder="false" applyAlignment="true" applyProtection="false">
      <alignment horizontal="right" vertical="center" textRotation="0" wrapText="false" indent="0" shrinkToFit="false"/>
      <protection locked="true" hidden="false"/>
    </xf>
    <xf numFmtId="176" fontId="6" fillId="0" borderId="0" xfId="0" applyFont="true" applyBorder="false" applyAlignment="true" applyProtection="false">
      <alignment horizontal="center" vertical="center" textRotation="0" wrapText="false" indent="0" shrinkToFit="false"/>
      <protection locked="true" hidden="false"/>
    </xf>
    <xf numFmtId="164" fontId="9" fillId="2" borderId="0" xfId="0" applyFont="true" applyBorder="false" applyAlignment="true" applyProtection="false">
      <alignment horizontal="left" vertical="center" textRotation="0" wrapText="false" indent="0" shrinkToFit="false"/>
      <protection locked="true" hidden="false"/>
    </xf>
    <xf numFmtId="164" fontId="9" fillId="2" borderId="0" xfId="0" applyFont="true" applyBorder="false" applyAlignment="true" applyProtection="false">
      <alignment horizontal="center" vertical="center" textRotation="0" wrapText="false" indent="0" shrinkToFit="false"/>
      <protection locked="true" hidden="false"/>
    </xf>
    <xf numFmtId="174" fontId="12" fillId="0" borderId="0" xfId="0" applyFont="true" applyBorder="false" applyAlignment="true" applyProtection="false">
      <alignment horizontal="right" vertical="center" textRotation="0" wrapText="false" indent="0" shrinkToFit="false"/>
      <protection locked="true" hidden="false"/>
    </xf>
    <xf numFmtId="174" fontId="12" fillId="6" borderId="0" xfId="0" applyFont="true" applyBorder="false" applyAlignment="true" applyProtection="false">
      <alignment horizontal="right" vertical="center" textRotation="0" wrapText="false" indent="0" shrinkToFit="false"/>
      <protection locked="true" hidden="false"/>
    </xf>
    <xf numFmtId="173" fontId="15" fillId="0" borderId="0" xfId="0" applyFont="true" applyBorder="false" applyAlignment="true" applyProtection="false">
      <alignment horizontal="right" vertical="center" textRotation="0" wrapText="false" indent="0" shrinkToFit="false"/>
      <protection locked="true" hidden="false"/>
    </xf>
    <xf numFmtId="167" fontId="15" fillId="0" borderId="0" xfId="0" applyFont="true" applyBorder="false" applyAlignment="true" applyProtection="false">
      <alignment horizontal="right" vertical="center" textRotation="0" wrapText="false" indent="0" shrinkToFit="false"/>
      <protection locked="true" hidden="false"/>
    </xf>
    <xf numFmtId="168" fontId="15" fillId="0" borderId="0" xfId="0" applyFont="true" applyBorder="false" applyAlignment="true" applyProtection="false">
      <alignment horizontal="right" vertical="center" textRotation="0" wrapText="false" indent="0" shrinkToFit="false"/>
      <protection locked="true" hidden="false"/>
    </xf>
    <xf numFmtId="169" fontId="15" fillId="0" borderId="0" xfId="0" applyFont="true" applyBorder="false" applyAlignment="true" applyProtection="false">
      <alignment horizontal="right" vertical="center" textRotation="0" wrapText="false" indent="0" shrinkToFit="false"/>
      <protection locked="true" hidden="false"/>
    </xf>
    <xf numFmtId="173" fontId="9" fillId="2" borderId="0" xfId="0" applyFont="true" applyBorder="false" applyAlignment="true" applyProtection="false">
      <alignment horizontal="center" vertical="center" textRotation="0" wrapText="false" indent="0" shrinkToFit="false"/>
      <protection locked="true" hidden="false"/>
    </xf>
    <xf numFmtId="173" fontId="6" fillId="11" borderId="0" xfId="0" applyFont="true" applyBorder="false" applyAlignment="true" applyProtection="false">
      <alignment horizontal="center" vertical="center" textRotation="0" wrapText="false" indent="0" shrinkToFit="false"/>
      <protection locked="true" hidden="false"/>
    </xf>
    <xf numFmtId="174" fontId="6" fillId="12" borderId="0" xfId="0" applyFont="true" applyBorder="false" applyAlignment="true" applyProtection="false">
      <alignment horizontal="right" vertical="center" textRotation="0" wrapText="false" indent="0" shrinkToFit="false"/>
      <protection locked="true" hidden="false"/>
    </xf>
    <xf numFmtId="164" fontId="6" fillId="0" borderId="0" xfId="0" applyFont="true" applyBorder="false" applyAlignment="true" applyProtection="false">
      <alignment horizontal="center" vertical="center" textRotation="0" wrapText="false" indent="0" shrinkToFit="false"/>
      <protection locked="true" hidden="false"/>
    </xf>
    <xf numFmtId="169" fontId="12" fillId="0" borderId="0" xfId="0" applyFont="true" applyBorder="false" applyAlignment="true" applyProtection="false">
      <alignment horizontal="right" vertical="center" textRotation="0" wrapText="false" indent="0" shrinkToFit="false"/>
      <protection locked="true" hidden="false"/>
    </xf>
    <xf numFmtId="168" fontId="12" fillId="3" borderId="0" xfId="0" applyFont="true" applyBorder="false" applyAlignment="true" applyProtection="false">
      <alignment horizontal="right" vertical="center" textRotation="0" wrapText="false" indent="0" shrinkToFit="false"/>
      <protection locked="true" hidden="false"/>
    </xf>
    <xf numFmtId="165" fontId="12" fillId="4" borderId="0" xfId="0" applyFont="true" applyBorder="false" applyAlignment="true" applyProtection="false">
      <alignment horizontal="right" vertical="center" textRotation="0" wrapText="false" indent="0" shrinkToFit="false"/>
      <protection locked="true" hidden="false"/>
    </xf>
    <xf numFmtId="173" fontId="12" fillId="3" borderId="0" xfId="0" applyFont="true" applyBorder="false" applyAlignment="true" applyProtection="false">
      <alignment horizontal="right" vertical="center" textRotation="0" wrapText="false" indent="0" shrinkToFit="false"/>
      <protection locked="true" hidden="false"/>
    </xf>
    <xf numFmtId="177" fontId="10" fillId="0" borderId="0" xfId="0" applyFont="true" applyBorder="false" applyAlignment="true" applyProtection="false">
      <alignment horizontal="right" vertical="center" textRotation="0" wrapText="false" indent="0" shrinkToFit="false"/>
      <protection locked="true" hidden="false"/>
    </xf>
    <xf numFmtId="168" fontId="6" fillId="0" borderId="0" xfId="0" applyFont="true" applyBorder="false" applyAlignment="true" applyProtection="false">
      <alignment horizontal="right" vertical="center" textRotation="0" wrapText="false" indent="0" shrinkToFit="false"/>
      <protection locked="true" hidden="false"/>
    </xf>
    <xf numFmtId="168" fontId="6" fillId="0" borderId="1" xfId="0" applyFont="true" applyBorder="true" applyAlignment="true" applyProtection="false">
      <alignment horizontal="right" vertical="center" textRotation="0" wrapText="false" indent="0" shrinkToFit="false"/>
      <protection locked="true" hidden="false"/>
    </xf>
    <xf numFmtId="170" fontId="15" fillId="0" borderId="0" xfId="0" applyFont="true" applyBorder="false" applyAlignment="true" applyProtection="false">
      <alignment horizontal="right" vertical="center" textRotation="0" wrapText="false" indent="0" shrinkToFit="false"/>
      <protection locked="true" hidden="false"/>
    </xf>
    <xf numFmtId="176" fontId="10" fillId="0" borderId="0" xfId="0" applyFont="true" applyBorder="false" applyAlignment="true" applyProtection="false">
      <alignment horizontal="center" vertical="center" textRotation="0" wrapText="false" indent="0" shrinkToFit="false"/>
      <protection locked="true" hidden="false"/>
    </xf>
    <xf numFmtId="167" fontId="12" fillId="3" borderId="0" xfId="0" applyFont="true" applyBorder="false" applyAlignment="true" applyProtection="false">
      <alignment horizontal="right" vertical="center" textRotation="0" wrapText="false" indent="0" shrinkToFit="false"/>
      <protection locked="true" hidden="false"/>
    </xf>
    <xf numFmtId="177" fontId="15" fillId="0" borderId="0" xfId="0" applyFont="true" applyBorder="false" applyAlignment="true" applyProtection="false">
      <alignment horizontal="right" vertical="center" textRotation="0" wrapText="false" indent="0" shrinkToFit="false"/>
      <protection locked="true" hidden="false"/>
    </xf>
    <xf numFmtId="164" fontId="19" fillId="8" borderId="0" xfId="0" applyFont="true" applyBorder="false" applyAlignment="true" applyProtection="false">
      <alignment horizontal="left" vertical="center" textRotation="0" wrapText="false" indent="0" shrinkToFit="false"/>
      <protection locked="true" hidden="false"/>
    </xf>
    <xf numFmtId="164" fontId="8" fillId="8" borderId="0" xfId="0" applyFont="true" applyBorder="false" applyAlignment="true" applyProtection="false">
      <alignment horizontal="center" vertical="center" textRotation="0" wrapText="false" indent="0" shrinkToFit="false"/>
      <protection locked="true" hidden="false"/>
    </xf>
    <xf numFmtId="164" fontId="20" fillId="8" borderId="0" xfId="0" applyFont="true" applyBorder="false" applyAlignment="true" applyProtection="false">
      <alignment horizontal="center" vertical="center" textRotation="0" wrapText="false" indent="0" shrinkToFit="false"/>
      <protection locked="true" hidden="false"/>
    </xf>
    <xf numFmtId="165" fontId="12" fillId="8" borderId="0" xfId="0" applyFont="true" applyBorder="false" applyAlignment="true" applyProtection="false">
      <alignment horizontal="right" vertical="center" textRotation="0" wrapText="false" indent="0" shrinkToFit="false"/>
      <protection locked="true" hidden="false"/>
    </xf>
    <xf numFmtId="168" fontId="12" fillId="8" borderId="0" xfId="0" applyFont="true" applyBorder="false" applyAlignment="true" applyProtection="false">
      <alignment horizontal="right" vertical="center" textRotation="0" wrapText="false" indent="0" shrinkToFit="false"/>
      <protection locked="true" hidden="false"/>
    </xf>
    <xf numFmtId="164" fontId="21" fillId="0" borderId="0" xfId="0" applyFont="true" applyBorder="false" applyAlignment="true" applyProtection="false">
      <alignment horizontal="left" vertical="top" textRotation="0" wrapText="true" indent="0" shrinkToFit="false"/>
      <protection locked="true" hidden="false"/>
    </xf>
    <xf numFmtId="164" fontId="21" fillId="0" borderId="0" xfId="0" applyFont="true" applyBorder="false" applyAlignment="true" applyProtection="false">
      <alignment horizontal="left" vertical="center" textRotation="0" wrapText="false" indent="0" shrinkToFit="false"/>
      <protection locked="true" hidden="false"/>
    </xf>
    <xf numFmtId="164" fontId="20" fillId="0" borderId="0" xfId="0" applyFont="true" applyBorder="false" applyAlignment="true" applyProtection="false">
      <alignment horizontal="left" vertical="center" textRotation="0" wrapText="false" indent="0" shrinkToFit="false"/>
      <protection locked="true" hidden="false"/>
    </xf>
    <xf numFmtId="171" fontId="12" fillId="8" borderId="0" xfId="0" applyFont="true" applyBorder="false" applyAlignment="true" applyProtection="false">
      <alignment horizontal="right" vertical="center" textRotation="0" wrapText="false" indent="0" shrinkToFit="false"/>
      <protection locked="true" hidden="false"/>
    </xf>
    <xf numFmtId="174" fontId="12" fillId="8" borderId="0" xfId="0" applyFont="true" applyBorder="false" applyAlignment="true" applyProtection="false">
      <alignment horizontal="right" vertical="center" textRotation="0" wrapText="false" indent="0" shrinkToFit="false"/>
      <protection locked="true" hidden="false"/>
    </xf>
    <xf numFmtId="172" fontId="12" fillId="8" borderId="0" xfId="0" applyFont="true" applyBorder="false" applyAlignment="true" applyProtection="false">
      <alignment horizontal="right" vertical="center" textRotation="0" wrapText="false" indent="0" shrinkToFit="false"/>
      <protection locked="true" hidden="false"/>
    </xf>
    <xf numFmtId="173" fontId="12" fillId="8" borderId="0" xfId="0" applyFont="true" applyBorder="false" applyAlignment="true" applyProtection="false">
      <alignment horizontal="right" vertical="center" textRotation="0" wrapText="false" indent="0" shrinkToFit="false"/>
      <protection locked="true" hidden="false"/>
    </xf>
    <xf numFmtId="172" fontId="12" fillId="6" borderId="0" xfId="0" applyFont="true" applyBorder="false" applyAlignment="true" applyProtection="false">
      <alignment horizontal="right" vertical="center" textRotation="0" wrapText="false" indent="0" shrinkToFit="false"/>
      <protection locked="true" hidden="false"/>
    </xf>
    <xf numFmtId="171" fontId="6" fillId="8" borderId="0" xfId="0" applyFont="true" applyBorder="false" applyAlignment="true" applyProtection="false">
      <alignment horizontal="right" vertical="center" textRotation="0" wrapText="false" indent="0" shrinkToFit="false"/>
      <protection locked="true" hidden="false"/>
    </xf>
    <xf numFmtId="165" fontId="12" fillId="6" borderId="0" xfId="0" applyFont="true" applyBorder="false" applyAlignment="true" applyProtection="false">
      <alignment horizontal="right"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0000"/>
      <rgbColor rgb="FF00FF00"/>
      <rgbColor rgb="FF0000FF"/>
      <rgbColor rgb="FFFFD966"/>
      <rgbColor rgb="FFFF00FF"/>
      <rgbColor rgb="FF00FFFF"/>
      <rgbColor rgb="FF800000"/>
      <rgbColor rgb="FF00703C"/>
      <rgbColor rgb="FF000080"/>
      <rgbColor rgb="FF808000"/>
      <rgbColor rgb="FF800080"/>
      <rgbColor rgb="FF008080"/>
      <rgbColor rgb="FFBFBFBF"/>
      <rgbColor rgb="FF7F7F7F"/>
      <rgbColor rgb="FF5B9BD5"/>
      <rgbColor rgb="FF7030A0"/>
      <rgbColor rgb="FFFFFFCC"/>
      <rgbColor rgb="FFDDEBF7"/>
      <rgbColor rgb="FF660066"/>
      <rgbColor rgb="FFFF8080"/>
      <rgbColor rgb="FF0563C1"/>
      <rgbColor rgb="FFD9E1F2"/>
      <rgbColor rgb="FF000080"/>
      <rgbColor rgb="FFFF00FF"/>
      <rgbColor rgb="FFFFF2CC"/>
      <rgbColor rgb="FF00FFFF"/>
      <rgbColor rgb="FF800080"/>
      <rgbColor rgb="FF800000"/>
      <rgbColor rgb="FF008080"/>
      <rgbColor rgb="FF0000FF"/>
      <rgbColor rgb="FF00CCFF"/>
      <rgbColor rgb="FFF2F2F2"/>
      <rgbColor rgb="FFE2EFDA"/>
      <rgbColor rgb="FFFFE699"/>
      <rgbColor rgb="FFA9D08E"/>
      <rgbColor rgb="FFFCE4D6"/>
      <rgbColor rgb="FFCC99FF"/>
      <rgbColor rgb="FFF8CBAD"/>
      <rgbColor rgb="FF3366FF"/>
      <rgbColor rgb="FF33CCCC"/>
      <rgbColor rgb="FF99CC00"/>
      <rgbColor rgb="FFFFC000"/>
      <rgbColor rgb="FFFF9900"/>
      <rgbColor rgb="FFFF6600"/>
      <rgbColor rgb="FF595959"/>
      <rgbColor rgb="FF969696"/>
      <rgbColor rgb="FF1F3864"/>
      <rgbColor rgb="FF339966"/>
      <rgbColor rgb="FF003300"/>
      <rgbColor rgb="FF333300"/>
      <rgbColor rgb="FF993300"/>
      <rgbColor rgb="FF993366"/>
      <rgbColor rgb="FF333399"/>
      <rgbColor rgb="FF4040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worksheet" Target="worksheets/sheet28.xml"/><Relationship Id="rId31" Type="http://schemas.openxmlformats.org/officeDocument/2006/relationships/worksheet" Target="worksheets/sheet29.xml"/><Relationship Id="rId32" Type="http://schemas.openxmlformats.org/officeDocument/2006/relationships/worksheet" Target="worksheets/sheet30.xml"/><Relationship Id="rId33" Type="http://schemas.openxmlformats.org/officeDocument/2006/relationships/worksheet" Target="worksheets/sheet31.xml"/><Relationship Id="rId34" Type="http://schemas.openxmlformats.org/officeDocument/2006/relationships/worksheet" Target="worksheets/sheet32.xml"/><Relationship Id="rId35" Type="http://schemas.openxmlformats.org/officeDocument/2006/relationships/worksheet" Target="worksheets/sheet33.xml"/><Relationship Id="rId36" Type="http://schemas.openxmlformats.org/officeDocument/2006/relationships/worksheet" Target="worksheets/sheet34.xml"/><Relationship Id="rId37" Type="http://schemas.openxmlformats.org/officeDocument/2006/relationships/worksheet" Target="worksheets/sheet35.xml"/><Relationship Id="rId38" Type="http://schemas.openxmlformats.org/officeDocument/2006/relationships/worksheet" Target="worksheets/sheet36.xml"/><Relationship Id="rId39" Type="http://schemas.openxmlformats.org/officeDocument/2006/relationships/worksheet" Target="worksheets/sheet37.xml"/><Relationship Id="rId40" Type="http://schemas.openxmlformats.org/officeDocument/2006/relationships/worksheet" Target="worksheets/sheet38.xml"/><Relationship Id="rId41" Type="http://schemas.openxmlformats.org/officeDocument/2006/relationships/worksheet" Target="worksheets/sheet39.xml"/><Relationship Id="rId42" Type="http://schemas.openxmlformats.org/officeDocument/2006/relationships/worksheet" Target="worksheets/sheet40.xml"/><Relationship Id="rId43" Type="http://schemas.openxmlformats.org/officeDocument/2006/relationships/worksheet" Target="worksheets/sheet41.xml"/><Relationship Id="rId44" Type="http://schemas.openxmlformats.org/officeDocument/2006/relationships/worksheet" Target="worksheets/sheet42.xml"/><Relationship Id="rId45" Type="http://schemas.openxmlformats.org/officeDocument/2006/relationships/worksheet" Target="worksheets/sheet43.xml"/><Relationship Id="rId46" Type="http://schemas.openxmlformats.org/officeDocument/2006/relationships/worksheet" Target="worksheets/sheet44.xml"/><Relationship Id="rId47" Type="http://schemas.openxmlformats.org/officeDocument/2006/relationships/worksheet" Target="worksheets/sheet45.xml"/><Relationship Id="rId48" Type="http://schemas.openxmlformats.org/officeDocument/2006/relationships/worksheet" Target="worksheets/sheet46.xml"/><Relationship Id="rId49" Type="http://schemas.openxmlformats.org/officeDocument/2006/relationships/worksheet" Target="worksheets/sheet47.xml"/><Relationship Id="rId50" Type="http://schemas.openxmlformats.org/officeDocument/2006/relationships/worksheet" Target="worksheets/sheet48.xml"/><Relationship Id="rId51" Type="http://schemas.openxmlformats.org/officeDocument/2006/relationships/worksheet" Target="worksheets/sheet49.xml"/><Relationship Id="rId52" Type="http://schemas.openxmlformats.org/officeDocument/2006/relationships/worksheet" Target="worksheets/sheet50.xml"/><Relationship Id="rId53" Type="http://schemas.openxmlformats.org/officeDocument/2006/relationships/worksheet" Target="worksheets/sheet51.xml"/><Relationship Id="rId54" Type="http://schemas.openxmlformats.org/officeDocument/2006/relationships/worksheet" Target="worksheets/sheet52.xml"/><Relationship Id="rId55" Type="http://schemas.openxmlformats.org/officeDocument/2006/relationships/worksheet" Target="worksheets/sheet53.xml"/><Relationship Id="rId56" Type="http://schemas.openxmlformats.org/officeDocument/2006/relationships/worksheet" Target="worksheets/sheet54.xml"/><Relationship Id="rId5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FSL_Financial_Model_Revised.xlsx" TargetMode="External"/><Relationship Id="rId2" Type="http://schemas.openxmlformats.org/officeDocument/2006/relationships/hyperlink" Target="FSL_Financial_Model_Revised.xlsx" TargetMode="External"/><Relationship Id="rId3" Type="http://schemas.openxmlformats.org/officeDocument/2006/relationships/hyperlink" Target="FSL_Financial_Model_Revised.xlsx" TargetMode="External"/><Relationship Id="rId4" Type="http://schemas.openxmlformats.org/officeDocument/2006/relationships/hyperlink" Target="FSL_Financial_Model_Revised.xlsx" TargetMode="External"/><Relationship Id="rId5" Type="http://schemas.openxmlformats.org/officeDocument/2006/relationships/hyperlink" Target="FSL_Financial_Model_Revised.xlsx" TargetMode="External"/><Relationship Id="rId6" Type="http://schemas.openxmlformats.org/officeDocument/2006/relationships/hyperlink" Target="FSL_Financial_Model_Revised.xlsx" TargetMode="External"/><Relationship Id="rId7" Type="http://schemas.openxmlformats.org/officeDocument/2006/relationships/hyperlink" Target="FSL_Financial_Model_Revised.xlsx" TargetMode="External"/><Relationship Id="rId8" Type="http://schemas.openxmlformats.org/officeDocument/2006/relationships/hyperlink" Target="FSL_Financial_Model_Revised.xlsx" TargetMode="External"/><Relationship Id="rId9" Type="http://schemas.openxmlformats.org/officeDocument/2006/relationships/hyperlink" Target="FSL_Financial_Model_Revised.xlsx" TargetMode="External"/><Relationship Id="rId10" Type="http://schemas.openxmlformats.org/officeDocument/2006/relationships/hyperlink" Target="FSL_Financial_Model_Revised.xlsx" TargetMode="External"/><Relationship Id="rId11" Type="http://schemas.openxmlformats.org/officeDocument/2006/relationships/hyperlink" Target="FSL_Financial_Model_Revised.xlsx" TargetMode="External"/><Relationship Id="rId12" Type="http://schemas.openxmlformats.org/officeDocument/2006/relationships/hyperlink" Target="FSL_Financial_Model_Revised.xlsx" TargetMode="External"/><Relationship Id="rId13" Type="http://schemas.openxmlformats.org/officeDocument/2006/relationships/hyperlink" Target="FSL_Financial_Model_Revised.xlsx" TargetMode="External"/><Relationship Id="rId14" Type="http://schemas.openxmlformats.org/officeDocument/2006/relationships/hyperlink" Target="FSL_Financial_Model_Revised.xlsx" TargetMode="External"/><Relationship Id="rId15" Type="http://schemas.openxmlformats.org/officeDocument/2006/relationships/hyperlink" Target="FSL_Financial_Model_Revised.xlsx" TargetMode="External"/><Relationship Id="rId16" Type="http://schemas.openxmlformats.org/officeDocument/2006/relationships/hyperlink" Target="FSL_Financial_Model_Revised.xlsx" TargetMode="External"/><Relationship Id="rId17" Type="http://schemas.openxmlformats.org/officeDocument/2006/relationships/hyperlink" Target="FSL_Financial_Model_Revised.xlsx" TargetMode="External"/><Relationship Id="rId18" Type="http://schemas.openxmlformats.org/officeDocument/2006/relationships/hyperlink" Target="FSL_Financial_Model_Revised.xlsx" TargetMode="External"/><Relationship Id="rId19" Type="http://schemas.openxmlformats.org/officeDocument/2006/relationships/hyperlink" Target="FSL_Financial_Model_Revised.xlsx" TargetMode="External"/><Relationship Id="rId20" Type="http://schemas.openxmlformats.org/officeDocument/2006/relationships/hyperlink" Target="FSL_Financial_Model_Revised.xlsx" TargetMode="External"/><Relationship Id="rId21" Type="http://schemas.openxmlformats.org/officeDocument/2006/relationships/hyperlink" Target="FSL_Financial_Model_Revised.xlsx" TargetMode="External"/><Relationship Id="rId22" Type="http://schemas.openxmlformats.org/officeDocument/2006/relationships/hyperlink" Target="FSL_Financial_Model_Revised.xlsx" TargetMode="External"/><Relationship Id="rId23" Type="http://schemas.openxmlformats.org/officeDocument/2006/relationships/hyperlink" Target="FSL_Financial_Model_Revised.xlsx" TargetMode="External"/><Relationship Id="rId24" Type="http://schemas.openxmlformats.org/officeDocument/2006/relationships/hyperlink" Target="FSL_Financial_Model_Revised.xlsx" TargetMode="External"/><Relationship Id="rId25" Type="http://schemas.openxmlformats.org/officeDocument/2006/relationships/hyperlink" Target="FSL_Financial_Model_Revised.xlsx" TargetMode="External"/><Relationship Id="rId26" Type="http://schemas.openxmlformats.org/officeDocument/2006/relationships/hyperlink" Target="FSL_Financial_Model_Revised.xlsx" TargetMode="External"/><Relationship Id="rId27" Type="http://schemas.openxmlformats.org/officeDocument/2006/relationships/hyperlink" Target="FSL_Financial_Model_Revised.xlsx" TargetMode="External"/><Relationship Id="rId28" Type="http://schemas.openxmlformats.org/officeDocument/2006/relationships/hyperlink" Target="FSL_Financial_Model_Revised.xlsx" TargetMode="External"/><Relationship Id="rId29" Type="http://schemas.openxmlformats.org/officeDocument/2006/relationships/hyperlink" Target="FSL_Financial_Model_Revised.xlsx" TargetMode="External"/><Relationship Id="rId30" Type="http://schemas.openxmlformats.org/officeDocument/2006/relationships/hyperlink" Target="FSL_Financial_Model_Revised.xlsx" TargetMode="External"/><Relationship Id="rId31" Type="http://schemas.openxmlformats.org/officeDocument/2006/relationships/hyperlink" Target="FSL_Financial_Model_Revised.xlsx" TargetMode="External"/><Relationship Id="rId32" Type="http://schemas.openxmlformats.org/officeDocument/2006/relationships/hyperlink" Target="FSL_Financial_Model_Revised.xlsx" TargetMode="External"/><Relationship Id="rId33" Type="http://schemas.openxmlformats.org/officeDocument/2006/relationships/hyperlink" Target="FSL_Financial_Model_Revised.xlsx" TargetMode="External"/><Relationship Id="rId34" Type="http://schemas.openxmlformats.org/officeDocument/2006/relationships/hyperlink" Target="FSL_Financial_Model_Revised.xlsx" TargetMode="External"/><Relationship Id="rId35" Type="http://schemas.openxmlformats.org/officeDocument/2006/relationships/hyperlink" Target="FSL_Financial_Model_Revised.xlsx" TargetMode="External"/><Relationship Id="rId36" Type="http://schemas.openxmlformats.org/officeDocument/2006/relationships/hyperlink" Target="FSL_Financial_Model_Revised.xlsx" TargetMode="External"/><Relationship Id="rId37" Type="http://schemas.openxmlformats.org/officeDocument/2006/relationships/hyperlink" Target="FSL_Financial_Model_Revised.xlsx" TargetMode="External"/><Relationship Id="rId38" Type="http://schemas.openxmlformats.org/officeDocument/2006/relationships/hyperlink" Target="FSL_Financial_Model_Revised.xlsx" TargetMode="External"/><Relationship Id="rId39" Type="http://schemas.openxmlformats.org/officeDocument/2006/relationships/hyperlink" Target="FSL_Financial_Model_Revised.xlsx" TargetMode="External"/><Relationship Id="rId40" Type="http://schemas.openxmlformats.org/officeDocument/2006/relationships/hyperlink" Target="FSL_Financial_Model_Revised.xlsx" TargetMode="External"/><Relationship Id="rId41" Type="http://schemas.openxmlformats.org/officeDocument/2006/relationships/hyperlink" Target="FSL_Financial_Model_Revised.xlsx" TargetMode="External"/><Relationship Id="rId42" Type="http://schemas.openxmlformats.org/officeDocument/2006/relationships/hyperlink" Target="FSL_Financial_Model_Revised.xlsx" TargetMode="External"/><Relationship Id="rId43" Type="http://schemas.openxmlformats.org/officeDocument/2006/relationships/hyperlink" Target="FSL_Financial_Model_Revised.xlsx" TargetMode="External"/><Relationship Id="rId44" Type="http://schemas.openxmlformats.org/officeDocument/2006/relationships/hyperlink" Target="FSL_Financial_Model_Revised.xlsx" TargetMode="External"/><Relationship Id="rId45" Type="http://schemas.openxmlformats.org/officeDocument/2006/relationships/hyperlink" Target="FSL_Financial_Model_Revised.xlsx" TargetMode="External"/><Relationship Id="rId46" Type="http://schemas.openxmlformats.org/officeDocument/2006/relationships/hyperlink" Target="FSL_Financial_Model_Revised.xlsx" TargetMode="External"/><Relationship Id="rId47" Type="http://schemas.openxmlformats.org/officeDocument/2006/relationships/hyperlink" Target="FSL_Financial_Model_Revised.xlsx" TargetMode="External"/><Relationship Id="rId48" Type="http://schemas.openxmlformats.org/officeDocument/2006/relationships/hyperlink" Target="FSL_Financial_Model_Revised.xlsx" TargetMode="External"/><Relationship Id="rId49" Type="http://schemas.openxmlformats.org/officeDocument/2006/relationships/hyperlink" Target="FSL_Financial_Model_Revised.xlsx" TargetMode="External"/><Relationship Id="rId50" Type="http://schemas.openxmlformats.org/officeDocument/2006/relationships/hyperlink" Target="FSL_Financial_Model_Revised.xlsx" TargetMode="External"/><Relationship Id="rId51" Type="http://schemas.openxmlformats.org/officeDocument/2006/relationships/hyperlink" Target="FSL_Financial_Model_Revised.xlsx" TargetMode="External"/><Relationship Id="rId52" Type="http://schemas.openxmlformats.org/officeDocument/2006/relationships/hyperlink" Target="FSL_Financial_Model_Revised.xlsx" TargetMode="External"/><Relationship Id="rId53" Type="http://schemas.openxmlformats.org/officeDocument/2006/relationships/hyperlink" Target="FSL_Financial_Model_Revised.xlsx" TargetMode="External"/>
</Relationships>
</file>

<file path=xl/worksheets/_rels/sheet3.xml.rels><?xml version="1.0" encoding="UTF-8"?>
<Relationships xmlns="http://schemas.openxmlformats.org/package/2006/relationships"><Relationship Id="rId1" Type="http://schemas.openxmlformats.org/officeDocument/2006/relationships/hyperlink" Target="FSL_Financial_Model_Revised.xlsx" TargetMode="External"/><Relationship Id="rId2" Type="http://schemas.openxmlformats.org/officeDocument/2006/relationships/hyperlink" Target="FSL_Financial_Model_Revised.xlsx" TargetMode="External"/><Relationship Id="rId3" Type="http://schemas.openxmlformats.org/officeDocument/2006/relationships/hyperlink" Target="FSL_Financial_Model_Revised.xlsx" TargetMode="External"/><Relationship Id="rId4" Type="http://schemas.openxmlformats.org/officeDocument/2006/relationships/hyperlink" Target="FSL_Financial_Model_Revised.xlsx" TargetMode="External"/><Relationship Id="rId5" Type="http://schemas.openxmlformats.org/officeDocument/2006/relationships/hyperlink" Target="FSL_Financial_Model_Revised.xlsx" TargetMode="External"/><Relationship Id="rId6" Type="http://schemas.openxmlformats.org/officeDocument/2006/relationships/hyperlink" Target="FSL_Financial_Model_Revised.xlsx" TargetMode="External"/><Relationship Id="rId7" Type="http://schemas.openxmlformats.org/officeDocument/2006/relationships/hyperlink" Target="FSL_Financial_Model_Revised.xlsx" TargetMode="External"/><Relationship Id="rId8" Type="http://schemas.openxmlformats.org/officeDocument/2006/relationships/hyperlink" Target="FSL_Financial_Model_Revised.xlsx" TargetMode="External"/><Relationship Id="rId9" Type="http://schemas.openxmlformats.org/officeDocument/2006/relationships/hyperlink" Target="FSL_Financial_Model_Revised.xlsx" TargetMode="External"/><Relationship Id="rId10" Type="http://schemas.openxmlformats.org/officeDocument/2006/relationships/hyperlink" Target="FSL_Financial_Model_Revised.xlsx" TargetMode="External"/><Relationship Id="rId11" Type="http://schemas.openxmlformats.org/officeDocument/2006/relationships/hyperlink" Target="FSL_Financial_Model_Revised.xlsx" TargetMode="External"/><Relationship Id="rId12" Type="http://schemas.openxmlformats.org/officeDocument/2006/relationships/hyperlink" Target="FSL_Financial_Model_Revised.xlsx" TargetMode="External"/><Relationship Id="rId13" Type="http://schemas.openxmlformats.org/officeDocument/2006/relationships/hyperlink" Target="FSL_Financial_Model_Revised.xlsx" TargetMode="External"/><Relationship Id="rId14" Type="http://schemas.openxmlformats.org/officeDocument/2006/relationships/hyperlink" Target="FSL_Financial_Model_Revised.xlsx" TargetMode="External"/><Relationship Id="rId15" Type="http://schemas.openxmlformats.org/officeDocument/2006/relationships/hyperlink" Target="FSL_Financial_Model_Revised.xlsx" TargetMode="External"/><Relationship Id="rId16" Type="http://schemas.openxmlformats.org/officeDocument/2006/relationships/hyperlink" Target="FSL_Financial_Model_Revised.xlsx" TargetMode="External"/><Relationship Id="rId17" Type="http://schemas.openxmlformats.org/officeDocument/2006/relationships/hyperlink" Target="FSL_Financial_Model_Revised.xlsx" TargetMode="External"/><Relationship Id="rId18" Type="http://schemas.openxmlformats.org/officeDocument/2006/relationships/hyperlink" Target="FSL_Financial_Model_Revised.xlsx" TargetMode="External"/><Relationship Id="rId19" Type="http://schemas.openxmlformats.org/officeDocument/2006/relationships/hyperlink" Target="FSL_Financial_Model_Revised.xlsx" TargetMode="External"/><Relationship Id="rId20" Type="http://schemas.openxmlformats.org/officeDocument/2006/relationships/hyperlink" Target="FSL_Financial_Model_Revised.xlsx" TargetMode="External"/><Relationship Id="rId21" Type="http://schemas.openxmlformats.org/officeDocument/2006/relationships/hyperlink" Target="FSL_Financial_Model_Revised.xlsx" TargetMode="External"/><Relationship Id="rId22" Type="http://schemas.openxmlformats.org/officeDocument/2006/relationships/hyperlink" Target="FSL_Financial_Model_Revised.xlsx" TargetMode="External"/><Relationship Id="rId23" Type="http://schemas.openxmlformats.org/officeDocument/2006/relationships/hyperlink" Target="FSL_Financial_Model_Revised.xlsx" TargetMode="External"/><Relationship Id="rId24" Type="http://schemas.openxmlformats.org/officeDocument/2006/relationships/hyperlink" Target="FSL_Financial_Model_Revised.xlsx" TargetMode="External"/><Relationship Id="rId25" Type="http://schemas.openxmlformats.org/officeDocument/2006/relationships/hyperlink" Target="FSL_Financial_Model_Revised.xlsx" TargetMode="External"/><Relationship Id="rId26" Type="http://schemas.openxmlformats.org/officeDocument/2006/relationships/hyperlink" Target="FSL_Financial_Model_Revised.xlsx" TargetMode="External"/><Relationship Id="rId27" Type="http://schemas.openxmlformats.org/officeDocument/2006/relationships/hyperlink" Target="FSL_Financial_Model_Revised.xlsx" TargetMode="External"/><Relationship Id="rId28" Type="http://schemas.openxmlformats.org/officeDocument/2006/relationships/hyperlink" Target="FSL_Financial_Model_Revised.xlsx" TargetMode="External"/><Relationship Id="rId29" Type="http://schemas.openxmlformats.org/officeDocument/2006/relationships/hyperlink" Target="FSL_Financial_Model_Revised.xlsx" TargetMode="External"/><Relationship Id="rId30" Type="http://schemas.openxmlformats.org/officeDocument/2006/relationships/hyperlink" Target="FSL_Financial_Model_Revised.xlsx" TargetMode="External"/><Relationship Id="rId31" Type="http://schemas.openxmlformats.org/officeDocument/2006/relationships/hyperlink" Target="FSL_Financial_Model_Revised.xlsx" TargetMode="External"/><Relationship Id="rId32" Type="http://schemas.openxmlformats.org/officeDocument/2006/relationships/hyperlink" Target="FSL_Financial_Model_Revised.xlsx" TargetMode="External"/><Relationship Id="rId33" Type="http://schemas.openxmlformats.org/officeDocument/2006/relationships/hyperlink" Target="FSL_Financial_Model_Revised.xlsx" TargetMode="External"/><Relationship Id="rId34" Type="http://schemas.openxmlformats.org/officeDocument/2006/relationships/hyperlink" Target="FSL_Financial_Model_Revised.xlsx" TargetMode="External"/><Relationship Id="rId35" Type="http://schemas.openxmlformats.org/officeDocument/2006/relationships/hyperlink" Target="FSL_Financial_Model_Revised.xlsx" TargetMode="External"/><Relationship Id="rId36" Type="http://schemas.openxmlformats.org/officeDocument/2006/relationships/hyperlink" Target="FSL_Financial_Model_Revised.xlsx" TargetMode="External"/><Relationship Id="rId37" Type="http://schemas.openxmlformats.org/officeDocument/2006/relationships/hyperlink" Target="FSL_Financial_Model_Revised.xlsx" TargetMode="External"/><Relationship Id="rId38" Type="http://schemas.openxmlformats.org/officeDocument/2006/relationships/hyperlink" Target="FSL_Financial_Model_Revised.xlsx" TargetMode="External"/><Relationship Id="rId39" Type="http://schemas.openxmlformats.org/officeDocument/2006/relationships/hyperlink" Target="FSL_Financial_Model_Revised.xlsx" TargetMode="External"/><Relationship Id="rId40" Type="http://schemas.openxmlformats.org/officeDocument/2006/relationships/hyperlink" Target="FSL_Financial_Model_Revised.xlsx" TargetMode="External"/><Relationship Id="rId41" Type="http://schemas.openxmlformats.org/officeDocument/2006/relationships/hyperlink" Target="FSL_Financial_Model_Revised.xlsx" TargetMode="External"/><Relationship Id="rId42" Type="http://schemas.openxmlformats.org/officeDocument/2006/relationships/hyperlink" Target="FSL_Financial_Model_Revised.xlsx" TargetMode="External"/><Relationship Id="rId43" Type="http://schemas.openxmlformats.org/officeDocument/2006/relationships/hyperlink" Target="FSL_Financial_Model_Revised.xlsx" TargetMode="External"/><Relationship Id="rId44" Type="http://schemas.openxmlformats.org/officeDocument/2006/relationships/hyperlink" Target="FSL_Financial_Model_Revised.xlsx" TargetMode="External"/><Relationship Id="rId45" Type="http://schemas.openxmlformats.org/officeDocument/2006/relationships/hyperlink" Target="FSL_Financial_Model_Revised.xlsx" TargetMode="External"/><Relationship Id="rId46" Type="http://schemas.openxmlformats.org/officeDocument/2006/relationships/hyperlink" Target="FSL_Financial_Model_Revised.xlsx" TargetMode="External"/><Relationship Id="rId47" Type="http://schemas.openxmlformats.org/officeDocument/2006/relationships/hyperlink" Target="FSL_Financial_Model_Revised.xlsx" TargetMode="External"/><Relationship Id="rId48" Type="http://schemas.openxmlformats.org/officeDocument/2006/relationships/hyperlink" Target="FSL_Financial_Model_Revised.xlsx" TargetMode="External"/><Relationship Id="rId49" Type="http://schemas.openxmlformats.org/officeDocument/2006/relationships/hyperlink" Target="FSL_Financial_Model_Revised.xlsx" TargetMode="External"/><Relationship Id="rId50" Type="http://schemas.openxmlformats.org/officeDocument/2006/relationships/hyperlink" Target="FSL_Financial_Model_Revised.xlsx" TargetMode="External"/><Relationship Id="rId51" Type="http://schemas.openxmlformats.org/officeDocument/2006/relationships/hyperlink" Target="FSL_Financial_Model_Revised.xlsx" TargetMode="External"/><Relationship Id="rId52" Type="http://schemas.openxmlformats.org/officeDocument/2006/relationships/hyperlink" Target="FSL_Financial_Model_Revised.xlsx" TargetMode="External"/>
</Relationships>
</file>

<file path=xl/worksheets/_rels/sheet4.xml.rels><?xml version="1.0" encoding="UTF-8"?>
<Relationships xmlns="http://schemas.openxmlformats.org/package/2006/relationships"><Relationship Id="rId1" Type="http://schemas.openxmlformats.org/officeDocument/2006/relationships/hyperlink" Target="FSL_Financial_Model_Revised.xlsx" TargetMode="External"/><Relationship Id="rId2" Type="http://schemas.openxmlformats.org/officeDocument/2006/relationships/hyperlink" Target="FSL_Financial_Model_Revised.xlsx" TargetMode="External"/><Relationship Id="rId3" Type="http://schemas.openxmlformats.org/officeDocument/2006/relationships/hyperlink" Target="FSL_Financial_Model_Revised.xlsx" TargetMode="External"/><Relationship Id="rId4" Type="http://schemas.openxmlformats.org/officeDocument/2006/relationships/hyperlink" Target="FSL_Financial_Model_Revised.xlsx" TargetMode="External"/><Relationship Id="rId5" Type="http://schemas.openxmlformats.org/officeDocument/2006/relationships/hyperlink" Target="FSL_Financial_Model_Revised.xlsx" TargetMode="External"/><Relationship Id="rId6" Type="http://schemas.openxmlformats.org/officeDocument/2006/relationships/hyperlink" Target="FSL_Financial_Model_Revised.xlsx" TargetMode="External"/><Relationship Id="rId7" Type="http://schemas.openxmlformats.org/officeDocument/2006/relationships/hyperlink" Target="FSL_Financial_Model_Revised.xlsx" TargetMode="External"/><Relationship Id="rId8" Type="http://schemas.openxmlformats.org/officeDocument/2006/relationships/hyperlink" Target="FSL_Financial_Model_Revised.xlsx" TargetMode="External"/><Relationship Id="rId9" Type="http://schemas.openxmlformats.org/officeDocument/2006/relationships/hyperlink" Target="FSL_Financial_Model_Revised.xlsx" TargetMode="External"/><Relationship Id="rId10" Type="http://schemas.openxmlformats.org/officeDocument/2006/relationships/hyperlink" Target="FSL_Financial_Model_Revised.xlsx" TargetMode="External"/><Relationship Id="rId11" Type="http://schemas.openxmlformats.org/officeDocument/2006/relationships/hyperlink" Target="FSL_Financial_Model_Revised.xlsx" TargetMode="External"/><Relationship Id="rId12" Type="http://schemas.openxmlformats.org/officeDocument/2006/relationships/hyperlink" Target="FSL_Financial_Model_Revised.xlsx" TargetMode="External"/><Relationship Id="rId13" Type="http://schemas.openxmlformats.org/officeDocument/2006/relationships/hyperlink" Target="FSL_Financial_Model_Revised.xlsx" TargetMode="External"/><Relationship Id="rId14" Type="http://schemas.openxmlformats.org/officeDocument/2006/relationships/hyperlink" Target="FSL_Financial_Model_Revised.xlsx" TargetMode="External"/><Relationship Id="rId15" Type="http://schemas.openxmlformats.org/officeDocument/2006/relationships/hyperlink" Target="FSL_Financial_Model_Revised.xlsx" TargetMode="External"/><Relationship Id="rId16" Type="http://schemas.openxmlformats.org/officeDocument/2006/relationships/hyperlink" Target="FSL_Financial_Model_Revised.xlsx" TargetMode="External"/><Relationship Id="rId17" Type="http://schemas.openxmlformats.org/officeDocument/2006/relationships/hyperlink" Target="FSL_Financial_Model_Revised.xlsx" TargetMode="External"/><Relationship Id="rId18" Type="http://schemas.openxmlformats.org/officeDocument/2006/relationships/hyperlink" Target="FSL_Financial_Model_Revised.xlsx" TargetMode="External"/><Relationship Id="rId19" Type="http://schemas.openxmlformats.org/officeDocument/2006/relationships/hyperlink" Target="FSL_Financial_Model_Revised.xlsx" TargetMode="External"/><Relationship Id="rId20" Type="http://schemas.openxmlformats.org/officeDocument/2006/relationships/hyperlink" Target="FSL_Financial_Model_Revised.xlsx" TargetMode="External"/><Relationship Id="rId21" Type="http://schemas.openxmlformats.org/officeDocument/2006/relationships/hyperlink" Target="FSL_Financial_Model_Revised.xlsx" TargetMode="External"/><Relationship Id="rId22" Type="http://schemas.openxmlformats.org/officeDocument/2006/relationships/hyperlink" Target="FSL_Financial_Model_Revised.xlsx" TargetMode="External"/><Relationship Id="rId23" Type="http://schemas.openxmlformats.org/officeDocument/2006/relationships/hyperlink" Target="FSL_Financial_Model_Revised.xlsx" TargetMode="External"/><Relationship Id="rId24" Type="http://schemas.openxmlformats.org/officeDocument/2006/relationships/hyperlink" Target="FSL_Financial_Model_Revised.xlsx" TargetMode="External"/><Relationship Id="rId25" Type="http://schemas.openxmlformats.org/officeDocument/2006/relationships/hyperlink" Target="FSL_Financial_Model_Revised.xlsx" TargetMode="External"/><Relationship Id="rId26" Type="http://schemas.openxmlformats.org/officeDocument/2006/relationships/hyperlink" Target="FSL_Financial_Model_Revised.xlsx" TargetMode="External"/><Relationship Id="rId27" Type="http://schemas.openxmlformats.org/officeDocument/2006/relationships/hyperlink" Target="FSL_Financial_Model_Revised.xlsx" TargetMode="External"/><Relationship Id="rId28" Type="http://schemas.openxmlformats.org/officeDocument/2006/relationships/hyperlink" Target="FSL_Financial_Model_Revised.xlsx" TargetMode="External"/><Relationship Id="rId29" Type="http://schemas.openxmlformats.org/officeDocument/2006/relationships/hyperlink" Target="FSL_Financial_Model_Revised.xlsx" TargetMode="External"/><Relationship Id="rId30" Type="http://schemas.openxmlformats.org/officeDocument/2006/relationships/hyperlink" Target="FSL_Financial_Model_Revised.xlsx" TargetMode="External"/><Relationship Id="rId31" Type="http://schemas.openxmlformats.org/officeDocument/2006/relationships/hyperlink" Target="FSL_Financial_Model_Revised.xlsx" TargetMode="External"/><Relationship Id="rId32" Type="http://schemas.openxmlformats.org/officeDocument/2006/relationships/hyperlink" Target="FSL_Financial_Model_Revised.xlsx" TargetMode="External"/><Relationship Id="rId33" Type="http://schemas.openxmlformats.org/officeDocument/2006/relationships/hyperlink" Target="FSL_Financial_Model_Revised.xlsx" TargetMode="External"/><Relationship Id="rId34" Type="http://schemas.openxmlformats.org/officeDocument/2006/relationships/hyperlink" Target="FSL_Financial_Model_Revised.xlsx" TargetMode="External"/><Relationship Id="rId35" Type="http://schemas.openxmlformats.org/officeDocument/2006/relationships/hyperlink" Target="FSL_Financial_Model_Revised.xlsx" TargetMode="External"/><Relationship Id="rId36" Type="http://schemas.openxmlformats.org/officeDocument/2006/relationships/hyperlink" Target="FSL_Financial_Model_Revised.xlsx" TargetMode="External"/><Relationship Id="rId37" Type="http://schemas.openxmlformats.org/officeDocument/2006/relationships/hyperlink" Target="FSL_Financial_Model_Revised.xlsx" TargetMode="External"/><Relationship Id="rId38" Type="http://schemas.openxmlformats.org/officeDocument/2006/relationships/hyperlink" Target="FSL_Financial_Model_Revised.xlsx" TargetMode="External"/><Relationship Id="rId39" Type="http://schemas.openxmlformats.org/officeDocument/2006/relationships/hyperlink" Target="FSL_Financial_Model_Revised.xlsx" TargetMode="External"/><Relationship Id="rId40" Type="http://schemas.openxmlformats.org/officeDocument/2006/relationships/hyperlink" Target="FSL_Financial_Model_Revised.xlsx" TargetMode="External"/><Relationship Id="rId41" Type="http://schemas.openxmlformats.org/officeDocument/2006/relationships/hyperlink" Target="FSL_Financial_Model_Revised.xlsx" TargetMode="External"/><Relationship Id="rId42" Type="http://schemas.openxmlformats.org/officeDocument/2006/relationships/hyperlink" Target="FSL_Financial_Model_Revised.xlsx" TargetMode="External"/><Relationship Id="rId43" Type="http://schemas.openxmlformats.org/officeDocument/2006/relationships/hyperlink" Target="FSL_Financial_Model_Revised.xlsx" TargetMode="External"/><Relationship Id="rId44" Type="http://schemas.openxmlformats.org/officeDocument/2006/relationships/hyperlink" Target="FSL_Financial_Model_Revised.xlsx" TargetMode="External"/><Relationship Id="rId45" Type="http://schemas.openxmlformats.org/officeDocument/2006/relationships/hyperlink" Target="FSL_Financial_Model_Revised.xlsx" TargetMode="External"/><Relationship Id="rId46" Type="http://schemas.openxmlformats.org/officeDocument/2006/relationships/hyperlink" Target="FSL_Financial_Model_Revised.xlsx" TargetMode="External"/><Relationship Id="rId47" Type="http://schemas.openxmlformats.org/officeDocument/2006/relationships/hyperlink" Target="FSL_Financial_Model_Revised.xlsx" TargetMode="External"/><Relationship Id="rId48" Type="http://schemas.openxmlformats.org/officeDocument/2006/relationships/hyperlink" Target="FSL_Financial_Model_Revised.xlsx" TargetMode="External"/><Relationship Id="rId49" Type="http://schemas.openxmlformats.org/officeDocument/2006/relationships/hyperlink" Target="FSL_Financial_Model_Revised.xlsx" TargetMode="External"/><Relationship Id="rId50" Type="http://schemas.openxmlformats.org/officeDocument/2006/relationships/hyperlink" Target="FSL_Financial_Model_Revised.xlsx" TargetMode="External"/><Relationship Id="rId51" Type="http://schemas.openxmlformats.org/officeDocument/2006/relationships/hyperlink" Target="FSL_Financial_Model_Revised.xlsx" TargetMode="External"/><Relationship Id="rId52" Type="http://schemas.openxmlformats.org/officeDocument/2006/relationships/hyperlink" Target="FSL_Financial_Model_Revised.xlsx" TargetMode="External"/><Relationship Id="rId53" Type="http://schemas.openxmlformats.org/officeDocument/2006/relationships/hyperlink" Target="FSL_Financial_Model_Revised.xlsx" TargetMode="External"/><Relationship Id="rId54" Type="http://schemas.openxmlformats.org/officeDocument/2006/relationships/hyperlink" Target="FSL_Financial_Model_Revised.xlsx" TargetMode="External"/><Relationship Id="rId55" Type="http://schemas.openxmlformats.org/officeDocument/2006/relationships/hyperlink" Target="FSL_Financial_Model_Revised.xlsx" TargetMode="External"/><Relationship Id="rId56" Type="http://schemas.openxmlformats.org/officeDocument/2006/relationships/hyperlink" Target="FSL_Financial_Model_Revised.xlsx" TargetMode="External"/><Relationship Id="rId57" Type="http://schemas.openxmlformats.org/officeDocument/2006/relationships/hyperlink" Target="FSL_Financial_Model_Revised.xlsx" TargetMode="External"/><Relationship Id="rId58" Type="http://schemas.openxmlformats.org/officeDocument/2006/relationships/hyperlink" Target="FSL_Financial_Model_Revised.xlsx" TargetMode="External"/><Relationship Id="rId59" Type="http://schemas.openxmlformats.org/officeDocument/2006/relationships/hyperlink" Target="FSL_Financial_Model_Revised.xlsx" TargetMode="External"/><Relationship Id="rId60" Type="http://schemas.openxmlformats.org/officeDocument/2006/relationships/hyperlink" Target="FSL_Financial_Model_Revised.xlsx" TargetMode="External"/><Relationship Id="rId61" Type="http://schemas.openxmlformats.org/officeDocument/2006/relationships/hyperlink" Target="FSL_Financial_Model_Revised.xlsx" TargetMode="External"/><Relationship Id="rId62" Type="http://schemas.openxmlformats.org/officeDocument/2006/relationships/hyperlink" Target="FSL_Financial_Model_Revised.xlsx" TargetMode="External"/><Relationship Id="rId63" Type="http://schemas.openxmlformats.org/officeDocument/2006/relationships/hyperlink" Target="FSL_Financial_Model_Revised.xlsx" TargetMode="External"/><Relationship Id="rId64" Type="http://schemas.openxmlformats.org/officeDocument/2006/relationships/hyperlink" Target="FSL_Financial_Model_Revised.xlsx" TargetMode="External"/><Relationship Id="rId65" Type="http://schemas.openxmlformats.org/officeDocument/2006/relationships/hyperlink" Target="FSL_Financial_Model_Revised.xlsx" TargetMode="External"/><Relationship Id="rId66" Type="http://schemas.openxmlformats.org/officeDocument/2006/relationships/hyperlink" Target="FSL_Financial_Model_Revised.xlsx" TargetMode="External"/><Relationship Id="rId67" Type="http://schemas.openxmlformats.org/officeDocument/2006/relationships/hyperlink" Target="FSL_Financial_Model_Revised.xlsx" TargetMode="External"/><Relationship Id="rId68" Type="http://schemas.openxmlformats.org/officeDocument/2006/relationships/hyperlink" Target="FSL_Financial_Model_Revised.xlsx" TargetMode="External"/><Relationship Id="rId69" Type="http://schemas.openxmlformats.org/officeDocument/2006/relationships/hyperlink" Target="FSL_Financial_Model_Revised.xlsx" TargetMode="External"/><Relationship Id="rId70" Type="http://schemas.openxmlformats.org/officeDocument/2006/relationships/hyperlink" Target="FSL_Financial_Model_Revised.xlsx" TargetMode="External"/><Relationship Id="rId71" Type="http://schemas.openxmlformats.org/officeDocument/2006/relationships/hyperlink" Target="FSL_Financial_Model_Revised.xlsx" TargetMode="External"/><Relationship Id="rId72" Type="http://schemas.openxmlformats.org/officeDocument/2006/relationships/hyperlink" Target="FSL_Financial_Model_Revised.xlsx" TargetMode="External"/><Relationship Id="rId73" Type="http://schemas.openxmlformats.org/officeDocument/2006/relationships/hyperlink" Target="FSL_Financial_Model_Revised.xlsx" TargetMode="External"/><Relationship Id="rId74" Type="http://schemas.openxmlformats.org/officeDocument/2006/relationships/hyperlink" Target="FSL_Financial_Model_Revised.xlsx" TargetMode="External"/><Relationship Id="rId75" Type="http://schemas.openxmlformats.org/officeDocument/2006/relationships/hyperlink" Target="FSL_Financial_Model_Revised.xlsx" TargetMode="External"/><Relationship Id="rId76" Type="http://schemas.openxmlformats.org/officeDocument/2006/relationships/hyperlink" Target="FSL_Financial_Model_Revised.xlsx" TargetMode="External"/><Relationship Id="rId77" Type="http://schemas.openxmlformats.org/officeDocument/2006/relationships/hyperlink" Target="FSL_Financial_Model_Revised.xlsx" TargetMode="External"/><Relationship Id="rId78" Type="http://schemas.openxmlformats.org/officeDocument/2006/relationships/hyperlink" Target="FSL_Financial_Model_Revised.xlsx" TargetMode="External"/><Relationship Id="rId79" Type="http://schemas.openxmlformats.org/officeDocument/2006/relationships/hyperlink" Target="FSL_Financial_Model_Revised.xlsx" TargetMode="External"/><Relationship Id="rId80" Type="http://schemas.openxmlformats.org/officeDocument/2006/relationships/hyperlink" Target="FSL_Financial_Model_Revised.xlsx" TargetMode="External"/><Relationship Id="rId81" Type="http://schemas.openxmlformats.org/officeDocument/2006/relationships/hyperlink" Target="FSL_Financial_Model_Revised.xlsx" TargetMode="External"/><Relationship Id="rId82" Type="http://schemas.openxmlformats.org/officeDocument/2006/relationships/hyperlink" Target="FSL_Financial_Model_Revised.xlsx" TargetMode="External"/><Relationship Id="rId83" Type="http://schemas.openxmlformats.org/officeDocument/2006/relationships/hyperlink" Target="FSL_Financial_Model_Revised.xlsx" TargetMode="External"/><Relationship Id="rId84" Type="http://schemas.openxmlformats.org/officeDocument/2006/relationships/hyperlink" Target="FSL_Financial_Model_Revised.xlsx" TargetMode="External"/><Relationship Id="rId85" Type="http://schemas.openxmlformats.org/officeDocument/2006/relationships/hyperlink" Target="FSL_Financial_Model_Revised.xlsx" TargetMode="External"/><Relationship Id="rId86" Type="http://schemas.openxmlformats.org/officeDocument/2006/relationships/hyperlink" Target="FSL_Financial_Model_Revised.xlsx" TargetMode="External"/><Relationship Id="rId87" Type="http://schemas.openxmlformats.org/officeDocument/2006/relationships/hyperlink" Target="FSL_Financial_Model_Revised.xlsx" TargetMode="External"/><Relationship Id="rId88" Type="http://schemas.openxmlformats.org/officeDocument/2006/relationships/hyperlink" Target="FSL_Financial_Model_Revised.xlsx" TargetMode="External"/><Relationship Id="rId89" Type="http://schemas.openxmlformats.org/officeDocument/2006/relationships/hyperlink" Target="FSL_Financial_Model_Revised.xlsx" TargetMode="External"/><Relationship Id="rId90" Type="http://schemas.openxmlformats.org/officeDocument/2006/relationships/hyperlink" Target="FSL_Financial_Model_Revised.xlsx" TargetMode="External"/><Relationship Id="rId91" Type="http://schemas.openxmlformats.org/officeDocument/2006/relationships/hyperlink" Target="FSL_Financial_Model_Revised.xlsx" TargetMode="External"/><Relationship Id="rId92" Type="http://schemas.openxmlformats.org/officeDocument/2006/relationships/hyperlink" Target="FSL_Financial_Model_Revised.xlsx" TargetMode="External"/><Relationship Id="rId93" Type="http://schemas.openxmlformats.org/officeDocument/2006/relationships/hyperlink" Target="FSL_Financial_Model_Revised.xlsx" TargetMode="External"/><Relationship Id="rId94" Type="http://schemas.openxmlformats.org/officeDocument/2006/relationships/hyperlink" Target="FSL_Financial_Model_Revised.xlsx" TargetMode="External"/>
</Relationships>
</file>

<file path=xl/worksheets/_rels/sheet5.xml.rels><?xml version="1.0" encoding="UTF-8"?>
<Relationships xmlns="http://schemas.openxmlformats.org/package/2006/relationships"><Relationship Id="rId1" Type="http://schemas.openxmlformats.org/officeDocument/2006/relationships/hyperlink" Target="FSL_Financial_Model_Revised.xlsx" TargetMode="External"/><Relationship Id="rId2" Type="http://schemas.openxmlformats.org/officeDocument/2006/relationships/hyperlink" Target="FSL_Financial_Model_Revised.xlsx" TargetMode="External"/><Relationship Id="rId3" Type="http://schemas.openxmlformats.org/officeDocument/2006/relationships/hyperlink" Target="FSL_Financial_Model_Revised.xlsx" TargetMode="External"/><Relationship Id="rId4" Type="http://schemas.openxmlformats.org/officeDocument/2006/relationships/hyperlink" Target="FSL_Financial_Model_Revised.xlsx" TargetMode="External"/><Relationship Id="rId5" Type="http://schemas.openxmlformats.org/officeDocument/2006/relationships/hyperlink" Target="FSL_Financial_Model_Revised.xlsx" TargetMode="External"/><Relationship Id="rId6" Type="http://schemas.openxmlformats.org/officeDocument/2006/relationships/hyperlink" Target="FSL_Financial_Model_Revised.xlsx" TargetMode="External"/><Relationship Id="rId7" Type="http://schemas.openxmlformats.org/officeDocument/2006/relationships/hyperlink" Target="FSL_Financial_Model_Revised.xlsx" TargetMode="External"/><Relationship Id="rId8" Type="http://schemas.openxmlformats.org/officeDocument/2006/relationships/hyperlink" Target="FSL_Financial_Model_Revised.xlsx" TargetMode="External"/><Relationship Id="rId9" Type="http://schemas.openxmlformats.org/officeDocument/2006/relationships/hyperlink" Target="FSL_Financial_Model_Revised.xlsx" TargetMode="External"/><Relationship Id="rId10" Type="http://schemas.openxmlformats.org/officeDocument/2006/relationships/hyperlink" Target="FSL_Financial_Model_Revised.xlsx" TargetMode="External"/>
</Relationships>
</file>

<file path=xl/worksheets/_rels/sheet6.xml.rels><?xml version="1.0" encoding="UTF-8"?>
<Relationships xmlns="http://schemas.openxmlformats.org/package/2006/relationships"><Relationship Id="rId1" Type="http://schemas.openxmlformats.org/officeDocument/2006/relationships/hyperlink" Target="FSL_Financial_Model_Revised.xlsx" TargetMode="External"/><Relationship Id="rId2" Type="http://schemas.openxmlformats.org/officeDocument/2006/relationships/hyperlink" Target="FSL_Financial_Model_Revised.xlsx" TargetMode="External"/><Relationship Id="rId3" Type="http://schemas.openxmlformats.org/officeDocument/2006/relationships/hyperlink" Target="FSL_Financial_Model_Revised.xlsx" TargetMode="External"/><Relationship Id="rId4" Type="http://schemas.openxmlformats.org/officeDocument/2006/relationships/hyperlink" Target="FSL_Financial_Model_Revised.xlsx" TargetMode="External"/><Relationship Id="rId5" Type="http://schemas.openxmlformats.org/officeDocument/2006/relationships/hyperlink" Target="FSL_Financial_Model_Revised.xlsx" TargetMode="External"/><Relationship Id="rId6" Type="http://schemas.openxmlformats.org/officeDocument/2006/relationships/hyperlink" Target="FSL_Financial_Model_Revised.xlsx" TargetMode="External"/><Relationship Id="rId7" Type="http://schemas.openxmlformats.org/officeDocument/2006/relationships/hyperlink" Target="FSL_Financial_Model_Revised.xlsx" TargetMode="External"/><Relationship Id="rId8" Type="http://schemas.openxmlformats.org/officeDocument/2006/relationships/hyperlink" Target="FSL_Financial_Model_Revised.xlsx" TargetMode="External"/><Relationship Id="rId9" Type="http://schemas.openxmlformats.org/officeDocument/2006/relationships/hyperlink" Target="FSL_Financial_Model_Revised.xlsx" TargetMode="External"/><Relationship Id="rId10" Type="http://schemas.openxmlformats.org/officeDocument/2006/relationships/hyperlink" Target="FSL_Financial_Model_Revised.xlsx" TargetMode="External"/>
</Relationships>
</file>

<file path=xl/worksheets/_rels/sheet7.xml.rels><?xml version="1.0" encoding="UTF-8"?>
<Relationships xmlns="http://schemas.openxmlformats.org/package/2006/relationships"><Relationship Id="rId1" Type="http://schemas.openxmlformats.org/officeDocument/2006/relationships/hyperlink" Target="FSL_Financial_Model_Revised.xlsx" TargetMode="External"/><Relationship Id="rId2" Type="http://schemas.openxmlformats.org/officeDocument/2006/relationships/hyperlink" Target="FSL_Financial_Model_Revised.xlsx" TargetMode="External"/><Relationship Id="rId3" Type="http://schemas.openxmlformats.org/officeDocument/2006/relationships/hyperlink" Target="FSL_Financial_Model_Revised.xlsx" TargetMode="External"/><Relationship Id="rId4" Type="http://schemas.openxmlformats.org/officeDocument/2006/relationships/hyperlink" Target="FSL_Financial_Model_Revised.xlsx" TargetMode="External"/><Relationship Id="rId5" Type="http://schemas.openxmlformats.org/officeDocument/2006/relationships/hyperlink" Target="FSL_Financial_Model_Revised.xlsx" TargetMode="External"/><Relationship Id="rId6" Type="http://schemas.openxmlformats.org/officeDocument/2006/relationships/hyperlink" Target="FSL_Financial_Model_Revised.xlsx" TargetMode="External"/><Relationship Id="rId7" Type="http://schemas.openxmlformats.org/officeDocument/2006/relationships/hyperlink" Target="FSL_Financial_Model_Revised.xlsx" TargetMode="External"/><Relationship Id="rId8" Type="http://schemas.openxmlformats.org/officeDocument/2006/relationships/hyperlink" Target="FSL_Financial_Model_Revised.xlsx" TargetMode="External"/><Relationship Id="rId9" Type="http://schemas.openxmlformats.org/officeDocument/2006/relationships/hyperlink" Target="FSL_Financial_Model_Revised.xlsx" TargetMode="External"/><Relationship Id="rId10" Type="http://schemas.openxmlformats.org/officeDocument/2006/relationships/hyperlink" Target="FSL_Financial_Model_Revised.xlsx" TargetMode="External"/>
</Relationships>
</file>

<file path=xl/worksheets/_rels/sheet8.xml.rels><?xml version="1.0" encoding="UTF-8"?>
<Relationships xmlns="http://schemas.openxmlformats.org/package/2006/relationships"><Relationship Id="rId1" Type="http://schemas.openxmlformats.org/officeDocument/2006/relationships/hyperlink" Target="FSL_Financial_Model_Revised.xlsx" TargetMode="External"/><Relationship Id="rId2" Type="http://schemas.openxmlformats.org/officeDocument/2006/relationships/hyperlink" Target="FSL_Financial_Model_Revised.xlsx" TargetMode="External"/><Relationship Id="rId3" Type="http://schemas.openxmlformats.org/officeDocument/2006/relationships/hyperlink" Target="FSL_Financial_Model_Revised.xlsx" TargetMode="External"/><Relationship Id="rId4" Type="http://schemas.openxmlformats.org/officeDocument/2006/relationships/hyperlink" Target="FSL_Financial_Model_Revised.xlsx" TargetMode="External"/><Relationship Id="rId5" Type="http://schemas.openxmlformats.org/officeDocument/2006/relationships/hyperlink" Target="FSL_Financial_Model_Revised.xlsx" TargetMode="External"/><Relationship Id="rId6" Type="http://schemas.openxmlformats.org/officeDocument/2006/relationships/hyperlink" Target="FSL_Financial_Model_Revised.xlsx" TargetMode="External"/><Relationship Id="rId7" Type="http://schemas.openxmlformats.org/officeDocument/2006/relationships/hyperlink" Target="FSL_Financial_Model_Revised.xlsx" TargetMode="External"/><Relationship Id="rId8" Type="http://schemas.openxmlformats.org/officeDocument/2006/relationships/hyperlink" Target="FSL_Financial_Model_Revised.xlsx" TargetMode="External"/><Relationship Id="rId9" Type="http://schemas.openxmlformats.org/officeDocument/2006/relationships/hyperlink" Target="FSL_Financial_Model_Revised.xlsx" TargetMode="External"/><Relationship Id="rId10" Type="http://schemas.openxmlformats.org/officeDocument/2006/relationships/hyperlink" Target="FSL_Financial_Model_Revised.xlsx" TargetMode="External"/>
</Relationships>
</file>

<file path=xl/worksheets/_rels/sheet9.xml.rels><?xml version="1.0" encoding="UTF-8"?>
<Relationships xmlns="http://schemas.openxmlformats.org/package/2006/relationships"><Relationship Id="rId1" Type="http://schemas.openxmlformats.org/officeDocument/2006/relationships/hyperlink" Target="FSL_Financial_Model_Revised.xlsx" TargetMode="External"/><Relationship Id="rId2" Type="http://schemas.openxmlformats.org/officeDocument/2006/relationships/hyperlink" Target="FSL_Financial_Model_Revised.xlsx" TargetMode="External"/><Relationship Id="rId3" Type="http://schemas.openxmlformats.org/officeDocument/2006/relationships/hyperlink" Target="FSL_Financial_Model_Revised.xlsx" TargetMode="External"/><Relationship Id="rId4" Type="http://schemas.openxmlformats.org/officeDocument/2006/relationships/hyperlink" Target="FSL_Financial_Model_Revised.xlsx" TargetMode="External"/><Relationship Id="rId5" Type="http://schemas.openxmlformats.org/officeDocument/2006/relationships/hyperlink" Target="FSL_Financial_Model_Revised.xlsx" TargetMode="External"/><Relationship Id="rId6" Type="http://schemas.openxmlformats.org/officeDocument/2006/relationships/hyperlink" Target="FSL_Financial_Model_Revised.xlsx" TargetMode="External"/><Relationship Id="rId7" Type="http://schemas.openxmlformats.org/officeDocument/2006/relationships/hyperlink" Target="FSL_Financial_Model_Revised.xlsx" TargetMode="External"/><Relationship Id="rId8" Type="http://schemas.openxmlformats.org/officeDocument/2006/relationships/hyperlink" Target="FSL_Financial_Model_Revised.xlsx" TargetMode="External"/><Relationship Id="rId9" Type="http://schemas.openxmlformats.org/officeDocument/2006/relationships/hyperlink" Target="FSL_Financial_Model_Revised.xlsx" TargetMode="External"/><Relationship Id="rId10" Type="http://schemas.openxmlformats.org/officeDocument/2006/relationships/hyperlink" Target="FSL_Financial_Model_Revised.xlsx" TargetMode="External"/>
</Relationships>
</file>

<file path=xl/worksheets/_rels/sheet10.xml.rels><?xml version="1.0" encoding="UTF-8"?>
<Relationships xmlns="http://schemas.openxmlformats.org/package/2006/relationships"><Relationship Id="rId1" Type="http://schemas.openxmlformats.org/officeDocument/2006/relationships/hyperlink" Target="FSL_Financial_Model_Revised.xlsx" TargetMode="External"/><Relationship Id="rId2" Type="http://schemas.openxmlformats.org/officeDocument/2006/relationships/hyperlink" Target="FSL_Financial_Model_Revised.xlsx" TargetMode="External"/><Relationship Id="rId3" Type="http://schemas.openxmlformats.org/officeDocument/2006/relationships/hyperlink" Target="FSL_Financial_Model_Revised.xlsx" TargetMode="External"/><Relationship Id="rId4" Type="http://schemas.openxmlformats.org/officeDocument/2006/relationships/hyperlink" Target="FSL_Financial_Model_Revised.xlsx" TargetMode="External"/><Relationship Id="rId5" Type="http://schemas.openxmlformats.org/officeDocument/2006/relationships/hyperlink" Target="FSL_Financial_Model_Revised.xlsx" TargetMode="External"/><Relationship Id="rId6" Type="http://schemas.openxmlformats.org/officeDocument/2006/relationships/hyperlink" Target="FSL_Financial_Model_Revised.xlsx" TargetMode="External"/><Relationship Id="rId7" Type="http://schemas.openxmlformats.org/officeDocument/2006/relationships/hyperlink" Target="FSL_Financial_Model_Revised.xlsx" TargetMode="External"/><Relationship Id="rId8" Type="http://schemas.openxmlformats.org/officeDocument/2006/relationships/hyperlink" Target="FSL_Financial_Model_Revised.xlsx" TargetMode="External"/><Relationship Id="rId9" Type="http://schemas.openxmlformats.org/officeDocument/2006/relationships/hyperlink" Target="FSL_Financial_Model_Revised.xlsx" TargetMode="External"/><Relationship Id="rId10" Type="http://schemas.openxmlformats.org/officeDocument/2006/relationships/hyperlink" Target="FSL_Financial_Model_Revised.xlsx" TargetMode="External"/>
</Relationships>
</file>

<file path=xl/worksheets/_rels/sheet11.xml.rels><?xml version="1.0" encoding="UTF-8"?>
<Relationships xmlns="http://schemas.openxmlformats.org/package/2006/relationships"><Relationship Id="rId1" Type="http://schemas.openxmlformats.org/officeDocument/2006/relationships/hyperlink" Target="FSL_Financial_Model_Revised.xlsx" TargetMode="External"/><Relationship Id="rId2" Type="http://schemas.openxmlformats.org/officeDocument/2006/relationships/hyperlink" Target="FSL_Financial_Model_Revised.xlsx" TargetMode="External"/><Relationship Id="rId3" Type="http://schemas.openxmlformats.org/officeDocument/2006/relationships/hyperlink" Target="FSL_Financial_Model_Revised.xlsx" TargetMode="External"/><Relationship Id="rId4" Type="http://schemas.openxmlformats.org/officeDocument/2006/relationships/hyperlink" Target="FSL_Financial_Model_Revised.xlsx" TargetMode="External"/><Relationship Id="rId5" Type="http://schemas.openxmlformats.org/officeDocument/2006/relationships/hyperlink" Target="FSL_Financial_Model_Revised.xlsx" TargetMode="External"/><Relationship Id="rId6" Type="http://schemas.openxmlformats.org/officeDocument/2006/relationships/hyperlink" Target="FSL_Financial_Model_Revised.xlsx" TargetMode="External"/><Relationship Id="rId7" Type="http://schemas.openxmlformats.org/officeDocument/2006/relationships/hyperlink" Target="FSL_Financial_Model_Revised.xlsx" TargetMode="External"/><Relationship Id="rId8" Type="http://schemas.openxmlformats.org/officeDocument/2006/relationships/hyperlink" Target="FSL_Financial_Model_Revised.xlsx" TargetMode="External"/><Relationship Id="rId9" Type="http://schemas.openxmlformats.org/officeDocument/2006/relationships/hyperlink" Target="FSL_Financial_Model_Revised.xlsx" TargetMode="External"/><Relationship Id="rId10" Type="http://schemas.openxmlformats.org/officeDocument/2006/relationships/hyperlink" Target="FSL_Financial_Model_Revised.xlsx" TargetMode="External"/>
</Relationships>
</file>

<file path=xl/worksheets/_rels/sheet12.xml.rels><?xml version="1.0" encoding="UTF-8"?>
<Relationships xmlns="http://schemas.openxmlformats.org/package/2006/relationships"><Relationship Id="rId1" Type="http://schemas.openxmlformats.org/officeDocument/2006/relationships/hyperlink" Target="FSL_Financial_Model_Revised.xlsx" TargetMode="External"/><Relationship Id="rId2" Type="http://schemas.openxmlformats.org/officeDocument/2006/relationships/hyperlink" Target="FSL_Financial_Model_Revised.xlsx" TargetMode="External"/><Relationship Id="rId3" Type="http://schemas.openxmlformats.org/officeDocument/2006/relationships/hyperlink" Target="FSL_Financial_Model_Revised.xlsx" TargetMode="External"/><Relationship Id="rId4" Type="http://schemas.openxmlformats.org/officeDocument/2006/relationships/hyperlink" Target="FSL_Financial_Model_Revised.xlsx" TargetMode="External"/><Relationship Id="rId5" Type="http://schemas.openxmlformats.org/officeDocument/2006/relationships/hyperlink" Target="FSL_Financial_Model_Revised.xlsx" TargetMode="External"/><Relationship Id="rId6" Type="http://schemas.openxmlformats.org/officeDocument/2006/relationships/hyperlink" Target="FSL_Financial_Model_Revised.xlsx" TargetMode="External"/><Relationship Id="rId7" Type="http://schemas.openxmlformats.org/officeDocument/2006/relationships/hyperlink" Target="FSL_Financial_Model_Revised.xlsx" TargetMode="External"/><Relationship Id="rId8" Type="http://schemas.openxmlformats.org/officeDocument/2006/relationships/hyperlink" Target="FSL_Financial_Model_Revised.xlsx" TargetMode="External"/><Relationship Id="rId9" Type="http://schemas.openxmlformats.org/officeDocument/2006/relationships/hyperlink" Target="FSL_Financial_Model_Revised.xlsx" TargetMode="External"/><Relationship Id="rId10" Type="http://schemas.openxmlformats.org/officeDocument/2006/relationships/hyperlink" Target="FSL_Financial_Model_Revised.xlsx" TargetMode="External"/>
</Relationships>
</file>

<file path=xl/worksheets/_rels/sheet13.xml.rels><?xml version="1.0" encoding="UTF-8"?>
<Relationships xmlns="http://schemas.openxmlformats.org/package/2006/relationships"><Relationship Id="rId1" Type="http://schemas.openxmlformats.org/officeDocument/2006/relationships/hyperlink" Target="FSL_Financial_Model_Revised.xlsx" TargetMode="External"/><Relationship Id="rId2" Type="http://schemas.openxmlformats.org/officeDocument/2006/relationships/hyperlink" Target="FSL_Financial_Model_Revised.xlsx" TargetMode="External"/><Relationship Id="rId3" Type="http://schemas.openxmlformats.org/officeDocument/2006/relationships/hyperlink" Target="FSL_Financial_Model_Revised.xlsx" TargetMode="External"/><Relationship Id="rId4" Type="http://schemas.openxmlformats.org/officeDocument/2006/relationships/hyperlink" Target="FSL_Financial_Model_Revised.xlsx" TargetMode="External"/><Relationship Id="rId5" Type="http://schemas.openxmlformats.org/officeDocument/2006/relationships/hyperlink" Target="FSL_Financial_Model_Revised.xlsx" TargetMode="External"/><Relationship Id="rId6" Type="http://schemas.openxmlformats.org/officeDocument/2006/relationships/hyperlink" Target="FSL_Financial_Model_Revised.xlsx" TargetMode="External"/><Relationship Id="rId7" Type="http://schemas.openxmlformats.org/officeDocument/2006/relationships/hyperlink" Target="FSL_Financial_Model_Revised.xlsx" TargetMode="External"/><Relationship Id="rId8" Type="http://schemas.openxmlformats.org/officeDocument/2006/relationships/hyperlink" Target="FSL_Financial_Model_Revised.xlsx" TargetMode="External"/><Relationship Id="rId9" Type="http://schemas.openxmlformats.org/officeDocument/2006/relationships/hyperlink" Target="FSL_Financial_Model_Revised.xlsx" TargetMode="External"/><Relationship Id="rId10" Type="http://schemas.openxmlformats.org/officeDocument/2006/relationships/hyperlink" Target="FSL_Financial_Model_Revised.xlsx" TargetMode="External"/><Relationship Id="rId11" Type="http://schemas.openxmlformats.org/officeDocument/2006/relationships/hyperlink" Target="FSL_Financial_Model_Revised.xlsx" TargetMode="External"/><Relationship Id="rId12" Type="http://schemas.openxmlformats.org/officeDocument/2006/relationships/hyperlink" Target="FSL_Financial_Model_Revised.xlsx" TargetMode="External"/><Relationship Id="rId13" Type="http://schemas.openxmlformats.org/officeDocument/2006/relationships/hyperlink" Target="FSL_Financial_Model_Revised.xlsx" TargetMode="External"/>
</Relationships>
</file>

<file path=xl/worksheets/_rels/sheet14.xml.rels><?xml version="1.0" encoding="UTF-8"?>
<Relationships xmlns="http://schemas.openxmlformats.org/package/2006/relationships"><Relationship Id="rId1" Type="http://schemas.openxmlformats.org/officeDocument/2006/relationships/hyperlink" Target="FSL_Financial_Model_Revised.xlsx" TargetMode="External"/><Relationship Id="rId2" Type="http://schemas.openxmlformats.org/officeDocument/2006/relationships/hyperlink" Target="FSL_Financial_Model_Revised.xlsx" TargetMode="External"/><Relationship Id="rId3" Type="http://schemas.openxmlformats.org/officeDocument/2006/relationships/hyperlink" Target="FSL_Financial_Model_Revised.xlsx" TargetMode="External"/><Relationship Id="rId4" Type="http://schemas.openxmlformats.org/officeDocument/2006/relationships/hyperlink" Target="FSL_Financial_Model_Revised.xlsx" TargetMode="External"/><Relationship Id="rId5" Type="http://schemas.openxmlformats.org/officeDocument/2006/relationships/hyperlink" Target="FSL_Financial_Model_Revised.xlsx" TargetMode="External"/><Relationship Id="rId6" Type="http://schemas.openxmlformats.org/officeDocument/2006/relationships/hyperlink" Target="FSL_Financial_Model_Revised.xlsx" TargetMode="External"/><Relationship Id="rId7" Type="http://schemas.openxmlformats.org/officeDocument/2006/relationships/hyperlink" Target="FSL_Financial_Model_Revised.xlsx" TargetMode="External"/><Relationship Id="rId8" Type="http://schemas.openxmlformats.org/officeDocument/2006/relationships/hyperlink" Target="FSL_Financial_Model_Revised.xlsx" TargetMode="External"/><Relationship Id="rId9" Type="http://schemas.openxmlformats.org/officeDocument/2006/relationships/hyperlink" Target="FSL_Financial_Model_Revised.xlsx" TargetMode="External"/><Relationship Id="rId10" Type="http://schemas.openxmlformats.org/officeDocument/2006/relationships/hyperlink" Target="FSL_Financial_Model_Revised.xlsx" TargetMode="External"/><Relationship Id="rId11" Type="http://schemas.openxmlformats.org/officeDocument/2006/relationships/hyperlink" Target="FSL_Financial_Model_Revised.xlsx" TargetMode="External"/><Relationship Id="rId12" Type="http://schemas.openxmlformats.org/officeDocument/2006/relationships/hyperlink" Target="FSL_Financial_Model_Revised.xlsx" TargetMode="External"/><Relationship Id="rId13" Type="http://schemas.openxmlformats.org/officeDocument/2006/relationships/hyperlink" Target="FSL_Financial_Model_Revised.xlsx" TargetMode="External"/>
</Relationships>
</file>

<file path=xl/worksheets/_rels/sheet15.xml.rels><?xml version="1.0" encoding="UTF-8"?>
<Relationships xmlns="http://schemas.openxmlformats.org/package/2006/relationships"><Relationship Id="rId1" Type="http://schemas.openxmlformats.org/officeDocument/2006/relationships/hyperlink" Target="FSL_Financial_Model_Revised.xlsx" TargetMode="External"/><Relationship Id="rId2" Type="http://schemas.openxmlformats.org/officeDocument/2006/relationships/hyperlink" Target="FSL_Financial_Model_Revised.xlsx" TargetMode="External"/><Relationship Id="rId3" Type="http://schemas.openxmlformats.org/officeDocument/2006/relationships/hyperlink" Target="FSL_Financial_Model_Revised.xlsx" TargetMode="External"/><Relationship Id="rId4" Type="http://schemas.openxmlformats.org/officeDocument/2006/relationships/hyperlink" Target="FSL_Financial_Model_Revised.xlsx" TargetMode="External"/><Relationship Id="rId5" Type="http://schemas.openxmlformats.org/officeDocument/2006/relationships/hyperlink" Target="FSL_Financial_Model_Revised.xlsx" TargetMode="External"/><Relationship Id="rId6" Type="http://schemas.openxmlformats.org/officeDocument/2006/relationships/hyperlink" Target="FSL_Financial_Model_Revised.xlsx" TargetMode="External"/><Relationship Id="rId7" Type="http://schemas.openxmlformats.org/officeDocument/2006/relationships/hyperlink" Target="FSL_Financial_Model_Revised.xlsx" TargetMode="External"/><Relationship Id="rId8" Type="http://schemas.openxmlformats.org/officeDocument/2006/relationships/hyperlink" Target="FSL_Financial_Model_Revised.xlsx" TargetMode="External"/><Relationship Id="rId9" Type="http://schemas.openxmlformats.org/officeDocument/2006/relationships/hyperlink" Target="FSL_Financial_Model_Revised.xlsx" TargetMode="External"/><Relationship Id="rId10" Type="http://schemas.openxmlformats.org/officeDocument/2006/relationships/hyperlink" Target="FSL_Financial_Model_Revised.xlsx" TargetMode="External"/><Relationship Id="rId11" Type="http://schemas.openxmlformats.org/officeDocument/2006/relationships/hyperlink" Target="FSL_Financial_Model_Revised.xlsx" TargetMode="External"/><Relationship Id="rId12" Type="http://schemas.openxmlformats.org/officeDocument/2006/relationships/hyperlink" Target="FSL_Financial_Model_Revised.xlsx" TargetMode="External"/><Relationship Id="rId13" Type="http://schemas.openxmlformats.org/officeDocument/2006/relationships/hyperlink" Target="FSL_Financial_Model_Revised.xlsx" TargetMode="External"/>
</Relationships>
</file>

<file path=xl/worksheets/_rels/sheet16.xml.rels><?xml version="1.0" encoding="UTF-8"?>
<Relationships xmlns="http://schemas.openxmlformats.org/package/2006/relationships"><Relationship Id="rId1" Type="http://schemas.openxmlformats.org/officeDocument/2006/relationships/hyperlink" Target="FSL_Financial_Model_Revised.xlsx" TargetMode="External"/><Relationship Id="rId2" Type="http://schemas.openxmlformats.org/officeDocument/2006/relationships/hyperlink" Target="FSL_Financial_Model_Revised.xlsx" TargetMode="External"/><Relationship Id="rId3" Type="http://schemas.openxmlformats.org/officeDocument/2006/relationships/hyperlink" Target="FSL_Financial_Model_Revised.xlsx" TargetMode="External"/><Relationship Id="rId4" Type="http://schemas.openxmlformats.org/officeDocument/2006/relationships/hyperlink" Target="FSL_Financial_Model_Revised.xlsx" TargetMode="External"/><Relationship Id="rId5" Type="http://schemas.openxmlformats.org/officeDocument/2006/relationships/hyperlink" Target="FSL_Financial_Model_Revised.xlsx" TargetMode="External"/><Relationship Id="rId6" Type="http://schemas.openxmlformats.org/officeDocument/2006/relationships/hyperlink" Target="FSL_Financial_Model_Revised.xlsx" TargetMode="External"/><Relationship Id="rId7" Type="http://schemas.openxmlformats.org/officeDocument/2006/relationships/hyperlink" Target="FSL_Financial_Model_Revised.xlsx" TargetMode="External"/><Relationship Id="rId8" Type="http://schemas.openxmlformats.org/officeDocument/2006/relationships/hyperlink" Target="FSL_Financial_Model_Revised.xlsx" TargetMode="External"/><Relationship Id="rId9" Type="http://schemas.openxmlformats.org/officeDocument/2006/relationships/hyperlink" Target="FSL_Financial_Model_Revised.xlsx" TargetMode="External"/><Relationship Id="rId10" Type="http://schemas.openxmlformats.org/officeDocument/2006/relationships/hyperlink" Target="FSL_Financial_Model_Revised.xlsx" TargetMode="External"/><Relationship Id="rId11" Type="http://schemas.openxmlformats.org/officeDocument/2006/relationships/hyperlink" Target="FSL_Financial_Model_Revised.xlsx" TargetMode="External"/><Relationship Id="rId12" Type="http://schemas.openxmlformats.org/officeDocument/2006/relationships/hyperlink" Target="FSL_Financial_Model_Revised.xlsx" TargetMode="External"/><Relationship Id="rId13" Type="http://schemas.openxmlformats.org/officeDocument/2006/relationships/hyperlink" Target="FSL_Financial_Model_Revised.xlsx" TargetMode="External"/>
</Relationships>
</file>

<file path=xl/worksheets/_rels/sheet17.xml.rels><?xml version="1.0" encoding="UTF-8"?>
<Relationships xmlns="http://schemas.openxmlformats.org/package/2006/relationships"><Relationship Id="rId1" Type="http://schemas.openxmlformats.org/officeDocument/2006/relationships/hyperlink" Target="FSL_Financial_Model_Revised.xlsx" TargetMode="External"/><Relationship Id="rId2" Type="http://schemas.openxmlformats.org/officeDocument/2006/relationships/hyperlink" Target="FSL_Financial_Model_Revised.xlsx" TargetMode="External"/><Relationship Id="rId3" Type="http://schemas.openxmlformats.org/officeDocument/2006/relationships/hyperlink" Target="FSL_Financial_Model_Revised.xlsx" TargetMode="External"/><Relationship Id="rId4" Type="http://schemas.openxmlformats.org/officeDocument/2006/relationships/hyperlink" Target="FSL_Financial_Model_Revised.xlsx" TargetMode="External"/><Relationship Id="rId5" Type="http://schemas.openxmlformats.org/officeDocument/2006/relationships/hyperlink" Target="FSL_Financial_Model_Revised.xlsx" TargetMode="External"/><Relationship Id="rId6" Type="http://schemas.openxmlformats.org/officeDocument/2006/relationships/hyperlink" Target="FSL_Financial_Model_Revised.xlsx" TargetMode="External"/><Relationship Id="rId7" Type="http://schemas.openxmlformats.org/officeDocument/2006/relationships/hyperlink" Target="FSL_Financial_Model_Revised.xlsx" TargetMode="External"/><Relationship Id="rId8" Type="http://schemas.openxmlformats.org/officeDocument/2006/relationships/hyperlink" Target="FSL_Financial_Model_Revised.xlsx" TargetMode="External"/><Relationship Id="rId9" Type="http://schemas.openxmlformats.org/officeDocument/2006/relationships/hyperlink" Target="FSL_Financial_Model_Revised.xlsx" TargetMode="External"/><Relationship Id="rId10" Type="http://schemas.openxmlformats.org/officeDocument/2006/relationships/hyperlink" Target="FSL_Financial_Model_Revised.xlsx" TargetMode="External"/><Relationship Id="rId11" Type="http://schemas.openxmlformats.org/officeDocument/2006/relationships/hyperlink" Target="FSL_Financial_Model_Revised.xlsx" TargetMode="External"/><Relationship Id="rId12" Type="http://schemas.openxmlformats.org/officeDocument/2006/relationships/hyperlink" Target="FSL_Financial_Model_Revised.xlsx" TargetMode="External"/><Relationship Id="rId13" Type="http://schemas.openxmlformats.org/officeDocument/2006/relationships/hyperlink" Target="FSL_Financial_Model_Revised.xlsx" TargetMode="External"/>
</Relationships>
</file>

<file path=xl/worksheets/_rels/sheet18.xml.rels><?xml version="1.0" encoding="UTF-8"?>
<Relationships xmlns="http://schemas.openxmlformats.org/package/2006/relationships"><Relationship Id="rId1" Type="http://schemas.openxmlformats.org/officeDocument/2006/relationships/hyperlink" Target="FSL_Financial_Model_Revised.xlsx" TargetMode="External"/><Relationship Id="rId2" Type="http://schemas.openxmlformats.org/officeDocument/2006/relationships/hyperlink" Target="FSL_Financial_Model_Revised.xlsx" TargetMode="External"/><Relationship Id="rId3" Type="http://schemas.openxmlformats.org/officeDocument/2006/relationships/hyperlink" Target="FSL_Financial_Model_Revised.xlsx" TargetMode="External"/><Relationship Id="rId4" Type="http://schemas.openxmlformats.org/officeDocument/2006/relationships/hyperlink" Target="FSL_Financial_Model_Revised.xlsx" TargetMode="External"/><Relationship Id="rId5" Type="http://schemas.openxmlformats.org/officeDocument/2006/relationships/hyperlink" Target="FSL_Financial_Model_Revised.xlsx" TargetMode="External"/><Relationship Id="rId6" Type="http://schemas.openxmlformats.org/officeDocument/2006/relationships/hyperlink" Target="FSL_Financial_Model_Revised.xlsx" TargetMode="External"/><Relationship Id="rId7" Type="http://schemas.openxmlformats.org/officeDocument/2006/relationships/hyperlink" Target="FSL_Financial_Model_Revised.xlsx" TargetMode="External"/><Relationship Id="rId8" Type="http://schemas.openxmlformats.org/officeDocument/2006/relationships/hyperlink" Target="FSL_Financial_Model_Revised.xlsx" TargetMode="External"/><Relationship Id="rId9" Type="http://schemas.openxmlformats.org/officeDocument/2006/relationships/hyperlink" Target="FSL_Financial_Model_Revised.xlsx" TargetMode="External"/><Relationship Id="rId10" Type="http://schemas.openxmlformats.org/officeDocument/2006/relationships/hyperlink" Target="FSL_Financial_Model_Revised.xlsx" TargetMode="External"/><Relationship Id="rId11" Type="http://schemas.openxmlformats.org/officeDocument/2006/relationships/hyperlink" Target="FSL_Financial_Model_Revised.xlsx" TargetMode="External"/><Relationship Id="rId12" Type="http://schemas.openxmlformats.org/officeDocument/2006/relationships/hyperlink" Target="FSL_Financial_Model_Revised.xlsx" TargetMode="External"/><Relationship Id="rId13" Type="http://schemas.openxmlformats.org/officeDocument/2006/relationships/hyperlink" Target="FSL_Financial_Model_Revised.xlsx" TargetMode="External"/>
</Relationships>
</file>

<file path=xl/worksheets/_rels/sheet19.xml.rels><?xml version="1.0" encoding="UTF-8"?>
<Relationships xmlns="http://schemas.openxmlformats.org/package/2006/relationships"><Relationship Id="rId1" Type="http://schemas.openxmlformats.org/officeDocument/2006/relationships/hyperlink" Target="FSL_Financial_Model_Revised.xlsx" TargetMode="External"/><Relationship Id="rId2" Type="http://schemas.openxmlformats.org/officeDocument/2006/relationships/hyperlink" Target="FSL_Financial_Model_Revised.xlsx" TargetMode="External"/><Relationship Id="rId3" Type="http://schemas.openxmlformats.org/officeDocument/2006/relationships/hyperlink" Target="FSL_Financial_Model_Revised.xlsx" TargetMode="External"/><Relationship Id="rId4" Type="http://schemas.openxmlformats.org/officeDocument/2006/relationships/hyperlink" Target="FSL_Financial_Model_Revised.xlsx" TargetMode="External"/><Relationship Id="rId5" Type="http://schemas.openxmlformats.org/officeDocument/2006/relationships/hyperlink" Target="FSL_Financial_Model_Revised.xlsx" TargetMode="External"/><Relationship Id="rId6" Type="http://schemas.openxmlformats.org/officeDocument/2006/relationships/hyperlink" Target="FSL_Financial_Model_Revised.xlsx" TargetMode="External"/><Relationship Id="rId7" Type="http://schemas.openxmlformats.org/officeDocument/2006/relationships/hyperlink" Target="FSL_Financial_Model_Revised.xlsx" TargetMode="External"/><Relationship Id="rId8" Type="http://schemas.openxmlformats.org/officeDocument/2006/relationships/hyperlink" Target="FSL_Financial_Model_Revised.xlsx" TargetMode="External"/><Relationship Id="rId9" Type="http://schemas.openxmlformats.org/officeDocument/2006/relationships/hyperlink" Target="FSL_Financial_Model_Revised.xlsx" TargetMode="External"/><Relationship Id="rId10" Type="http://schemas.openxmlformats.org/officeDocument/2006/relationships/hyperlink" Target="FSL_Financial_Model_Revised.xlsx" TargetMode="External"/><Relationship Id="rId11" Type="http://schemas.openxmlformats.org/officeDocument/2006/relationships/hyperlink" Target="FSL_Financial_Model_Revised.xlsx" TargetMode="External"/><Relationship Id="rId12" Type="http://schemas.openxmlformats.org/officeDocument/2006/relationships/hyperlink" Target="FSL_Financial_Model_Revised.xlsx" TargetMode="External"/><Relationship Id="rId13" Type="http://schemas.openxmlformats.org/officeDocument/2006/relationships/hyperlink" Target="FSL_Financial_Model_Revised.xlsx" TargetMode="External"/>
</Relationships>
</file>

<file path=xl/worksheets/_rels/sheet20.xml.rels><?xml version="1.0" encoding="UTF-8"?>
<Relationships xmlns="http://schemas.openxmlformats.org/package/2006/relationships"><Relationship Id="rId1" Type="http://schemas.openxmlformats.org/officeDocument/2006/relationships/hyperlink" Target="FSL_Financial_Model_Revised.xlsx" TargetMode="External"/><Relationship Id="rId2" Type="http://schemas.openxmlformats.org/officeDocument/2006/relationships/hyperlink" Target="FSL_Financial_Model_Revised.xlsx" TargetMode="External"/><Relationship Id="rId3" Type="http://schemas.openxmlformats.org/officeDocument/2006/relationships/hyperlink" Target="FSL_Financial_Model_Revised.xlsx" TargetMode="External"/><Relationship Id="rId4" Type="http://schemas.openxmlformats.org/officeDocument/2006/relationships/hyperlink" Target="FSL_Financial_Model_Revised.xlsx" TargetMode="External"/><Relationship Id="rId5" Type="http://schemas.openxmlformats.org/officeDocument/2006/relationships/hyperlink" Target="FSL_Financial_Model_Revised.xlsx" TargetMode="External"/><Relationship Id="rId6" Type="http://schemas.openxmlformats.org/officeDocument/2006/relationships/hyperlink" Target="FSL_Financial_Model_Revised.xlsx" TargetMode="External"/><Relationship Id="rId7" Type="http://schemas.openxmlformats.org/officeDocument/2006/relationships/hyperlink" Target="FSL_Financial_Model_Revised.xlsx" TargetMode="External"/><Relationship Id="rId8" Type="http://schemas.openxmlformats.org/officeDocument/2006/relationships/hyperlink" Target="FSL_Financial_Model_Revised.xlsx" TargetMode="External"/><Relationship Id="rId9" Type="http://schemas.openxmlformats.org/officeDocument/2006/relationships/hyperlink" Target="FSL_Financial_Model_Revised.xlsx" TargetMode="External"/><Relationship Id="rId10" Type="http://schemas.openxmlformats.org/officeDocument/2006/relationships/hyperlink" Target="FSL_Financial_Model_Revised.xlsx" TargetMode="External"/><Relationship Id="rId11" Type="http://schemas.openxmlformats.org/officeDocument/2006/relationships/hyperlink" Target="FSL_Financial_Model_Revised.xlsx" TargetMode="External"/><Relationship Id="rId12" Type="http://schemas.openxmlformats.org/officeDocument/2006/relationships/hyperlink" Target="FSL_Financial_Model_Revised.xlsx" TargetMode="External"/><Relationship Id="rId13" Type="http://schemas.openxmlformats.org/officeDocument/2006/relationships/hyperlink" Target="FSL_Financial_Model_Revised.xlsx" TargetMode="External"/>
</Relationships>
</file>

<file path=xl/worksheets/_rels/sheet21.xml.rels><?xml version="1.0" encoding="UTF-8"?>
<Relationships xmlns="http://schemas.openxmlformats.org/package/2006/relationships"><Relationship Id="rId1" Type="http://schemas.openxmlformats.org/officeDocument/2006/relationships/hyperlink" Target="FSL_Financial_Model_Revised.xlsx" TargetMode="External"/><Relationship Id="rId2" Type="http://schemas.openxmlformats.org/officeDocument/2006/relationships/hyperlink" Target="FSL_Financial_Model_Revised.xlsx" TargetMode="External"/><Relationship Id="rId3" Type="http://schemas.openxmlformats.org/officeDocument/2006/relationships/hyperlink" Target="FSL_Financial_Model_Revised.xlsx" TargetMode="External"/><Relationship Id="rId4" Type="http://schemas.openxmlformats.org/officeDocument/2006/relationships/hyperlink" Target="FSL_Financial_Model_Revised.xlsx" TargetMode="External"/><Relationship Id="rId5" Type="http://schemas.openxmlformats.org/officeDocument/2006/relationships/hyperlink" Target="FSL_Financial_Model_Revised.xlsx" TargetMode="External"/><Relationship Id="rId6" Type="http://schemas.openxmlformats.org/officeDocument/2006/relationships/hyperlink" Target="FSL_Financial_Model_Revised.xlsx" TargetMode="External"/><Relationship Id="rId7" Type="http://schemas.openxmlformats.org/officeDocument/2006/relationships/hyperlink" Target="FSL_Financial_Model_Revised.xlsx" TargetMode="External"/><Relationship Id="rId8" Type="http://schemas.openxmlformats.org/officeDocument/2006/relationships/hyperlink" Target="FSL_Financial_Model_Revised.xlsx" TargetMode="External"/><Relationship Id="rId9" Type="http://schemas.openxmlformats.org/officeDocument/2006/relationships/hyperlink" Target="FSL_Financial_Model_Revised.xlsx" TargetMode="External"/><Relationship Id="rId10" Type="http://schemas.openxmlformats.org/officeDocument/2006/relationships/hyperlink" Target="FSL_Financial_Model_Revised.xlsx" TargetMode="External"/><Relationship Id="rId11" Type="http://schemas.openxmlformats.org/officeDocument/2006/relationships/hyperlink" Target="FSL_Financial_Model_Revised.xlsx" TargetMode="External"/><Relationship Id="rId12" Type="http://schemas.openxmlformats.org/officeDocument/2006/relationships/hyperlink" Target="FSL_Financial_Model_Revised.xlsx" TargetMode="External"/><Relationship Id="rId13" Type="http://schemas.openxmlformats.org/officeDocument/2006/relationships/hyperlink" Target="FSL_Financial_Model_Revised.xlsx" TargetMode="External"/>
</Relationships>
</file>

<file path=xl/worksheets/_rels/sheet22.xml.rels><?xml version="1.0" encoding="UTF-8"?>
<Relationships xmlns="http://schemas.openxmlformats.org/package/2006/relationships"><Relationship Id="rId1" Type="http://schemas.openxmlformats.org/officeDocument/2006/relationships/hyperlink" Target="FSL_Financial_Model_Revised.xlsx" TargetMode="External"/><Relationship Id="rId2" Type="http://schemas.openxmlformats.org/officeDocument/2006/relationships/hyperlink" Target="FSL_Financial_Model_Revised.xlsx" TargetMode="External"/><Relationship Id="rId3" Type="http://schemas.openxmlformats.org/officeDocument/2006/relationships/hyperlink" Target="FSL_Financial_Model_Revised.xlsx" TargetMode="External"/><Relationship Id="rId4" Type="http://schemas.openxmlformats.org/officeDocument/2006/relationships/hyperlink" Target="FSL_Financial_Model_Revised.xlsx" TargetMode="External"/><Relationship Id="rId5" Type="http://schemas.openxmlformats.org/officeDocument/2006/relationships/hyperlink" Target="FSL_Financial_Model_Revised.xlsx" TargetMode="External"/><Relationship Id="rId6" Type="http://schemas.openxmlformats.org/officeDocument/2006/relationships/hyperlink" Target="FSL_Financial_Model_Revised.xlsx" TargetMode="External"/><Relationship Id="rId7" Type="http://schemas.openxmlformats.org/officeDocument/2006/relationships/hyperlink" Target="FSL_Financial_Model_Revised.xlsx" TargetMode="External"/><Relationship Id="rId8" Type="http://schemas.openxmlformats.org/officeDocument/2006/relationships/hyperlink" Target="FSL_Financial_Model_Revised.xlsx" TargetMode="External"/><Relationship Id="rId9" Type="http://schemas.openxmlformats.org/officeDocument/2006/relationships/hyperlink" Target="FSL_Financial_Model_Revised.xlsx" TargetMode="External"/><Relationship Id="rId10" Type="http://schemas.openxmlformats.org/officeDocument/2006/relationships/hyperlink" Target="FSL_Financial_Model_Revised.xlsx" TargetMode="External"/><Relationship Id="rId11" Type="http://schemas.openxmlformats.org/officeDocument/2006/relationships/hyperlink" Target="FSL_Financial_Model_Revised.xlsx" TargetMode="External"/><Relationship Id="rId12" Type="http://schemas.openxmlformats.org/officeDocument/2006/relationships/hyperlink" Target="FSL_Financial_Model_Revised.xlsx" TargetMode="External"/><Relationship Id="rId13" Type="http://schemas.openxmlformats.org/officeDocument/2006/relationships/hyperlink" Target="FSL_Financial_Model_Revised.xlsx" TargetMode="External"/>
</Relationships>
</file>

<file path=xl/worksheets/_rels/sheet23.xml.rels><?xml version="1.0" encoding="UTF-8"?>
<Relationships xmlns="http://schemas.openxmlformats.org/package/2006/relationships"><Relationship Id="rId1" Type="http://schemas.openxmlformats.org/officeDocument/2006/relationships/hyperlink" Target="FSL_Financial_Model_Revised.xlsx" TargetMode="External"/><Relationship Id="rId2" Type="http://schemas.openxmlformats.org/officeDocument/2006/relationships/hyperlink" Target="FSL_Financial_Model_Revised.xlsx" TargetMode="External"/><Relationship Id="rId3" Type="http://schemas.openxmlformats.org/officeDocument/2006/relationships/hyperlink" Target="FSL_Financial_Model_Revised.xlsx" TargetMode="External"/><Relationship Id="rId4" Type="http://schemas.openxmlformats.org/officeDocument/2006/relationships/hyperlink" Target="FSL_Financial_Model_Revised.xlsx" TargetMode="External"/><Relationship Id="rId5" Type="http://schemas.openxmlformats.org/officeDocument/2006/relationships/hyperlink" Target="FSL_Financial_Model_Revised.xlsx" TargetMode="External"/><Relationship Id="rId6" Type="http://schemas.openxmlformats.org/officeDocument/2006/relationships/hyperlink" Target="FSL_Financial_Model_Revised.xlsx" TargetMode="External"/><Relationship Id="rId7" Type="http://schemas.openxmlformats.org/officeDocument/2006/relationships/hyperlink" Target="FSL_Financial_Model_Revised.xlsx" TargetMode="External"/><Relationship Id="rId8" Type="http://schemas.openxmlformats.org/officeDocument/2006/relationships/hyperlink" Target="FSL_Financial_Model_Revised.xlsx" TargetMode="External"/><Relationship Id="rId9" Type="http://schemas.openxmlformats.org/officeDocument/2006/relationships/hyperlink" Target="FSL_Financial_Model_Revised.xlsx" TargetMode="External"/><Relationship Id="rId10" Type="http://schemas.openxmlformats.org/officeDocument/2006/relationships/hyperlink" Target="FSL_Financial_Model_Revised.xlsx" TargetMode="External"/><Relationship Id="rId11" Type="http://schemas.openxmlformats.org/officeDocument/2006/relationships/hyperlink" Target="FSL_Financial_Model_Revised.xlsx" TargetMode="External"/><Relationship Id="rId12" Type="http://schemas.openxmlformats.org/officeDocument/2006/relationships/hyperlink" Target="FSL_Financial_Model_Revised.xlsx" TargetMode="External"/><Relationship Id="rId13" Type="http://schemas.openxmlformats.org/officeDocument/2006/relationships/hyperlink" Target="FSL_Financial_Model_Revised.xlsx" TargetMode="External"/>
</Relationships>
</file>

<file path=xl/worksheets/_rels/sheet24.xml.rels><?xml version="1.0" encoding="UTF-8"?>
<Relationships xmlns="http://schemas.openxmlformats.org/package/2006/relationships"><Relationship Id="rId1" Type="http://schemas.openxmlformats.org/officeDocument/2006/relationships/hyperlink" Target="FSL_Financial_Model_Revised.xlsx" TargetMode="External"/><Relationship Id="rId2" Type="http://schemas.openxmlformats.org/officeDocument/2006/relationships/hyperlink" Target="FSL_Financial_Model_Revised.xlsx" TargetMode="External"/><Relationship Id="rId3" Type="http://schemas.openxmlformats.org/officeDocument/2006/relationships/hyperlink" Target="FSL_Financial_Model_Revised.xlsx" TargetMode="External"/><Relationship Id="rId4" Type="http://schemas.openxmlformats.org/officeDocument/2006/relationships/hyperlink" Target="FSL_Financial_Model_Revised.xlsx" TargetMode="External"/><Relationship Id="rId5" Type="http://schemas.openxmlformats.org/officeDocument/2006/relationships/hyperlink" Target="FSL_Financial_Model_Revised.xlsx" TargetMode="External"/><Relationship Id="rId6" Type="http://schemas.openxmlformats.org/officeDocument/2006/relationships/hyperlink" Target="FSL_Financial_Model_Revised.xlsx" TargetMode="External"/><Relationship Id="rId7" Type="http://schemas.openxmlformats.org/officeDocument/2006/relationships/hyperlink" Target="FSL_Financial_Model_Revised.xlsx" TargetMode="External"/><Relationship Id="rId8" Type="http://schemas.openxmlformats.org/officeDocument/2006/relationships/hyperlink" Target="FSL_Financial_Model_Revised.xlsx" TargetMode="External"/><Relationship Id="rId9" Type="http://schemas.openxmlformats.org/officeDocument/2006/relationships/hyperlink" Target="FSL_Financial_Model_Revised.xlsx" TargetMode="External"/><Relationship Id="rId10" Type="http://schemas.openxmlformats.org/officeDocument/2006/relationships/hyperlink" Target="FSL_Financial_Model_Revised.xlsx" TargetMode="External"/><Relationship Id="rId11" Type="http://schemas.openxmlformats.org/officeDocument/2006/relationships/hyperlink" Target="FSL_Financial_Model_Revised.xlsx" TargetMode="External"/><Relationship Id="rId12" Type="http://schemas.openxmlformats.org/officeDocument/2006/relationships/hyperlink" Target="FSL_Financial_Model_Revised.xlsx" TargetMode="External"/><Relationship Id="rId13" Type="http://schemas.openxmlformats.org/officeDocument/2006/relationships/hyperlink" Target="FSL_Financial_Model_Revised.xlsx" TargetMode="External"/>
</Relationships>
</file>

<file path=xl/worksheets/_rels/sheet25.xml.rels><?xml version="1.0" encoding="UTF-8"?>
<Relationships xmlns="http://schemas.openxmlformats.org/package/2006/relationships"><Relationship Id="rId1" Type="http://schemas.openxmlformats.org/officeDocument/2006/relationships/hyperlink" Target="FSL_Financial_Model_Revised.xlsx" TargetMode="External"/><Relationship Id="rId2" Type="http://schemas.openxmlformats.org/officeDocument/2006/relationships/hyperlink" Target="FSL_Financial_Model_Revised.xlsx" TargetMode="External"/><Relationship Id="rId3" Type="http://schemas.openxmlformats.org/officeDocument/2006/relationships/hyperlink" Target="FSL_Financial_Model_Revised.xlsx" TargetMode="External"/><Relationship Id="rId4" Type="http://schemas.openxmlformats.org/officeDocument/2006/relationships/hyperlink" Target="FSL_Financial_Model_Revised.xlsx" TargetMode="External"/><Relationship Id="rId5" Type="http://schemas.openxmlformats.org/officeDocument/2006/relationships/hyperlink" Target="FSL_Financial_Model_Revised.xlsx" TargetMode="External"/><Relationship Id="rId6" Type="http://schemas.openxmlformats.org/officeDocument/2006/relationships/hyperlink" Target="FSL_Financial_Model_Revised.xlsx" TargetMode="External"/><Relationship Id="rId7" Type="http://schemas.openxmlformats.org/officeDocument/2006/relationships/hyperlink" Target="FSL_Financial_Model_Revised.xlsx" TargetMode="External"/><Relationship Id="rId8" Type="http://schemas.openxmlformats.org/officeDocument/2006/relationships/hyperlink" Target="FSL_Financial_Model_Revised.xlsx" TargetMode="External"/><Relationship Id="rId9" Type="http://schemas.openxmlformats.org/officeDocument/2006/relationships/hyperlink" Target="FSL_Financial_Model_Revised.xlsx" TargetMode="External"/><Relationship Id="rId10" Type="http://schemas.openxmlformats.org/officeDocument/2006/relationships/hyperlink" Target="FSL_Financial_Model_Revised.xlsx" TargetMode="External"/><Relationship Id="rId11" Type="http://schemas.openxmlformats.org/officeDocument/2006/relationships/hyperlink" Target="FSL_Financial_Model_Revised.xlsx" TargetMode="External"/><Relationship Id="rId12" Type="http://schemas.openxmlformats.org/officeDocument/2006/relationships/hyperlink" Target="FSL_Financial_Model_Revised.xlsx" TargetMode="External"/><Relationship Id="rId13" Type="http://schemas.openxmlformats.org/officeDocument/2006/relationships/hyperlink" Target="FSL_Financial_Model_Revised.xlsx" TargetMode="External"/>
</Relationships>
</file>

<file path=xl/worksheets/_rels/sheet26.xml.rels><?xml version="1.0" encoding="UTF-8"?>
<Relationships xmlns="http://schemas.openxmlformats.org/package/2006/relationships"><Relationship Id="rId1" Type="http://schemas.openxmlformats.org/officeDocument/2006/relationships/hyperlink" Target="FSL_Financial_Model_Revised.xlsx" TargetMode="External"/><Relationship Id="rId2" Type="http://schemas.openxmlformats.org/officeDocument/2006/relationships/hyperlink" Target="FSL_Financial_Model_Revised.xlsx" TargetMode="External"/><Relationship Id="rId3" Type="http://schemas.openxmlformats.org/officeDocument/2006/relationships/hyperlink" Target="FSL_Financial_Model_Revised.xlsx" TargetMode="External"/><Relationship Id="rId4" Type="http://schemas.openxmlformats.org/officeDocument/2006/relationships/hyperlink" Target="FSL_Financial_Model_Revised.xlsx" TargetMode="External"/><Relationship Id="rId5" Type="http://schemas.openxmlformats.org/officeDocument/2006/relationships/hyperlink" Target="FSL_Financial_Model_Revised.xlsx" TargetMode="External"/><Relationship Id="rId6" Type="http://schemas.openxmlformats.org/officeDocument/2006/relationships/hyperlink" Target="FSL_Financial_Model_Revised.xlsx" TargetMode="External"/><Relationship Id="rId7" Type="http://schemas.openxmlformats.org/officeDocument/2006/relationships/hyperlink" Target="FSL_Financial_Model_Revised.xlsx" TargetMode="External"/><Relationship Id="rId8" Type="http://schemas.openxmlformats.org/officeDocument/2006/relationships/hyperlink" Target="FSL_Financial_Model_Revised.xlsx" TargetMode="External"/><Relationship Id="rId9" Type="http://schemas.openxmlformats.org/officeDocument/2006/relationships/hyperlink" Target="FSL_Financial_Model_Revised.xlsx" TargetMode="External"/><Relationship Id="rId10" Type="http://schemas.openxmlformats.org/officeDocument/2006/relationships/hyperlink" Target="FSL_Financial_Model_Revised.xlsx" TargetMode="External"/><Relationship Id="rId11" Type="http://schemas.openxmlformats.org/officeDocument/2006/relationships/hyperlink" Target="FSL_Financial_Model_Revised.xlsx" TargetMode="External"/><Relationship Id="rId12" Type="http://schemas.openxmlformats.org/officeDocument/2006/relationships/hyperlink" Target="FSL_Financial_Model_Revised.xlsx" TargetMode="External"/><Relationship Id="rId13" Type="http://schemas.openxmlformats.org/officeDocument/2006/relationships/hyperlink" Target="FSL_Financial_Model_Revised.xlsx" TargetMode="External"/>
</Relationships>
</file>

<file path=xl/worksheets/_rels/sheet27.xml.rels><?xml version="1.0" encoding="UTF-8"?>
<Relationships xmlns="http://schemas.openxmlformats.org/package/2006/relationships"><Relationship Id="rId1" Type="http://schemas.openxmlformats.org/officeDocument/2006/relationships/hyperlink" Target="FSL_Financial_Model_Revised.xlsx" TargetMode="External"/><Relationship Id="rId2" Type="http://schemas.openxmlformats.org/officeDocument/2006/relationships/hyperlink" Target="FSL_Financial_Model_Revised.xlsx" TargetMode="External"/><Relationship Id="rId3" Type="http://schemas.openxmlformats.org/officeDocument/2006/relationships/hyperlink" Target="FSL_Financial_Model_Revised.xlsx" TargetMode="External"/><Relationship Id="rId4" Type="http://schemas.openxmlformats.org/officeDocument/2006/relationships/hyperlink" Target="FSL_Financial_Model_Revised.xlsx" TargetMode="External"/><Relationship Id="rId5" Type="http://schemas.openxmlformats.org/officeDocument/2006/relationships/hyperlink" Target="FSL_Financial_Model_Revised.xlsx" TargetMode="External"/><Relationship Id="rId6" Type="http://schemas.openxmlformats.org/officeDocument/2006/relationships/hyperlink" Target="FSL_Financial_Model_Revised.xlsx" TargetMode="External"/><Relationship Id="rId7" Type="http://schemas.openxmlformats.org/officeDocument/2006/relationships/hyperlink" Target="FSL_Financial_Model_Revised.xlsx" TargetMode="External"/><Relationship Id="rId8" Type="http://schemas.openxmlformats.org/officeDocument/2006/relationships/hyperlink" Target="FSL_Financial_Model_Revised.xlsx" TargetMode="External"/><Relationship Id="rId9" Type="http://schemas.openxmlformats.org/officeDocument/2006/relationships/hyperlink" Target="FSL_Financial_Model_Revised.xlsx" TargetMode="External"/><Relationship Id="rId10" Type="http://schemas.openxmlformats.org/officeDocument/2006/relationships/hyperlink" Target="FSL_Financial_Model_Revised.xlsx" TargetMode="External"/><Relationship Id="rId11" Type="http://schemas.openxmlformats.org/officeDocument/2006/relationships/hyperlink" Target="FSL_Financial_Model_Revised.xlsx" TargetMode="External"/><Relationship Id="rId12" Type="http://schemas.openxmlformats.org/officeDocument/2006/relationships/hyperlink" Target="FSL_Financial_Model_Revised.xlsx" TargetMode="External"/><Relationship Id="rId13" Type="http://schemas.openxmlformats.org/officeDocument/2006/relationships/hyperlink" Target="FSL_Financial_Model_Revised.xlsx" TargetMode="External"/>
</Relationships>
</file>

<file path=xl/worksheets/_rels/sheet28.xml.rels><?xml version="1.0" encoding="UTF-8"?>
<Relationships xmlns="http://schemas.openxmlformats.org/package/2006/relationships"><Relationship Id="rId1" Type="http://schemas.openxmlformats.org/officeDocument/2006/relationships/hyperlink" Target="FSL_Financial_Model_Revised.xlsx" TargetMode="External"/><Relationship Id="rId2" Type="http://schemas.openxmlformats.org/officeDocument/2006/relationships/hyperlink" Target="FSL_Financial_Model_Revised.xlsx" TargetMode="External"/><Relationship Id="rId3" Type="http://schemas.openxmlformats.org/officeDocument/2006/relationships/hyperlink" Target="FSL_Financial_Model_Revised.xlsx" TargetMode="External"/><Relationship Id="rId4" Type="http://schemas.openxmlformats.org/officeDocument/2006/relationships/hyperlink" Target="FSL_Financial_Model_Revised.xlsx" TargetMode="External"/><Relationship Id="rId5" Type="http://schemas.openxmlformats.org/officeDocument/2006/relationships/hyperlink" Target="FSL_Financial_Model_Revised.xlsx" TargetMode="External"/><Relationship Id="rId6" Type="http://schemas.openxmlformats.org/officeDocument/2006/relationships/hyperlink" Target="FSL_Financial_Model_Revised.xlsx" TargetMode="External"/><Relationship Id="rId7" Type="http://schemas.openxmlformats.org/officeDocument/2006/relationships/hyperlink" Target="FSL_Financial_Model_Revised.xlsx" TargetMode="External"/><Relationship Id="rId8" Type="http://schemas.openxmlformats.org/officeDocument/2006/relationships/hyperlink" Target="FSL_Financial_Model_Revised.xlsx" TargetMode="External"/><Relationship Id="rId9" Type="http://schemas.openxmlformats.org/officeDocument/2006/relationships/hyperlink" Target="FSL_Financial_Model_Revised.xlsx" TargetMode="External"/><Relationship Id="rId10" Type="http://schemas.openxmlformats.org/officeDocument/2006/relationships/hyperlink" Target="FSL_Financial_Model_Revised.xlsx" TargetMode="External"/><Relationship Id="rId11" Type="http://schemas.openxmlformats.org/officeDocument/2006/relationships/hyperlink" Target="FSL_Financial_Model_Revised.xlsx" TargetMode="External"/><Relationship Id="rId12" Type="http://schemas.openxmlformats.org/officeDocument/2006/relationships/hyperlink" Target="FSL_Financial_Model_Revised.xlsx" TargetMode="External"/><Relationship Id="rId13" Type="http://schemas.openxmlformats.org/officeDocument/2006/relationships/hyperlink" Target="FSL_Financial_Model_Revised.xlsx" TargetMode="External"/>
</Relationships>
</file>

<file path=xl/worksheets/_rels/sheet29.xml.rels><?xml version="1.0" encoding="UTF-8"?>
<Relationships xmlns="http://schemas.openxmlformats.org/package/2006/relationships"><Relationship Id="rId1" Type="http://schemas.openxmlformats.org/officeDocument/2006/relationships/hyperlink" Target="FSL_Financial_Model_Revised.xlsx" TargetMode="External"/><Relationship Id="rId2" Type="http://schemas.openxmlformats.org/officeDocument/2006/relationships/hyperlink" Target="FSL_Financial_Model_Revised.xlsx" TargetMode="External"/><Relationship Id="rId3" Type="http://schemas.openxmlformats.org/officeDocument/2006/relationships/hyperlink" Target="FSL_Financial_Model_Revised.xlsx" TargetMode="External"/><Relationship Id="rId4" Type="http://schemas.openxmlformats.org/officeDocument/2006/relationships/hyperlink" Target="FSL_Financial_Model_Revised.xlsx" TargetMode="External"/><Relationship Id="rId5" Type="http://schemas.openxmlformats.org/officeDocument/2006/relationships/hyperlink" Target="FSL_Financial_Model_Revised.xlsx" TargetMode="External"/><Relationship Id="rId6" Type="http://schemas.openxmlformats.org/officeDocument/2006/relationships/hyperlink" Target="FSL_Financial_Model_Revised.xlsx" TargetMode="External"/><Relationship Id="rId7" Type="http://schemas.openxmlformats.org/officeDocument/2006/relationships/hyperlink" Target="FSL_Financial_Model_Revised.xlsx" TargetMode="External"/><Relationship Id="rId8" Type="http://schemas.openxmlformats.org/officeDocument/2006/relationships/hyperlink" Target="FSL_Financial_Model_Revised.xlsx" TargetMode="External"/><Relationship Id="rId9" Type="http://schemas.openxmlformats.org/officeDocument/2006/relationships/hyperlink" Target="FSL_Financial_Model_Revised.xlsx" TargetMode="External"/><Relationship Id="rId10" Type="http://schemas.openxmlformats.org/officeDocument/2006/relationships/hyperlink" Target="FSL_Financial_Model_Revised.xlsx" TargetMode="External"/><Relationship Id="rId11" Type="http://schemas.openxmlformats.org/officeDocument/2006/relationships/hyperlink" Target="FSL_Financial_Model_Revised.xlsx" TargetMode="External"/><Relationship Id="rId12" Type="http://schemas.openxmlformats.org/officeDocument/2006/relationships/hyperlink" Target="FSL_Financial_Model_Revised.xlsx" TargetMode="External"/><Relationship Id="rId13" Type="http://schemas.openxmlformats.org/officeDocument/2006/relationships/hyperlink" Target="FSL_Financial_Model_Revised.xlsx" TargetMode="External"/>
</Relationships>
</file>

<file path=xl/worksheets/_rels/sheet30.xml.rels><?xml version="1.0" encoding="UTF-8"?>
<Relationships xmlns="http://schemas.openxmlformats.org/package/2006/relationships"><Relationship Id="rId1" Type="http://schemas.openxmlformats.org/officeDocument/2006/relationships/hyperlink" Target="FSL_Financial_Model_Revised.xlsx" TargetMode="External"/><Relationship Id="rId2" Type="http://schemas.openxmlformats.org/officeDocument/2006/relationships/hyperlink" Target="FSL_Financial_Model_Revised.xlsx" TargetMode="External"/><Relationship Id="rId3" Type="http://schemas.openxmlformats.org/officeDocument/2006/relationships/hyperlink" Target="FSL_Financial_Model_Revised.xlsx" TargetMode="External"/><Relationship Id="rId4" Type="http://schemas.openxmlformats.org/officeDocument/2006/relationships/hyperlink" Target="FSL_Financial_Model_Revised.xlsx" TargetMode="External"/><Relationship Id="rId5" Type="http://schemas.openxmlformats.org/officeDocument/2006/relationships/hyperlink" Target="FSL_Financial_Model_Revised.xlsx" TargetMode="External"/><Relationship Id="rId6" Type="http://schemas.openxmlformats.org/officeDocument/2006/relationships/hyperlink" Target="FSL_Financial_Model_Revised.xlsx" TargetMode="External"/><Relationship Id="rId7" Type="http://schemas.openxmlformats.org/officeDocument/2006/relationships/hyperlink" Target="FSL_Financial_Model_Revised.xlsx" TargetMode="External"/><Relationship Id="rId8" Type="http://schemas.openxmlformats.org/officeDocument/2006/relationships/hyperlink" Target="FSL_Financial_Model_Revised.xlsx" TargetMode="External"/><Relationship Id="rId9" Type="http://schemas.openxmlformats.org/officeDocument/2006/relationships/hyperlink" Target="FSL_Financial_Model_Revised.xlsx" TargetMode="External"/><Relationship Id="rId10" Type="http://schemas.openxmlformats.org/officeDocument/2006/relationships/hyperlink" Target="FSL_Financial_Model_Revised.xlsx" TargetMode="External"/><Relationship Id="rId11" Type="http://schemas.openxmlformats.org/officeDocument/2006/relationships/hyperlink" Target="FSL_Financial_Model_Revised.xlsx" TargetMode="External"/><Relationship Id="rId12" Type="http://schemas.openxmlformats.org/officeDocument/2006/relationships/hyperlink" Target="FSL_Financial_Model_Revised.xlsx" TargetMode="External"/><Relationship Id="rId13" Type="http://schemas.openxmlformats.org/officeDocument/2006/relationships/hyperlink" Target="FSL_Financial_Model_Revised.xlsx" TargetMode="External"/>
</Relationships>
</file>

<file path=xl/worksheets/_rels/sheet31.xml.rels><?xml version="1.0" encoding="UTF-8"?>
<Relationships xmlns="http://schemas.openxmlformats.org/package/2006/relationships"><Relationship Id="rId1" Type="http://schemas.openxmlformats.org/officeDocument/2006/relationships/hyperlink" Target="FSL_Financial_Model_Revised.xlsx" TargetMode="External"/><Relationship Id="rId2" Type="http://schemas.openxmlformats.org/officeDocument/2006/relationships/hyperlink" Target="FSL_Financial_Model_Revised.xlsx" TargetMode="External"/><Relationship Id="rId3" Type="http://schemas.openxmlformats.org/officeDocument/2006/relationships/hyperlink" Target="FSL_Financial_Model_Revised.xlsx" TargetMode="External"/><Relationship Id="rId4" Type="http://schemas.openxmlformats.org/officeDocument/2006/relationships/hyperlink" Target="FSL_Financial_Model_Revised.xlsx" TargetMode="External"/><Relationship Id="rId5" Type="http://schemas.openxmlformats.org/officeDocument/2006/relationships/hyperlink" Target="FSL_Financial_Model_Revised.xlsx" TargetMode="External"/><Relationship Id="rId6" Type="http://schemas.openxmlformats.org/officeDocument/2006/relationships/hyperlink" Target="FSL_Financial_Model_Revised.xlsx" TargetMode="External"/><Relationship Id="rId7" Type="http://schemas.openxmlformats.org/officeDocument/2006/relationships/hyperlink" Target="FSL_Financial_Model_Revised.xlsx" TargetMode="External"/><Relationship Id="rId8" Type="http://schemas.openxmlformats.org/officeDocument/2006/relationships/hyperlink" Target="FSL_Financial_Model_Revised.xlsx" TargetMode="External"/><Relationship Id="rId9" Type="http://schemas.openxmlformats.org/officeDocument/2006/relationships/hyperlink" Target="FSL_Financial_Model_Revised.xlsx" TargetMode="External"/><Relationship Id="rId10" Type="http://schemas.openxmlformats.org/officeDocument/2006/relationships/hyperlink" Target="FSL_Financial_Model_Revised.xlsx" TargetMode="External"/><Relationship Id="rId11" Type="http://schemas.openxmlformats.org/officeDocument/2006/relationships/hyperlink" Target="FSL_Financial_Model_Revised.xlsx" TargetMode="External"/><Relationship Id="rId12" Type="http://schemas.openxmlformats.org/officeDocument/2006/relationships/hyperlink" Target="FSL_Financial_Model_Revised.xlsx" TargetMode="External"/><Relationship Id="rId13" Type="http://schemas.openxmlformats.org/officeDocument/2006/relationships/hyperlink" Target="FSL_Financial_Model_Revised.xlsx" TargetMode="External"/>
</Relationships>
</file>

<file path=xl/worksheets/_rels/sheet32.xml.rels><?xml version="1.0" encoding="UTF-8"?>
<Relationships xmlns="http://schemas.openxmlformats.org/package/2006/relationships"><Relationship Id="rId1" Type="http://schemas.openxmlformats.org/officeDocument/2006/relationships/hyperlink" Target="FSL_Financial_Model_Revised.xlsx" TargetMode="External"/><Relationship Id="rId2" Type="http://schemas.openxmlformats.org/officeDocument/2006/relationships/hyperlink" Target="FSL_Financial_Model_Revised.xlsx" TargetMode="External"/><Relationship Id="rId3" Type="http://schemas.openxmlformats.org/officeDocument/2006/relationships/hyperlink" Target="FSL_Financial_Model_Revised.xlsx" TargetMode="External"/><Relationship Id="rId4" Type="http://schemas.openxmlformats.org/officeDocument/2006/relationships/hyperlink" Target="FSL_Financial_Model_Revised.xlsx" TargetMode="External"/><Relationship Id="rId5" Type="http://schemas.openxmlformats.org/officeDocument/2006/relationships/hyperlink" Target="FSL_Financial_Model_Revised.xlsx" TargetMode="External"/><Relationship Id="rId6" Type="http://schemas.openxmlformats.org/officeDocument/2006/relationships/hyperlink" Target="FSL_Financial_Model_Revised.xlsx" TargetMode="External"/><Relationship Id="rId7" Type="http://schemas.openxmlformats.org/officeDocument/2006/relationships/hyperlink" Target="FSL_Financial_Model_Revised.xlsx" TargetMode="External"/><Relationship Id="rId8" Type="http://schemas.openxmlformats.org/officeDocument/2006/relationships/hyperlink" Target="FSL_Financial_Model_Revised.xlsx" TargetMode="External"/><Relationship Id="rId9" Type="http://schemas.openxmlformats.org/officeDocument/2006/relationships/hyperlink" Target="FSL_Financial_Model_Revised.xlsx" TargetMode="External"/><Relationship Id="rId10" Type="http://schemas.openxmlformats.org/officeDocument/2006/relationships/hyperlink" Target="FSL_Financial_Model_Revised.xlsx" TargetMode="External"/><Relationship Id="rId11" Type="http://schemas.openxmlformats.org/officeDocument/2006/relationships/hyperlink" Target="FSL_Financial_Model_Revised.xlsx" TargetMode="External"/><Relationship Id="rId12" Type="http://schemas.openxmlformats.org/officeDocument/2006/relationships/hyperlink" Target="FSL_Financial_Model_Revised.xlsx" TargetMode="External"/><Relationship Id="rId13" Type="http://schemas.openxmlformats.org/officeDocument/2006/relationships/hyperlink" Target="FSL_Financial_Model_Revised.xlsx" TargetMode="External"/>
</Relationships>
</file>

<file path=xl/worksheets/_rels/sheet33.xml.rels><?xml version="1.0" encoding="UTF-8"?>
<Relationships xmlns="http://schemas.openxmlformats.org/package/2006/relationships"><Relationship Id="rId1" Type="http://schemas.openxmlformats.org/officeDocument/2006/relationships/hyperlink" Target="FSL_Financial_Model_Revised.xlsx" TargetMode="External"/><Relationship Id="rId2" Type="http://schemas.openxmlformats.org/officeDocument/2006/relationships/hyperlink" Target="FSL_Financial_Model_Revised.xlsx" TargetMode="External"/><Relationship Id="rId3" Type="http://schemas.openxmlformats.org/officeDocument/2006/relationships/hyperlink" Target="FSL_Financial_Model_Revised.xlsx" TargetMode="External"/><Relationship Id="rId4" Type="http://schemas.openxmlformats.org/officeDocument/2006/relationships/hyperlink" Target="FSL_Financial_Model_Revised.xlsx" TargetMode="External"/><Relationship Id="rId5" Type="http://schemas.openxmlformats.org/officeDocument/2006/relationships/hyperlink" Target="FSL_Financial_Model_Revised.xlsx" TargetMode="External"/><Relationship Id="rId6" Type="http://schemas.openxmlformats.org/officeDocument/2006/relationships/hyperlink" Target="FSL_Financial_Model_Revised.xlsx" TargetMode="External"/><Relationship Id="rId7" Type="http://schemas.openxmlformats.org/officeDocument/2006/relationships/hyperlink" Target="FSL_Financial_Model_Revised.xlsx" TargetMode="External"/><Relationship Id="rId8" Type="http://schemas.openxmlformats.org/officeDocument/2006/relationships/hyperlink" Target="FSL_Financial_Model_Revised.xlsx" TargetMode="External"/><Relationship Id="rId9" Type="http://schemas.openxmlformats.org/officeDocument/2006/relationships/hyperlink" Target="FSL_Financial_Model_Revised.xlsx" TargetMode="External"/><Relationship Id="rId10" Type="http://schemas.openxmlformats.org/officeDocument/2006/relationships/hyperlink" Target="FSL_Financial_Model_Revised.xlsx" TargetMode="External"/><Relationship Id="rId11" Type="http://schemas.openxmlformats.org/officeDocument/2006/relationships/hyperlink" Target="FSL_Financial_Model_Revised.xlsx" TargetMode="External"/><Relationship Id="rId12" Type="http://schemas.openxmlformats.org/officeDocument/2006/relationships/hyperlink" Target="FSL_Financial_Model_Revised.xlsx" TargetMode="External"/><Relationship Id="rId13" Type="http://schemas.openxmlformats.org/officeDocument/2006/relationships/hyperlink" Target="FSL_Financial_Model_Revised.xlsx" TargetMode="External"/>
</Relationships>
</file>

<file path=xl/worksheets/_rels/sheet34.xml.rels><?xml version="1.0" encoding="UTF-8"?>
<Relationships xmlns="http://schemas.openxmlformats.org/package/2006/relationships"><Relationship Id="rId1" Type="http://schemas.openxmlformats.org/officeDocument/2006/relationships/hyperlink" Target="FSL_Financial_Model_Revised.xlsx" TargetMode="External"/><Relationship Id="rId2" Type="http://schemas.openxmlformats.org/officeDocument/2006/relationships/hyperlink" Target="FSL_Financial_Model_Revised.xlsx" TargetMode="External"/><Relationship Id="rId3" Type="http://schemas.openxmlformats.org/officeDocument/2006/relationships/hyperlink" Target="FSL_Financial_Model_Revised.xlsx" TargetMode="External"/><Relationship Id="rId4" Type="http://schemas.openxmlformats.org/officeDocument/2006/relationships/hyperlink" Target="FSL_Financial_Model_Revised.xlsx" TargetMode="External"/><Relationship Id="rId5" Type="http://schemas.openxmlformats.org/officeDocument/2006/relationships/hyperlink" Target="FSL_Financial_Model_Revised.xlsx" TargetMode="External"/><Relationship Id="rId6" Type="http://schemas.openxmlformats.org/officeDocument/2006/relationships/hyperlink" Target="FSL_Financial_Model_Revised.xlsx" TargetMode="External"/><Relationship Id="rId7" Type="http://schemas.openxmlformats.org/officeDocument/2006/relationships/hyperlink" Target="FSL_Financial_Model_Revised.xlsx" TargetMode="External"/><Relationship Id="rId8" Type="http://schemas.openxmlformats.org/officeDocument/2006/relationships/hyperlink" Target="FSL_Financial_Model_Revised.xlsx" TargetMode="External"/><Relationship Id="rId9" Type="http://schemas.openxmlformats.org/officeDocument/2006/relationships/hyperlink" Target="FSL_Financial_Model_Revised.xlsx" TargetMode="External"/><Relationship Id="rId10" Type="http://schemas.openxmlformats.org/officeDocument/2006/relationships/hyperlink" Target="FSL_Financial_Model_Revised.xlsx" TargetMode="External"/><Relationship Id="rId11" Type="http://schemas.openxmlformats.org/officeDocument/2006/relationships/hyperlink" Target="FSL_Financial_Model_Revised.xlsx" TargetMode="External"/><Relationship Id="rId12" Type="http://schemas.openxmlformats.org/officeDocument/2006/relationships/hyperlink" Target="FSL_Financial_Model_Revised.xlsx" TargetMode="External"/><Relationship Id="rId13" Type="http://schemas.openxmlformats.org/officeDocument/2006/relationships/hyperlink" Target="FSL_Financial_Model_Revised.xlsx" TargetMode="External"/>
</Relationships>
</file>

<file path=xl/worksheets/_rels/sheet35.xml.rels><?xml version="1.0" encoding="UTF-8"?>
<Relationships xmlns="http://schemas.openxmlformats.org/package/2006/relationships"><Relationship Id="rId1" Type="http://schemas.openxmlformats.org/officeDocument/2006/relationships/hyperlink" Target="FSL_Financial_Model_Revised.xlsx" TargetMode="External"/><Relationship Id="rId2" Type="http://schemas.openxmlformats.org/officeDocument/2006/relationships/hyperlink" Target="FSL_Financial_Model_Revised.xlsx" TargetMode="External"/><Relationship Id="rId3" Type="http://schemas.openxmlformats.org/officeDocument/2006/relationships/hyperlink" Target="FSL_Financial_Model_Revised.xlsx" TargetMode="External"/><Relationship Id="rId4" Type="http://schemas.openxmlformats.org/officeDocument/2006/relationships/hyperlink" Target="FSL_Financial_Model_Revised.xlsx" TargetMode="External"/><Relationship Id="rId5" Type="http://schemas.openxmlformats.org/officeDocument/2006/relationships/hyperlink" Target="FSL_Financial_Model_Revised.xlsx" TargetMode="External"/><Relationship Id="rId6" Type="http://schemas.openxmlformats.org/officeDocument/2006/relationships/hyperlink" Target="FSL_Financial_Model_Revised.xlsx" TargetMode="External"/><Relationship Id="rId7" Type="http://schemas.openxmlformats.org/officeDocument/2006/relationships/hyperlink" Target="FSL_Financial_Model_Revised.xlsx" TargetMode="External"/><Relationship Id="rId8" Type="http://schemas.openxmlformats.org/officeDocument/2006/relationships/hyperlink" Target="FSL_Financial_Model_Revised.xlsx" TargetMode="External"/><Relationship Id="rId9" Type="http://schemas.openxmlformats.org/officeDocument/2006/relationships/hyperlink" Target="FSL_Financial_Model_Revised.xlsx" TargetMode="External"/><Relationship Id="rId10" Type="http://schemas.openxmlformats.org/officeDocument/2006/relationships/hyperlink" Target="FSL_Financial_Model_Revised.xlsx" TargetMode="External"/><Relationship Id="rId11" Type="http://schemas.openxmlformats.org/officeDocument/2006/relationships/hyperlink" Target="FSL_Financial_Model_Revised.xlsx" TargetMode="External"/><Relationship Id="rId12" Type="http://schemas.openxmlformats.org/officeDocument/2006/relationships/hyperlink" Target="FSL_Financial_Model_Revised.xlsx" TargetMode="External"/><Relationship Id="rId13" Type="http://schemas.openxmlformats.org/officeDocument/2006/relationships/hyperlink" Target="FSL_Financial_Model_Revised.xlsx" TargetMode="External"/>
</Relationships>
</file>

<file path=xl/worksheets/_rels/sheet36.xml.rels><?xml version="1.0" encoding="UTF-8"?>
<Relationships xmlns="http://schemas.openxmlformats.org/package/2006/relationships"><Relationship Id="rId1" Type="http://schemas.openxmlformats.org/officeDocument/2006/relationships/hyperlink" Target="FSL_Financial_Model_Revised.xlsx" TargetMode="External"/><Relationship Id="rId2" Type="http://schemas.openxmlformats.org/officeDocument/2006/relationships/hyperlink" Target="FSL_Financial_Model_Revised.xlsx" TargetMode="External"/><Relationship Id="rId3" Type="http://schemas.openxmlformats.org/officeDocument/2006/relationships/hyperlink" Target="FSL_Financial_Model_Revised.xlsx" TargetMode="External"/><Relationship Id="rId4" Type="http://schemas.openxmlformats.org/officeDocument/2006/relationships/hyperlink" Target="FSL_Financial_Model_Revised.xlsx" TargetMode="External"/><Relationship Id="rId5" Type="http://schemas.openxmlformats.org/officeDocument/2006/relationships/hyperlink" Target="FSL_Financial_Model_Revised.xlsx" TargetMode="External"/><Relationship Id="rId6" Type="http://schemas.openxmlformats.org/officeDocument/2006/relationships/hyperlink" Target="FSL_Financial_Model_Revised.xlsx" TargetMode="External"/><Relationship Id="rId7" Type="http://schemas.openxmlformats.org/officeDocument/2006/relationships/hyperlink" Target="FSL_Financial_Model_Revised.xlsx" TargetMode="External"/><Relationship Id="rId8" Type="http://schemas.openxmlformats.org/officeDocument/2006/relationships/hyperlink" Target="FSL_Financial_Model_Revised.xlsx" TargetMode="External"/><Relationship Id="rId9" Type="http://schemas.openxmlformats.org/officeDocument/2006/relationships/hyperlink" Target="FSL_Financial_Model_Revised.xlsx" TargetMode="External"/><Relationship Id="rId10" Type="http://schemas.openxmlformats.org/officeDocument/2006/relationships/hyperlink" Target="FSL_Financial_Model_Revised.xlsx" TargetMode="External"/><Relationship Id="rId11" Type="http://schemas.openxmlformats.org/officeDocument/2006/relationships/hyperlink" Target="FSL_Financial_Model_Revised.xlsx" TargetMode="External"/><Relationship Id="rId12" Type="http://schemas.openxmlformats.org/officeDocument/2006/relationships/hyperlink" Target="FSL_Financial_Model_Revised.xlsx" TargetMode="External"/><Relationship Id="rId13" Type="http://schemas.openxmlformats.org/officeDocument/2006/relationships/hyperlink" Target="FSL_Financial_Model_Revised.xlsx" TargetMode="External"/>
</Relationships>
</file>

<file path=xl/worksheets/_rels/sheet37.xml.rels><?xml version="1.0" encoding="UTF-8"?>
<Relationships xmlns="http://schemas.openxmlformats.org/package/2006/relationships"><Relationship Id="rId1" Type="http://schemas.openxmlformats.org/officeDocument/2006/relationships/hyperlink" Target="FSL_Financial_Model_Revised.xlsx" TargetMode="External"/><Relationship Id="rId2" Type="http://schemas.openxmlformats.org/officeDocument/2006/relationships/hyperlink" Target="FSL_Financial_Model_Revised.xlsx" TargetMode="External"/><Relationship Id="rId3" Type="http://schemas.openxmlformats.org/officeDocument/2006/relationships/hyperlink" Target="FSL_Financial_Model_Revised.xlsx" TargetMode="External"/><Relationship Id="rId4" Type="http://schemas.openxmlformats.org/officeDocument/2006/relationships/hyperlink" Target="FSL_Financial_Model_Revised.xlsx" TargetMode="External"/><Relationship Id="rId5" Type="http://schemas.openxmlformats.org/officeDocument/2006/relationships/hyperlink" Target="FSL_Financial_Model_Revised.xlsx" TargetMode="External"/><Relationship Id="rId6" Type="http://schemas.openxmlformats.org/officeDocument/2006/relationships/hyperlink" Target="FSL_Financial_Model_Revised.xlsx" TargetMode="External"/><Relationship Id="rId7" Type="http://schemas.openxmlformats.org/officeDocument/2006/relationships/hyperlink" Target="FSL_Financial_Model_Revised.xlsx" TargetMode="External"/><Relationship Id="rId8" Type="http://schemas.openxmlformats.org/officeDocument/2006/relationships/hyperlink" Target="FSL_Financial_Model_Revised.xlsx" TargetMode="External"/><Relationship Id="rId9" Type="http://schemas.openxmlformats.org/officeDocument/2006/relationships/hyperlink" Target="FSL_Financial_Model_Revised.xlsx" TargetMode="External"/><Relationship Id="rId10" Type="http://schemas.openxmlformats.org/officeDocument/2006/relationships/hyperlink" Target="FSL_Financial_Model_Revised.xlsx" TargetMode="External"/><Relationship Id="rId11" Type="http://schemas.openxmlformats.org/officeDocument/2006/relationships/hyperlink" Target="FSL_Financial_Model_Revised.xlsx" TargetMode="External"/><Relationship Id="rId12" Type="http://schemas.openxmlformats.org/officeDocument/2006/relationships/hyperlink" Target="FSL_Financial_Model_Revised.xlsx" TargetMode="External"/><Relationship Id="rId13" Type="http://schemas.openxmlformats.org/officeDocument/2006/relationships/hyperlink" Target="FSL_Financial_Model_Revised.xlsx" TargetMode="External"/>
</Relationships>
</file>

<file path=xl/worksheets/_rels/sheet38.xml.rels><?xml version="1.0" encoding="UTF-8"?>
<Relationships xmlns="http://schemas.openxmlformats.org/package/2006/relationships"><Relationship Id="rId1" Type="http://schemas.openxmlformats.org/officeDocument/2006/relationships/hyperlink" Target="FSL_Financial_Model_Revised.xlsx" TargetMode="External"/><Relationship Id="rId2" Type="http://schemas.openxmlformats.org/officeDocument/2006/relationships/hyperlink" Target="FSL_Financial_Model_Revised.xlsx" TargetMode="External"/><Relationship Id="rId3" Type="http://schemas.openxmlformats.org/officeDocument/2006/relationships/hyperlink" Target="FSL_Financial_Model_Revised.xlsx" TargetMode="External"/><Relationship Id="rId4" Type="http://schemas.openxmlformats.org/officeDocument/2006/relationships/hyperlink" Target="FSL_Financial_Model_Revised.xlsx" TargetMode="External"/><Relationship Id="rId5" Type="http://schemas.openxmlformats.org/officeDocument/2006/relationships/hyperlink" Target="FSL_Financial_Model_Revised.xlsx" TargetMode="External"/><Relationship Id="rId6" Type="http://schemas.openxmlformats.org/officeDocument/2006/relationships/hyperlink" Target="FSL_Financial_Model_Revised.xlsx" TargetMode="External"/><Relationship Id="rId7" Type="http://schemas.openxmlformats.org/officeDocument/2006/relationships/hyperlink" Target="FSL_Financial_Model_Revised.xlsx" TargetMode="External"/><Relationship Id="rId8" Type="http://schemas.openxmlformats.org/officeDocument/2006/relationships/hyperlink" Target="FSL_Financial_Model_Revised.xlsx" TargetMode="External"/><Relationship Id="rId9" Type="http://schemas.openxmlformats.org/officeDocument/2006/relationships/hyperlink" Target="FSL_Financial_Model_Revised.xlsx" TargetMode="External"/><Relationship Id="rId10" Type="http://schemas.openxmlformats.org/officeDocument/2006/relationships/hyperlink" Target="FSL_Financial_Model_Revised.xlsx" TargetMode="External"/><Relationship Id="rId11" Type="http://schemas.openxmlformats.org/officeDocument/2006/relationships/hyperlink" Target="FSL_Financial_Model_Revised.xlsx" TargetMode="External"/><Relationship Id="rId12" Type="http://schemas.openxmlformats.org/officeDocument/2006/relationships/hyperlink" Target="FSL_Financial_Model_Revised.xlsx" TargetMode="External"/><Relationship Id="rId13" Type="http://schemas.openxmlformats.org/officeDocument/2006/relationships/hyperlink" Target="FSL_Financial_Model_Revised.xlsx" TargetMode="External"/>
</Relationships>
</file>

<file path=xl/worksheets/_rels/sheet39.xml.rels><?xml version="1.0" encoding="UTF-8"?>
<Relationships xmlns="http://schemas.openxmlformats.org/package/2006/relationships"><Relationship Id="rId1" Type="http://schemas.openxmlformats.org/officeDocument/2006/relationships/hyperlink" Target="FSL_Financial_Model_Revised.xlsx" TargetMode="External"/><Relationship Id="rId2" Type="http://schemas.openxmlformats.org/officeDocument/2006/relationships/hyperlink" Target="FSL_Financial_Model_Revised.xlsx" TargetMode="External"/><Relationship Id="rId3" Type="http://schemas.openxmlformats.org/officeDocument/2006/relationships/hyperlink" Target="FSL_Financial_Model_Revised.xlsx" TargetMode="External"/><Relationship Id="rId4" Type="http://schemas.openxmlformats.org/officeDocument/2006/relationships/hyperlink" Target="FSL_Financial_Model_Revised.xlsx" TargetMode="External"/><Relationship Id="rId5" Type="http://schemas.openxmlformats.org/officeDocument/2006/relationships/hyperlink" Target="FSL_Financial_Model_Revised.xlsx" TargetMode="External"/><Relationship Id="rId6" Type="http://schemas.openxmlformats.org/officeDocument/2006/relationships/hyperlink" Target="FSL_Financial_Model_Revised.xlsx" TargetMode="External"/><Relationship Id="rId7" Type="http://schemas.openxmlformats.org/officeDocument/2006/relationships/hyperlink" Target="FSL_Financial_Model_Revised.xlsx" TargetMode="External"/><Relationship Id="rId8" Type="http://schemas.openxmlformats.org/officeDocument/2006/relationships/hyperlink" Target="FSL_Financial_Model_Revised.xlsx" TargetMode="External"/><Relationship Id="rId9" Type="http://schemas.openxmlformats.org/officeDocument/2006/relationships/hyperlink" Target="FSL_Financial_Model_Revised.xlsx" TargetMode="External"/><Relationship Id="rId10" Type="http://schemas.openxmlformats.org/officeDocument/2006/relationships/hyperlink" Target="FSL_Financial_Model_Revised.xlsx" TargetMode="External"/><Relationship Id="rId11" Type="http://schemas.openxmlformats.org/officeDocument/2006/relationships/hyperlink" Target="FSL_Financial_Model_Revised.xlsx" TargetMode="External"/><Relationship Id="rId12" Type="http://schemas.openxmlformats.org/officeDocument/2006/relationships/hyperlink" Target="FSL_Financial_Model_Revised.xlsx" TargetMode="External"/><Relationship Id="rId13" Type="http://schemas.openxmlformats.org/officeDocument/2006/relationships/hyperlink" Target="FSL_Financial_Model_Revised.xlsx" TargetMode="External"/>
</Relationships>
</file>

<file path=xl/worksheets/_rels/sheet40.xml.rels><?xml version="1.0" encoding="UTF-8"?>
<Relationships xmlns="http://schemas.openxmlformats.org/package/2006/relationships"><Relationship Id="rId1" Type="http://schemas.openxmlformats.org/officeDocument/2006/relationships/hyperlink" Target="FSL_Financial_Model_Revised.xlsx" TargetMode="External"/><Relationship Id="rId2" Type="http://schemas.openxmlformats.org/officeDocument/2006/relationships/hyperlink" Target="FSL_Financial_Model_Revised.xlsx" TargetMode="External"/><Relationship Id="rId3" Type="http://schemas.openxmlformats.org/officeDocument/2006/relationships/hyperlink" Target="FSL_Financial_Model_Revised.xlsx" TargetMode="External"/><Relationship Id="rId4" Type="http://schemas.openxmlformats.org/officeDocument/2006/relationships/hyperlink" Target="FSL_Financial_Model_Revised.xlsx" TargetMode="External"/><Relationship Id="rId5" Type="http://schemas.openxmlformats.org/officeDocument/2006/relationships/hyperlink" Target="FSL_Financial_Model_Revised.xlsx" TargetMode="External"/><Relationship Id="rId6" Type="http://schemas.openxmlformats.org/officeDocument/2006/relationships/hyperlink" Target="FSL_Financial_Model_Revised.xlsx" TargetMode="External"/><Relationship Id="rId7" Type="http://schemas.openxmlformats.org/officeDocument/2006/relationships/hyperlink" Target="FSL_Financial_Model_Revised.xlsx" TargetMode="External"/><Relationship Id="rId8" Type="http://schemas.openxmlformats.org/officeDocument/2006/relationships/hyperlink" Target="FSL_Financial_Model_Revised.xlsx" TargetMode="External"/><Relationship Id="rId9" Type="http://schemas.openxmlformats.org/officeDocument/2006/relationships/hyperlink" Target="FSL_Financial_Model_Revised.xlsx" TargetMode="External"/><Relationship Id="rId10" Type="http://schemas.openxmlformats.org/officeDocument/2006/relationships/hyperlink" Target="FSL_Financial_Model_Revised.xlsx" TargetMode="External"/><Relationship Id="rId11" Type="http://schemas.openxmlformats.org/officeDocument/2006/relationships/hyperlink" Target="FSL_Financial_Model_Revised.xlsx" TargetMode="External"/><Relationship Id="rId12" Type="http://schemas.openxmlformats.org/officeDocument/2006/relationships/hyperlink" Target="FSL_Financial_Model_Revised.xlsx" TargetMode="External"/><Relationship Id="rId13" Type="http://schemas.openxmlformats.org/officeDocument/2006/relationships/hyperlink" Target="FSL_Financial_Model_Revised.xlsx" TargetMode="External"/>
</Relationships>
</file>

<file path=xl/worksheets/_rels/sheet41.xml.rels><?xml version="1.0" encoding="UTF-8"?>
<Relationships xmlns="http://schemas.openxmlformats.org/package/2006/relationships"><Relationship Id="rId1" Type="http://schemas.openxmlformats.org/officeDocument/2006/relationships/hyperlink" Target="FSL_Financial_Model_Revised.xlsx" TargetMode="External"/><Relationship Id="rId2" Type="http://schemas.openxmlformats.org/officeDocument/2006/relationships/hyperlink" Target="FSL_Financial_Model_Revised.xlsx" TargetMode="External"/><Relationship Id="rId3" Type="http://schemas.openxmlformats.org/officeDocument/2006/relationships/hyperlink" Target="FSL_Financial_Model_Revised.xlsx" TargetMode="External"/><Relationship Id="rId4" Type="http://schemas.openxmlformats.org/officeDocument/2006/relationships/hyperlink" Target="FSL_Financial_Model_Revised.xlsx" TargetMode="External"/><Relationship Id="rId5" Type="http://schemas.openxmlformats.org/officeDocument/2006/relationships/hyperlink" Target="FSL_Financial_Model_Revised.xlsx" TargetMode="External"/><Relationship Id="rId6" Type="http://schemas.openxmlformats.org/officeDocument/2006/relationships/hyperlink" Target="FSL_Financial_Model_Revised.xlsx" TargetMode="External"/><Relationship Id="rId7" Type="http://schemas.openxmlformats.org/officeDocument/2006/relationships/hyperlink" Target="FSL_Financial_Model_Revised.xlsx" TargetMode="External"/><Relationship Id="rId8" Type="http://schemas.openxmlformats.org/officeDocument/2006/relationships/hyperlink" Target="FSL_Financial_Model_Revised.xlsx" TargetMode="External"/><Relationship Id="rId9" Type="http://schemas.openxmlformats.org/officeDocument/2006/relationships/hyperlink" Target="FSL_Financial_Model_Revised.xlsx" TargetMode="External"/><Relationship Id="rId10" Type="http://schemas.openxmlformats.org/officeDocument/2006/relationships/hyperlink" Target="FSL_Financial_Model_Revised.xlsx" TargetMode="External"/><Relationship Id="rId11" Type="http://schemas.openxmlformats.org/officeDocument/2006/relationships/hyperlink" Target="FSL_Financial_Model_Revised.xlsx" TargetMode="External"/><Relationship Id="rId12" Type="http://schemas.openxmlformats.org/officeDocument/2006/relationships/hyperlink" Target="FSL_Financial_Model_Revised.xlsx" TargetMode="External"/><Relationship Id="rId13" Type="http://schemas.openxmlformats.org/officeDocument/2006/relationships/hyperlink" Target="FSL_Financial_Model_Revised.xlsx" TargetMode="External"/>
</Relationships>
</file>

<file path=xl/worksheets/_rels/sheet42.xml.rels><?xml version="1.0" encoding="UTF-8"?>
<Relationships xmlns="http://schemas.openxmlformats.org/package/2006/relationships"><Relationship Id="rId1" Type="http://schemas.openxmlformats.org/officeDocument/2006/relationships/hyperlink" Target="FSL_Financial_Model_Revised.xlsx" TargetMode="External"/><Relationship Id="rId2" Type="http://schemas.openxmlformats.org/officeDocument/2006/relationships/hyperlink" Target="FSL_Financial_Model_Revised.xlsx" TargetMode="External"/><Relationship Id="rId3" Type="http://schemas.openxmlformats.org/officeDocument/2006/relationships/hyperlink" Target="FSL_Financial_Model_Revised.xlsx" TargetMode="External"/><Relationship Id="rId4" Type="http://schemas.openxmlformats.org/officeDocument/2006/relationships/hyperlink" Target="FSL_Financial_Model_Revised.xlsx" TargetMode="External"/><Relationship Id="rId5" Type="http://schemas.openxmlformats.org/officeDocument/2006/relationships/hyperlink" Target="FSL_Financial_Model_Revised.xlsx" TargetMode="External"/><Relationship Id="rId6" Type="http://schemas.openxmlformats.org/officeDocument/2006/relationships/hyperlink" Target="FSL_Financial_Model_Revised.xlsx" TargetMode="External"/><Relationship Id="rId7" Type="http://schemas.openxmlformats.org/officeDocument/2006/relationships/hyperlink" Target="FSL_Financial_Model_Revised.xlsx" TargetMode="External"/><Relationship Id="rId8" Type="http://schemas.openxmlformats.org/officeDocument/2006/relationships/hyperlink" Target="FSL_Financial_Model_Revised.xlsx" TargetMode="External"/><Relationship Id="rId9" Type="http://schemas.openxmlformats.org/officeDocument/2006/relationships/hyperlink" Target="FSL_Financial_Model_Revised.xlsx" TargetMode="External"/><Relationship Id="rId10" Type="http://schemas.openxmlformats.org/officeDocument/2006/relationships/hyperlink" Target="FSL_Financial_Model_Revised.xlsx" TargetMode="External"/><Relationship Id="rId11" Type="http://schemas.openxmlformats.org/officeDocument/2006/relationships/hyperlink" Target="FSL_Financial_Model_Revised.xlsx" TargetMode="External"/><Relationship Id="rId12" Type="http://schemas.openxmlformats.org/officeDocument/2006/relationships/hyperlink" Target="FSL_Financial_Model_Revised.xlsx" TargetMode="External"/><Relationship Id="rId13" Type="http://schemas.openxmlformats.org/officeDocument/2006/relationships/hyperlink" Target="FSL_Financial_Model_Revised.xlsx" TargetMode="External"/>
</Relationships>
</file>

<file path=xl/worksheets/_rels/sheet43.xml.rels><?xml version="1.0" encoding="UTF-8"?>
<Relationships xmlns="http://schemas.openxmlformats.org/package/2006/relationships"><Relationship Id="rId1" Type="http://schemas.openxmlformats.org/officeDocument/2006/relationships/hyperlink" Target="FSL_Financial_Model_Revised.xlsx" TargetMode="External"/><Relationship Id="rId2" Type="http://schemas.openxmlformats.org/officeDocument/2006/relationships/hyperlink" Target="FSL_Financial_Model_Revised.xlsx" TargetMode="External"/><Relationship Id="rId3" Type="http://schemas.openxmlformats.org/officeDocument/2006/relationships/hyperlink" Target="FSL_Financial_Model_Revised.xlsx" TargetMode="External"/><Relationship Id="rId4" Type="http://schemas.openxmlformats.org/officeDocument/2006/relationships/hyperlink" Target="FSL_Financial_Model_Revised.xlsx" TargetMode="External"/><Relationship Id="rId5" Type="http://schemas.openxmlformats.org/officeDocument/2006/relationships/hyperlink" Target="FSL_Financial_Model_Revised.xlsx" TargetMode="External"/><Relationship Id="rId6" Type="http://schemas.openxmlformats.org/officeDocument/2006/relationships/hyperlink" Target="FSL_Financial_Model_Revised.xlsx" TargetMode="External"/><Relationship Id="rId7" Type="http://schemas.openxmlformats.org/officeDocument/2006/relationships/hyperlink" Target="FSL_Financial_Model_Revised.xlsx" TargetMode="External"/><Relationship Id="rId8" Type="http://schemas.openxmlformats.org/officeDocument/2006/relationships/hyperlink" Target="FSL_Financial_Model_Revised.xlsx" TargetMode="External"/><Relationship Id="rId9" Type="http://schemas.openxmlformats.org/officeDocument/2006/relationships/hyperlink" Target="FSL_Financial_Model_Revised.xlsx" TargetMode="External"/><Relationship Id="rId10" Type="http://schemas.openxmlformats.org/officeDocument/2006/relationships/hyperlink" Target="FSL_Financial_Model_Revised.xlsx" TargetMode="External"/><Relationship Id="rId11" Type="http://schemas.openxmlformats.org/officeDocument/2006/relationships/hyperlink" Target="FSL_Financial_Model_Revised.xlsx" TargetMode="External"/><Relationship Id="rId12" Type="http://schemas.openxmlformats.org/officeDocument/2006/relationships/hyperlink" Target="FSL_Financial_Model_Revised.xlsx" TargetMode="External"/><Relationship Id="rId13" Type="http://schemas.openxmlformats.org/officeDocument/2006/relationships/hyperlink" Target="FSL_Financial_Model_Revised.xlsx" TargetMode="External"/>
</Relationships>
</file>

<file path=xl/worksheets/_rels/sheet44.xml.rels><?xml version="1.0" encoding="UTF-8"?>
<Relationships xmlns="http://schemas.openxmlformats.org/package/2006/relationships"><Relationship Id="rId1" Type="http://schemas.openxmlformats.org/officeDocument/2006/relationships/hyperlink" Target="FSL_Financial_Model_Revised.xlsx" TargetMode="External"/><Relationship Id="rId2" Type="http://schemas.openxmlformats.org/officeDocument/2006/relationships/hyperlink" Target="FSL_Financial_Model_Revised.xlsx" TargetMode="External"/><Relationship Id="rId3" Type="http://schemas.openxmlformats.org/officeDocument/2006/relationships/hyperlink" Target="FSL_Financial_Model_Revised.xlsx" TargetMode="External"/><Relationship Id="rId4" Type="http://schemas.openxmlformats.org/officeDocument/2006/relationships/hyperlink" Target="FSL_Financial_Model_Revised.xlsx" TargetMode="External"/><Relationship Id="rId5" Type="http://schemas.openxmlformats.org/officeDocument/2006/relationships/hyperlink" Target="FSL_Financial_Model_Revised.xlsx" TargetMode="External"/><Relationship Id="rId6" Type="http://schemas.openxmlformats.org/officeDocument/2006/relationships/hyperlink" Target="FSL_Financial_Model_Revised.xlsx" TargetMode="External"/><Relationship Id="rId7" Type="http://schemas.openxmlformats.org/officeDocument/2006/relationships/hyperlink" Target="FSL_Financial_Model_Revised.xlsx" TargetMode="External"/><Relationship Id="rId8" Type="http://schemas.openxmlformats.org/officeDocument/2006/relationships/hyperlink" Target="FSL_Financial_Model_Revised.xlsx" TargetMode="External"/><Relationship Id="rId9" Type="http://schemas.openxmlformats.org/officeDocument/2006/relationships/hyperlink" Target="FSL_Financial_Model_Revised.xlsx" TargetMode="External"/><Relationship Id="rId10" Type="http://schemas.openxmlformats.org/officeDocument/2006/relationships/hyperlink" Target="FSL_Financial_Model_Revised.xlsx" TargetMode="External"/><Relationship Id="rId11" Type="http://schemas.openxmlformats.org/officeDocument/2006/relationships/hyperlink" Target="FSL_Financial_Model_Revised.xlsx" TargetMode="External"/><Relationship Id="rId12" Type="http://schemas.openxmlformats.org/officeDocument/2006/relationships/hyperlink" Target="FSL_Financial_Model_Revised.xlsx" TargetMode="External"/><Relationship Id="rId13" Type="http://schemas.openxmlformats.org/officeDocument/2006/relationships/hyperlink" Target="FSL_Financial_Model_Revised.xlsx" TargetMode="External"/>
</Relationships>
</file>

<file path=xl/worksheets/_rels/sheet45.xml.rels><?xml version="1.0" encoding="UTF-8"?>
<Relationships xmlns="http://schemas.openxmlformats.org/package/2006/relationships"><Relationship Id="rId1" Type="http://schemas.openxmlformats.org/officeDocument/2006/relationships/hyperlink" Target="FSL_Financial_Model_Revised.xlsx" TargetMode="External"/><Relationship Id="rId2" Type="http://schemas.openxmlformats.org/officeDocument/2006/relationships/hyperlink" Target="FSL_Financial_Model_Revised.xlsx" TargetMode="External"/><Relationship Id="rId3" Type="http://schemas.openxmlformats.org/officeDocument/2006/relationships/hyperlink" Target="FSL_Financial_Model_Revised.xlsx" TargetMode="External"/><Relationship Id="rId4" Type="http://schemas.openxmlformats.org/officeDocument/2006/relationships/hyperlink" Target="FSL_Financial_Model_Revised.xlsx" TargetMode="External"/><Relationship Id="rId5" Type="http://schemas.openxmlformats.org/officeDocument/2006/relationships/hyperlink" Target="FSL_Financial_Model_Revised.xlsx" TargetMode="External"/><Relationship Id="rId6" Type="http://schemas.openxmlformats.org/officeDocument/2006/relationships/hyperlink" Target="FSL_Financial_Model_Revised.xlsx" TargetMode="External"/><Relationship Id="rId7" Type="http://schemas.openxmlformats.org/officeDocument/2006/relationships/hyperlink" Target="FSL_Financial_Model_Revised.xlsx" TargetMode="External"/><Relationship Id="rId8" Type="http://schemas.openxmlformats.org/officeDocument/2006/relationships/hyperlink" Target="FSL_Financial_Model_Revised.xlsx" TargetMode="External"/><Relationship Id="rId9" Type="http://schemas.openxmlformats.org/officeDocument/2006/relationships/hyperlink" Target="FSL_Financial_Model_Revised.xlsx" TargetMode="External"/><Relationship Id="rId10" Type="http://schemas.openxmlformats.org/officeDocument/2006/relationships/hyperlink" Target="FSL_Financial_Model_Revised.xlsx" TargetMode="External"/><Relationship Id="rId11" Type="http://schemas.openxmlformats.org/officeDocument/2006/relationships/hyperlink" Target="FSL_Financial_Model_Revised.xlsx" TargetMode="External"/><Relationship Id="rId12" Type="http://schemas.openxmlformats.org/officeDocument/2006/relationships/hyperlink" Target="FSL_Financial_Model_Revised.xlsx" TargetMode="External"/><Relationship Id="rId13" Type="http://schemas.openxmlformats.org/officeDocument/2006/relationships/hyperlink" Target="FSL_Financial_Model_Revised.xlsx" TargetMode="External"/>
</Relationships>
</file>

<file path=xl/worksheets/_rels/sheet46.xml.rels><?xml version="1.0" encoding="UTF-8"?>
<Relationships xmlns="http://schemas.openxmlformats.org/package/2006/relationships"><Relationship Id="rId1" Type="http://schemas.openxmlformats.org/officeDocument/2006/relationships/hyperlink" Target="FSL_Financial_Model_Revised.xlsx" TargetMode="External"/><Relationship Id="rId2" Type="http://schemas.openxmlformats.org/officeDocument/2006/relationships/hyperlink" Target="FSL_Financial_Model_Revised.xlsx" TargetMode="External"/><Relationship Id="rId3" Type="http://schemas.openxmlformats.org/officeDocument/2006/relationships/hyperlink" Target="FSL_Financial_Model_Revised.xlsx" TargetMode="External"/><Relationship Id="rId4" Type="http://schemas.openxmlformats.org/officeDocument/2006/relationships/hyperlink" Target="FSL_Financial_Model_Revised.xlsx" TargetMode="External"/><Relationship Id="rId5" Type="http://schemas.openxmlformats.org/officeDocument/2006/relationships/hyperlink" Target="FSL_Financial_Model_Revised.xlsx" TargetMode="External"/><Relationship Id="rId6" Type="http://schemas.openxmlformats.org/officeDocument/2006/relationships/hyperlink" Target="FSL_Financial_Model_Revised.xlsx" TargetMode="External"/><Relationship Id="rId7" Type="http://schemas.openxmlformats.org/officeDocument/2006/relationships/hyperlink" Target="FSL_Financial_Model_Revised.xlsx" TargetMode="External"/><Relationship Id="rId8" Type="http://schemas.openxmlformats.org/officeDocument/2006/relationships/hyperlink" Target="FSL_Financial_Model_Revised.xlsx" TargetMode="External"/><Relationship Id="rId9" Type="http://schemas.openxmlformats.org/officeDocument/2006/relationships/hyperlink" Target="FSL_Financial_Model_Revised.xlsx" TargetMode="External"/><Relationship Id="rId10" Type="http://schemas.openxmlformats.org/officeDocument/2006/relationships/hyperlink" Target="FSL_Financial_Model_Revised.xlsx" TargetMode="External"/><Relationship Id="rId11" Type="http://schemas.openxmlformats.org/officeDocument/2006/relationships/hyperlink" Target="FSL_Financial_Model_Revised.xlsx" TargetMode="External"/><Relationship Id="rId12" Type="http://schemas.openxmlformats.org/officeDocument/2006/relationships/hyperlink" Target="FSL_Financial_Model_Revised.xlsx" TargetMode="External"/><Relationship Id="rId13" Type="http://schemas.openxmlformats.org/officeDocument/2006/relationships/hyperlink" Target="FSL_Financial_Model_Revised.xlsx" TargetMode="External"/>
</Relationships>
</file>

<file path=xl/worksheets/_rels/sheet47.xml.rels><?xml version="1.0" encoding="UTF-8"?>
<Relationships xmlns="http://schemas.openxmlformats.org/package/2006/relationships"><Relationship Id="rId1" Type="http://schemas.openxmlformats.org/officeDocument/2006/relationships/hyperlink" Target="FSL_Financial_Model_Revised.xlsx" TargetMode="External"/><Relationship Id="rId2" Type="http://schemas.openxmlformats.org/officeDocument/2006/relationships/hyperlink" Target="FSL_Financial_Model_Revised.xlsx" TargetMode="External"/><Relationship Id="rId3" Type="http://schemas.openxmlformats.org/officeDocument/2006/relationships/hyperlink" Target="FSL_Financial_Model_Revised.xlsx" TargetMode="External"/><Relationship Id="rId4" Type="http://schemas.openxmlformats.org/officeDocument/2006/relationships/hyperlink" Target="FSL_Financial_Model_Revised.xlsx" TargetMode="External"/><Relationship Id="rId5" Type="http://schemas.openxmlformats.org/officeDocument/2006/relationships/hyperlink" Target="FSL_Financial_Model_Revised.xlsx" TargetMode="External"/><Relationship Id="rId6" Type="http://schemas.openxmlformats.org/officeDocument/2006/relationships/hyperlink" Target="FSL_Financial_Model_Revised.xlsx" TargetMode="External"/><Relationship Id="rId7" Type="http://schemas.openxmlformats.org/officeDocument/2006/relationships/hyperlink" Target="FSL_Financial_Model_Revised.xlsx" TargetMode="External"/><Relationship Id="rId8" Type="http://schemas.openxmlformats.org/officeDocument/2006/relationships/hyperlink" Target="FSL_Financial_Model_Revised.xlsx" TargetMode="External"/><Relationship Id="rId9" Type="http://schemas.openxmlformats.org/officeDocument/2006/relationships/hyperlink" Target="FSL_Financial_Model_Revised.xlsx" TargetMode="External"/><Relationship Id="rId10" Type="http://schemas.openxmlformats.org/officeDocument/2006/relationships/hyperlink" Target="FSL_Financial_Model_Revised.xlsx" TargetMode="External"/><Relationship Id="rId11" Type="http://schemas.openxmlformats.org/officeDocument/2006/relationships/hyperlink" Target="FSL_Financial_Model_Revised.xlsx" TargetMode="External"/><Relationship Id="rId12" Type="http://schemas.openxmlformats.org/officeDocument/2006/relationships/hyperlink" Target="FSL_Financial_Model_Revised.xlsx" TargetMode="External"/><Relationship Id="rId13" Type="http://schemas.openxmlformats.org/officeDocument/2006/relationships/hyperlink" Target="FSL_Financial_Model_Revised.xlsx" TargetMode="External"/>
</Relationships>
</file>

<file path=xl/worksheets/_rels/sheet48.xml.rels><?xml version="1.0" encoding="UTF-8"?>
<Relationships xmlns="http://schemas.openxmlformats.org/package/2006/relationships"><Relationship Id="rId1" Type="http://schemas.openxmlformats.org/officeDocument/2006/relationships/hyperlink" Target="FSL_Financial_Model_Revised.xlsx" TargetMode="External"/><Relationship Id="rId2" Type="http://schemas.openxmlformats.org/officeDocument/2006/relationships/hyperlink" Target="FSL_Financial_Model_Revised.xlsx" TargetMode="External"/><Relationship Id="rId3" Type="http://schemas.openxmlformats.org/officeDocument/2006/relationships/hyperlink" Target="FSL_Financial_Model_Revised.xlsx" TargetMode="External"/><Relationship Id="rId4" Type="http://schemas.openxmlformats.org/officeDocument/2006/relationships/hyperlink" Target="FSL_Financial_Model_Revised.xlsx" TargetMode="External"/><Relationship Id="rId5" Type="http://schemas.openxmlformats.org/officeDocument/2006/relationships/hyperlink" Target="FSL_Financial_Model_Revised.xlsx" TargetMode="External"/><Relationship Id="rId6" Type="http://schemas.openxmlformats.org/officeDocument/2006/relationships/hyperlink" Target="FSL_Financial_Model_Revised.xlsx" TargetMode="External"/><Relationship Id="rId7" Type="http://schemas.openxmlformats.org/officeDocument/2006/relationships/hyperlink" Target="FSL_Financial_Model_Revised.xlsx" TargetMode="External"/><Relationship Id="rId8" Type="http://schemas.openxmlformats.org/officeDocument/2006/relationships/hyperlink" Target="FSL_Financial_Model_Revised.xlsx" TargetMode="External"/><Relationship Id="rId9" Type="http://schemas.openxmlformats.org/officeDocument/2006/relationships/hyperlink" Target="FSL_Financial_Model_Revised.xlsx" TargetMode="External"/><Relationship Id="rId10" Type="http://schemas.openxmlformats.org/officeDocument/2006/relationships/hyperlink" Target="FSL_Financial_Model_Revised.xlsx" TargetMode="External"/><Relationship Id="rId11" Type="http://schemas.openxmlformats.org/officeDocument/2006/relationships/hyperlink" Target="FSL_Financial_Model_Revised.xlsx" TargetMode="External"/><Relationship Id="rId12" Type="http://schemas.openxmlformats.org/officeDocument/2006/relationships/hyperlink" Target="FSL_Financial_Model_Revised.xlsx" TargetMode="External"/><Relationship Id="rId13" Type="http://schemas.openxmlformats.org/officeDocument/2006/relationships/hyperlink" Target="FSL_Financial_Model_Revised.xlsx" TargetMode="External"/>
</Relationships>
</file>

<file path=xl/worksheets/_rels/sheet49.xml.rels><?xml version="1.0" encoding="UTF-8"?>
<Relationships xmlns="http://schemas.openxmlformats.org/package/2006/relationships"><Relationship Id="rId1" Type="http://schemas.openxmlformats.org/officeDocument/2006/relationships/hyperlink" Target="FSL_Financial_Model_Revised.xlsx" TargetMode="External"/><Relationship Id="rId2" Type="http://schemas.openxmlformats.org/officeDocument/2006/relationships/hyperlink" Target="FSL_Financial_Model_Revised.xlsx" TargetMode="External"/><Relationship Id="rId3" Type="http://schemas.openxmlformats.org/officeDocument/2006/relationships/hyperlink" Target="FSL_Financial_Model_Revised.xlsx" TargetMode="External"/><Relationship Id="rId4" Type="http://schemas.openxmlformats.org/officeDocument/2006/relationships/hyperlink" Target="FSL_Financial_Model_Revised.xlsx" TargetMode="External"/><Relationship Id="rId5" Type="http://schemas.openxmlformats.org/officeDocument/2006/relationships/hyperlink" Target="FSL_Financial_Model_Revised.xlsx" TargetMode="External"/><Relationship Id="rId6" Type="http://schemas.openxmlformats.org/officeDocument/2006/relationships/hyperlink" Target="FSL_Financial_Model_Revised.xlsx" TargetMode="External"/><Relationship Id="rId7" Type="http://schemas.openxmlformats.org/officeDocument/2006/relationships/hyperlink" Target="FSL_Financial_Model_Revised.xlsx" TargetMode="External"/><Relationship Id="rId8" Type="http://schemas.openxmlformats.org/officeDocument/2006/relationships/hyperlink" Target="FSL_Financial_Model_Revised.xlsx" TargetMode="External"/><Relationship Id="rId9" Type="http://schemas.openxmlformats.org/officeDocument/2006/relationships/hyperlink" Target="FSL_Financial_Model_Revised.xlsx" TargetMode="External"/><Relationship Id="rId10" Type="http://schemas.openxmlformats.org/officeDocument/2006/relationships/hyperlink" Target="FSL_Financial_Model_Revised.xlsx" TargetMode="External"/><Relationship Id="rId11" Type="http://schemas.openxmlformats.org/officeDocument/2006/relationships/hyperlink" Target="FSL_Financial_Model_Revised.xlsx" TargetMode="External"/><Relationship Id="rId12" Type="http://schemas.openxmlformats.org/officeDocument/2006/relationships/hyperlink" Target="FSL_Financial_Model_Revised.xlsx" TargetMode="External"/><Relationship Id="rId13" Type="http://schemas.openxmlformats.org/officeDocument/2006/relationships/hyperlink" Target="FSL_Financial_Model_Revised.xlsx" TargetMode="External"/>
</Relationships>
</file>

<file path=xl/worksheets/_rels/sheet50.xml.rels><?xml version="1.0" encoding="UTF-8"?>
<Relationships xmlns="http://schemas.openxmlformats.org/package/2006/relationships"><Relationship Id="rId1" Type="http://schemas.openxmlformats.org/officeDocument/2006/relationships/hyperlink" Target="FSL_Financial_Model_Revised.xlsx" TargetMode="External"/><Relationship Id="rId2" Type="http://schemas.openxmlformats.org/officeDocument/2006/relationships/hyperlink" Target="FSL_Financial_Model_Revised.xlsx" TargetMode="External"/><Relationship Id="rId3" Type="http://schemas.openxmlformats.org/officeDocument/2006/relationships/hyperlink" Target="FSL_Financial_Model_Revised.xlsx" TargetMode="External"/><Relationship Id="rId4" Type="http://schemas.openxmlformats.org/officeDocument/2006/relationships/hyperlink" Target="FSL_Financial_Model_Revised.xlsx" TargetMode="External"/><Relationship Id="rId5" Type="http://schemas.openxmlformats.org/officeDocument/2006/relationships/hyperlink" Target="FSL_Financial_Model_Revised.xlsx" TargetMode="External"/><Relationship Id="rId6" Type="http://schemas.openxmlformats.org/officeDocument/2006/relationships/hyperlink" Target="FSL_Financial_Model_Revised.xlsx" TargetMode="External"/><Relationship Id="rId7" Type="http://schemas.openxmlformats.org/officeDocument/2006/relationships/hyperlink" Target="FSL_Financial_Model_Revised.xlsx" TargetMode="External"/><Relationship Id="rId8" Type="http://schemas.openxmlformats.org/officeDocument/2006/relationships/hyperlink" Target="FSL_Financial_Model_Revised.xlsx" TargetMode="External"/><Relationship Id="rId9" Type="http://schemas.openxmlformats.org/officeDocument/2006/relationships/hyperlink" Target="FSL_Financial_Model_Revised.xlsx" TargetMode="External"/><Relationship Id="rId10" Type="http://schemas.openxmlformats.org/officeDocument/2006/relationships/hyperlink" Target="FSL_Financial_Model_Revised.xlsx" TargetMode="External"/><Relationship Id="rId11" Type="http://schemas.openxmlformats.org/officeDocument/2006/relationships/hyperlink" Target="FSL_Financial_Model_Revised.xlsx" TargetMode="External"/><Relationship Id="rId12" Type="http://schemas.openxmlformats.org/officeDocument/2006/relationships/hyperlink" Target="FSL_Financial_Model_Revised.xlsx" TargetMode="External"/><Relationship Id="rId13" Type="http://schemas.openxmlformats.org/officeDocument/2006/relationships/hyperlink" Target="FSL_Financial_Model_Revised.xlsx" TargetMode="External"/>
</Relationships>
</file>

<file path=xl/worksheets/_rels/sheet51.xml.rels><?xml version="1.0" encoding="UTF-8"?>
<Relationships xmlns="http://schemas.openxmlformats.org/package/2006/relationships"><Relationship Id="rId1" Type="http://schemas.openxmlformats.org/officeDocument/2006/relationships/hyperlink" Target="FSL_Financial_Model_Revised.xlsx" TargetMode="External"/><Relationship Id="rId2" Type="http://schemas.openxmlformats.org/officeDocument/2006/relationships/hyperlink" Target="FSL_Financial_Model_Revised.xlsx" TargetMode="External"/><Relationship Id="rId3" Type="http://schemas.openxmlformats.org/officeDocument/2006/relationships/hyperlink" Target="FSL_Financial_Model_Revised.xlsx" TargetMode="External"/><Relationship Id="rId4" Type="http://schemas.openxmlformats.org/officeDocument/2006/relationships/hyperlink" Target="FSL_Financial_Model_Revised.xlsx" TargetMode="External"/><Relationship Id="rId5" Type="http://schemas.openxmlformats.org/officeDocument/2006/relationships/hyperlink" Target="FSL_Financial_Model_Revised.xlsx" TargetMode="External"/><Relationship Id="rId6" Type="http://schemas.openxmlformats.org/officeDocument/2006/relationships/hyperlink" Target="FSL_Financial_Model_Revised.xlsx" TargetMode="External"/><Relationship Id="rId7" Type="http://schemas.openxmlformats.org/officeDocument/2006/relationships/hyperlink" Target="FSL_Financial_Model_Revised.xlsx" TargetMode="External"/><Relationship Id="rId8" Type="http://schemas.openxmlformats.org/officeDocument/2006/relationships/hyperlink" Target="FSL_Financial_Model_Revised.xlsx" TargetMode="External"/><Relationship Id="rId9" Type="http://schemas.openxmlformats.org/officeDocument/2006/relationships/hyperlink" Target="FSL_Financial_Model_Revised.xlsx" TargetMode="External"/><Relationship Id="rId10" Type="http://schemas.openxmlformats.org/officeDocument/2006/relationships/hyperlink" Target="FSL_Financial_Model_Revised.xlsx" TargetMode="External"/><Relationship Id="rId11" Type="http://schemas.openxmlformats.org/officeDocument/2006/relationships/hyperlink" Target="FSL_Financial_Model_Revised.xlsx" TargetMode="External"/><Relationship Id="rId12" Type="http://schemas.openxmlformats.org/officeDocument/2006/relationships/hyperlink" Target="FSL_Financial_Model_Revised.xlsx" TargetMode="External"/><Relationship Id="rId13" Type="http://schemas.openxmlformats.org/officeDocument/2006/relationships/hyperlink" Target="FSL_Financial_Model_Revised.xlsx" TargetMode="External"/>
</Relationships>
</file>

<file path=xl/worksheets/_rels/sheet52.xml.rels><?xml version="1.0" encoding="UTF-8"?>
<Relationships xmlns="http://schemas.openxmlformats.org/package/2006/relationships"><Relationship Id="rId1" Type="http://schemas.openxmlformats.org/officeDocument/2006/relationships/hyperlink" Target="FSL_Financial_Model_Revised.xlsx" TargetMode="External"/><Relationship Id="rId2" Type="http://schemas.openxmlformats.org/officeDocument/2006/relationships/hyperlink" Target="FSL_Financial_Model_Revised.xlsx" TargetMode="External"/><Relationship Id="rId3" Type="http://schemas.openxmlformats.org/officeDocument/2006/relationships/hyperlink" Target="FSL_Financial_Model_Revised.xlsx" TargetMode="External"/><Relationship Id="rId4" Type="http://schemas.openxmlformats.org/officeDocument/2006/relationships/hyperlink" Target="FSL_Financial_Model_Revised.xlsx" TargetMode="External"/><Relationship Id="rId5" Type="http://schemas.openxmlformats.org/officeDocument/2006/relationships/hyperlink" Target="FSL_Financial_Model_Revised.xlsx" TargetMode="External"/><Relationship Id="rId6" Type="http://schemas.openxmlformats.org/officeDocument/2006/relationships/hyperlink" Target="FSL_Financial_Model_Revised.xlsx" TargetMode="External"/><Relationship Id="rId7" Type="http://schemas.openxmlformats.org/officeDocument/2006/relationships/hyperlink" Target="FSL_Financial_Model_Revised.xlsx" TargetMode="External"/><Relationship Id="rId8" Type="http://schemas.openxmlformats.org/officeDocument/2006/relationships/hyperlink" Target="FSL_Financial_Model_Revised.xlsx" TargetMode="External"/><Relationship Id="rId9" Type="http://schemas.openxmlformats.org/officeDocument/2006/relationships/hyperlink" Target="FSL_Financial_Model_Revised.xlsx" TargetMode="External"/><Relationship Id="rId10" Type="http://schemas.openxmlformats.org/officeDocument/2006/relationships/hyperlink" Target="FSL_Financial_Model_Revised.xlsx" TargetMode="External"/><Relationship Id="rId11" Type="http://schemas.openxmlformats.org/officeDocument/2006/relationships/hyperlink" Target="FSL_Financial_Model_Revised.xlsx" TargetMode="External"/><Relationship Id="rId12" Type="http://schemas.openxmlformats.org/officeDocument/2006/relationships/hyperlink" Target="FSL_Financial_Model_Revised.xlsx" TargetMode="External"/><Relationship Id="rId13" Type="http://schemas.openxmlformats.org/officeDocument/2006/relationships/hyperlink" Target="FSL_Financial_Model_Revised.xlsx" TargetMode="External"/>
</Relationships>
</file>

<file path=xl/worksheets/_rels/sheet53.xml.rels><?xml version="1.0" encoding="UTF-8"?>
<Relationships xmlns="http://schemas.openxmlformats.org/package/2006/relationships"><Relationship Id="rId1" Type="http://schemas.openxmlformats.org/officeDocument/2006/relationships/hyperlink" Target="FSL_Financial_Model_Revised.xlsx" TargetMode="External"/><Relationship Id="rId2" Type="http://schemas.openxmlformats.org/officeDocument/2006/relationships/hyperlink" Target="FSL_Financial_Model_Revised.xlsx" TargetMode="External"/><Relationship Id="rId3" Type="http://schemas.openxmlformats.org/officeDocument/2006/relationships/hyperlink" Target="FSL_Financial_Model_Revised.xlsx" TargetMode="External"/><Relationship Id="rId4" Type="http://schemas.openxmlformats.org/officeDocument/2006/relationships/hyperlink" Target="FSL_Financial_Model_Revised.xlsx" TargetMode="External"/><Relationship Id="rId5" Type="http://schemas.openxmlformats.org/officeDocument/2006/relationships/hyperlink" Target="FSL_Financial_Model_Revised.xlsx" TargetMode="External"/><Relationship Id="rId6" Type="http://schemas.openxmlformats.org/officeDocument/2006/relationships/hyperlink" Target="FSL_Financial_Model_Revised.xlsx" TargetMode="External"/><Relationship Id="rId7" Type="http://schemas.openxmlformats.org/officeDocument/2006/relationships/hyperlink" Target="FSL_Financial_Model_Revised.xlsx" TargetMode="External"/><Relationship Id="rId8" Type="http://schemas.openxmlformats.org/officeDocument/2006/relationships/hyperlink" Target="FSL_Financial_Model_Revised.xlsx" TargetMode="External"/><Relationship Id="rId9" Type="http://schemas.openxmlformats.org/officeDocument/2006/relationships/hyperlink" Target="FSL_Financial_Model_Revised.xlsx" TargetMode="External"/><Relationship Id="rId10" Type="http://schemas.openxmlformats.org/officeDocument/2006/relationships/hyperlink" Target="FSL_Financial_Model_Revised.xlsx" TargetMode="External"/><Relationship Id="rId11" Type="http://schemas.openxmlformats.org/officeDocument/2006/relationships/hyperlink" Target="FSL_Financial_Model_Revised.xlsx" TargetMode="External"/><Relationship Id="rId12" Type="http://schemas.openxmlformats.org/officeDocument/2006/relationships/hyperlink" Target="FSL_Financial_Model_Revised.xlsx" TargetMode="External"/><Relationship Id="rId13" Type="http://schemas.openxmlformats.org/officeDocument/2006/relationships/hyperlink" Target="FSL_Financial_Model_Revised.xlsx" TargetMode="External"/>
</Relationships>
</file>

<file path=xl/worksheets/_rels/sheet54.xml.rels><?xml version="1.0" encoding="UTF-8"?>
<Relationships xmlns="http://schemas.openxmlformats.org/package/2006/relationships"><Relationship Id="rId1" Type="http://schemas.openxmlformats.org/officeDocument/2006/relationships/hyperlink" Target="FSL_Financial_Model_Revised.xlsx" TargetMode="External"/><Relationship Id="rId2" Type="http://schemas.openxmlformats.org/officeDocument/2006/relationships/hyperlink" Target="FSL_Financial_Model_Revised.xlsx" TargetMode="External"/><Relationship Id="rId3" Type="http://schemas.openxmlformats.org/officeDocument/2006/relationships/hyperlink" Target="FSL_Financial_Model_Revised.xlsx" TargetMode="External"/><Relationship Id="rId4" Type="http://schemas.openxmlformats.org/officeDocument/2006/relationships/hyperlink" Target="FSL_Financial_Model_Revised.xlsx" TargetMode="External"/><Relationship Id="rId5" Type="http://schemas.openxmlformats.org/officeDocument/2006/relationships/hyperlink" Target="FSL_Financial_Model_Revised.xlsx" TargetMode="External"/><Relationship Id="rId6" Type="http://schemas.openxmlformats.org/officeDocument/2006/relationships/hyperlink" Target="FSL_Financial_Model_Revised.xlsx" TargetMode="External"/><Relationship Id="rId7" Type="http://schemas.openxmlformats.org/officeDocument/2006/relationships/hyperlink" Target="FSL_Financial_Model_Revised.xlsx" TargetMode="External"/><Relationship Id="rId8" Type="http://schemas.openxmlformats.org/officeDocument/2006/relationships/hyperlink" Target="FSL_Financial_Model_Revised.xlsx" TargetMode="External"/><Relationship Id="rId9" Type="http://schemas.openxmlformats.org/officeDocument/2006/relationships/hyperlink" Target="FSL_Financial_Model_Revised.xlsx" TargetMode="External"/><Relationship Id="rId10" Type="http://schemas.openxmlformats.org/officeDocument/2006/relationships/hyperlink" Target="FSL_Financial_Model_Revised.xlsx" TargetMode="External"/><Relationship Id="rId11" Type="http://schemas.openxmlformats.org/officeDocument/2006/relationships/hyperlink" Target="FSL_Financial_Model_Revised.xlsx" TargetMode="External"/><Relationship Id="rId12" Type="http://schemas.openxmlformats.org/officeDocument/2006/relationships/hyperlink" Target="FSL_Financial_Model_Revised.xlsx" TargetMode="External"/><Relationship Id="rId13" Type="http://schemas.openxmlformats.org/officeDocument/2006/relationships/hyperlink" Target="FSL_Financial_Model_Revised.xlsx"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true"/>
  </sheetPr>
  <dimension ref="B1:G4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34"/>
    <col collapsed="false" customWidth="true" hidden="false" outlineLevel="0" max="3" min="3" style="0" width="46"/>
    <col collapsed="false" customWidth="true" hidden="false" outlineLevel="0" max="6" min="4" style="0" width="16"/>
    <col collapsed="false" customWidth="true" hidden="false" outlineLevel="0" max="7" min="7" style="0" width="60"/>
  </cols>
  <sheetData>
    <row r="1" customFormat="false" ht="17.35" hidden="false" customHeight="false" outlineLevel="0" collapsed="false">
      <c r="B1" s="1" t="s">
        <v>0</v>
      </c>
    </row>
    <row r="2" customFormat="false" ht="15" hidden="false" customHeight="false" outlineLevel="0" collapsed="false">
      <c r="B2" s="2" t="s">
        <v>1</v>
      </c>
    </row>
    <row r="4" customFormat="false" ht="15" hidden="false" customHeight="false" outlineLevel="0" collapsed="false">
      <c r="B4" s="3" t="s">
        <v>2</v>
      </c>
    </row>
    <row r="5" customFormat="false" ht="15" hidden="false" customHeight="false" outlineLevel="0" collapsed="false">
      <c r="B5" s="4" t="s">
        <v>3</v>
      </c>
      <c r="C5" s="5" t="s">
        <v>4</v>
      </c>
    </row>
    <row r="6" customFormat="false" ht="15" hidden="false" customHeight="false" outlineLevel="0" collapsed="false">
      <c r="B6" s="4" t="s">
        <v>5</v>
      </c>
      <c r="C6" s="5" t="s">
        <v>6</v>
      </c>
    </row>
    <row r="7" customFormat="false" ht="15" hidden="false" customHeight="false" outlineLevel="0" collapsed="false">
      <c r="B7" s="4" t="s">
        <v>7</v>
      </c>
      <c r="C7" s="5" t="s">
        <v>8</v>
      </c>
    </row>
    <row r="8" customFormat="false" ht="15" hidden="false" customHeight="false" outlineLevel="0" collapsed="false">
      <c r="B8" s="4" t="s">
        <v>9</v>
      </c>
      <c r="C8" s="5" t="s">
        <v>10</v>
      </c>
    </row>
    <row r="9" customFormat="false" ht="15" hidden="false" customHeight="false" outlineLevel="0" collapsed="false">
      <c r="B9" s="4" t="s">
        <v>11</v>
      </c>
      <c r="C9" s="5" t="s">
        <v>12</v>
      </c>
    </row>
    <row r="10" customFormat="false" ht="15" hidden="false" customHeight="false" outlineLevel="0" collapsed="false">
      <c r="B10" s="4" t="s">
        <v>13</v>
      </c>
      <c r="C10" s="5" t="s">
        <v>14</v>
      </c>
    </row>
    <row r="11" customFormat="false" ht="15" hidden="false" customHeight="false" outlineLevel="0" collapsed="false">
      <c r="B11" s="4" t="s">
        <v>15</v>
      </c>
      <c r="C11" s="5" t="s">
        <v>16</v>
      </c>
    </row>
    <row r="12" customFormat="false" ht="15" hidden="false" customHeight="false" outlineLevel="0" collapsed="false">
      <c r="B12" s="4" t="s">
        <v>17</v>
      </c>
      <c r="C12" s="5" t="s">
        <v>18</v>
      </c>
    </row>
    <row r="13" customFormat="false" ht="15" hidden="false" customHeight="false" outlineLevel="0" collapsed="false">
      <c r="B13" s="4" t="s">
        <v>19</v>
      </c>
      <c r="C13" s="5" t="s">
        <v>20</v>
      </c>
    </row>
    <row r="14" customFormat="false" ht="15" hidden="false" customHeight="false" outlineLevel="0" collapsed="false">
      <c r="B14" s="4" t="s">
        <v>21</v>
      </c>
      <c r="C14" s="5" t="s">
        <v>22</v>
      </c>
    </row>
    <row r="15" customFormat="false" ht="15" hidden="false" customHeight="false" outlineLevel="0" collapsed="false">
      <c r="B15" s="4" t="s">
        <v>23</v>
      </c>
      <c r="C15" s="5" t="s">
        <v>24</v>
      </c>
    </row>
    <row r="17" customFormat="false" ht="15" hidden="false" customHeight="false" outlineLevel="0" collapsed="false">
      <c r="B17" s="6" t="s">
        <v>25</v>
      </c>
      <c r="C17" s="6" t="s">
        <v>26</v>
      </c>
      <c r="D17" s="6" t="s">
        <v>27</v>
      </c>
      <c r="E17" s="6" t="s">
        <v>28</v>
      </c>
      <c r="F17" s="6" t="s">
        <v>29</v>
      </c>
      <c r="G17" s="6" t="s">
        <v>30</v>
      </c>
    </row>
    <row r="18" customFormat="false" ht="30" hidden="false" customHeight="true" outlineLevel="0" collapsed="false">
      <c r="B18" s="3" t="s">
        <v>31</v>
      </c>
      <c r="C18" s="7" t="s">
        <v>32</v>
      </c>
      <c r="D18" s="4" t="s">
        <v>27</v>
      </c>
      <c r="E18" s="4" t="s">
        <v>28</v>
      </c>
      <c r="F18" s="4" t="s">
        <v>29</v>
      </c>
      <c r="G18" s="5" t="s">
        <v>33</v>
      </c>
    </row>
    <row r="19" customFormat="false" ht="30" hidden="false" customHeight="true" outlineLevel="0" collapsed="false">
      <c r="B19" s="3" t="s">
        <v>34</v>
      </c>
      <c r="C19" s="7" t="s">
        <v>35</v>
      </c>
      <c r="D19" s="4" t="s">
        <v>27</v>
      </c>
      <c r="E19" s="4" t="s">
        <v>28</v>
      </c>
      <c r="F19" s="4" t="s">
        <v>29</v>
      </c>
      <c r="G19" s="5" t="s">
        <v>36</v>
      </c>
    </row>
    <row r="20" customFormat="false" ht="30" hidden="false" customHeight="true" outlineLevel="0" collapsed="false">
      <c r="B20" s="3" t="s">
        <v>37</v>
      </c>
      <c r="C20" s="7" t="s">
        <v>38</v>
      </c>
      <c r="D20" s="4" t="s">
        <v>27</v>
      </c>
      <c r="E20" s="4" t="s">
        <v>28</v>
      </c>
      <c r="F20" s="4" t="s">
        <v>29</v>
      </c>
      <c r="G20" s="5" t="s">
        <v>39</v>
      </c>
    </row>
    <row r="21" customFormat="false" ht="30" hidden="false" customHeight="true" outlineLevel="0" collapsed="false">
      <c r="B21" s="3" t="s">
        <v>40</v>
      </c>
      <c r="C21" s="7" t="s">
        <v>41</v>
      </c>
      <c r="D21" s="4" t="s">
        <v>27</v>
      </c>
      <c r="E21" s="4" t="s">
        <v>28</v>
      </c>
      <c r="F21" s="4" t="s">
        <v>29</v>
      </c>
      <c r="G21" s="5" t="s">
        <v>42</v>
      </c>
    </row>
    <row r="22" customFormat="false" ht="30" hidden="false" customHeight="true" outlineLevel="0" collapsed="false">
      <c r="B22" s="3" t="s">
        <v>43</v>
      </c>
      <c r="C22" s="7" t="s">
        <v>44</v>
      </c>
      <c r="D22" s="4" t="s">
        <v>27</v>
      </c>
      <c r="E22" s="4" t="s">
        <v>28</v>
      </c>
      <c r="F22" s="4" t="s">
        <v>29</v>
      </c>
      <c r="G22" s="5" t="s">
        <v>45</v>
      </c>
    </row>
    <row r="23" customFormat="false" ht="30" hidden="false" customHeight="true" outlineLevel="0" collapsed="false">
      <c r="B23" s="3" t="s">
        <v>46</v>
      </c>
      <c r="C23" s="7" t="s">
        <v>47</v>
      </c>
      <c r="D23" s="4" t="s">
        <v>27</v>
      </c>
      <c r="E23" s="4" t="s">
        <v>28</v>
      </c>
      <c r="F23" s="4" t="s">
        <v>29</v>
      </c>
      <c r="G23" s="5" t="s">
        <v>45</v>
      </c>
    </row>
    <row r="24" customFormat="false" ht="30" hidden="false" customHeight="true" outlineLevel="0" collapsed="false">
      <c r="B24" s="3" t="s">
        <v>48</v>
      </c>
      <c r="C24" s="7" t="s">
        <v>49</v>
      </c>
      <c r="D24" s="4" t="s">
        <v>27</v>
      </c>
      <c r="E24" s="4" t="s">
        <v>28</v>
      </c>
      <c r="F24" s="4" t="s">
        <v>29</v>
      </c>
      <c r="G24" s="5" t="s">
        <v>50</v>
      </c>
    </row>
    <row r="25" customFormat="false" ht="30" hidden="false" customHeight="true" outlineLevel="0" collapsed="false">
      <c r="B25" s="3" t="s">
        <v>51</v>
      </c>
      <c r="C25" s="7" t="s">
        <v>52</v>
      </c>
      <c r="D25" s="4" t="s">
        <v>27</v>
      </c>
      <c r="E25" s="4" t="s">
        <v>28</v>
      </c>
      <c r="F25" s="4" t="s">
        <v>29</v>
      </c>
      <c r="G25" s="5" t="s">
        <v>53</v>
      </c>
    </row>
    <row r="26" customFormat="false" ht="30" hidden="false" customHeight="true" outlineLevel="0" collapsed="false">
      <c r="B26" s="3" t="s">
        <v>54</v>
      </c>
      <c r="C26" s="7" t="s">
        <v>55</v>
      </c>
      <c r="D26" s="4" t="s">
        <v>27</v>
      </c>
      <c r="E26" s="4" t="s">
        <v>28</v>
      </c>
      <c r="F26" s="4" t="s">
        <v>29</v>
      </c>
      <c r="G26" s="5" t="s">
        <v>56</v>
      </c>
    </row>
    <row r="27" customFormat="false" ht="30" hidden="false" customHeight="true" outlineLevel="0" collapsed="false">
      <c r="B27" s="3" t="s">
        <v>57</v>
      </c>
      <c r="C27" s="7" t="s">
        <v>58</v>
      </c>
      <c r="D27" s="4" t="s">
        <v>27</v>
      </c>
      <c r="E27" s="4" t="s">
        <v>28</v>
      </c>
      <c r="F27" s="4" t="s">
        <v>29</v>
      </c>
      <c r="G27" s="5" t="s">
        <v>59</v>
      </c>
    </row>
    <row r="28" customFormat="false" ht="30" hidden="false" customHeight="true" outlineLevel="0" collapsed="false">
      <c r="B28" s="3" t="s">
        <v>60</v>
      </c>
      <c r="C28" s="7" t="s">
        <v>61</v>
      </c>
      <c r="D28" s="4" t="s">
        <v>27</v>
      </c>
      <c r="E28" s="4" t="s">
        <v>28</v>
      </c>
      <c r="F28" s="4" t="s">
        <v>29</v>
      </c>
      <c r="G28" s="5" t="s">
        <v>62</v>
      </c>
    </row>
    <row r="29" customFormat="false" ht="30" hidden="false" customHeight="true" outlineLevel="0" collapsed="false">
      <c r="B29" s="3" t="s">
        <v>63</v>
      </c>
      <c r="C29" s="7" t="s">
        <v>64</v>
      </c>
      <c r="D29" s="4" t="s">
        <v>27</v>
      </c>
      <c r="E29" s="4" t="s">
        <v>28</v>
      </c>
      <c r="F29" s="4" t="s">
        <v>29</v>
      </c>
      <c r="G29" s="5" t="s">
        <v>65</v>
      </c>
    </row>
    <row r="30" customFormat="false" ht="30" hidden="false" customHeight="true" outlineLevel="0" collapsed="false">
      <c r="B30" s="3" t="s">
        <v>66</v>
      </c>
      <c r="C30" s="7" t="s">
        <v>67</v>
      </c>
      <c r="D30" s="4" t="s">
        <v>27</v>
      </c>
      <c r="E30" s="4" t="s">
        <v>28</v>
      </c>
      <c r="F30" s="4" t="s">
        <v>29</v>
      </c>
      <c r="G30" s="5" t="s">
        <v>68</v>
      </c>
    </row>
    <row r="31" customFormat="false" ht="30" hidden="false" customHeight="true" outlineLevel="0" collapsed="false">
      <c r="B31" s="3" t="s">
        <v>69</v>
      </c>
      <c r="C31" s="7" t="s">
        <v>70</v>
      </c>
      <c r="D31" s="4" t="s">
        <v>27</v>
      </c>
      <c r="E31" s="4" t="s">
        <v>28</v>
      </c>
      <c r="F31" s="4" t="s">
        <v>29</v>
      </c>
      <c r="G31" s="5" t="s">
        <v>71</v>
      </c>
    </row>
    <row r="33" customFormat="false" ht="15" hidden="false" customHeight="false" outlineLevel="0" collapsed="false">
      <c r="B33" s="3" t="s">
        <v>72</v>
      </c>
    </row>
    <row r="34" customFormat="false" ht="15" hidden="false" customHeight="false" outlineLevel="0" collapsed="false">
      <c r="B34" s="8"/>
      <c r="C34" s="5" t="s">
        <v>73</v>
      </c>
    </row>
    <row r="35" customFormat="false" ht="15" hidden="false" customHeight="false" outlineLevel="0" collapsed="false">
      <c r="B35" s="9"/>
      <c r="C35" s="5" t="s">
        <v>74</v>
      </c>
    </row>
    <row r="36" customFormat="false" ht="15" hidden="false" customHeight="false" outlineLevel="0" collapsed="false">
      <c r="B36" s="10"/>
      <c r="C36" s="5" t="s">
        <v>75</v>
      </c>
    </row>
    <row r="37" customFormat="false" ht="15" hidden="false" customHeight="false" outlineLevel="0" collapsed="false">
      <c r="B37" s="11"/>
      <c r="C37" s="5" t="s">
        <v>76</v>
      </c>
    </row>
    <row r="38" customFormat="false" ht="15" hidden="false" customHeight="false" outlineLevel="0" collapsed="false">
      <c r="B38" s="12"/>
      <c r="C38" s="5" t="s">
        <v>77</v>
      </c>
    </row>
    <row r="39" customFormat="false" ht="15" hidden="false" customHeight="false" outlineLevel="0" collapsed="false">
      <c r="B39" s="13"/>
      <c r="C39" s="5" t="s">
        <v>78</v>
      </c>
    </row>
    <row r="40" customFormat="false" ht="15" hidden="false" customHeight="false" outlineLevel="0" collapsed="false">
      <c r="B40" s="14"/>
      <c r="C40" s="5" t="s">
        <v>79</v>
      </c>
    </row>
  </sheetData>
  <hyperlinks>
    <hyperlink ref="B5" r:id="rId1" location="'Model%20Flow'!A1" display="Model Flow"/>
    <hyperlink ref="B6" r:id="rId2" location="'Global%20Inputs'!A1" display="Global Inputs"/>
    <hyperlink ref="B7" r:id="rId3" location="'Project%20Summary'!A1" display="Project Summary"/>
    <hyperlink ref="B8" r:id="rId4" location="'FSL%20Financials%20—%20Without%20BUMN'!A1" display="FSL Financials — Without BUMN"/>
    <hyperlink ref="B9" r:id="rId5" location="'FSL%20Financials%20—%20With%20BUMN'!A1" display="FSL Financials — With BUMN"/>
    <hyperlink ref="B10" r:id="rId6" location="'Funding%20Requirement'!A1" display="Funding Requirement"/>
    <hyperlink ref="B11" r:id="rId7" location="'Financing'!A1" display="Financing"/>
    <hyperlink ref="B12" r:id="rId8" location="'Valuation%20—%20Without%20BUMN'!A1" display="Valuation — Without BUMN"/>
    <hyperlink ref="B13" r:id="rId9" location="'Valuation%20—%20With%20BUMN'!A1" display="Valuation — With BUMN"/>
    <hyperlink ref="B14" r:id="rId10" location="'Checks'!A1" display="Checks"/>
    <hyperlink ref="B15" r:id="rId11" location="'Reconciliation%20v29'!A1" display="Reconciliation v29"/>
    <hyperlink ref="D18" r:id="rId12" location="'E1%20TelukLamong%20Input'!A1" display="Input"/>
    <hyperlink ref="E18" r:id="rId13" location="'E1%20TelukLamong%20Calc'!A1" display="Calc"/>
    <hyperlink ref="F18" r:id="rId14" location="'E1%20TelukLamong%20Output'!A1" display="Output"/>
    <hyperlink ref="D19" r:id="rId15" location="'E2%20CigadingExist%20Input'!A1" display="Input"/>
    <hyperlink ref="E19" r:id="rId16" location="'E2%20CigadingExist%20Calc'!A1" display="Calc"/>
    <hyperlink ref="F19" r:id="rId17" location="'E2%20CigadingExist%20Output'!A1" display="Output"/>
    <hyperlink ref="D20" r:id="rId18" location="'E3%20Belawan%20Input'!A1" display="Input"/>
    <hyperlink ref="E20" r:id="rId19" location="'E3%20Belawan%20Calc'!A1" display="Calc"/>
    <hyperlink ref="F20" r:id="rId20" location="'E3%20Belawan%20Output'!A1" display="Output"/>
    <hyperlink ref="D21" r:id="rId21" location="'E4%20WIN%20Input'!A1" display="Input"/>
    <hyperlink ref="E21" r:id="rId22" location="'E4%20WIN%20Calc'!A1" display="Calc"/>
    <hyperlink ref="F21" r:id="rId23" location="'E4%20WIN%20Output'!A1" display="Output"/>
    <hyperlink ref="D22" r:id="rId24" location="'P01%20CigWharf2%20Input'!A1" display="Input"/>
    <hyperlink ref="E22" r:id="rId25" location="'P01%20CigWharf2%20Calc'!A1" display="Calc"/>
    <hyperlink ref="F22" r:id="rId26" location="'P01%20CigWharf2%20Output'!A1" display="Output"/>
    <hyperlink ref="D23" r:id="rId27" location="'P02%20CigConveyor%20Input'!A1" display="Input"/>
    <hyperlink ref="E23" r:id="rId28" location="'P02%20CigConveyor%20Calc'!A1" display="Calc"/>
    <hyperlink ref="F23" r:id="rId29" location="'P02%20CigConveyor%20Output'!A1" display="Output"/>
    <hyperlink ref="D24" r:id="rId30" location="'P03%20KBSWarehouse%20Input'!A1" display="Input"/>
    <hyperlink ref="E24" r:id="rId31" location="'P03%20KBSWarehouse%20Calc'!A1" display="Calc"/>
    <hyperlink ref="F24" r:id="rId32" location="'P03%20KBSWarehouse%20Output'!A1" display="Output"/>
    <hyperlink ref="D25" r:id="rId33" location="'P04%20TTLSilo%20Input'!A1" display="Input"/>
    <hyperlink ref="E25" r:id="rId34" location="'P04%20TTLSilo%20Calc'!A1" display="Calc"/>
    <hyperlink ref="F25" r:id="rId35" location="'P04%20TTLSilo%20Output'!A1" display="Output"/>
    <hyperlink ref="D26" r:id="rId36" location="'P05%20Dumai%20Input'!A1" display="Input"/>
    <hyperlink ref="E26" r:id="rId37" location="'P05%20Dumai%20Calc'!A1" display="Calc"/>
    <hyperlink ref="F26" r:id="rId38" location="'P05%20Dumai%20Output'!A1" display="Output"/>
    <hyperlink ref="D27" r:id="rId39" location="'P06%20Ciwandan%20Input'!A1" display="Input"/>
    <hyperlink ref="E27" r:id="rId40" location="'P06%20Ciwandan%20Calc'!A1" display="Calc"/>
    <hyperlink ref="F27" r:id="rId41" location="'P06%20Ciwandan%20Output'!A1" display="Output"/>
    <hyperlink ref="D28" r:id="rId42" location="'P08%20DMSTrucking%20Input'!A1" display="Input"/>
    <hyperlink ref="E28" r:id="rId43" location="'P08%20DMSTrucking%20Calc'!A1" display="Calc"/>
    <hyperlink ref="F28" r:id="rId44" location="'P08%20DMSTrucking%20Output'!A1" display="Output"/>
    <hyperlink ref="D29" r:id="rId45" location="'P12%20BUMNOps%20Input'!A1" display="Input"/>
    <hyperlink ref="E29" r:id="rId46" location="'P12%20BUMNOps%20Calc'!A1" display="Calc"/>
    <hyperlink ref="F29" r:id="rId47" location="'P12%20BUMNOps%20Output'!A1" display="Output"/>
    <hyperlink ref="D30" r:id="rId48" location="'P15%20TBM%20Input'!A1" display="Input"/>
    <hyperlink ref="E30" r:id="rId49" location="'P15%20TBM%20Calc'!A1" display="Calc"/>
    <hyperlink ref="F30" r:id="rId50" location="'P15%20TBM%20Output'!A1" display="Output"/>
    <hyperlink ref="D31" r:id="rId51" location="'P19%20Badas%20FS%20Working%20Paper'!A1" display="Input"/>
    <hyperlink ref="E31" r:id="rId52" location="'P19%20Badas%20Calculation'!A1" display="Calc"/>
    <hyperlink ref="F31" r:id="rId53" location="'P19%20Badas%20Output'!A1" display="Output"/>
  </hyperlink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true"/>
  </sheetPr>
  <dimension ref="B1:C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30"/>
    <col collapsed="false" customWidth="true" hidden="false" outlineLevel="0" max="3" min="3" style="0" width="120"/>
  </cols>
  <sheetData>
    <row r="1" customFormat="false" ht="17.35" hidden="false" customHeight="false" outlineLevel="0" collapsed="false">
      <c r="B1" s="1" t="s">
        <v>80</v>
      </c>
    </row>
    <row r="2" customFormat="false" ht="15" hidden="false" customHeight="false" outlineLevel="0" collapsed="false">
      <c r="B2" s="2" t="s">
        <v>81</v>
      </c>
    </row>
    <row r="4" customFormat="false" ht="69" hidden="false" customHeight="true" outlineLevel="0" collapsed="false">
      <c r="B4" s="15" t="s">
        <v>82</v>
      </c>
      <c r="C4" s="16" t="s">
        <v>83</v>
      </c>
    </row>
    <row r="5" customFormat="false" ht="81.75" hidden="false" customHeight="true" outlineLevel="0" collapsed="false">
      <c r="B5" s="15" t="s">
        <v>84</v>
      </c>
      <c r="C5" s="16" t="s">
        <v>85</v>
      </c>
    </row>
    <row r="6" customFormat="false" ht="69" hidden="false" customHeight="true" outlineLevel="0" collapsed="false">
      <c r="B6" s="15" t="s">
        <v>86</v>
      </c>
      <c r="C6" s="16" t="s">
        <v>87</v>
      </c>
    </row>
    <row r="7" customFormat="false" ht="81.75" hidden="false" customHeight="true" outlineLevel="0" collapsed="false">
      <c r="B7" s="15" t="s">
        <v>88</v>
      </c>
      <c r="C7" s="16" t="s">
        <v>89</v>
      </c>
    </row>
    <row r="8" customFormat="false" ht="81.75" hidden="false" customHeight="true" outlineLevel="0" collapsed="false">
      <c r="B8" s="15" t="s">
        <v>90</v>
      </c>
      <c r="C8" s="16" t="s">
        <v>91</v>
      </c>
    </row>
    <row r="9" customFormat="false" ht="81.75" hidden="false" customHeight="true" outlineLevel="0" collapsed="false">
      <c r="B9" s="15" t="s">
        <v>92</v>
      </c>
      <c r="C9" s="16" t="s">
        <v>93</v>
      </c>
    </row>
    <row r="10" customFormat="false" ht="94.5" hidden="false" customHeight="true" outlineLevel="0" collapsed="false">
      <c r="B10" s="15" t="s">
        <v>94</v>
      </c>
      <c r="C10" s="16" t="s">
        <v>95</v>
      </c>
    </row>
    <row r="11" customFormat="false" ht="69" hidden="false" customHeight="true" outlineLevel="0" collapsed="false">
      <c r="B11" s="15" t="s">
        <v>96</v>
      </c>
      <c r="C11" s="16" t="s">
        <v>97</v>
      </c>
    </row>
    <row r="12" customFormat="false" ht="69" hidden="false" customHeight="true" outlineLevel="0" collapsed="false">
      <c r="B12" s="15" t="s">
        <v>98</v>
      </c>
      <c r="C12" s="16" t="s">
        <v>99</v>
      </c>
    </row>
    <row r="13" customFormat="false" ht="42.75" hidden="false" customHeight="true" outlineLevel="0" collapsed="false">
      <c r="B13" s="15" t="s">
        <v>100</v>
      </c>
      <c r="C13" s="16" t="s">
        <v>101</v>
      </c>
    </row>
    <row r="14" customFormat="false" ht="55.5" hidden="false" customHeight="true" outlineLevel="0" collapsed="false">
      <c r="B14" s="15" t="s">
        <v>102</v>
      </c>
      <c r="C14" s="16" t="s">
        <v>103</v>
      </c>
    </row>
    <row r="15" customFormat="false" ht="55.5" hidden="false" customHeight="true" outlineLevel="0" collapsed="false">
      <c r="B15" s="15" t="s">
        <v>104</v>
      </c>
      <c r="C15" s="16" t="s">
        <v>105</v>
      </c>
    </row>
    <row r="16" customFormat="false" ht="42.75" hidden="false" customHeight="true" outlineLevel="0" collapsed="false">
      <c r="B16" s="15" t="s">
        <v>106</v>
      </c>
      <c r="C16" s="16" t="s">
        <v>107</v>
      </c>
    </row>
    <row r="17" customFormat="false" ht="81.75" hidden="false" customHeight="true" outlineLevel="0" collapsed="false">
      <c r="B17" s="15" t="s">
        <v>108</v>
      </c>
      <c r="C17" s="16" t="s">
        <v>109</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C000"/>
    <pageSetUpPr fitToPage="true"/>
  </sheetPr>
  <dimension ref="B1:U1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5" ySplit="9" topLeftCell="F10" activePane="bottomRight" state="frozen"/>
      <selection pane="topLeft" activeCell="A1" activeCellId="0" sqref="A1"/>
      <selection pane="topRight" activeCell="F1" activeCellId="0" sqref="F1"/>
      <selection pane="bottomLeft" activeCell="A10" activeCellId="0" sqref="A10"/>
      <selection pane="bottomRigh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78"/>
    <col collapsed="false" customWidth="true" hidden="false" outlineLevel="0" max="3" min="3" style="0" width="11"/>
    <col collapsed="false" customWidth="true" hidden="false" outlineLevel="0" max="4" min="4" style="0" width="12"/>
    <col collapsed="false" customWidth="true" hidden="false" outlineLevel="0" max="5" min="5" style="0" width="13"/>
    <col collapsed="false" customWidth="true" hidden="false" outlineLevel="0" max="19" min="6" style="0" width="11.5"/>
    <col collapsed="false" customWidth="true" hidden="false" outlineLevel="0" max="20" min="20" style="0" width="40"/>
    <col collapsed="false" customWidth="true" hidden="false" outlineLevel="0" max="21" min="21" style="0" width="48"/>
  </cols>
  <sheetData>
    <row r="1" customFormat="false" ht="21.75" hidden="false" customHeight="true" outlineLevel="0" collapsed="false">
      <c r="B1" s="1" t="s">
        <v>110</v>
      </c>
    </row>
    <row r="2" customFormat="false" ht="15" hidden="false" customHeight="false" outlineLevel="0" collapsed="false">
      <c r="B2" s="2" t="s">
        <v>111</v>
      </c>
    </row>
    <row r="3" customFormat="false" ht="15" hidden="false" customHeight="false" outlineLevel="0" collapsed="false">
      <c r="B3" s="5" t="s">
        <v>112</v>
      </c>
      <c r="C3" s="17" t="s">
        <v>113</v>
      </c>
      <c r="D3" s="17" t="s">
        <v>5</v>
      </c>
      <c r="E3" s="17" t="s">
        <v>7</v>
      </c>
      <c r="F3" s="17" t="s">
        <v>114</v>
      </c>
      <c r="G3" s="17" t="s">
        <v>115</v>
      </c>
      <c r="H3" s="17" t="s">
        <v>116</v>
      </c>
      <c r="I3" s="17" t="s">
        <v>117</v>
      </c>
      <c r="J3" s="17" t="s">
        <v>118</v>
      </c>
      <c r="K3" s="17" t="s">
        <v>21</v>
      </c>
      <c r="L3" s="17" t="s">
        <v>3</v>
      </c>
    </row>
    <row r="5" customFormat="false" ht="15" hidden="false" customHeight="false" outlineLevel="0" collapsed="false">
      <c r="B5" s="6" t="s">
        <v>119</v>
      </c>
      <c r="C5" s="6" t="s">
        <v>120</v>
      </c>
      <c r="D5" s="6" t="s">
        <v>121</v>
      </c>
      <c r="E5" s="6" t="s">
        <v>122</v>
      </c>
      <c r="F5" s="18" t="n">
        <v>2023</v>
      </c>
      <c r="G5" s="18" t="n">
        <v>2024</v>
      </c>
      <c r="H5" s="18" t="n">
        <v>2025</v>
      </c>
      <c r="I5" s="18" t="n">
        <v>2026</v>
      </c>
      <c r="J5" s="18" t="n">
        <v>2027</v>
      </c>
      <c r="K5" s="18" t="n">
        <v>2028</v>
      </c>
      <c r="L5" s="18" t="n">
        <v>2029</v>
      </c>
      <c r="M5" s="18" t="n">
        <v>2030</v>
      </c>
      <c r="N5" s="18" t="n">
        <v>2031</v>
      </c>
      <c r="O5" s="18" t="n">
        <v>2032</v>
      </c>
      <c r="P5" s="18" t="n">
        <v>2033</v>
      </c>
      <c r="Q5" s="18" t="n">
        <v>2034</v>
      </c>
      <c r="R5" s="18" t="n">
        <v>2035</v>
      </c>
      <c r="S5" s="18" t="n">
        <v>2036</v>
      </c>
      <c r="T5" s="6" t="s">
        <v>123</v>
      </c>
      <c r="U5" s="6" t="s">
        <v>124</v>
      </c>
    </row>
    <row r="6" customFormat="false" ht="15" hidden="false" customHeight="false" outlineLevel="0" collapsed="false">
      <c r="B6" s="19" t="s">
        <v>125</v>
      </c>
      <c r="F6" s="20" t="n">
        <f aca="false">DATE(F5,12,31)</f>
        <v>45291</v>
      </c>
      <c r="G6" s="20" t="n">
        <f aca="false">DATE(G5,12,31)</f>
        <v>45657</v>
      </c>
      <c r="H6" s="20" t="n">
        <f aca="false">DATE(H5,12,31)</f>
        <v>46022</v>
      </c>
      <c r="I6" s="20" t="n">
        <f aca="false">DATE(I5,12,31)</f>
        <v>46387</v>
      </c>
      <c r="J6" s="20" t="n">
        <f aca="false">DATE(J5,12,31)</f>
        <v>46752</v>
      </c>
      <c r="K6" s="20" t="n">
        <f aca="false">DATE(K5,12,31)</f>
        <v>47118</v>
      </c>
      <c r="L6" s="20" t="n">
        <f aca="false">DATE(L5,12,31)</f>
        <v>47483</v>
      </c>
      <c r="M6" s="20" t="n">
        <f aca="false">DATE(M5,12,31)</f>
        <v>47848</v>
      </c>
      <c r="N6" s="20" t="n">
        <f aca="false">DATE(N5,12,31)</f>
        <v>48213</v>
      </c>
      <c r="O6" s="20" t="n">
        <f aca="false">DATE(O5,12,31)</f>
        <v>48579</v>
      </c>
      <c r="P6" s="20" t="n">
        <f aca="false">DATE(P5,12,31)</f>
        <v>48944</v>
      </c>
      <c r="Q6" s="20" t="n">
        <f aca="false">DATE(Q5,12,31)</f>
        <v>49309</v>
      </c>
      <c r="R6" s="20" t="n">
        <f aca="false">DATE(R5,12,31)</f>
        <v>49674</v>
      </c>
      <c r="S6" s="20" t="n">
        <f aca="false">DATE(S5,12,31)</f>
        <v>50040</v>
      </c>
    </row>
    <row r="7" customFormat="false" ht="15" hidden="false" customHeight="false" outlineLevel="0" collapsed="false">
      <c r="B7" s="19" t="s">
        <v>126</v>
      </c>
      <c r="F7" s="21" t="n">
        <f aca="false">F6-DATE(F5,1,1)+1</f>
        <v>365</v>
      </c>
      <c r="G7" s="21" t="n">
        <f aca="false">G6-DATE(G5,1,1)+1</f>
        <v>366</v>
      </c>
      <c r="H7" s="21" t="n">
        <f aca="false">H6-DATE(H5,1,1)+1</f>
        <v>365</v>
      </c>
      <c r="I7" s="21" t="n">
        <f aca="false">I6-DATE(I5,1,1)+1</f>
        <v>365</v>
      </c>
      <c r="J7" s="21" t="n">
        <f aca="false">J6-DATE(J5,1,1)+1</f>
        <v>365</v>
      </c>
      <c r="K7" s="21" t="n">
        <f aca="false">K6-DATE(K5,1,1)+1</f>
        <v>366</v>
      </c>
      <c r="L7" s="21" t="n">
        <f aca="false">L6-DATE(L5,1,1)+1</f>
        <v>365</v>
      </c>
      <c r="M7" s="21" t="n">
        <f aca="false">M6-DATE(M5,1,1)+1</f>
        <v>365</v>
      </c>
      <c r="N7" s="21" t="n">
        <f aca="false">N6-DATE(N5,1,1)+1</f>
        <v>365</v>
      </c>
      <c r="O7" s="21" t="n">
        <f aca="false">O6-DATE(O5,1,1)+1</f>
        <v>366</v>
      </c>
      <c r="P7" s="21" t="n">
        <f aca="false">P6-DATE(P5,1,1)+1</f>
        <v>365</v>
      </c>
      <c r="Q7" s="21" t="n">
        <f aca="false">Q6-DATE(Q5,1,1)+1</f>
        <v>365</v>
      </c>
      <c r="R7" s="21" t="n">
        <f aca="false">R6-DATE(R5,1,1)+1</f>
        <v>365</v>
      </c>
      <c r="S7" s="21" t="n">
        <f aca="false">S6-DATE(S5,1,1)+1</f>
        <v>366</v>
      </c>
    </row>
    <row r="8" customFormat="false" ht="15" hidden="false" customHeight="false" outlineLevel="0" collapsed="false">
      <c r="B8" s="19" t="s">
        <v>127</v>
      </c>
      <c r="F8" s="21" t="n">
        <v>0</v>
      </c>
      <c r="G8" s="21" t="n">
        <v>1</v>
      </c>
      <c r="H8" s="21" t="n">
        <v>1</v>
      </c>
      <c r="I8" s="21" t="n">
        <v>1</v>
      </c>
      <c r="J8" s="21" t="n">
        <v>1</v>
      </c>
      <c r="K8" s="21" t="n">
        <v>1</v>
      </c>
      <c r="L8" s="21" t="n">
        <v>1</v>
      </c>
      <c r="M8" s="21" t="n">
        <v>1</v>
      </c>
      <c r="N8" s="21" t="n">
        <v>1</v>
      </c>
      <c r="O8" s="21" t="n">
        <v>1</v>
      </c>
      <c r="P8" s="21" t="n">
        <v>1</v>
      </c>
      <c r="Q8" s="21" t="n">
        <v>1</v>
      </c>
      <c r="R8" s="21" t="n">
        <v>1</v>
      </c>
      <c r="S8" s="21" t="n">
        <v>1</v>
      </c>
    </row>
    <row r="10" customFormat="false" ht="15" hidden="false" customHeight="false" outlineLevel="0" collapsed="false">
      <c r="B10" s="22" t="s">
        <v>128</v>
      </c>
      <c r="C10" s="23"/>
      <c r="D10" s="23"/>
      <c r="E10" s="23"/>
      <c r="F10" s="23"/>
      <c r="G10" s="23"/>
      <c r="H10" s="23"/>
      <c r="I10" s="23"/>
      <c r="J10" s="23"/>
      <c r="K10" s="23"/>
      <c r="L10" s="23"/>
      <c r="M10" s="23"/>
      <c r="N10" s="23"/>
      <c r="O10" s="23"/>
      <c r="P10" s="23"/>
      <c r="Q10" s="23"/>
      <c r="R10" s="23"/>
      <c r="S10" s="23"/>
    </row>
    <row r="11" customFormat="false" ht="15" hidden="false" customHeight="false" outlineLevel="0" collapsed="false">
      <c r="B11" s="24" t="s">
        <v>129</v>
      </c>
      <c r="C11" s="25" t="s">
        <v>130</v>
      </c>
      <c r="D11" s="26" t="s">
        <v>131</v>
      </c>
      <c r="E11" s="27" t="n">
        <v>46387</v>
      </c>
      <c r="T11" s="5" t="s">
        <v>132</v>
      </c>
      <c r="U11" s="5" t="s">
        <v>133</v>
      </c>
    </row>
    <row r="12" customFormat="false" ht="15" hidden="false" customHeight="false" outlineLevel="0" collapsed="false">
      <c r="B12" s="24" t="s">
        <v>134</v>
      </c>
      <c r="C12" s="25" t="s">
        <v>135</v>
      </c>
      <c r="D12" s="28" t="s">
        <v>136</v>
      </c>
      <c r="E12" s="29" t="n">
        <f aca="false">YEAR($E$11)</f>
        <v>2026</v>
      </c>
      <c r="T12" s="5" t="s">
        <v>137</v>
      </c>
    </row>
    <row r="13" customFormat="false" ht="15" hidden="false" customHeight="false" outlineLevel="0" collapsed="false">
      <c r="B13" s="24" t="s">
        <v>138</v>
      </c>
      <c r="C13" s="25" t="s">
        <v>135</v>
      </c>
      <c r="D13" s="28" t="s">
        <v>136</v>
      </c>
      <c r="E13" s="29" t="n">
        <f aca="false">$E$12+1</f>
        <v>2027</v>
      </c>
      <c r="T13" s="5" t="s">
        <v>137</v>
      </c>
    </row>
    <row r="14" customFormat="false" ht="15" hidden="false" customHeight="false" outlineLevel="0" collapsed="false">
      <c r="B14" s="24" t="s">
        <v>139</v>
      </c>
      <c r="C14" s="25" t="s">
        <v>135</v>
      </c>
      <c r="D14" s="28" t="s">
        <v>136</v>
      </c>
      <c r="E14" s="29" t="n">
        <f aca="false">MAX(F5:S5)</f>
        <v>2036</v>
      </c>
      <c r="T14" s="5" t="s">
        <v>137</v>
      </c>
    </row>
    <row r="15" customFormat="false" ht="15" hidden="false" customHeight="false" outlineLevel="0" collapsed="false">
      <c r="B15" s="24" t="s">
        <v>140</v>
      </c>
      <c r="C15" s="25" t="s">
        <v>135</v>
      </c>
      <c r="D15" s="28" t="s">
        <v>136</v>
      </c>
      <c r="F15" s="29" t="n">
        <f aca="false">F$5</f>
        <v>2023</v>
      </c>
      <c r="G15" s="29" t="n">
        <f aca="false">G$5</f>
        <v>2024</v>
      </c>
      <c r="H15" s="29" t="n">
        <f aca="false">H$5</f>
        <v>2025</v>
      </c>
      <c r="I15" s="29" t="n">
        <f aca="false">I$5</f>
        <v>2026</v>
      </c>
      <c r="J15" s="29" t="n">
        <f aca="false">J$5</f>
        <v>2027</v>
      </c>
      <c r="K15" s="29" t="n">
        <f aca="false">K$5</f>
        <v>2028</v>
      </c>
      <c r="L15" s="29" t="n">
        <f aca="false">L$5</f>
        <v>2029</v>
      </c>
      <c r="M15" s="29" t="n">
        <f aca="false">M$5</f>
        <v>2030</v>
      </c>
      <c r="N15" s="29" t="n">
        <f aca="false">N$5</f>
        <v>2031</v>
      </c>
      <c r="O15" s="29" t="n">
        <f aca="false">O$5</f>
        <v>2032</v>
      </c>
      <c r="P15" s="29" t="n">
        <f aca="false">P$5</f>
        <v>2033</v>
      </c>
      <c r="Q15" s="29" t="n">
        <f aca="false">Q$5</f>
        <v>2034</v>
      </c>
      <c r="R15" s="29" t="n">
        <f aca="false">R$5</f>
        <v>2035</v>
      </c>
      <c r="S15" s="29" t="n">
        <f aca="false">S$5</f>
        <v>2036</v>
      </c>
      <c r="T15" s="5" t="s">
        <v>141</v>
      </c>
    </row>
    <row r="16" customFormat="false" ht="15" hidden="false" customHeight="false" outlineLevel="0" collapsed="false">
      <c r="B16" s="24" t="s">
        <v>142</v>
      </c>
      <c r="C16" s="25" t="s">
        <v>143</v>
      </c>
      <c r="D16" s="28" t="s">
        <v>136</v>
      </c>
      <c r="F16" s="30" t="n">
        <f aca="false">IF(F$5&gt;$E$12,1,0)</f>
        <v>0</v>
      </c>
      <c r="G16" s="30" t="n">
        <f aca="false">IF(G$5&gt;$E$12,1,0)</f>
        <v>0</v>
      </c>
      <c r="H16" s="30" t="n">
        <f aca="false">IF(H$5&gt;$E$12,1,0)</f>
        <v>0</v>
      </c>
      <c r="I16" s="30" t="n">
        <f aca="false">IF(I$5&gt;$E$12,1,0)</f>
        <v>0</v>
      </c>
      <c r="J16" s="30" t="n">
        <f aca="false">IF(J$5&gt;$E$12,1,0)</f>
        <v>1</v>
      </c>
      <c r="K16" s="30" t="n">
        <f aca="false">IF(K$5&gt;$E$12,1,0)</f>
        <v>1</v>
      </c>
      <c r="L16" s="30" t="n">
        <f aca="false">IF(L$5&gt;$E$12,1,0)</f>
        <v>1</v>
      </c>
      <c r="M16" s="30" t="n">
        <f aca="false">IF(M$5&gt;$E$12,1,0)</f>
        <v>1</v>
      </c>
      <c r="N16" s="30" t="n">
        <f aca="false">IF(N$5&gt;$E$12,1,0)</f>
        <v>1</v>
      </c>
      <c r="O16" s="30" t="n">
        <f aca="false">IF(O$5&gt;$E$12,1,0)</f>
        <v>1</v>
      </c>
      <c r="P16" s="30" t="n">
        <f aca="false">IF(P$5&gt;$E$12,1,0)</f>
        <v>1</v>
      </c>
      <c r="Q16" s="30" t="n">
        <f aca="false">IF(Q$5&gt;$E$12,1,0)</f>
        <v>1</v>
      </c>
      <c r="R16" s="30" t="n">
        <f aca="false">IF(R$5&gt;$E$12,1,0)</f>
        <v>1</v>
      </c>
      <c r="S16" s="30" t="n">
        <f aca="false">IF(S$5&gt;$E$12,1,0)</f>
        <v>1</v>
      </c>
      <c r="T16" s="5" t="s">
        <v>137</v>
      </c>
    </row>
    <row r="17" customFormat="false" ht="15" hidden="false" customHeight="false" outlineLevel="0" collapsed="false">
      <c r="B17" s="24" t="s">
        <v>144</v>
      </c>
      <c r="C17" s="25" t="s">
        <v>145</v>
      </c>
      <c r="D17" s="28" t="s">
        <v>136</v>
      </c>
      <c r="F17" s="31" t="n">
        <f aca="false">IF(F$5&gt;$E$12,F$5-$E$12,0)</f>
        <v>0</v>
      </c>
      <c r="G17" s="31" t="n">
        <f aca="false">IF(G$5&gt;$E$12,G$5-$E$12,0)</f>
        <v>0</v>
      </c>
      <c r="H17" s="31" t="n">
        <f aca="false">IF(H$5&gt;$E$12,H$5-$E$12,0)</f>
        <v>0</v>
      </c>
      <c r="I17" s="31" t="n">
        <f aca="false">IF(I$5&gt;$E$12,I$5-$E$12,0)</f>
        <v>0</v>
      </c>
      <c r="J17" s="31" t="n">
        <f aca="false">IF(J$5&gt;$E$12,J$5-$E$12,0)</f>
        <v>1</v>
      </c>
      <c r="K17" s="31" t="n">
        <f aca="false">IF(K$5&gt;$E$12,K$5-$E$12,0)</f>
        <v>2</v>
      </c>
      <c r="L17" s="31" t="n">
        <f aca="false">IF(L$5&gt;$E$12,L$5-$E$12,0)</f>
        <v>3</v>
      </c>
      <c r="M17" s="31" t="n">
        <f aca="false">IF(M$5&gt;$E$12,M$5-$E$12,0)</f>
        <v>4</v>
      </c>
      <c r="N17" s="31" t="n">
        <f aca="false">IF(N$5&gt;$E$12,N$5-$E$12,0)</f>
        <v>5</v>
      </c>
      <c r="O17" s="31" t="n">
        <f aca="false">IF(O$5&gt;$E$12,O$5-$E$12,0)</f>
        <v>6</v>
      </c>
      <c r="P17" s="31" t="n">
        <f aca="false">IF(P$5&gt;$E$12,P$5-$E$12,0)</f>
        <v>7</v>
      </c>
      <c r="Q17" s="31" t="n">
        <f aca="false">IF(Q$5&gt;$E$12,Q$5-$E$12,0)</f>
        <v>8</v>
      </c>
      <c r="R17" s="31" t="n">
        <f aca="false">IF(R$5&gt;$E$12,R$5-$E$12,0)</f>
        <v>9</v>
      </c>
      <c r="S17" s="31" t="n">
        <f aca="false">IF(S$5&gt;$E$12,S$5-$E$12,0)</f>
        <v>10</v>
      </c>
      <c r="T17" s="5" t="s">
        <v>137</v>
      </c>
      <c r="U17" s="5" t="s">
        <v>146</v>
      </c>
    </row>
    <row r="18" customFormat="false" ht="15" hidden="false" customHeight="false" outlineLevel="0" collapsed="false">
      <c r="B18" s="24" t="s">
        <v>147</v>
      </c>
      <c r="C18" s="25" t="s">
        <v>148</v>
      </c>
      <c r="D18" s="28" t="s">
        <v>136</v>
      </c>
      <c r="F18" s="32" t="n">
        <f aca="false">IF(F$5&gt;$E$12,1/(1+$E$53)^F17,0)</f>
        <v>0</v>
      </c>
      <c r="G18" s="32" t="n">
        <f aca="false">IF(G$5&gt;$E$12,1/(1+$E$53)^G17,0)</f>
        <v>0</v>
      </c>
      <c r="H18" s="32" t="n">
        <f aca="false">IF(H$5&gt;$E$12,1/(1+$E$53)^H17,0)</f>
        <v>0</v>
      </c>
      <c r="I18" s="32" t="n">
        <f aca="false">IF(I$5&gt;$E$12,1/(1+$E$53)^I17,0)</f>
        <v>0</v>
      </c>
      <c r="J18" s="32" t="n">
        <f aca="false">IF(J$5&gt;$E$12,1/(1+$E$53)^J17,0)</f>
        <v>0.893922570858382</v>
      </c>
      <c r="K18" s="32" t="n">
        <f aca="false">IF(K$5&gt;$E$12,1/(1+$E$53)^K17,0)</f>
        <v>0.799097562690059</v>
      </c>
      <c r="L18" s="32" t="n">
        <f aca="false">IF(L$5&gt;$E$12,1/(1+$E$53)^L17,0)</f>
        <v>0.714331347606564</v>
      </c>
      <c r="M18" s="32" t="n">
        <f aca="false">IF(M$5&gt;$E$12,1/(1+$E$53)^M17,0)</f>
        <v>0.638556914697192</v>
      </c>
      <c r="N18" s="32" t="n">
        <f aca="false">IF(N$5&gt;$E$12,1/(1+$E$53)^N17,0)</f>
        <v>0.57082043882551</v>
      </c>
      <c r="O18" s="32" t="n">
        <f aca="false">IF(O$5&gt;$E$12,1/(1+$E$53)^O17,0)</f>
        <v>0.51026927417341</v>
      </c>
      <c r="P18" s="32" t="n">
        <f aca="false">IF(P$5&gt;$E$12,1/(1+$E$53)^P17,0)</f>
        <v>0.456141221399135</v>
      </c>
      <c r="Q18" s="32" t="n">
        <f aca="false">IF(Q$5&gt;$E$12,1/(1+$E$53)^Q17,0)</f>
        <v>0.407754933307597</v>
      </c>
      <c r="R18" s="32" t="n">
        <f aca="false">IF(R$5&gt;$E$12,1/(1+$E$53)^R17,0)</f>
        <v>0.364501338262515</v>
      </c>
      <c r="S18" s="32" t="n">
        <f aca="false">IF(S$5&gt;$E$12,1/(1+$E$53)^S17,0)</f>
        <v>0.325835973380948</v>
      </c>
      <c r="T18" s="5" t="s">
        <v>137</v>
      </c>
    </row>
    <row r="19" customFormat="false" ht="15" hidden="false" customHeight="false" outlineLevel="0" collapsed="false">
      <c r="B19" s="24" t="s">
        <v>149</v>
      </c>
      <c r="C19" s="25" t="s">
        <v>143</v>
      </c>
      <c r="D19" s="28" t="s">
        <v>136</v>
      </c>
      <c r="F19" s="30" t="n">
        <f aca="false">IF(F$5&lt;=$E$12,1,0)</f>
        <v>1</v>
      </c>
      <c r="G19" s="30" t="n">
        <f aca="false">IF(G$5&lt;=$E$12,1,0)</f>
        <v>1</v>
      </c>
      <c r="H19" s="30" t="n">
        <f aca="false">IF(H$5&lt;=$E$12,1,0)</f>
        <v>1</v>
      </c>
      <c r="I19" s="30" t="n">
        <f aca="false">IF(I$5&lt;=$E$12,1,0)</f>
        <v>1</v>
      </c>
      <c r="J19" s="30" t="n">
        <f aca="false">IF(J$5&lt;=$E$12,1,0)</f>
        <v>0</v>
      </c>
      <c r="K19" s="30" t="n">
        <f aca="false">IF(K$5&lt;=$E$12,1,0)</f>
        <v>0</v>
      </c>
      <c r="L19" s="30" t="n">
        <f aca="false">IF(L$5&lt;=$E$12,1,0)</f>
        <v>0</v>
      </c>
      <c r="M19" s="30" t="n">
        <f aca="false">IF(M$5&lt;=$E$12,1,0)</f>
        <v>0</v>
      </c>
      <c r="N19" s="30" t="n">
        <f aca="false">IF(N$5&lt;=$E$12,1,0)</f>
        <v>0</v>
      </c>
      <c r="O19" s="30" t="n">
        <f aca="false">IF(O$5&lt;=$E$12,1,0)</f>
        <v>0</v>
      </c>
      <c r="P19" s="30" t="n">
        <f aca="false">IF(P$5&lt;=$E$12,1,0)</f>
        <v>0</v>
      </c>
      <c r="Q19" s="30" t="n">
        <f aca="false">IF(Q$5&lt;=$E$12,1,0)</f>
        <v>0</v>
      </c>
      <c r="R19" s="30" t="n">
        <f aca="false">IF(R$5&lt;=$E$12,1,0)</f>
        <v>0</v>
      </c>
      <c r="S19" s="30" t="n">
        <f aca="false">IF(S$5&lt;=$E$12,1,0)</f>
        <v>0</v>
      </c>
      <c r="T19" s="5" t="s">
        <v>137</v>
      </c>
    </row>
    <row r="21" customFormat="false" ht="15" hidden="false" customHeight="false" outlineLevel="0" collapsed="false">
      <c r="B21" s="22" t="s">
        <v>150</v>
      </c>
      <c r="C21" s="23"/>
      <c r="D21" s="23"/>
      <c r="E21" s="23"/>
      <c r="F21" s="23"/>
      <c r="G21" s="23"/>
      <c r="H21" s="23"/>
      <c r="I21" s="23"/>
      <c r="J21" s="23"/>
      <c r="K21" s="23"/>
      <c r="L21" s="23"/>
      <c r="M21" s="23"/>
      <c r="N21" s="23"/>
      <c r="O21" s="23"/>
      <c r="P21" s="23"/>
      <c r="Q21" s="23"/>
      <c r="R21" s="23"/>
      <c r="S21" s="23"/>
    </row>
    <row r="22" customFormat="false" ht="15" hidden="false" customHeight="false" outlineLevel="0" collapsed="false">
      <c r="B22" s="24" t="s">
        <v>151</v>
      </c>
      <c r="C22" s="25" t="s">
        <v>152</v>
      </c>
      <c r="D22" s="28" t="s">
        <v>153</v>
      </c>
      <c r="F22" s="33" t="n">
        <v>16265</v>
      </c>
      <c r="G22" s="33" t="n">
        <v>16265</v>
      </c>
      <c r="H22" s="33" t="n">
        <v>16265</v>
      </c>
      <c r="I22" s="33" t="n">
        <v>16265</v>
      </c>
      <c r="J22" s="33" t="n">
        <v>16265</v>
      </c>
      <c r="K22" s="33" t="n">
        <v>16265</v>
      </c>
      <c r="L22" s="33" t="n">
        <v>16265</v>
      </c>
      <c r="M22" s="33" t="n">
        <v>16265</v>
      </c>
      <c r="N22" s="33" t="n">
        <v>16265</v>
      </c>
      <c r="O22" s="33" t="n">
        <v>16265</v>
      </c>
      <c r="P22" s="33" t="n">
        <v>16265</v>
      </c>
      <c r="Q22" s="33" t="n">
        <v>16265</v>
      </c>
      <c r="R22" s="33" t="n">
        <v>16265</v>
      </c>
      <c r="S22" s="33" t="n">
        <v>16265</v>
      </c>
      <c r="T22" s="5" t="s">
        <v>154</v>
      </c>
      <c r="U22" s="5" t="s">
        <v>155</v>
      </c>
    </row>
    <row r="23" customFormat="false" ht="15" hidden="false" customHeight="false" outlineLevel="0" collapsed="false">
      <c r="B23" s="24" t="s">
        <v>156</v>
      </c>
      <c r="C23" s="25" t="s">
        <v>152</v>
      </c>
      <c r="D23" s="28" t="s">
        <v>136</v>
      </c>
      <c r="E23" s="34" t="n">
        <f aca="false">INDEX($F$22:$S$22,MATCH($E$12,$F$15:$S$15,0))</f>
        <v>16265</v>
      </c>
      <c r="T23" s="5" t="s">
        <v>137</v>
      </c>
    </row>
    <row r="24" customFormat="false" ht="15" hidden="false" customHeight="false" outlineLevel="0" collapsed="false">
      <c r="B24" s="24" t="s">
        <v>157</v>
      </c>
      <c r="C24" s="25" t="s">
        <v>152</v>
      </c>
      <c r="D24" s="28" t="s">
        <v>136</v>
      </c>
      <c r="E24" s="34" t="n">
        <f aca="false">INDEX($F$22:$S$22,1)</f>
        <v>16265</v>
      </c>
      <c r="T24" s="5" t="s">
        <v>137</v>
      </c>
    </row>
    <row r="26" customFormat="false" ht="15" hidden="false" customHeight="false" outlineLevel="0" collapsed="false">
      <c r="B26" s="22" t="s">
        <v>158</v>
      </c>
      <c r="C26" s="23"/>
      <c r="D26" s="23"/>
      <c r="E26" s="23"/>
      <c r="F26" s="23"/>
      <c r="G26" s="23"/>
      <c r="H26" s="23"/>
      <c r="I26" s="23"/>
      <c r="J26" s="23"/>
      <c r="K26" s="23"/>
      <c r="L26" s="23"/>
      <c r="M26" s="23"/>
      <c r="N26" s="23"/>
      <c r="O26" s="23"/>
      <c r="P26" s="23"/>
      <c r="Q26" s="23"/>
      <c r="R26" s="23"/>
      <c r="S26" s="23"/>
    </row>
    <row r="27" customFormat="false" ht="15" hidden="false" customHeight="false" outlineLevel="0" collapsed="false">
      <c r="B27" s="24" t="s">
        <v>159</v>
      </c>
      <c r="C27" s="25" t="s">
        <v>160</v>
      </c>
      <c r="D27" s="28" t="s">
        <v>153</v>
      </c>
      <c r="E27" s="35" t="n">
        <v>0.22</v>
      </c>
      <c r="T27" s="5" t="s">
        <v>161</v>
      </c>
      <c r="U27" s="5" t="s">
        <v>162</v>
      </c>
    </row>
    <row r="28" customFormat="false" ht="15" hidden="false" customHeight="false" outlineLevel="0" collapsed="false">
      <c r="B28" s="24" t="s">
        <v>163</v>
      </c>
      <c r="C28" s="25" t="s">
        <v>164</v>
      </c>
      <c r="D28" s="28" t="s">
        <v>153</v>
      </c>
      <c r="E28" s="36" t="n">
        <v>45</v>
      </c>
      <c r="T28" s="5" t="s">
        <v>165</v>
      </c>
      <c r="U28" s="5" t="s">
        <v>166</v>
      </c>
    </row>
    <row r="29" customFormat="false" ht="15" hidden="false" customHeight="false" outlineLevel="0" collapsed="false">
      <c r="B29" s="24" t="s">
        <v>167</v>
      </c>
      <c r="C29" s="25" t="s">
        <v>164</v>
      </c>
      <c r="D29" s="28" t="s">
        <v>153</v>
      </c>
      <c r="E29" s="36" t="n">
        <v>30</v>
      </c>
      <c r="T29" s="5" t="s">
        <v>168</v>
      </c>
    </row>
    <row r="30" customFormat="false" ht="15" hidden="false" customHeight="false" outlineLevel="0" collapsed="false">
      <c r="B30" s="24" t="s">
        <v>169</v>
      </c>
      <c r="C30" s="25" t="s">
        <v>170</v>
      </c>
      <c r="D30" s="28" t="s">
        <v>153</v>
      </c>
      <c r="E30" s="37" t="n">
        <v>0.519811</v>
      </c>
      <c r="T30" s="5" t="s">
        <v>171</v>
      </c>
      <c r="U30" s="5" t="s">
        <v>172</v>
      </c>
    </row>
    <row r="32" customFormat="false" ht="15" hidden="false" customHeight="false" outlineLevel="0" collapsed="false">
      <c r="B32" s="22" t="s">
        <v>173</v>
      </c>
      <c r="C32" s="23"/>
      <c r="D32" s="23"/>
      <c r="E32" s="23"/>
      <c r="F32" s="23"/>
      <c r="G32" s="23"/>
      <c r="H32" s="23"/>
      <c r="I32" s="23"/>
      <c r="J32" s="23"/>
      <c r="K32" s="23"/>
      <c r="L32" s="23"/>
      <c r="M32" s="23"/>
      <c r="N32" s="23"/>
      <c r="O32" s="23"/>
      <c r="P32" s="23"/>
      <c r="Q32" s="23"/>
      <c r="R32" s="23"/>
      <c r="S32" s="23"/>
    </row>
    <row r="33" customFormat="false" ht="15" hidden="false" customHeight="false" outlineLevel="0" collapsed="false">
      <c r="B33" s="24" t="s">
        <v>174</v>
      </c>
      <c r="C33" s="25" t="s">
        <v>175</v>
      </c>
      <c r="D33" s="26" t="s">
        <v>176</v>
      </c>
      <c r="E33" s="38" t="n">
        <v>2</v>
      </c>
      <c r="T33" s="5" t="s">
        <v>177</v>
      </c>
      <c r="U33" s="5" t="s">
        <v>178</v>
      </c>
    </row>
    <row r="34" customFormat="false" ht="15" hidden="false" customHeight="false" outlineLevel="0" collapsed="false">
      <c r="B34" s="24" t="s">
        <v>179</v>
      </c>
      <c r="C34" s="25" t="s">
        <v>180</v>
      </c>
      <c r="D34" s="26" t="s">
        <v>176</v>
      </c>
      <c r="E34" s="38" t="n">
        <v>1</v>
      </c>
      <c r="T34" s="5" t="s">
        <v>181</v>
      </c>
    </row>
    <row r="35" customFormat="false" ht="15" hidden="false" customHeight="false" outlineLevel="0" collapsed="false">
      <c r="B35" s="24" t="s">
        <v>182</v>
      </c>
      <c r="C35" s="25" t="s">
        <v>180</v>
      </c>
      <c r="D35" s="26" t="s">
        <v>176</v>
      </c>
      <c r="E35" s="38" t="n">
        <v>1</v>
      </c>
      <c r="T35" s="5" t="s">
        <v>183</v>
      </c>
    </row>
    <row r="36" customFormat="false" ht="15" hidden="false" customHeight="false" outlineLevel="0" collapsed="false">
      <c r="B36" s="24" t="s">
        <v>184</v>
      </c>
      <c r="C36" s="25" t="s">
        <v>175</v>
      </c>
      <c r="D36" s="26" t="s">
        <v>176</v>
      </c>
      <c r="E36" s="38" t="n">
        <v>1</v>
      </c>
      <c r="T36" s="5" t="s">
        <v>185</v>
      </c>
    </row>
    <row r="37" customFormat="false" ht="15" hidden="false" customHeight="false" outlineLevel="0" collapsed="false">
      <c r="B37" s="24" t="s">
        <v>186</v>
      </c>
      <c r="C37" s="25" t="s">
        <v>180</v>
      </c>
      <c r="D37" s="26" t="s">
        <v>176</v>
      </c>
      <c r="E37" s="38" t="n">
        <v>1</v>
      </c>
      <c r="T37" s="5" t="s">
        <v>187</v>
      </c>
      <c r="U37" s="5" t="s">
        <v>188</v>
      </c>
    </row>
    <row r="38" customFormat="false" ht="15" hidden="false" customHeight="false" outlineLevel="0" collapsed="false">
      <c r="B38" s="24" t="s">
        <v>189</v>
      </c>
      <c r="C38" s="25" t="s">
        <v>180</v>
      </c>
      <c r="D38" s="26" t="s">
        <v>190</v>
      </c>
      <c r="E38" s="39" t="n">
        <v>0</v>
      </c>
      <c r="T38" s="5" t="s">
        <v>191</v>
      </c>
    </row>
    <row r="40" customFormat="false" ht="15" hidden="false" customHeight="false" outlineLevel="0" collapsed="false">
      <c r="B40" s="22" t="s">
        <v>192</v>
      </c>
      <c r="C40" s="23"/>
      <c r="D40" s="23"/>
      <c r="E40" s="23"/>
      <c r="F40" s="23"/>
      <c r="G40" s="23"/>
      <c r="H40" s="23"/>
      <c r="I40" s="23"/>
      <c r="J40" s="23"/>
      <c r="K40" s="23"/>
      <c r="L40" s="23"/>
      <c r="M40" s="23"/>
      <c r="N40" s="23"/>
      <c r="O40" s="23"/>
      <c r="P40" s="23"/>
      <c r="Q40" s="23"/>
      <c r="R40" s="23"/>
      <c r="S40" s="23"/>
    </row>
    <row r="41" customFormat="false" ht="15" hidden="false" customHeight="false" outlineLevel="0" collapsed="false">
      <c r="B41" s="24" t="s">
        <v>193</v>
      </c>
      <c r="C41" s="25" t="s">
        <v>160</v>
      </c>
      <c r="D41" s="26" t="s">
        <v>190</v>
      </c>
      <c r="E41" s="40" t="n">
        <v>0.0701</v>
      </c>
      <c r="T41" s="5" t="s">
        <v>194</v>
      </c>
    </row>
    <row r="42" customFormat="false" ht="15" hidden="false" customHeight="false" outlineLevel="0" collapsed="false">
      <c r="B42" s="24" t="s">
        <v>195</v>
      </c>
      <c r="C42" s="25" t="s">
        <v>160</v>
      </c>
      <c r="D42" s="26" t="s">
        <v>190</v>
      </c>
      <c r="E42" s="40" t="n">
        <v>0.0162</v>
      </c>
      <c r="T42" s="5" t="s">
        <v>196</v>
      </c>
    </row>
    <row r="43" customFormat="false" ht="15" hidden="false" customHeight="false" outlineLevel="0" collapsed="false">
      <c r="B43" s="24" t="s">
        <v>197</v>
      </c>
      <c r="C43" s="25" t="s">
        <v>160</v>
      </c>
      <c r="D43" s="26" t="s">
        <v>190</v>
      </c>
      <c r="E43" s="40" t="n">
        <v>0.0669</v>
      </c>
      <c r="T43" s="5" t="s">
        <v>196</v>
      </c>
    </row>
    <row r="44" customFormat="false" ht="15" hidden="false" customHeight="false" outlineLevel="0" collapsed="false">
      <c r="B44" s="24" t="s">
        <v>198</v>
      </c>
      <c r="C44" s="25" t="s">
        <v>148</v>
      </c>
      <c r="D44" s="26" t="s">
        <v>190</v>
      </c>
      <c r="E44" s="41" t="n">
        <v>0.8</v>
      </c>
      <c r="T44" s="5" t="s">
        <v>196</v>
      </c>
    </row>
    <row r="45" customFormat="false" ht="15" hidden="false" customHeight="false" outlineLevel="0" collapsed="false">
      <c r="B45" s="24" t="s">
        <v>199</v>
      </c>
      <c r="C45" s="25" t="s">
        <v>160</v>
      </c>
      <c r="D45" s="26" t="s">
        <v>190</v>
      </c>
      <c r="E45" s="42" t="n">
        <v>0.2</v>
      </c>
      <c r="T45" s="5" t="s">
        <v>196</v>
      </c>
    </row>
    <row r="46" customFormat="false" ht="15" hidden="false" customHeight="false" outlineLevel="0" collapsed="false">
      <c r="B46" s="24" t="s">
        <v>200</v>
      </c>
      <c r="C46" s="25" t="s">
        <v>160</v>
      </c>
      <c r="D46" s="26" t="s">
        <v>190</v>
      </c>
      <c r="E46" s="40" t="n">
        <v>0.105</v>
      </c>
      <c r="T46" s="5" t="s">
        <v>201</v>
      </c>
    </row>
    <row r="47" customFormat="false" ht="15" hidden="false" customHeight="false" outlineLevel="0" collapsed="false">
      <c r="B47" s="24" t="s">
        <v>202</v>
      </c>
      <c r="C47" s="25" t="s">
        <v>160</v>
      </c>
      <c r="D47" s="26" t="s">
        <v>190</v>
      </c>
      <c r="E47" s="40" t="n">
        <v>0.01</v>
      </c>
      <c r="T47" s="5" t="s">
        <v>196</v>
      </c>
    </row>
    <row r="48" customFormat="false" ht="15" hidden="false" customHeight="false" outlineLevel="0" collapsed="false">
      <c r="B48" s="24" t="s">
        <v>203</v>
      </c>
      <c r="C48" s="25" t="s">
        <v>160</v>
      </c>
      <c r="D48" s="28" t="s">
        <v>136</v>
      </c>
      <c r="E48" s="43" t="n">
        <f aca="false">$E$41-$E$42</f>
        <v>0.0539</v>
      </c>
      <c r="T48" s="5" t="s">
        <v>137</v>
      </c>
    </row>
    <row r="49" customFormat="false" ht="15" hidden="false" customHeight="false" outlineLevel="0" collapsed="false">
      <c r="B49" s="24" t="s">
        <v>204</v>
      </c>
      <c r="C49" s="25" t="s">
        <v>148</v>
      </c>
      <c r="D49" s="28" t="s">
        <v>136</v>
      </c>
      <c r="E49" s="44" t="n">
        <f aca="false">$E$45/(1-$E$45)</f>
        <v>0.25</v>
      </c>
      <c r="T49" s="5" t="s">
        <v>137</v>
      </c>
    </row>
    <row r="50" customFormat="false" ht="15" hidden="false" customHeight="false" outlineLevel="0" collapsed="false">
      <c r="B50" s="24" t="s">
        <v>205</v>
      </c>
      <c r="C50" s="25" t="s">
        <v>148</v>
      </c>
      <c r="D50" s="28" t="s">
        <v>136</v>
      </c>
      <c r="E50" s="44" t="n">
        <f aca="false">$E$44*(1+(1-$E$27)*$E$49)</f>
        <v>0.956</v>
      </c>
      <c r="T50" s="5" t="s">
        <v>137</v>
      </c>
    </row>
    <row r="51" customFormat="false" ht="15" hidden="false" customHeight="false" outlineLevel="0" collapsed="false">
      <c r="B51" s="24" t="s">
        <v>206</v>
      </c>
      <c r="C51" s="25" t="s">
        <v>160</v>
      </c>
      <c r="D51" s="28" t="s">
        <v>136</v>
      </c>
      <c r="E51" s="43" t="n">
        <f aca="false">$E$48+$E$50*$E$43+$E$47</f>
        <v>0.1278564</v>
      </c>
      <c r="T51" s="5" t="s">
        <v>137</v>
      </c>
    </row>
    <row r="52" customFormat="false" ht="15" hidden="false" customHeight="false" outlineLevel="0" collapsed="false">
      <c r="B52" s="24" t="s">
        <v>207</v>
      </c>
      <c r="C52" s="25" t="s">
        <v>160</v>
      </c>
      <c r="D52" s="28" t="s">
        <v>136</v>
      </c>
      <c r="E52" s="43" t="n">
        <f aca="false">$E$46*(1-$E$27)</f>
        <v>0.0819</v>
      </c>
      <c r="T52" s="5" t="s">
        <v>137</v>
      </c>
    </row>
    <row r="53" customFormat="false" ht="15" hidden="false" customHeight="false" outlineLevel="0" collapsed="false">
      <c r="B53" s="24" t="s">
        <v>208</v>
      </c>
      <c r="C53" s="25" t="s">
        <v>160</v>
      </c>
      <c r="D53" s="28" t="s">
        <v>136</v>
      </c>
      <c r="E53" s="43" t="n">
        <f aca="false">(1-$E$45)*$E$51+$E$45*$E$52</f>
        <v>0.11866512</v>
      </c>
      <c r="T53" s="5" t="s">
        <v>137</v>
      </c>
      <c r="U53" s="5" t="s">
        <v>209</v>
      </c>
    </row>
    <row r="54" customFormat="false" ht="15" hidden="false" customHeight="false" outlineLevel="0" collapsed="false">
      <c r="B54" s="24" t="s">
        <v>210</v>
      </c>
      <c r="C54" s="25" t="s">
        <v>160</v>
      </c>
      <c r="D54" s="26" t="s">
        <v>190</v>
      </c>
      <c r="E54" s="40" t="n">
        <v>0.03</v>
      </c>
      <c r="T54" s="5" t="s">
        <v>196</v>
      </c>
    </row>
    <row r="55" customFormat="false" ht="15" hidden="false" customHeight="false" outlineLevel="0" collapsed="false">
      <c r="B55" s="24" t="s">
        <v>211</v>
      </c>
      <c r="C55" s="25" t="s">
        <v>148</v>
      </c>
      <c r="D55" s="26" t="s">
        <v>190</v>
      </c>
      <c r="E55" s="41" t="n">
        <v>1</v>
      </c>
      <c r="T55" s="5" t="s">
        <v>196</v>
      </c>
      <c r="U55" s="5" t="s">
        <v>212</v>
      </c>
    </row>
    <row r="57" customFormat="false" ht="15" hidden="false" customHeight="false" outlineLevel="0" collapsed="false">
      <c r="B57" s="22" t="s">
        <v>213</v>
      </c>
      <c r="C57" s="23"/>
      <c r="D57" s="23"/>
      <c r="E57" s="23"/>
      <c r="F57" s="23"/>
      <c r="G57" s="23"/>
      <c r="H57" s="23"/>
      <c r="I57" s="23"/>
      <c r="J57" s="23"/>
      <c r="K57" s="23"/>
      <c r="L57" s="23"/>
      <c r="M57" s="23"/>
      <c r="N57" s="23"/>
      <c r="O57" s="23"/>
      <c r="P57" s="23"/>
      <c r="Q57" s="23"/>
      <c r="R57" s="23"/>
      <c r="S57" s="23"/>
    </row>
    <row r="58" customFormat="false" ht="15" hidden="false" customHeight="false" outlineLevel="0" collapsed="false">
      <c r="B58" s="24" t="s">
        <v>214</v>
      </c>
      <c r="C58" s="25" t="s">
        <v>170</v>
      </c>
      <c r="D58" s="28" t="s">
        <v>153</v>
      </c>
      <c r="E58" s="45" t="n">
        <v>60.6389</v>
      </c>
      <c r="T58" s="5" t="s">
        <v>215</v>
      </c>
    </row>
    <row r="59" customFormat="false" ht="15" hidden="false" customHeight="false" outlineLevel="0" collapsed="false">
      <c r="B59" s="24" t="s">
        <v>216</v>
      </c>
      <c r="C59" s="25" t="s">
        <v>170</v>
      </c>
      <c r="D59" s="28" t="s">
        <v>136</v>
      </c>
      <c r="E59" s="46" t="n">
        <f aca="false">$E$30</f>
        <v>0.519811</v>
      </c>
      <c r="T59" s="5" t="s">
        <v>217</v>
      </c>
    </row>
    <row r="60" customFormat="false" ht="15" hidden="false" customHeight="false" outlineLevel="0" collapsed="false">
      <c r="B60" s="24" t="s">
        <v>218</v>
      </c>
      <c r="C60" s="25" t="s">
        <v>170</v>
      </c>
      <c r="D60" s="28" t="s">
        <v>153</v>
      </c>
      <c r="E60" s="45" t="n">
        <v>45</v>
      </c>
      <c r="T60" s="5" t="s">
        <v>219</v>
      </c>
      <c r="U60" s="5" t="s">
        <v>220</v>
      </c>
    </row>
    <row r="61" customFormat="false" ht="15" hidden="false" customHeight="false" outlineLevel="0" collapsed="false">
      <c r="B61" s="24" t="s">
        <v>221</v>
      </c>
      <c r="C61" s="25" t="s">
        <v>170</v>
      </c>
      <c r="D61" s="28" t="s">
        <v>153</v>
      </c>
      <c r="E61" s="45" t="n">
        <v>826.022</v>
      </c>
      <c r="T61" s="5" t="s">
        <v>222</v>
      </c>
    </row>
    <row r="62" customFormat="false" ht="15" hidden="false" customHeight="false" outlineLevel="0" collapsed="false">
      <c r="B62" s="24" t="s">
        <v>223</v>
      </c>
      <c r="C62" s="25" t="s">
        <v>170</v>
      </c>
      <c r="D62" s="28" t="s">
        <v>153</v>
      </c>
      <c r="E62" s="45" t="n">
        <v>331.263</v>
      </c>
      <c r="T62" s="5" t="s">
        <v>224</v>
      </c>
    </row>
    <row r="63" customFormat="false" ht="15" hidden="false" customHeight="false" outlineLevel="0" collapsed="false">
      <c r="B63" s="24" t="s">
        <v>225</v>
      </c>
      <c r="C63" s="25" t="s">
        <v>170</v>
      </c>
      <c r="D63" s="28" t="s">
        <v>153</v>
      </c>
      <c r="E63" s="45" t="n">
        <v>14.6719859829049</v>
      </c>
      <c r="T63" s="5" t="s">
        <v>226</v>
      </c>
    </row>
    <row r="64" customFormat="false" ht="15" hidden="false" customHeight="false" outlineLevel="0" collapsed="false">
      <c r="B64" s="24" t="s">
        <v>227</v>
      </c>
      <c r="C64" s="25" t="s">
        <v>170</v>
      </c>
      <c r="D64" s="28" t="s">
        <v>153</v>
      </c>
      <c r="E64" s="45" t="n">
        <v>224.518</v>
      </c>
      <c r="T64" s="5" t="s">
        <v>228</v>
      </c>
    </row>
    <row r="65" customFormat="false" ht="15" hidden="false" customHeight="false" outlineLevel="0" collapsed="false">
      <c r="B65" s="24" t="s">
        <v>229</v>
      </c>
      <c r="C65" s="25" t="s">
        <v>170</v>
      </c>
      <c r="D65" s="28" t="s">
        <v>153</v>
      </c>
      <c r="E65" s="45" t="n">
        <v>55.9245</v>
      </c>
      <c r="T65" s="5" t="s">
        <v>230</v>
      </c>
      <c r="U65" s="5" t="s">
        <v>231</v>
      </c>
    </row>
    <row r="66" customFormat="false" ht="15" hidden="false" customHeight="false" outlineLevel="0" collapsed="false">
      <c r="B66" s="24" t="s">
        <v>232</v>
      </c>
      <c r="C66" s="25" t="s">
        <v>170</v>
      </c>
      <c r="D66" s="28" t="s">
        <v>153</v>
      </c>
      <c r="E66" s="45" t="n">
        <v>677.731</v>
      </c>
      <c r="T66" s="5" t="s">
        <v>233</v>
      </c>
    </row>
    <row r="67" customFormat="false" ht="15" hidden="false" customHeight="false" outlineLevel="0" collapsed="false">
      <c r="B67" s="24" t="s">
        <v>234</v>
      </c>
      <c r="C67" s="25" t="s">
        <v>170</v>
      </c>
      <c r="D67" s="28" t="s">
        <v>153</v>
      </c>
      <c r="E67" s="45" t="n">
        <v>290.592</v>
      </c>
      <c r="T67" s="5" t="s">
        <v>235</v>
      </c>
    </row>
    <row r="68" customFormat="false" ht="15" hidden="false" customHeight="false" outlineLevel="0" collapsed="false">
      <c r="B68" s="24" t="s">
        <v>236</v>
      </c>
      <c r="C68" s="25" t="s">
        <v>170</v>
      </c>
      <c r="D68" s="28" t="s">
        <v>136</v>
      </c>
      <c r="E68" s="32" t="n">
        <f aca="false">$E$58+$E$59+$E$60+$E$61+$E$62-$E$63-$E$64-$E$65-$E$66-$E$67</f>
        <v>0.00622501709517564</v>
      </c>
      <c r="T68" s="5" t="s">
        <v>137</v>
      </c>
      <c r="U68" s="5" t="s">
        <v>237</v>
      </c>
    </row>
    <row r="70" customFormat="false" ht="15" hidden="false" customHeight="false" outlineLevel="0" collapsed="false">
      <c r="B70" s="22" t="s">
        <v>238</v>
      </c>
      <c r="C70" s="23"/>
      <c r="D70" s="23"/>
      <c r="E70" s="23"/>
      <c r="F70" s="23"/>
      <c r="G70" s="23"/>
      <c r="H70" s="23"/>
      <c r="I70" s="23"/>
      <c r="J70" s="23"/>
      <c r="K70" s="23"/>
      <c r="L70" s="23"/>
      <c r="M70" s="23"/>
      <c r="N70" s="23"/>
      <c r="O70" s="23"/>
      <c r="P70" s="23"/>
      <c r="Q70" s="23"/>
      <c r="R70" s="23"/>
      <c r="S70" s="23"/>
    </row>
    <row r="71" customFormat="false" ht="15" hidden="false" customHeight="false" outlineLevel="0" collapsed="false">
      <c r="B71" s="24" t="s">
        <v>239</v>
      </c>
      <c r="C71" s="25" t="s">
        <v>240</v>
      </c>
      <c r="D71" s="28" t="s">
        <v>153</v>
      </c>
      <c r="E71" s="37" t="n">
        <v>12</v>
      </c>
      <c r="T71" s="5" t="s">
        <v>241</v>
      </c>
    </row>
    <row r="72" customFormat="false" ht="15" hidden="false" customHeight="false" outlineLevel="0" collapsed="false">
      <c r="B72" s="24" t="s">
        <v>242</v>
      </c>
      <c r="C72" s="25" t="s">
        <v>170</v>
      </c>
      <c r="D72" s="28" t="s">
        <v>136</v>
      </c>
      <c r="E72" s="47" t="n">
        <f aca="false">$E$71*$E$24/1000</f>
        <v>195.18</v>
      </c>
      <c r="T72" s="5" t="s">
        <v>243</v>
      </c>
    </row>
    <row r="73" customFormat="false" ht="15" hidden="false" customHeight="false" outlineLevel="0" collapsed="false">
      <c r="B73" s="24" t="s">
        <v>244</v>
      </c>
      <c r="C73" s="25" t="s">
        <v>170</v>
      </c>
      <c r="D73" s="28" t="s">
        <v>136</v>
      </c>
      <c r="E73" s="47" t="n">
        <f aca="false">$E$64-$E$72</f>
        <v>29.338</v>
      </c>
      <c r="T73" s="5" t="s">
        <v>245</v>
      </c>
    </row>
    <row r="74" customFormat="false" ht="15" hidden="false" customHeight="false" outlineLevel="0" collapsed="false">
      <c r="B74" s="24" t="s">
        <v>246</v>
      </c>
      <c r="C74" s="25" t="s">
        <v>160</v>
      </c>
      <c r="D74" s="26" t="s">
        <v>190</v>
      </c>
      <c r="E74" s="40" t="n">
        <v>0.07825321</v>
      </c>
      <c r="T74" s="5" t="s">
        <v>247</v>
      </c>
      <c r="U74" s="5" t="s">
        <v>248</v>
      </c>
    </row>
    <row r="75" customFormat="false" ht="15" hidden="false" customHeight="false" outlineLevel="0" collapsed="false">
      <c r="B75" s="24" t="s">
        <v>249</v>
      </c>
      <c r="C75" s="25" t="s">
        <v>170</v>
      </c>
      <c r="D75" s="28" t="s">
        <v>153</v>
      </c>
      <c r="E75" s="45" t="n">
        <v>5.470905517661</v>
      </c>
      <c r="T75" s="5" t="s">
        <v>250</v>
      </c>
    </row>
    <row r="76" customFormat="false" ht="15" hidden="false" customHeight="false" outlineLevel="0" collapsed="false">
      <c r="B76" s="24" t="s">
        <v>251</v>
      </c>
      <c r="C76" s="25" t="s">
        <v>130</v>
      </c>
      <c r="D76" s="26" t="s">
        <v>190</v>
      </c>
      <c r="E76" s="48" t="n">
        <v>46568</v>
      </c>
      <c r="T76" s="5" t="s">
        <v>252</v>
      </c>
      <c r="U76" s="5" t="s">
        <v>253</v>
      </c>
    </row>
    <row r="77" customFormat="false" ht="15" hidden="false" customHeight="false" outlineLevel="0" collapsed="false">
      <c r="B77" s="24" t="s">
        <v>254</v>
      </c>
      <c r="C77" s="25" t="s">
        <v>135</v>
      </c>
      <c r="D77" s="28" t="s">
        <v>136</v>
      </c>
      <c r="E77" s="29" t="n">
        <f aca="false">YEAR($E$76)</f>
        <v>2027</v>
      </c>
      <c r="T77" s="5" t="s">
        <v>137</v>
      </c>
    </row>
    <row r="78" customFormat="false" ht="15" hidden="false" customHeight="false" outlineLevel="0" collapsed="false">
      <c r="B78" s="24" t="s">
        <v>255</v>
      </c>
      <c r="C78" s="25" t="s">
        <v>160</v>
      </c>
      <c r="D78" s="28" t="s">
        <v>136</v>
      </c>
      <c r="E78" s="49" t="n">
        <f aca="false">(($E$76-DATE($E$77,1,1))+1)/(DATE($E$77,12,31)-DATE($E$77,1,1)+1)</f>
        <v>0.495890410958904</v>
      </c>
      <c r="T78" s="5" t="s">
        <v>137</v>
      </c>
    </row>
    <row r="79" customFormat="false" ht="15" hidden="false" customHeight="false" outlineLevel="0" collapsed="false">
      <c r="B79" s="24" t="s">
        <v>256</v>
      </c>
      <c r="C79" s="25" t="s">
        <v>175</v>
      </c>
      <c r="D79" s="26" t="s">
        <v>176</v>
      </c>
      <c r="E79" s="38" t="n">
        <v>1</v>
      </c>
      <c r="T79" s="5" t="s">
        <v>257</v>
      </c>
    </row>
    <row r="80" customFormat="false" ht="15" hidden="false" customHeight="false" outlineLevel="0" collapsed="false">
      <c r="B80" s="24" t="s">
        <v>258</v>
      </c>
      <c r="C80" s="25" t="s">
        <v>240</v>
      </c>
      <c r="D80" s="26" t="s">
        <v>176</v>
      </c>
      <c r="E80" s="50" t="n">
        <v>0</v>
      </c>
      <c r="T80" s="5" t="s">
        <v>259</v>
      </c>
      <c r="U80" s="5" t="s">
        <v>260</v>
      </c>
    </row>
    <row r="81" customFormat="false" ht="15" hidden="false" customHeight="false" outlineLevel="0" collapsed="false">
      <c r="B81" s="24" t="s">
        <v>261</v>
      </c>
      <c r="C81" s="25" t="s">
        <v>160</v>
      </c>
      <c r="D81" s="26" t="s">
        <v>262</v>
      </c>
      <c r="E81" s="51" t="n">
        <v>1</v>
      </c>
      <c r="T81" s="5" t="s">
        <v>263</v>
      </c>
    </row>
    <row r="82" customFormat="false" ht="15" hidden="false" customHeight="false" outlineLevel="0" collapsed="false">
      <c r="B82" s="24" t="s">
        <v>264</v>
      </c>
      <c r="C82" s="25" t="s">
        <v>170</v>
      </c>
      <c r="D82" s="28" t="s">
        <v>153</v>
      </c>
      <c r="E82" s="45" t="n">
        <v>3</v>
      </c>
      <c r="T82" s="5" t="s">
        <v>265</v>
      </c>
    </row>
    <row r="83" customFormat="false" ht="15" hidden="false" customHeight="false" outlineLevel="0" collapsed="false">
      <c r="B83" s="24" t="s">
        <v>266</v>
      </c>
      <c r="C83" s="25" t="s">
        <v>160</v>
      </c>
      <c r="D83" s="28" t="s">
        <v>153</v>
      </c>
      <c r="E83" s="35" t="n">
        <v>0.3</v>
      </c>
      <c r="T83" s="5" t="s">
        <v>267</v>
      </c>
    </row>
    <row r="84" customFormat="false" ht="15" hidden="false" customHeight="false" outlineLevel="0" collapsed="false">
      <c r="B84" s="24" t="s">
        <v>268</v>
      </c>
      <c r="C84" s="25" t="s">
        <v>240</v>
      </c>
      <c r="D84" s="28" t="s">
        <v>153</v>
      </c>
      <c r="E84" s="37" t="n">
        <v>18</v>
      </c>
      <c r="T84" s="5" t="s">
        <v>269</v>
      </c>
    </row>
    <row r="85" customFormat="false" ht="15" hidden="false" customHeight="false" outlineLevel="0" collapsed="false">
      <c r="B85" s="24" t="s">
        <v>270</v>
      </c>
      <c r="C85" s="25" t="s">
        <v>160</v>
      </c>
      <c r="D85" s="28" t="s">
        <v>153</v>
      </c>
      <c r="E85" s="35" t="n">
        <v>0.2</v>
      </c>
      <c r="T85" s="5" t="s">
        <v>271</v>
      </c>
    </row>
    <row r="87" customFormat="false" ht="15" hidden="false" customHeight="false" outlineLevel="0" collapsed="false">
      <c r="B87" s="22" t="s">
        <v>272</v>
      </c>
      <c r="C87" s="23"/>
      <c r="D87" s="23"/>
      <c r="E87" s="23"/>
      <c r="F87" s="23"/>
      <c r="G87" s="23"/>
      <c r="H87" s="23"/>
      <c r="I87" s="23"/>
      <c r="J87" s="23"/>
      <c r="K87" s="23"/>
      <c r="L87" s="23"/>
      <c r="M87" s="23"/>
      <c r="N87" s="23"/>
      <c r="O87" s="23"/>
      <c r="P87" s="23"/>
      <c r="Q87" s="23"/>
      <c r="R87" s="23"/>
      <c r="S87" s="23"/>
    </row>
    <row r="88" customFormat="false" ht="39.75" hidden="false" customHeight="true" outlineLevel="0" collapsed="false">
      <c r="B88" s="52" t="s">
        <v>273</v>
      </c>
      <c r="C88" s="52" t="s">
        <v>274</v>
      </c>
      <c r="D88" s="52" t="s">
        <v>275</v>
      </c>
      <c r="E88" s="52" t="s">
        <v>276</v>
      </c>
      <c r="F88" s="52" t="s">
        <v>277</v>
      </c>
      <c r="G88" s="52" t="s">
        <v>278</v>
      </c>
      <c r="H88" s="52" t="s">
        <v>279</v>
      </c>
      <c r="I88" s="52" t="s">
        <v>280</v>
      </c>
      <c r="J88" s="52" t="s">
        <v>281</v>
      </c>
      <c r="K88" s="52" t="s">
        <v>282</v>
      </c>
      <c r="L88" s="52" t="s">
        <v>283</v>
      </c>
      <c r="M88" s="52" t="s">
        <v>27</v>
      </c>
      <c r="N88" s="52" t="s">
        <v>28</v>
      </c>
      <c r="O88" s="52" t="s">
        <v>29</v>
      </c>
    </row>
    <row r="89" customFormat="false" ht="15" hidden="false" customHeight="false" outlineLevel="0" collapsed="false">
      <c r="B89" s="19" t="s">
        <v>31</v>
      </c>
      <c r="C89" s="5" t="s">
        <v>284</v>
      </c>
      <c r="D89" s="5" t="s">
        <v>285</v>
      </c>
      <c r="E89" s="53" t="n">
        <v>1</v>
      </c>
      <c r="F89" s="53" t="n">
        <v>1</v>
      </c>
      <c r="G89" s="54" t="n">
        <v>0.65</v>
      </c>
      <c r="H89" s="55" t="s">
        <v>286</v>
      </c>
      <c r="I89" s="56" t="n">
        <v>0</v>
      </c>
      <c r="J89" s="56" t="n">
        <v>0</v>
      </c>
      <c r="K89" s="57" t="n">
        <f aca="false">E89*IF(F89=1,1,0)</f>
        <v>1</v>
      </c>
      <c r="L89" s="57" t="n">
        <f aca="false">E89</f>
        <v>1</v>
      </c>
      <c r="M89" s="17" t="s">
        <v>287</v>
      </c>
      <c r="N89" s="17" t="s">
        <v>287</v>
      </c>
      <c r="O89" s="17" t="s">
        <v>287</v>
      </c>
    </row>
    <row r="90" customFormat="false" ht="15" hidden="false" customHeight="false" outlineLevel="0" collapsed="false">
      <c r="B90" s="19" t="s">
        <v>34</v>
      </c>
      <c r="C90" s="5" t="s">
        <v>288</v>
      </c>
      <c r="D90" s="5" t="s">
        <v>285</v>
      </c>
      <c r="E90" s="53" t="n">
        <v>1</v>
      </c>
      <c r="F90" s="53" t="n">
        <v>1</v>
      </c>
      <c r="G90" s="54" t="n">
        <v>1</v>
      </c>
      <c r="H90" s="55" t="s">
        <v>286</v>
      </c>
      <c r="I90" s="56" t="n">
        <v>0</v>
      </c>
      <c r="J90" s="56" t="n">
        <v>0</v>
      </c>
      <c r="K90" s="57" t="n">
        <f aca="false">E90*IF(F90=1,1,0)</f>
        <v>1</v>
      </c>
      <c r="L90" s="57" t="n">
        <f aca="false">E90</f>
        <v>1</v>
      </c>
      <c r="M90" s="17" t="s">
        <v>287</v>
      </c>
      <c r="N90" s="17" t="s">
        <v>287</v>
      </c>
      <c r="O90" s="17" t="s">
        <v>287</v>
      </c>
    </row>
    <row r="91" customFormat="false" ht="15" hidden="false" customHeight="false" outlineLevel="0" collapsed="false">
      <c r="B91" s="19" t="s">
        <v>37</v>
      </c>
      <c r="C91" s="5" t="s">
        <v>289</v>
      </c>
      <c r="D91" s="5" t="s">
        <v>285</v>
      </c>
      <c r="E91" s="53" t="n">
        <v>1</v>
      </c>
      <c r="F91" s="53" t="n">
        <v>1</v>
      </c>
      <c r="G91" s="54" t="n">
        <v>1</v>
      </c>
      <c r="H91" s="55" t="s">
        <v>286</v>
      </c>
      <c r="I91" s="56" t="n">
        <f aca="false">'E3 Belawan Input'!$E$76</f>
        <v>14.0245926836766</v>
      </c>
      <c r="J91" s="56" t="n">
        <f aca="false">'E3 Belawan Input'!$E$82</f>
        <v>7</v>
      </c>
      <c r="K91" s="57" t="n">
        <f aca="false">E91*IF(F91=1,1,0)</f>
        <v>1</v>
      </c>
      <c r="L91" s="57" t="n">
        <f aca="false">E91</f>
        <v>1</v>
      </c>
      <c r="M91" s="17" t="s">
        <v>287</v>
      </c>
      <c r="N91" s="17" t="s">
        <v>287</v>
      </c>
      <c r="O91" s="17" t="s">
        <v>287</v>
      </c>
    </row>
    <row r="92" customFormat="false" ht="15" hidden="false" customHeight="false" outlineLevel="0" collapsed="false">
      <c r="B92" s="19" t="s">
        <v>40</v>
      </c>
      <c r="C92" s="5" t="s">
        <v>290</v>
      </c>
      <c r="D92" s="5" t="s">
        <v>285</v>
      </c>
      <c r="E92" s="53" t="n">
        <v>1</v>
      </c>
      <c r="F92" s="53" t="n">
        <v>1</v>
      </c>
      <c r="G92" s="54" t="n">
        <v>1</v>
      </c>
      <c r="H92" s="55" t="s">
        <v>286</v>
      </c>
      <c r="I92" s="56" t="n">
        <v>0</v>
      </c>
      <c r="J92" s="56" t="n">
        <v>0</v>
      </c>
      <c r="K92" s="57" t="n">
        <f aca="false">E92*IF(F92=1,1,0)</f>
        <v>1</v>
      </c>
      <c r="L92" s="57" t="n">
        <f aca="false">E92</f>
        <v>1</v>
      </c>
      <c r="M92" s="17" t="s">
        <v>287</v>
      </c>
      <c r="N92" s="17" t="s">
        <v>287</v>
      </c>
      <c r="O92" s="17" t="s">
        <v>287</v>
      </c>
    </row>
    <row r="93" customFormat="false" ht="15" hidden="false" customHeight="false" outlineLevel="0" collapsed="false">
      <c r="B93" s="19" t="s">
        <v>43</v>
      </c>
      <c r="C93" s="5" t="s">
        <v>288</v>
      </c>
      <c r="D93" s="5" t="s">
        <v>291</v>
      </c>
      <c r="E93" s="53" t="n">
        <v>1</v>
      </c>
      <c r="F93" s="53" t="n">
        <v>1</v>
      </c>
      <c r="G93" s="54" t="n">
        <v>1</v>
      </c>
      <c r="H93" s="55" t="n">
        <f aca="false">'P01 CigWharf2 Input'!$E$25</f>
        <v>2025</v>
      </c>
      <c r="I93" s="56" t="n">
        <f aca="false">'P01 CigWharf2 Input'!$E$36</f>
        <v>12.8</v>
      </c>
      <c r="J93" s="56" t="n">
        <f aca="false">'P01 CigWharf2 Input'!$E$42</f>
        <v>0</v>
      </c>
      <c r="K93" s="57" t="n">
        <f aca="false">E93*IF(F93=1,1,0)</f>
        <v>1</v>
      </c>
      <c r="L93" s="57" t="n">
        <f aca="false">E93</f>
        <v>1</v>
      </c>
      <c r="M93" s="17" t="s">
        <v>287</v>
      </c>
      <c r="N93" s="17" t="s">
        <v>287</v>
      </c>
      <c r="O93" s="17" t="s">
        <v>287</v>
      </c>
    </row>
    <row r="94" customFormat="false" ht="15" hidden="false" customHeight="false" outlineLevel="0" collapsed="false">
      <c r="B94" s="19" t="s">
        <v>46</v>
      </c>
      <c r="C94" s="5" t="s">
        <v>288</v>
      </c>
      <c r="D94" s="5" t="s">
        <v>291</v>
      </c>
      <c r="E94" s="53" t="n">
        <v>1</v>
      </c>
      <c r="F94" s="53" t="n">
        <v>1</v>
      </c>
      <c r="G94" s="54" t="n">
        <v>1</v>
      </c>
      <c r="H94" s="55" t="n">
        <f aca="false">'P02 CigConveyor Input'!$E$25</f>
        <v>2025</v>
      </c>
      <c r="I94" s="56" t="n">
        <f aca="false">'P02 CigConveyor Input'!$E$36</f>
        <v>8</v>
      </c>
      <c r="J94" s="56" t="n">
        <f aca="false">'P02 CigConveyor Input'!$E$42</f>
        <v>0</v>
      </c>
      <c r="K94" s="57" t="n">
        <f aca="false">E94*IF(F94=1,1,0)</f>
        <v>1</v>
      </c>
      <c r="L94" s="57" t="n">
        <f aca="false">E94</f>
        <v>1</v>
      </c>
      <c r="M94" s="17" t="s">
        <v>287</v>
      </c>
      <c r="N94" s="17" t="s">
        <v>287</v>
      </c>
      <c r="O94" s="17" t="s">
        <v>287</v>
      </c>
    </row>
    <row r="95" customFormat="false" ht="15" hidden="false" customHeight="false" outlineLevel="0" collapsed="false">
      <c r="B95" s="19" t="s">
        <v>48</v>
      </c>
      <c r="C95" s="5" t="s">
        <v>292</v>
      </c>
      <c r="D95" s="5" t="s">
        <v>293</v>
      </c>
      <c r="E95" s="53" t="n">
        <v>1</v>
      </c>
      <c r="F95" s="53" t="n">
        <v>1</v>
      </c>
      <c r="G95" s="54" t="n">
        <v>1</v>
      </c>
      <c r="H95" s="55" t="n">
        <f aca="false">'P03 KBSWarehouse Input'!$E$25</f>
        <v>2027</v>
      </c>
      <c r="I95" s="56" t="n">
        <f aca="false">'P03 KBSWarehouse Input'!$E$40</f>
        <v>6.02459</v>
      </c>
      <c r="J95" s="56" t="n">
        <f aca="false">'P03 KBSWarehouse Input'!$E$46</f>
        <v>0</v>
      </c>
      <c r="K95" s="57" t="n">
        <f aca="false">E95*IF(F95=1,1,0)</f>
        <v>1</v>
      </c>
      <c r="L95" s="57" t="n">
        <f aca="false">E95</f>
        <v>1</v>
      </c>
      <c r="M95" s="17" t="s">
        <v>287</v>
      </c>
      <c r="N95" s="17" t="s">
        <v>287</v>
      </c>
      <c r="O95" s="17" t="s">
        <v>287</v>
      </c>
    </row>
    <row r="96" customFormat="false" ht="15" hidden="false" customHeight="false" outlineLevel="0" collapsed="false">
      <c r="B96" s="19" t="s">
        <v>51</v>
      </c>
      <c r="C96" s="5" t="s">
        <v>284</v>
      </c>
      <c r="D96" s="5" t="s">
        <v>293</v>
      </c>
      <c r="E96" s="53" t="n">
        <v>1</v>
      </c>
      <c r="F96" s="53" t="n">
        <v>1</v>
      </c>
      <c r="G96" s="54" t="n">
        <v>1</v>
      </c>
      <c r="H96" s="55" t="n">
        <f aca="false">'P04 TTLSilo Input'!$E$25</f>
        <v>2027</v>
      </c>
      <c r="I96" s="56" t="n">
        <f aca="false">'P04 TTLSilo Input'!$E$39</f>
        <v>3.7623</v>
      </c>
      <c r="J96" s="56" t="n">
        <f aca="false">'P04 TTLSilo Input'!$E$45</f>
        <v>0</v>
      </c>
      <c r="K96" s="57" t="n">
        <f aca="false">E96*IF(F96=1,1,0)</f>
        <v>1</v>
      </c>
      <c r="L96" s="57" t="n">
        <f aca="false">E96</f>
        <v>1</v>
      </c>
      <c r="M96" s="17" t="s">
        <v>287</v>
      </c>
      <c r="N96" s="17" t="s">
        <v>287</v>
      </c>
      <c r="O96" s="17" t="s">
        <v>287</v>
      </c>
    </row>
    <row r="97" customFormat="false" ht="15" hidden="false" customHeight="false" outlineLevel="0" collapsed="false">
      <c r="B97" s="19" t="s">
        <v>54</v>
      </c>
      <c r="C97" s="5" t="s">
        <v>294</v>
      </c>
      <c r="D97" s="5" t="s">
        <v>293</v>
      </c>
      <c r="E97" s="53" t="n">
        <v>1</v>
      </c>
      <c r="F97" s="53" t="n">
        <v>1</v>
      </c>
      <c r="G97" s="54" t="n">
        <v>1</v>
      </c>
      <c r="H97" s="55" t="n">
        <f aca="false">'P05 Dumai Input'!$E$25</f>
        <v>2026</v>
      </c>
      <c r="I97" s="56" t="n">
        <f aca="false">'P05 Dumai Input'!$E$39</f>
        <v>6.80952380952381</v>
      </c>
      <c r="J97" s="56" t="n">
        <f aca="false">'P05 Dumai Input'!$E$45</f>
        <v>0.325</v>
      </c>
      <c r="K97" s="57" t="n">
        <f aca="false">E97*IF(F97=1,1,0)</f>
        <v>1</v>
      </c>
      <c r="L97" s="57" t="n">
        <f aca="false">E97</f>
        <v>1</v>
      </c>
      <c r="M97" s="17" t="s">
        <v>287</v>
      </c>
      <c r="N97" s="17" t="s">
        <v>287</v>
      </c>
      <c r="O97" s="17" t="s">
        <v>287</v>
      </c>
    </row>
    <row r="98" customFormat="false" ht="15" hidden="false" customHeight="false" outlineLevel="0" collapsed="false">
      <c r="B98" s="19" t="s">
        <v>57</v>
      </c>
      <c r="C98" s="5" t="s">
        <v>295</v>
      </c>
      <c r="D98" s="5" t="s">
        <v>293</v>
      </c>
      <c r="E98" s="53" t="n">
        <v>1</v>
      </c>
      <c r="F98" s="53" t="n">
        <v>1</v>
      </c>
      <c r="G98" s="54" t="n">
        <v>1</v>
      </c>
      <c r="H98" s="55" t="n">
        <f aca="false">'P06 Ciwandan Input'!$E$25</f>
        <v>2028</v>
      </c>
      <c r="I98" s="56" t="n">
        <f aca="false">'P06 Ciwandan Input'!$E$33</f>
        <v>5.02459268367661</v>
      </c>
      <c r="J98" s="56" t="n">
        <f aca="false">'P06 Ciwandan Input'!$E$39</f>
        <v>2.5122963418383</v>
      </c>
      <c r="K98" s="57" t="n">
        <f aca="false">E98*IF(F98=1,1,0)</f>
        <v>1</v>
      </c>
      <c r="L98" s="57" t="n">
        <f aca="false">E98</f>
        <v>1</v>
      </c>
      <c r="M98" s="17" t="s">
        <v>287</v>
      </c>
      <c r="N98" s="17" t="s">
        <v>287</v>
      </c>
      <c r="O98" s="17" t="s">
        <v>287</v>
      </c>
    </row>
    <row r="99" customFormat="false" ht="15" hidden="false" customHeight="false" outlineLevel="0" collapsed="false">
      <c r="B99" s="19" t="s">
        <v>60</v>
      </c>
      <c r="C99" s="5" t="s">
        <v>296</v>
      </c>
      <c r="D99" s="5" t="s">
        <v>293</v>
      </c>
      <c r="E99" s="53" t="n">
        <v>1</v>
      </c>
      <c r="F99" s="53" t="n">
        <v>1</v>
      </c>
      <c r="G99" s="54" t="n">
        <v>1</v>
      </c>
      <c r="H99" s="55" t="n">
        <f aca="false">'P08 DMSTrucking Input'!$E$25</f>
        <v>2027</v>
      </c>
      <c r="I99" s="56" t="n">
        <v>0</v>
      </c>
      <c r="J99" s="56" t="n">
        <v>0</v>
      </c>
      <c r="K99" s="57" t="n">
        <f aca="false">E99*IF(F99=1,1,0)</f>
        <v>1</v>
      </c>
      <c r="L99" s="57" t="n">
        <f aca="false">E99</f>
        <v>1</v>
      </c>
      <c r="M99" s="17" t="s">
        <v>287</v>
      </c>
      <c r="N99" s="17" t="s">
        <v>287</v>
      </c>
      <c r="O99" s="17" t="s">
        <v>287</v>
      </c>
    </row>
    <row r="100" customFormat="false" ht="15" hidden="false" customHeight="false" outlineLevel="0" collapsed="false">
      <c r="B100" s="19" t="s">
        <v>63</v>
      </c>
      <c r="C100" s="5" t="s">
        <v>297</v>
      </c>
      <c r="D100" s="5" t="s">
        <v>298</v>
      </c>
      <c r="E100" s="53" t="n">
        <v>1</v>
      </c>
      <c r="F100" s="53" t="n">
        <v>2</v>
      </c>
      <c r="G100" s="54" t="n">
        <v>1</v>
      </c>
      <c r="H100" s="55" t="n">
        <f aca="false">'P12 BUMNOps Input'!$E$25</f>
        <v>2026</v>
      </c>
      <c r="I100" s="56" t="n">
        <v>0</v>
      </c>
      <c r="J100" s="56" t="n">
        <v>0</v>
      </c>
      <c r="K100" s="57" t="n">
        <f aca="false">E100*IF(F100=1,1,0)</f>
        <v>0</v>
      </c>
      <c r="L100" s="57" t="n">
        <f aca="false">E100</f>
        <v>1</v>
      </c>
      <c r="M100" s="17" t="s">
        <v>287</v>
      </c>
      <c r="N100" s="17" t="s">
        <v>287</v>
      </c>
      <c r="O100" s="17" t="s">
        <v>287</v>
      </c>
    </row>
    <row r="101" customFormat="false" ht="15" hidden="false" customHeight="false" outlineLevel="0" collapsed="false">
      <c r="B101" s="19" t="s">
        <v>66</v>
      </c>
      <c r="C101" s="5" t="s">
        <v>299</v>
      </c>
      <c r="D101" s="5" t="s">
        <v>300</v>
      </c>
      <c r="E101" s="53" t="n">
        <v>0</v>
      </c>
      <c r="F101" s="53" t="n">
        <v>1</v>
      </c>
      <c r="G101" s="54" t="n">
        <v>1</v>
      </c>
      <c r="H101" s="55" t="n">
        <f aca="false">'P15 TBM Input'!$E$25</f>
        <v>2027</v>
      </c>
      <c r="I101" s="56" t="n">
        <f aca="false">'P15 TBM Input'!$E$53</f>
        <v>40.0245926836766</v>
      </c>
      <c r="J101" s="56" t="n">
        <f aca="false">'P15 TBM Input'!$E$59</f>
        <v>0</v>
      </c>
      <c r="K101" s="57" t="n">
        <f aca="false">E101*IF(F101=1,1,0)</f>
        <v>0</v>
      </c>
      <c r="L101" s="57" t="n">
        <f aca="false">E101</f>
        <v>0</v>
      </c>
      <c r="M101" s="17" t="s">
        <v>287</v>
      </c>
      <c r="N101" s="17" t="s">
        <v>287</v>
      </c>
      <c r="O101" s="17" t="s">
        <v>287</v>
      </c>
    </row>
    <row r="102" customFormat="false" ht="15" hidden="false" customHeight="false" outlineLevel="0" collapsed="false">
      <c r="B102" s="19" t="s">
        <v>69</v>
      </c>
      <c r="C102" s="5" t="s">
        <v>301</v>
      </c>
      <c r="D102" s="5" t="s">
        <v>302</v>
      </c>
      <c r="E102" s="53" t="n">
        <v>0</v>
      </c>
      <c r="F102" s="53" t="n">
        <v>1</v>
      </c>
      <c r="G102" s="54" t="n">
        <v>1</v>
      </c>
      <c r="H102" s="55" t="n">
        <f aca="false">'P19 Badas FS Working Paper'!$E$25</f>
        <v>2029</v>
      </c>
      <c r="I102" s="56" t="n">
        <f aca="false">'P19 Badas FS Working Paper'!$E$57</f>
        <v>10</v>
      </c>
      <c r="J102" s="56" t="n">
        <f aca="false">'P19 Badas FS Working Paper'!$E$63</f>
        <v>10</v>
      </c>
      <c r="K102" s="57" t="n">
        <f aca="false">E102*IF(F102=1,1,0)</f>
        <v>0</v>
      </c>
      <c r="L102" s="57" t="n">
        <f aca="false">E102</f>
        <v>0</v>
      </c>
      <c r="M102" s="17" t="s">
        <v>287</v>
      </c>
      <c r="N102" s="17" t="s">
        <v>287</v>
      </c>
      <c r="O102" s="17" t="s">
        <v>287</v>
      </c>
    </row>
    <row r="103" customFormat="false" ht="15" hidden="false" customHeight="false" outlineLevel="0" collapsed="false">
      <c r="B103" s="5" t="s">
        <v>303</v>
      </c>
    </row>
    <row r="105" customFormat="false" ht="15" hidden="false" customHeight="false" outlineLevel="0" collapsed="false">
      <c r="B105" s="22" t="s">
        <v>304</v>
      </c>
      <c r="C105" s="23"/>
      <c r="D105" s="23"/>
      <c r="E105" s="23"/>
      <c r="F105" s="23"/>
      <c r="G105" s="23"/>
      <c r="H105" s="23"/>
      <c r="I105" s="23"/>
      <c r="J105" s="23"/>
      <c r="K105" s="23"/>
      <c r="L105" s="23"/>
      <c r="M105" s="23"/>
      <c r="N105" s="23"/>
      <c r="O105" s="23"/>
      <c r="P105" s="23"/>
      <c r="Q105" s="23"/>
      <c r="R105" s="23"/>
      <c r="S105" s="23"/>
    </row>
    <row r="106" customFormat="false" ht="15" hidden="false" customHeight="false" outlineLevel="0" collapsed="false">
      <c r="B106" s="24" t="s">
        <v>305</v>
      </c>
      <c r="C106" s="25" t="s">
        <v>170</v>
      </c>
      <c r="D106" s="25" t="s">
        <v>136</v>
      </c>
      <c r="E106" s="58" t="n">
        <f aca="false">'E1 TelukLamong Calc'!$G$23+'E2 CigadingExist Calc'!$G$17+'E3 Belawan Calc'!$G$19+'E4 WIN Calc'!$G$193</f>
        <v>305.288412360754</v>
      </c>
    </row>
    <row r="107" customFormat="false" ht="15" hidden="false" customHeight="false" outlineLevel="0" collapsed="false">
      <c r="B107" s="24" t="s">
        <v>306</v>
      </c>
      <c r="C107" s="25" t="s">
        <v>170</v>
      </c>
      <c r="D107" s="25" t="s">
        <v>136</v>
      </c>
      <c r="E107" s="58" t="n">
        <f aca="false">'E1 TelukLamong Calc'!$G$55+'E2 CigadingExist Calc'!$G$51+'E3 Belawan Calc'!$G$53+'E4 WIN Calc'!$G$194</f>
        <v>122.543038522037</v>
      </c>
    </row>
    <row r="108" customFormat="false" ht="15" hidden="false" customHeight="false" outlineLevel="0" collapsed="false">
      <c r="B108" s="24" t="s">
        <v>307</v>
      </c>
      <c r="C108" s="25" t="s">
        <v>170</v>
      </c>
      <c r="D108" s="25" t="s">
        <v>136</v>
      </c>
      <c r="E108" s="58" t="n">
        <f aca="false">'E3 Belawan Calc'!$F$83+'P01 CigWharf2 Calc'!$F$35+'P02 CigConveyor Calc'!$F$30+'P03 KBSWarehouse Calc'!$F$30+'P04 TTLSilo Calc'!$F$36+'P05 Dumai Calc'!$F$40+'P06 Ciwandan Calc'!$F$34+'P15 TBM Calc'!$F$57+'P19 Badas Calculation'!$F$48</f>
        <v>198.433</v>
      </c>
    </row>
    <row r="109" customFormat="false" ht="15" hidden="false" customHeight="false" outlineLevel="0" collapsed="false">
      <c r="B109" s="24" t="s">
        <v>308</v>
      </c>
      <c r="C109" s="25" t="s">
        <v>170</v>
      </c>
      <c r="D109" s="25" t="s">
        <v>136</v>
      </c>
      <c r="E109" s="58" t="n">
        <f aca="false">$E$62-$E$108</f>
        <v>132.83</v>
      </c>
    </row>
    <row r="111" customFormat="false" ht="15" hidden="false" customHeight="false" outlineLevel="0" collapsed="false">
      <c r="B111" s="22" t="s">
        <v>309</v>
      </c>
      <c r="C111" s="23"/>
      <c r="D111" s="23"/>
      <c r="E111" s="23"/>
      <c r="F111" s="23"/>
      <c r="G111" s="23"/>
      <c r="H111" s="23"/>
      <c r="I111" s="23"/>
      <c r="J111" s="23"/>
      <c r="K111" s="23"/>
      <c r="L111" s="23"/>
      <c r="M111" s="23"/>
      <c r="N111" s="23"/>
      <c r="O111" s="23"/>
      <c r="P111" s="23"/>
      <c r="Q111" s="23"/>
      <c r="R111" s="23"/>
      <c r="S111" s="23"/>
    </row>
    <row r="112" customFormat="false" ht="15" hidden="false" customHeight="false" outlineLevel="0" collapsed="false">
      <c r="D112" s="59" t="s">
        <v>153</v>
      </c>
      <c r="E112" s="5" t="s">
        <v>310</v>
      </c>
    </row>
    <row r="113" customFormat="false" ht="15" hidden="false" customHeight="false" outlineLevel="0" collapsed="false">
      <c r="D113" s="59" t="s">
        <v>311</v>
      </c>
      <c r="E113" s="5" t="s">
        <v>312</v>
      </c>
    </row>
    <row r="114" customFormat="false" ht="15" hidden="false" customHeight="false" outlineLevel="0" collapsed="false">
      <c r="D114" s="60" t="s">
        <v>262</v>
      </c>
      <c r="E114" s="5" t="s">
        <v>313</v>
      </c>
    </row>
    <row r="115" customFormat="false" ht="15" hidden="false" customHeight="false" outlineLevel="0" collapsed="false">
      <c r="D115" s="61" t="s">
        <v>131</v>
      </c>
      <c r="E115" s="5" t="s">
        <v>314</v>
      </c>
    </row>
    <row r="116" customFormat="false" ht="15" hidden="false" customHeight="false" outlineLevel="0" collapsed="false">
      <c r="D116" s="62" t="s">
        <v>315</v>
      </c>
      <c r="E116" s="5" t="s">
        <v>316</v>
      </c>
    </row>
    <row r="117" customFormat="false" ht="15" hidden="false" customHeight="false" outlineLevel="0" collapsed="false">
      <c r="D117" s="63" t="s">
        <v>190</v>
      </c>
      <c r="E117" s="5" t="s">
        <v>317</v>
      </c>
    </row>
    <row r="118" customFormat="false" ht="15" hidden="false" customHeight="false" outlineLevel="0" collapsed="false">
      <c r="D118" s="64" t="s">
        <v>176</v>
      </c>
      <c r="E118" s="5" t="s">
        <v>318</v>
      </c>
    </row>
  </sheetData>
  <hyperlinks>
    <hyperlink ref="C3" r:id="rId1" location="'Navigation'!A1" display="Navigation"/>
    <hyperlink ref="D3" r:id="rId2" location="'Global%20Inputs'!A1" display="Global Inputs"/>
    <hyperlink ref="E3" r:id="rId3" location="'Project%20Summary'!A1" display="Project Summary"/>
    <hyperlink ref="F3" r:id="rId4" location="'Funding%20Requirement'!A1" display="Funding"/>
    <hyperlink ref="G3" r:id="rId5" location="'FSL%20Financials%20—%20Without%20BUMN'!A1" display="FSL w/o BUMN"/>
    <hyperlink ref="H3" r:id="rId6" location="'FSL%20Financials%20—%20With%20BUMN'!A1" display="FSL w/ BUMN"/>
    <hyperlink ref="I3" r:id="rId7" location="'Valuation%20—%20Without%20BUMN'!A1" display="Val w/o BUMN"/>
    <hyperlink ref="J3" r:id="rId8" location="'Valuation%20—%20With%20BUMN'!A1" display="Val w/ BUMN"/>
    <hyperlink ref="K3" r:id="rId9" location="'Checks'!A1" display="Checks"/>
    <hyperlink ref="L3" r:id="rId10" location="'Model%20Flow'!A1" display="Model Flow"/>
    <hyperlink ref="M89" r:id="rId11" location="'E1%20TelukLamong%20Input'!A1" display="open"/>
    <hyperlink ref="N89" r:id="rId12" location="'E1%20TelukLamong%20Calc'!A1" display="open"/>
    <hyperlink ref="O89" r:id="rId13" location="'E1%20TelukLamong%20Output'!A1" display="open"/>
    <hyperlink ref="M90" r:id="rId14" location="'E2%20CigadingExist%20Input'!A1" display="open"/>
    <hyperlink ref="N90" r:id="rId15" location="'E2%20CigadingExist%20Calc'!A1" display="open"/>
    <hyperlink ref="O90" r:id="rId16" location="'E2%20CigadingExist%20Output'!A1" display="open"/>
    <hyperlink ref="M91" r:id="rId17" location="'E3%20Belawan%20Input'!A1" display="open"/>
    <hyperlink ref="N91" r:id="rId18" location="'E3%20Belawan%20Calc'!A1" display="open"/>
    <hyperlink ref="O91" r:id="rId19" location="'E3%20Belawan%20Output'!A1" display="open"/>
    <hyperlink ref="M92" r:id="rId20" location="'E4%20WIN%20Input'!A1" display="open"/>
    <hyperlink ref="N92" r:id="rId21" location="'E4%20WIN%20Calc'!A1" display="open"/>
    <hyperlink ref="O92" r:id="rId22" location="'E4%20WIN%20Output'!A1" display="open"/>
    <hyperlink ref="M93" r:id="rId23" location="'P01%20CigWharf2%20Input'!A1" display="open"/>
    <hyperlink ref="N93" r:id="rId24" location="'P01%20CigWharf2%20Calc'!A1" display="open"/>
    <hyperlink ref="O93" r:id="rId25" location="'P01%20CigWharf2%20Output'!A1" display="open"/>
    <hyperlink ref="M94" r:id="rId26" location="'P02%20CigConveyor%20Input'!A1" display="open"/>
    <hyperlink ref="N94" r:id="rId27" location="'P02%20CigConveyor%20Calc'!A1" display="open"/>
    <hyperlink ref="O94" r:id="rId28" location="'P02%20CigConveyor%20Output'!A1" display="open"/>
    <hyperlink ref="M95" r:id="rId29" location="'P03%20KBSWarehouse%20Input'!A1" display="open"/>
    <hyperlink ref="N95" r:id="rId30" location="'P03%20KBSWarehouse%20Calc'!A1" display="open"/>
    <hyperlink ref="O95" r:id="rId31" location="'P03%20KBSWarehouse%20Output'!A1" display="open"/>
    <hyperlink ref="M96" r:id="rId32" location="'P04%20TTLSilo%20Input'!A1" display="open"/>
    <hyperlink ref="N96" r:id="rId33" location="'P04%20TTLSilo%20Calc'!A1" display="open"/>
    <hyperlink ref="O96" r:id="rId34" location="'P04%20TTLSilo%20Output'!A1" display="open"/>
    <hyperlink ref="M97" r:id="rId35" location="'P05%20Dumai%20Input'!A1" display="open"/>
    <hyperlink ref="N97" r:id="rId36" location="'P05%20Dumai%20Calc'!A1" display="open"/>
    <hyperlink ref="O97" r:id="rId37" location="'P05%20Dumai%20Output'!A1" display="open"/>
    <hyperlink ref="M98" r:id="rId38" location="'P06%20Ciwandan%20Input'!A1" display="open"/>
    <hyperlink ref="N98" r:id="rId39" location="'P06%20Ciwandan%20Calc'!A1" display="open"/>
    <hyperlink ref="O98" r:id="rId40" location="'P06%20Ciwandan%20Output'!A1" display="open"/>
    <hyperlink ref="M99" r:id="rId41" location="'P08%20DMSTrucking%20Input'!A1" display="open"/>
    <hyperlink ref="N99" r:id="rId42" location="'P08%20DMSTrucking%20Calc'!A1" display="open"/>
    <hyperlink ref="O99" r:id="rId43" location="'P08%20DMSTrucking%20Output'!A1" display="open"/>
    <hyperlink ref="M100" r:id="rId44" location="'P12%20BUMNOps%20Input'!A1" display="open"/>
    <hyperlink ref="N100" r:id="rId45" location="'P12%20BUMNOps%20Calc'!A1" display="open"/>
    <hyperlink ref="O100" r:id="rId46" location="'P12%20BUMNOps%20Output'!A1" display="open"/>
    <hyperlink ref="M101" r:id="rId47" location="'P15%20TBM%20Input'!A1" display="open"/>
    <hyperlink ref="N101" r:id="rId48" location="'P15%20TBM%20Calc'!A1" display="open"/>
    <hyperlink ref="O101" r:id="rId49" location="'P15%20TBM%20Output'!A1" display="open"/>
    <hyperlink ref="M102" r:id="rId50" location="'P19%20Badas%20Input'!A1" display="open"/>
    <hyperlink ref="N102" r:id="rId51" location="'P19%20Badas%20Calc'!A1" display="open"/>
    <hyperlink ref="O102" r:id="rId52" location="'P19%20Badas%20Output'!A1" display="open"/>
  </hyperlink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9D08E"/>
    <pageSetUpPr fitToPage="true"/>
  </sheetPr>
  <dimension ref="B1:U27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5" ySplit="9" topLeftCell="F10" activePane="bottomRight" state="frozen"/>
      <selection pane="topLeft" activeCell="A1" activeCellId="0" sqref="A1"/>
      <selection pane="topRight" activeCell="F1" activeCellId="0" sqref="F1"/>
      <selection pane="bottomLeft" activeCell="A10" activeCellId="0" sqref="A10"/>
      <selection pane="bottomRigh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58"/>
    <col collapsed="false" customWidth="true" hidden="false" outlineLevel="0" max="3" min="3" style="0" width="11"/>
    <col collapsed="false" customWidth="true" hidden="false" outlineLevel="0" max="4" min="4" style="0" width="12"/>
    <col collapsed="false" customWidth="true" hidden="false" outlineLevel="0" max="5" min="5" style="0" width="13"/>
    <col collapsed="false" customWidth="true" hidden="false" outlineLevel="0" max="19" min="6" style="0" width="11.5"/>
    <col collapsed="false" customWidth="true" hidden="false" outlineLevel="0" max="20" min="20" style="0" width="40"/>
    <col collapsed="false" customWidth="true" hidden="false" outlineLevel="0" max="21" min="21" style="0" width="48"/>
  </cols>
  <sheetData>
    <row r="1" customFormat="false" ht="21.75" hidden="false" customHeight="true" outlineLevel="0" collapsed="false">
      <c r="B1" s="1" t="s">
        <v>319</v>
      </c>
    </row>
    <row r="2" customFormat="false" ht="15" hidden="false" customHeight="false" outlineLevel="0" collapsed="false">
      <c r="B2" s="2" t="s">
        <v>320</v>
      </c>
    </row>
    <row r="3" customFormat="false" ht="15" hidden="false" customHeight="false" outlineLevel="0" collapsed="false">
      <c r="B3" s="5" t="s">
        <v>112</v>
      </c>
      <c r="C3" s="17" t="s">
        <v>113</v>
      </c>
      <c r="D3" s="17" t="s">
        <v>5</v>
      </c>
      <c r="E3" s="17" t="s">
        <v>7</v>
      </c>
      <c r="F3" s="17" t="s">
        <v>114</v>
      </c>
      <c r="G3" s="17" t="s">
        <v>115</v>
      </c>
      <c r="H3" s="17" t="s">
        <v>116</v>
      </c>
      <c r="I3" s="17" t="s">
        <v>117</v>
      </c>
      <c r="J3" s="17" t="s">
        <v>118</v>
      </c>
      <c r="K3" s="17" t="s">
        <v>21</v>
      </c>
      <c r="L3" s="17" t="s">
        <v>3</v>
      </c>
    </row>
    <row r="5" customFormat="false" ht="15" hidden="false" customHeight="false" outlineLevel="0" collapsed="false">
      <c r="B5" s="6" t="s">
        <v>119</v>
      </c>
      <c r="C5" s="6" t="s">
        <v>120</v>
      </c>
      <c r="D5" s="6" t="s">
        <v>121</v>
      </c>
      <c r="E5" s="6" t="s">
        <v>122</v>
      </c>
      <c r="F5" s="18" t="n">
        <f aca="false">'Global Inputs'!F$5</f>
        <v>2023</v>
      </c>
      <c r="G5" s="18" t="n">
        <f aca="false">'Global Inputs'!G$5</f>
        <v>2024</v>
      </c>
      <c r="H5" s="18" t="n">
        <f aca="false">'Global Inputs'!H$5</f>
        <v>2025</v>
      </c>
      <c r="I5" s="18" t="n">
        <f aca="false">'Global Inputs'!I$5</f>
        <v>2026</v>
      </c>
      <c r="J5" s="18" t="n">
        <f aca="false">'Global Inputs'!J$5</f>
        <v>2027</v>
      </c>
      <c r="K5" s="18" t="n">
        <f aca="false">'Global Inputs'!K$5</f>
        <v>2028</v>
      </c>
      <c r="L5" s="18" t="n">
        <f aca="false">'Global Inputs'!L$5</f>
        <v>2029</v>
      </c>
      <c r="M5" s="18" t="n">
        <f aca="false">'Global Inputs'!M$5</f>
        <v>2030</v>
      </c>
      <c r="N5" s="18" t="n">
        <f aca="false">'Global Inputs'!N$5</f>
        <v>2031</v>
      </c>
      <c r="O5" s="18" t="n">
        <f aca="false">'Global Inputs'!O$5</f>
        <v>2032</v>
      </c>
      <c r="P5" s="18" t="n">
        <f aca="false">'Global Inputs'!P$5</f>
        <v>2033</v>
      </c>
      <c r="Q5" s="18" t="n">
        <f aca="false">'Global Inputs'!Q$5</f>
        <v>2034</v>
      </c>
      <c r="R5" s="18" t="n">
        <f aca="false">'Global Inputs'!R$5</f>
        <v>2035</v>
      </c>
      <c r="S5" s="18" t="n">
        <f aca="false">'Global Inputs'!S$5</f>
        <v>2036</v>
      </c>
      <c r="T5" s="6" t="s">
        <v>123</v>
      </c>
      <c r="U5" s="6" t="s">
        <v>124</v>
      </c>
    </row>
    <row r="6" customFormat="false" ht="15" hidden="false" customHeight="false" outlineLevel="0" collapsed="false">
      <c r="B6" s="19" t="s">
        <v>125</v>
      </c>
      <c r="F6" s="20" t="n">
        <f aca="false">'Global Inputs'!F$6</f>
        <v>45291</v>
      </c>
      <c r="G6" s="20" t="n">
        <f aca="false">'Global Inputs'!G$6</f>
        <v>45657</v>
      </c>
      <c r="H6" s="20" t="n">
        <f aca="false">'Global Inputs'!H$6</f>
        <v>46022</v>
      </c>
      <c r="I6" s="20" t="n">
        <f aca="false">'Global Inputs'!I$6</f>
        <v>46387</v>
      </c>
      <c r="J6" s="20" t="n">
        <f aca="false">'Global Inputs'!J$6</f>
        <v>46752</v>
      </c>
      <c r="K6" s="20" t="n">
        <f aca="false">'Global Inputs'!K$6</f>
        <v>47118</v>
      </c>
      <c r="L6" s="20" t="n">
        <f aca="false">'Global Inputs'!L$6</f>
        <v>47483</v>
      </c>
      <c r="M6" s="20" t="n">
        <f aca="false">'Global Inputs'!M$6</f>
        <v>47848</v>
      </c>
      <c r="N6" s="20" t="n">
        <f aca="false">'Global Inputs'!N$6</f>
        <v>48213</v>
      </c>
      <c r="O6" s="20" t="n">
        <f aca="false">'Global Inputs'!O$6</f>
        <v>48579</v>
      </c>
      <c r="P6" s="20" t="n">
        <f aca="false">'Global Inputs'!P$6</f>
        <v>48944</v>
      </c>
      <c r="Q6" s="20" t="n">
        <f aca="false">'Global Inputs'!Q$6</f>
        <v>49309</v>
      </c>
      <c r="R6" s="20" t="n">
        <f aca="false">'Global Inputs'!R$6</f>
        <v>49674</v>
      </c>
      <c r="S6" s="20" t="n">
        <f aca="false">'Global Inputs'!S$6</f>
        <v>50040</v>
      </c>
    </row>
    <row r="7" customFormat="false" ht="15" hidden="false" customHeight="false" outlineLevel="0" collapsed="false">
      <c r="B7" s="19" t="s">
        <v>126</v>
      </c>
      <c r="F7" s="21" t="n">
        <f aca="false">'Global Inputs'!F$7</f>
        <v>365</v>
      </c>
      <c r="G7" s="21" t="n">
        <f aca="false">'Global Inputs'!G$7</f>
        <v>366</v>
      </c>
      <c r="H7" s="21" t="n">
        <f aca="false">'Global Inputs'!H$7</f>
        <v>365</v>
      </c>
      <c r="I7" s="21" t="n">
        <f aca="false">'Global Inputs'!I$7</f>
        <v>365</v>
      </c>
      <c r="J7" s="21" t="n">
        <f aca="false">'Global Inputs'!J$7</f>
        <v>365</v>
      </c>
      <c r="K7" s="21" t="n">
        <f aca="false">'Global Inputs'!K$7</f>
        <v>366</v>
      </c>
      <c r="L7" s="21" t="n">
        <f aca="false">'Global Inputs'!L$7</f>
        <v>365</v>
      </c>
      <c r="M7" s="21" t="n">
        <f aca="false">'Global Inputs'!M$7</f>
        <v>365</v>
      </c>
      <c r="N7" s="21" t="n">
        <f aca="false">'Global Inputs'!N$7</f>
        <v>365</v>
      </c>
      <c r="O7" s="21" t="n">
        <f aca="false">'Global Inputs'!O$7</f>
        <v>366</v>
      </c>
      <c r="P7" s="21" t="n">
        <f aca="false">'Global Inputs'!P$7</f>
        <v>365</v>
      </c>
      <c r="Q7" s="21" t="n">
        <f aca="false">'Global Inputs'!Q$7</f>
        <v>365</v>
      </c>
      <c r="R7" s="21" t="n">
        <f aca="false">'Global Inputs'!R$7</f>
        <v>365</v>
      </c>
      <c r="S7" s="21" t="n">
        <f aca="false">'Global Inputs'!S$7</f>
        <v>366</v>
      </c>
    </row>
    <row r="8" customFormat="false" ht="15" hidden="false" customHeight="false" outlineLevel="0" collapsed="false">
      <c r="B8" s="19" t="s">
        <v>127</v>
      </c>
      <c r="F8" s="21" t="n">
        <f aca="false">'Global Inputs'!F$8</f>
        <v>0</v>
      </c>
      <c r="G8" s="21" t="n">
        <f aca="false">'Global Inputs'!G$8</f>
        <v>1</v>
      </c>
      <c r="H8" s="21" t="n">
        <f aca="false">'Global Inputs'!H$8</f>
        <v>1</v>
      </c>
      <c r="I8" s="21" t="n">
        <f aca="false">'Global Inputs'!I$8</f>
        <v>1</v>
      </c>
      <c r="J8" s="21" t="n">
        <f aca="false">'Global Inputs'!J$8</f>
        <v>1</v>
      </c>
      <c r="K8" s="21" t="n">
        <f aca="false">'Global Inputs'!K$8</f>
        <v>1</v>
      </c>
      <c r="L8" s="21" t="n">
        <f aca="false">'Global Inputs'!L$8</f>
        <v>1</v>
      </c>
      <c r="M8" s="21" t="n">
        <f aca="false">'Global Inputs'!M$8</f>
        <v>1</v>
      </c>
      <c r="N8" s="21" t="n">
        <f aca="false">'Global Inputs'!N$8</f>
        <v>1</v>
      </c>
      <c r="O8" s="21" t="n">
        <f aca="false">'Global Inputs'!O$8</f>
        <v>1</v>
      </c>
      <c r="P8" s="21" t="n">
        <f aca="false">'Global Inputs'!P$8</f>
        <v>1</v>
      </c>
      <c r="Q8" s="21" t="n">
        <f aca="false">'Global Inputs'!Q$8</f>
        <v>1</v>
      </c>
      <c r="R8" s="21" t="n">
        <f aca="false">'Global Inputs'!R$8</f>
        <v>1</v>
      </c>
      <c r="S8" s="21" t="n">
        <f aca="false">'Global Inputs'!S$8</f>
        <v>1</v>
      </c>
    </row>
    <row r="10" customFormat="false" ht="15" hidden="false" customHeight="false" outlineLevel="0" collapsed="false">
      <c r="B10" s="22" t="s">
        <v>321</v>
      </c>
      <c r="C10" s="23"/>
      <c r="D10" s="23"/>
      <c r="E10" s="23"/>
      <c r="F10" s="23"/>
      <c r="G10" s="23"/>
      <c r="H10" s="23"/>
      <c r="I10" s="23"/>
      <c r="J10" s="23"/>
      <c r="K10" s="23"/>
      <c r="L10" s="23"/>
      <c r="M10" s="23"/>
      <c r="N10" s="23"/>
      <c r="O10" s="23"/>
      <c r="P10" s="23"/>
      <c r="Q10" s="23"/>
      <c r="R10" s="23"/>
      <c r="S10" s="23"/>
    </row>
    <row r="11" customFormat="false" ht="30" hidden="false" customHeight="true" outlineLevel="0" collapsed="false">
      <c r="B11" s="52" t="s">
        <v>25</v>
      </c>
      <c r="C11" s="52" t="s">
        <v>275</v>
      </c>
      <c r="D11" s="52" t="s">
        <v>322</v>
      </c>
      <c r="E11" s="52" t="s">
        <v>323</v>
      </c>
      <c r="F11" s="52" t="s">
        <v>324</v>
      </c>
      <c r="G11" s="52" t="s">
        <v>325</v>
      </c>
      <c r="H11" s="52" t="s">
        <v>326</v>
      </c>
      <c r="I11" s="52" t="s">
        <v>327</v>
      </c>
      <c r="J11" s="52" t="s">
        <v>328</v>
      </c>
      <c r="K11" s="52" t="s">
        <v>329</v>
      </c>
      <c r="L11" s="52" t="s">
        <v>330</v>
      </c>
      <c r="M11" s="52" t="s">
        <v>331</v>
      </c>
      <c r="N11" s="52" t="s">
        <v>332</v>
      </c>
      <c r="O11" s="52" t="s">
        <v>333</v>
      </c>
      <c r="P11" s="52" t="s">
        <v>27</v>
      </c>
      <c r="Q11" s="52" t="s">
        <v>28</v>
      </c>
      <c r="R11" s="52" t="s">
        <v>29</v>
      </c>
    </row>
    <row r="12" customFormat="false" ht="15" hidden="false" customHeight="false" outlineLevel="0" collapsed="false">
      <c r="B12" s="19" t="s">
        <v>31</v>
      </c>
      <c r="C12" s="5" t="s">
        <v>285</v>
      </c>
      <c r="D12" s="65" t="n">
        <f aca="false">'Global Inputs'!$E$89</f>
        <v>1</v>
      </c>
      <c r="E12" s="65" t="n">
        <f aca="false">'Global Inputs'!$F$89</f>
        <v>1</v>
      </c>
      <c r="F12" s="66" t="n">
        <f aca="false">'Global Inputs'!$G$89</f>
        <v>0.65</v>
      </c>
      <c r="G12" s="65" t="str">
        <f aca="false">"existing"</f>
        <v>existing</v>
      </c>
      <c r="H12" s="58" t="n">
        <f aca="false">0</f>
        <v>0</v>
      </c>
      <c r="I12" s="58" t="n">
        <f aca="false">0</f>
        <v>0</v>
      </c>
      <c r="J12" s="58" t="n">
        <f aca="false">'E1 TelukLamong Output'!$J$11</f>
        <v>170.94433238956</v>
      </c>
      <c r="K12" s="58" t="n">
        <f aca="false">'E1 TelukLamong Output'!$M$11</f>
        <v>192.399352124018</v>
      </c>
      <c r="L12" s="58" t="n">
        <f aca="false">'E1 TelukLamong Output'!$M$15</f>
        <v>136.392739763852</v>
      </c>
      <c r="M12" s="58" t="n">
        <f aca="false">'E1 TelukLamong Output'!$E$48</f>
        <v>1190.21626244184</v>
      </c>
      <c r="N12" s="67" t="str">
        <f aca="false">IF(ISNUMBER('E1 TelukLamong Output'!$E$50),'E1 TelukLamong Output'!$E$50,"n/a")</f>
        <v>n/a</v>
      </c>
      <c r="O12" s="65" t="str">
        <f aca="false">IF(ISNUMBER('E1 TelukLamong Output'!$E$53),'E1 TelukLamong Output'!$E$53,"n/a")</f>
        <v>n/a</v>
      </c>
      <c r="P12" s="17" t="s">
        <v>287</v>
      </c>
      <c r="Q12" s="17" t="s">
        <v>287</v>
      </c>
      <c r="R12" s="17" t="s">
        <v>287</v>
      </c>
    </row>
    <row r="13" customFormat="false" ht="15" hidden="false" customHeight="false" outlineLevel="0" collapsed="false">
      <c r="B13" s="19" t="s">
        <v>34</v>
      </c>
      <c r="C13" s="5" t="s">
        <v>285</v>
      </c>
      <c r="D13" s="65" t="n">
        <f aca="false">'Global Inputs'!$E$90</f>
        <v>1</v>
      </c>
      <c r="E13" s="65" t="n">
        <f aca="false">'Global Inputs'!$F$90</f>
        <v>1</v>
      </c>
      <c r="F13" s="66" t="n">
        <f aca="false">'Global Inputs'!$G$90</f>
        <v>1</v>
      </c>
      <c r="G13" s="65" t="str">
        <f aca="false">"existing"</f>
        <v>existing</v>
      </c>
      <c r="H13" s="58" t="n">
        <f aca="false">0</f>
        <v>0</v>
      </c>
      <c r="I13" s="58" t="n">
        <f aca="false">0</f>
        <v>0</v>
      </c>
      <c r="J13" s="58" t="n">
        <f aca="false">'E2 CigadingExist Output'!$J$11</f>
        <v>59.05761086016</v>
      </c>
      <c r="K13" s="58" t="n">
        <f aca="false">'E2 CigadingExist Output'!$M$11</f>
        <v>70.9872305366291</v>
      </c>
      <c r="L13" s="58" t="n">
        <f aca="false">'E2 CigadingExist Output'!$M$15</f>
        <v>42.8444181574391</v>
      </c>
      <c r="M13" s="58" t="n">
        <f aca="false">'E2 CigadingExist Output'!$E$48</f>
        <v>461.150586479111</v>
      </c>
      <c r="N13" s="67" t="str">
        <f aca="false">IF(ISNUMBER('E2 CigadingExist Output'!$E$50),'E2 CigadingExist Output'!$E$50,"n/a")</f>
        <v>n/a</v>
      </c>
      <c r="O13" s="65" t="str">
        <f aca="false">IF(ISNUMBER('E2 CigadingExist Output'!$E$53),'E2 CigadingExist Output'!$E$53,"n/a")</f>
        <v>n/a</v>
      </c>
      <c r="P13" s="17" t="s">
        <v>287</v>
      </c>
      <c r="Q13" s="17" t="s">
        <v>287</v>
      </c>
      <c r="R13" s="17" t="s">
        <v>287</v>
      </c>
    </row>
    <row r="14" customFormat="false" ht="15" hidden="false" customHeight="false" outlineLevel="0" collapsed="false">
      <c r="B14" s="19" t="s">
        <v>37</v>
      </c>
      <c r="C14" s="5" t="s">
        <v>285</v>
      </c>
      <c r="D14" s="65" t="n">
        <f aca="false">'Global Inputs'!$E$91</f>
        <v>1</v>
      </c>
      <c r="E14" s="65" t="n">
        <f aca="false">'Global Inputs'!$F$91</f>
        <v>1</v>
      </c>
      <c r="F14" s="66" t="n">
        <f aca="false">'Global Inputs'!$G$91</f>
        <v>1</v>
      </c>
      <c r="G14" s="65" t="str">
        <f aca="false">"existing"</f>
        <v>existing</v>
      </c>
      <c r="H14" s="58" t="n">
        <f aca="false">'E3 Belawan Input'!$E$76</f>
        <v>14.0245926836766</v>
      </c>
      <c r="I14" s="58" t="n">
        <f aca="false">'E3 Belawan Input'!$E$82</f>
        <v>7</v>
      </c>
      <c r="J14" s="58" t="n">
        <f aca="false">'E3 Belawan Output'!$J$11</f>
        <v>44.806464874375</v>
      </c>
      <c r="K14" s="58" t="n">
        <f aca="false">'E3 Belawan Output'!$M$11</f>
        <v>59.8140565636268</v>
      </c>
      <c r="L14" s="58" t="n">
        <f aca="false">'E3 Belawan Output'!$M$15</f>
        <v>43.5796979446148</v>
      </c>
      <c r="M14" s="58" t="n">
        <f aca="false">'E3 Belawan Output'!$E$48</f>
        <v>237.96396515498</v>
      </c>
      <c r="N14" s="67" t="str">
        <f aca="false">IF(ISNUMBER('E3 Belawan Output'!$E$50),'E3 Belawan Output'!$E$50,"n/a")</f>
        <v>n/a</v>
      </c>
      <c r="O14" s="65" t="n">
        <f aca="false">IF(ISNUMBER('E3 Belawan Output'!$E$53),'E3 Belawan Output'!$E$53,"n/a")</f>
        <v>2032</v>
      </c>
      <c r="P14" s="17" t="s">
        <v>287</v>
      </c>
      <c r="Q14" s="17" t="s">
        <v>287</v>
      </c>
      <c r="R14" s="17" t="s">
        <v>287</v>
      </c>
    </row>
    <row r="15" customFormat="false" ht="15" hidden="false" customHeight="false" outlineLevel="0" collapsed="false">
      <c r="B15" s="19" t="s">
        <v>40</v>
      </c>
      <c r="C15" s="5" t="s">
        <v>285</v>
      </c>
      <c r="D15" s="65" t="n">
        <f aca="false">'Global Inputs'!$E$92</f>
        <v>1</v>
      </c>
      <c r="E15" s="65" t="n">
        <f aca="false">'Global Inputs'!$F$92</f>
        <v>1</v>
      </c>
      <c r="F15" s="66" t="n">
        <f aca="false">'Global Inputs'!$G$92</f>
        <v>1</v>
      </c>
      <c r="G15" s="65" t="str">
        <f aca="false">"existing"</f>
        <v>existing</v>
      </c>
      <c r="H15" s="58" t="n">
        <f aca="false">0</f>
        <v>0</v>
      </c>
      <c r="I15" s="58" t="n">
        <f aca="false">0</f>
        <v>0</v>
      </c>
      <c r="J15" s="58" t="n">
        <f aca="false">'E4 WIN Output'!$J$11</f>
        <v>66.8577054381607</v>
      </c>
      <c r="K15" s="58" t="n">
        <f aca="false">'E4 WIN Output'!$M$11</f>
        <v>83.8871242192732</v>
      </c>
      <c r="L15" s="58" t="n">
        <f aca="false">'E4 WIN Output'!$M$15</f>
        <v>24.4719091196429</v>
      </c>
      <c r="M15" s="58" t="n">
        <f aca="false">'E4 WIN Output'!$E$48</f>
        <v>213.663418002089</v>
      </c>
      <c r="N15" s="67" t="str">
        <f aca="false">IF(ISNUMBER('E4 WIN Output'!$E$50),'E4 WIN Output'!$E$50,"n/a")</f>
        <v>n/a</v>
      </c>
      <c r="O15" s="65" t="str">
        <f aca="false">IF(ISNUMBER('E4 WIN Output'!$E$53),'E4 WIN Output'!$E$53,"n/a")</f>
        <v>n/a</v>
      </c>
      <c r="P15" s="17" t="s">
        <v>287</v>
      </c>
      <c r="Q15" s="17" t="s">
        <v>287</v>
      </c>
      <c r="R15" s="17" t="s">
        <v>287</v>
      </c>
    </row>
    <row r="16" customFormat="false" ht="15" hidden="false" customHeight="false" outlineLevel="0" collapsed="false">
      <c r="B16" s="19" t="s">
        <v>43</v>
      </c>
      <c r="C16" s="5" t="s">
        <v>291</v>
      </c>
      <c r="D16" s="65" t="n">
        <f aca="false">'Global Inputs'!$E$93</f>
        <v>1</v>
      </c>
      <c r="E16" s="65" t="n">
        <f aca="false">'Global Inputs'!$F$93</f>
        <v>1</v>
      </c>
      <c r="F16" s="66" t="n">
        <f aca="false">'Global Inputs'!$G$93</f>
        <v>1</v>
      </c>
      <c r="G16" s="65" t="n">
        <f aca="false">'P01 CigWharf2 Input'!$E$25</f>
        <v>2025</v>
      </c>
      <c r="H16" s="58" t="n">
        <f aca="false">'P01 CigWharf2 Input'!$E$36</f>
        <v>12.8</v>
      </c>
      <c r="I16" s="58" t="n">
        <f aca="false">'P01 CigWharf2 Input'!$E$42</f>
        <v>0</v>
      </c>
      <c r="J16" s="58" t="n">
        <f aca="false">'P01 CigWharf2 Output'!$J$11</f>
        <v>127.70546715618</v>
      </c>
      <c r="K16" s="58" t="n">
        <f aca="false">'P01 CigWharf2 Output'!$M$11</f>
        <v>153.501933210088</v>
      </c>
      <c r="L16" s="58" t="n">
        <f aca="false">'P01 CigWharf2 Output'!$M$15</f>
        <v>110.372262397248</v>
      </c>
      <c r="M16" s="58" t="n">
        <f aca="false">'P01 CigWharf2 Output'!$E$47</f>
        <v>960.014663512148</v>
      </c>
      <c r="N16" s="67" t="n">
        <f aca="false">IF(ISNUMBER('P01 CigWharf2 Output'!$E$49),'P01 CigWharf2 Output'!$E$49,"n/a")</f>
        <v>0.275873560051958</v>
      </c>
      <c r="O16" s="65" t="n">
        <f aca="false">IF(ISNUMBER('P01 CigWharf2 Output'!$E$52),'P01 CigWharf2 Output'!$E$52,"n/a")</f>
        <v>2028</v>
      </c>
      <c r="P16" s="17" t="s">
        <v>287</v>
      </c>
      <c r="Q16" s="17" t="s">
        <v>287</v>
      </c>
      <c r="R16" s="17" t="s">
        <v>287</v>
      </c>
    </row>
    <row r="17" customFormat="false" ht="15" hidden="false" customHeight="false" outlineLevel="0" collapsed="false">
      <c r="B17" s="19" t="s">
        <v>46</v>
      </c>
      <c r="C17" s="5" t="s">
        <v>291</v>
      </c>
      <c r="D17" s="65" t="n">
        <f aca="false">'Global Inputs'!$E$94</f>
        <v>1</v>
      </c>
      <c r="E17" s="65" t="n">
        <f aca="false">'Global Inputs'!$F$94</f>
        <v>1</v>
      </c>
      <c r="F17" s="66" t="n">
        <f aca="false">'Global Inputs'!$G$94</f>
        <v>1</v>
      </c>
      <c r="G17" s="65" t="n">
        <f aca="false">'P02 CigConveyor Input'!$E$25</f>
        <v>2025</v>
      </c>
      <c r="H17" s="58" t="n">
        <f aca="false">'P02 CigConveyor Input'!$E$36</f>
        <v>8</v>
      </c>
      <c r="I17" s="58" t="n">
        <f aca="false">'P02 CigConveyor Input'!$E$42</f>
        <v>0</v>
      </c>
      <c r="J17" s="58" t="n">
        <f aca="false">'P02 CigConveyor Output'!$J$11</f>
        <v>33.41835</v>
      </c>
      <c r="K17" s="58" t="n">
        <f aca="false">'P02 CigConveyor Output'!$M$11</f>
        <v>36.51713334045</v>
      </c>
      <c r="L17" s="58" t="n">
        <f aca="false">'P02 CigConveyor Output'!$M$15</f>
        <v>33.4790334360819</v>
      </c>
      <c r="M17" s="58" t="n">
        <f aca="false">'P02 CigConveyor Output'!$E$47</f>
        <v>280.518261713808</v>
      </c>
      <c r="N17" s="67" t="n">
        <f aca="false">IF(ISNUMBER('P02 CigConveyor Output'!$E$49),'P02 CigConveyor Output'!$E$49,"n/a")</f>
        <v>0.162103645956107</v>
      </c>
      <c r="O17" s="65" t="n">
        <f aca="false">IF(ISNUMBER('P02 CigConveyor Output'!$E$52),'P02 CigConveyor Output'!$E$52,"n/a")</f>
        <v>2030</v>
      </c>
      <c r="P17" s="17" t="s">
        <v>287</v>
      </c>
      <c r="Q17" s="17" t="s">
        <v>287</v>
      </c>
      <c r="R17" s="17" t="s">
        <v>287</v>
      </c>
    </row>
    <row r="18" customFormat="false" ht="15" hidden="false" customHeight="false" outlineLevel="0" collapsed="false">
      <c r="B18" s="19" t="s">
        <v>48</v>
      </c>
      <c r="C18" s="5" t="s">
        <v>293</v>
      </c>
      <c r="D18" s="65" t="n">
        <f aca="false">'Global Inputs'!$E$95</f>
        <v>1</v>
      </c>
      <c r="E18" s="65" t="n">
        <f aca="false">'Global Inputs'!$F$95</f>
        <v>1</v>
      </c>
      <c r="F18" s="66" t="n">
        <f aca="false">'Global Inputs'!$G$95</f>
        <v>1</v>
      </c>
      <c r="G18" s="65" t="n">
        <f aca="false">'P03 KBSWarehouse Input'!$E$25</f>
        <v>2027</v>
      </c>
      <c r="H18" s="58" t="n">
        <f aca="false">'P03 KBSWarehouse Input'!$E$40</f>
        <v>6.02459</v>
      </c>
      <c r="I18" s="58" t="n">
        <f aca="false">'P03 KBSWarehouse Input'!$E$46</f>
        <v>0</v>
      </c>
      <c r="J18" s="58" t="n">
        <f aca="false">'P03 KBSWarehouse Output'!$J$11</f>
        <v>53.023782</v>
      </c>
      <c r="K18" s="58" t="n">
        <f aca="false">'P03 KBSWarehouse Output'!$M$11</f>
        <v>57.940518233514</v>
      </c>
      <c r="L18" s="58" t="n">
        <f aca="false">'P03 KBSWarehouse Output'!$M$15</f>
        <v>23.1762072934056</v>
      </c>
      <c r="M18" s="58" t="n">
        <f aca="false">'P03 KBSWarehouse Output'!$E$47</f>
        <v>189.579245679262</v>
      </c>
      <c r="N18" s="67" t="n">
        <f aca="false">IF(ISNUMBER('P03 KBSWarehouse Output'!$E$49),'P03 KBSWarehouse Output'!$E$49,"n/a")</f>
        <v>0.13347382720029</v>
      </c>
      <c r="O18" s="65" t="n">
        <f aca="false">IF(ISNUMBER('P03 KBSWarehouse Output'!$E$52),'P03 KBSWarehouse Output'!$E$52,"n/a")</f>
        <v>2032</v>
      </c>
      <c r="P18" s="17" t="s">
        <v>287</v>
      </c>
      <c r="Q18" s="17" t="s">
        <v>287</v>
      </c>
      <c r="R18" s="17" t="s">
        <v>287</v>
      </c>
    </row>
    <row r="19" customFormat="false" ht="15" hidden="false" customHeight="false" outlineLevel="0" collapsed="false">
      <c r="B19" s="19" t="s">
        <v>51</v>
      </c>
      <c r="C19" s="5" t="s">
        <v>293</v>
      </c>
      <c r="D19" s="65" t="n">
        <f aca="false">'Global Inputs'!$E$96</f>
        <v>1</v>
      </c>
      <c r="E19" s="65" t="n">
        <f aca="false">'Global Inputs'!$F$96</f>
        <v>1</v>
      </c>
      <c r="F19" s="66" t="n">
        <f aca="false">'Global Inputs'!$G$96</f>
        <v>1</v>
      </c>
      <c r="G19" s="65" t="n">
        <f aca="false">'P04 TTLSilo Input'!$E$25</f>
        <v>2027</v>
      </c>
      <c r="H19" s="58" t="n">
        <f aca="false">'P04 TTLSilo Input'!$E$39</f>
        <v>3.7623</v>
      </c>
      <c r="I19" s="58" t="n">
        <f aca="false">'P04 TTLSilo Input'!$E$45</f>
        <v>0</v>
      </c>
      <c r="J19" s="58" t="n">
        <f aca="false">'P04 TTLSilo Output'!$J$11</f>
        <v>13.26</v>
      </c>
      <c r="K19" s="58" t="n">
        <f aca="false">'P04 TTLSilo Output'!$M$11</f>
        <v>13.26</v>
      </c>
      <c r="L19" s="58" t="n">
        <f aca="false">'P04 TTLSilo Output'!$M$15</f>
        <v>13.1988</v>
      </c>
      <c r="M19" s="58" t="n">
        <f aca="false">'P04 TTLSilo Output'!$E$47</f>
        <v>104.744450946781</v>
      </c>
      <c r="N19" s="67" t="n">
        <f aca="false">IF(ISNUMBER('P04 TTLSilo Output'!$E$49),'P04 TTLSilo Output'!$E$49,"n/a")</f>
        <v>0.122848661216462</v>
      </c>
      <c r="O19" s="65" t="n">
        <f aca="false">IF(ISNUMBER('P04 TTLSilo Output'!$E$52),'P04 TTLSilo Output'!$E$52,"n/a")</f>
        <v>2032</v>
      </c>
      <c r="P19" s="17" t="s">
        <v>287</v>
      </c>
      <c r="Q19" s="17" t="s">
        <v>287</v>
      </c>
      <c r="R19" s="17" t="s">
        <v>287</v>
      </c>
    </row>
    <row r="20" customFormat="false" ht="15" hidden="false" customHeight="false" outlineLevel="0" collapsed="false">
      <c r="B20" s="19" t="s">
        <v>54</v>
      </c>
      <c r="C20" s="5" t="s">
        <v>293</v>
      </c>
      <c r="D20" s="65" t="n">
        <f aca="false">'Global Inputs'!$E$97</f>
        <v>1</v>
      </c>
      <c r="E20" s="65" t="n">
        <f aca="false">'Global Inputs'!$F$97</f>
        <v>1</v>
      </c>
      <c r="F20" s="66" t="n">
        <f aca="false">'Global Inputs'!$G$97</f>
        <v>1</v>
      </c>
      <c r="G20" s="65" t="n">
        <f aca="false">'P05 Dumai Input'!$E$25</f>
        <v>2026</v>
      </c>
      <c r="H20" s="58" t="n">
        <f aca="false">'P05 Dumai Input'!$E$39</f>
        <v>6.80952380952381</v>
      </c>
      <c r="I20" s="58" t="n">
        <f aca="false">'P05 Dumai Input'!$E$45</f>
        <v>0.325</v>
      </c>
      <c r="J20" s="58" t="n">
        <f aca="false">'P05 Dumai Output'!$J$11</f>
        <v>48.1</v>
      </c>
      <c r="K20" s="58" t="n">
        <f aca="false">'P05 Dumai Output'!$M$11</f>
        <v>51.4176</v>
      </c>
      <c r="L20" s="58" t="n">
        <f aca="false">'P05 Dumai Output'!$M$15</f>
        <v>26.0513244076617</v>
      </c>
      <c r="M20" s="58" t="n">
        <f aca="false">'P05 Dumai Output'!$E$47</f>
        <v>197.603970664319</v>
      </c>
      <c r="N20" s="67" t="n">
        <f aca="false">IF(ISNUMBER('P05 Dumai Output'!$E$49),'P05 Dumai Output'!$E$49,"n/a")</f>
        <v>0.192595399550514</v>
      </c>
      <c r="O20" s="65" t="n">
        <f aca="false">IF(ISNUMBER('P05 Dumai Output'!$E$52),'P05 Dumai Output'!$E$52,"n/a")</f>
        <v>2031</v>
      </c>
      <c r="P20" s="17" t="s">
        <v>287</v>
      </c>
      <c r="Q20" s="17" t="s">
        <v>287</v>
      </c>
      <c r="R20" s="17" t="s">
        <v>287</v>
      </c>
    </row>
    <row r="21" customFormat="false" ht="15" hidden="false" customHeight="false" outlineLevel="0" collapsed="false">
      <c r="B21" s="19" t="s">
        <v>57</v>
      </c>
      <c r="C21" s="5" t="s">
        <v>293</v>
      </c>
      <c r="D21" s="65" t="n">
        <f aca="false">'Global Inputs'!$E$98</f>
        <v>1</v>
      </c>
      <c r="E21" s="65" t="n">
        <f aca="false">'Global Inputs'!$F$98</f>
        <v>1</v>
      </c>
      <c r="F21" s="66" t="n">
        <f aca="false">'Global Inputs'!$G$98</f>
        <v>1</v>
      </c>
      <c r="G21" s="65" t="n">
        <f aca="false">'P06 Ciwandan Input'!$E$25</f>
        <v>2028</v>
      </c>
      <c r="H21" s="58" t="n">
        <f aca="false">'P06 Ciwandan Input'!$E$33</f>
        <v>5.02459268367661</v>
      </c>
      <c r="I21" s="58" t="n">
        <f aca="false">'P06 Ciwandan Input'!$E$39</f>
        <v>2.5122963418383</v>
      </c>
      <c r="J21" s="58" t="n">
        <f aca="false">'P06 Ciwandan Output'!$J$11</f>
        <v>0</v>
      </c>
      <c r="K21" s="58" t="n">
        <f aca="false">'P06 Ciwandan Output'!$M$11</f>
        <v>84.5903830815357</v>
      </c>
      <c r="L21" s="58" t="n">
        <f aca="false">'P06 Ciwandan Output'!$M$15</f>
        <v>50.880630431476</v>
      </c>
      <c r="M21" s="58" t="n">
        <f aca="false">'P06 Ciwandan Output'!$E$47</f>
        <v>475.823839559765</v>
      </c>
      <c r="N21" s="67" t="n">
        <f aca="false">IF(ISNUMBER('P06 Ciwandan Output'!$E$49),'P06 Ciwandan Output'!$E$49,"n/a")</f>
        <v>0.385800250789068</v>
      </c>
      <c r="O21" s="65" t="n">
        <f aca="false">IF(ISNUMBER('P06 Ciwandan Output'!$E$52),'P06 Ciwandan Output'!$E$52,"n/a")</f>
        <v>2030</v>
      </c>
      <c r="P21" s="17" t="s">
        <v>287</v>
      </c>
      <c r="Q21" s="17" t="s">
        <v>287</v>
      </c>
      <c r="R21" s="17" t="s">
        <v>287</v>
      </c>
    </row>
    <row r="22" customFormat="false" ht="15" hidden="false" customHeight="false" outlineLevel="0" collapsed="false">
      <c r="B22" s="19" t="s">
        <v>60</v>
      </c>
      <c r="C22" s="5" t="s">
        <v>293</v>
      </c>
      <c r="D22" s="65" t="n">
        <f aca="false">'Global Inputs'!$E$99</f>
        <v>1</v>
      </c>
      <c r="E22" s="65" t="n">
        <f aca="false">'Global Inputs'!$F$99</f>
        <v>1</v>
      </c>
      <c r="F22" s="66" t="n">
        <f aca="false">'Global Inputs'!$G$99</f>
        <v>1</v>
      </c>
      <c r="G22" s="65" t="n">
        <f aca="false">'P08 DMSTrucking Input'!$E$25</f>
        <v>2027</v>
      </c>
      <c r="H22" s="58" t="n">
        <f aca="false">0</f>
        <v>0</v>
      </c>
      <c r="I22" s="58" t="n">
        <f aca="false">0</f>
        <v>0</v>
      </c>
      <c r="J22" s="58" t="n">
        <f aca="false">'P08 DMSTrucking Output'!$J$11</f>
        <v>2.752399559888</v>
      </c>
      <c r="K22" s="58" t="n">
        <f aca="false">'P08 DMSTrucking Output'!$M$11</f>
        <v>3.57462493387774</v>
      </c>
      <c r="L22" s="58" t="n">
        <f aca="false">'P08 DMSTrucking Output'!$M$15</f>
        <v>2.85969994710219</v>
      </c>
      <c r="M22" s="58" t="n">
        <f aca="false">'P08 DMSTrucking Output'!$E$47</f>
        <v>23.7365719787679</v>
      </c>
      <c r="N22" s="67" t="str">
        <f aca="false">IF(ISNUMBER('P08 DMSTrucking Output'!$E$49),'P08 DMSTrucking Output'!$E$49,"n/a")</f>
        <v>n/a</v>
      </c>
      <c r="O22" s="65" t="str">
        <f aca="false">IF(ISNUMBER('P08 DMSTrucking Output'!$E$52),'P08 DMSTrucking Output'!$E$52,"n/a")</f>
        <v>n/a</v>
      </c>
      <c r="P22" s="17" t="s">
        <v>287</v>
      </c>
      <c r="Q22" s="17" t="s">
        <v>287</v>
      </c>
      <c r="R22" s="17" t="s">
        <v>287</v>
      </c>
    </row>
    <row r="23" customFormat="false" ht="15" hidden="false" customHeight="false" outlineLevel="0" collapsed="false">
      <c r="B23" s="19" t="s">
        <v>63</v>
      </c>
      <c r="C23" s="5" t="s">
        <v>298</v>
      </c>
      <c r="D23" s="65" t="n">
        <f aca="false">'Global Inputs'!$E$100</f>
        <v>1</v>
      </c>
      <c r="E23" s="65" t="n">
        <f aca="false">'Global Inputs'!$F$100</f>
        <v>2</v>
      </c>
      <c r="F23" s="66" t="n">
        <f aca="false">'Global Inputs'!$G$100</f>
        <v>1</v>
      </c>
      <c r="G23" s="65" t="n">
        <f aca="false">'P12 BUMNOps Input'!$E$25</f>
        <v>2026</v>
      </c>
      <c r="H23" s="58" t="n">
        <f aca="false">0</f>
        <v>0</v>
      </c>
      <c r="I23" s="58" t="n">
        <f aca="false">0</f>
        <v>0</v>
      </c>
      <c r="J23" s="58" t="n">
        <f aca="false">'P12 BUMNOps Output'!$J$11</f>
        <v>134.536379803959</v>
      </c>
      <c r="K23" s="58" t="n">
        <f aca="false">'P12 BUMNOps Output'!$M$11</f>
        <v>149.126542503652</v>
      </c>
      <c r="L23" s="58" t="n">
        <f aca="false">'P12 BUMNOps Output'!$M$15</f>
        <v>68.0590011646567</v>
      </c>
      <c r="M23" s="58" t="n">
        <f aca="false">'P12 BUMNOps Output'!$E$47</f>
        <v>532.304096473666</v>
      </c>
      <c r="N23" s="67" t="str">
        <f aca="false">IF(ISNUMBER('P12 BUMNOps Output'!$E$49),'P12 BUMNOps Output'!$E$49,"n/a")</f>
        <v>n/a</v>
      </c>
      <c r="O23" s="65" t="str">
        <f aca="false">IF(ISNUMBER('P12 BUMNOps Output'!$E$52),'P12 BUMNOps Output'!$E$52,"n/a")</f>
        <v>n/a</v>
      </c>
      <c r="P23" s="17" t="s">
        <v>287</v>
      </c>
      <c r="Q23" s="17" t="s">
        <v>287</v>
      </c>
      <c r="R23" s="17" t="s">
        <v>287</v>
      </c>
    </row>
    <row r="24" customFormat="false" ht="15" hidden="false" customHeight="false" outlineLevel="0" collapsed="false">
      <c r="B24" s="19" t="s">
        <v>66</v>
      </c>
      <c r="C24" s="5" t="s">
        <v>300</v>
      </c>
      <c r="D24" s="65" t="n">
        <f aca="false">'Global Inputs'!$E$101</f>
        <v>0</v>
      </c>
      <c r="E24" s="65" t="n">
        <f aca="false">'Global Inputs'!$F$101</f>
        <v>1</v>
      </c>
      <c r="F24" s="66" t="n">
        <f aca="false">'Global Inputs'!$G$101</f>
        <v>1</v>
      </c>
      <c r="G24" s="65" t="n">
        <f aca="false">'P15 TBM Input'!$E$25</f>
        <v>2027</v>
      </c>
      <c r="H24" s="58" t="n">
        <f aca="false">'P15 TBM Input'!$E$53</f>
        <v>40.0245926836766</v>
      </c>
      <c r="I24" s="58" t="n">
        <f aca="false">'P15 TBM Input'!$E$59</f>
        <v>0</v>
      </c>
      <c r="J24" s="58" t="n">
        <f aca="false">'P15 TBM Output'!$J$11</f>
        <v>0</v>
      </c>
      <c r="K24" s="58" t="n">
        <f aca="false">'P15 TBM Output'!$M$11</f>
        <v>374.7552</v>
      </c>
      <c r="L24" s="58" t="n">
        <f aca="false">'P15 TBM Output'!$M$15</f>
        <v>199.11267093317</v>
      </c>
      <c r="M24" s="58" t="n">
        <f aca="false">'P15 TBM Output'!$E$47</f>
        <v>1325.73155834362</v>
      </c>
      <c r="N24" s="67" t="n">
        <f aca="false">IF(ISNUMBER('P15 TBM Output'!$E$49),'P15 TBM Output'!$E$49,"n/a")</f>
        <v>0.0954224247774238</v>
      </c>
      <c r="O24" s="65" t="n">
        <f aca="false">IF(ISNUMBER('P15 TBM Output'!$E$52),'P15 TBM Output'!$E$52,"n/a")</f>
        <v>2033</v>
      </c>
      <c r="P24" s="17" t="s">
        <v>287</v>
      </c>
      <c r="Q24" s="17" t="s">
        <v>287</v>
      </c>
      <c r="R24" s="17" t="s">
        <v>287</v>
      </c>
    </row>
    <row r="25" customFormat="false" ht="15" hidden="false" customHeight="false" outlineLevel="0" collapsed="false">
      <c r="B25" s="19" t="s">
        <v>69</v>
      </c>
      <c r="C25" s="5" t="s">
        <v>302</v>
      </c>
      <c r="D25" s="65" t="n">
        <f aca="false">'Global Inputs'!$E$102</f>
        <v>0</v>
      </c>
      <c r="E25" s="65" t="n">
        <f aca="false">'Global Inputs'!$F$102</f>
        <v>1</v>
      </c>
      <c r="F25" s="66" t="n">
        <f aca="false">'Global Inputs'!$G$102</f>
        <v>1</v>
      </c>
      <c r="G25" s="65" t="n">
        <f aca="false">'P19 Badas FS Working Paper'!$E$25</f>
        <v>2029</v>
      </c>
      <c r="H25" s="58" t="n">
        <f aca="false">'P19 Badas FS Working Paper'!$E$57</f>
        <v>10</v>
      </c>
      <c r="I25" s="58" t="n">
        <f aca="false">'P19 Badas FS Working Paper'!$E$63</f>
        <v>10</v>
      </c>
      <c r="J25" s="58" t="n">
        <f aca="false">'P19 Badas Output'!$J$11</f>
        <v>0</v>
      </c>
      <c r="K25" s="58" t="n">
        <f aca="false">'P19 Badas Output'!$M$11</f>
        <v>37.96065</v>
      </c>
      <c r="L25" s="58" t="n">
        <f aca="false">'P19 Badas Output'!$M$15</f>
        <v>18.2438675</v>
      </c>
      <c r="M25" s="58" t="n">
        <f aca="false">'P19 Badas Output'!$E$47</f>
        <v>35.230684044276</v>
      </c>
      <c r="N25" s="67" t="n">
        <f aca="false">IF(ISNUMBER('P19 Badas Output'!$E$49),'P19 Badas Output'!$E$49,"n/a")</f>
        <v>0.00368635332544859</v>
      </c>
      <c r="O25" s="65" t="n">
        <f aca="false">IF(ISNUMBER('P19 Badas Output'!$E$52),'P19 Badas Output'!$E$52,"n/a")</f>
        <v>2036</v>
      </c>
      <c r="P25" s="17" t="s">
        <v>287</v>
      </c>
      <c r="Q25" s="17" t="s">
        <v>287</v>
      </c>
      <c r="R25" s="17" t="s">
        <v>287</v>
      </c>
    </row>
    <row r="26" customFormat="false" ht="15" hidden="false" customHeight="false" outlineLevel="0" collapsed="false">
      <c r="B26" s="3" t="s">
        <v>334</v>
      </c>
      <c r="H26" s="68" t="n">
        <f aca="false">SUM(H12:H25)</f>
        <v>106.470191860554</v>
      </c>
      <c r="I26" s="68" t="n">
        <f aca="false">SUM(I12:I25)</f>
        <v>19.8372963418383</v>
      </c>
      <c r="J26" s="68" t="n">
        <f aca="false">SUM(J12:J25)</f>
        <v>754.462492082283</v>
      </c>
      <c r="K26" s="68" t="n">
        <f aca="false">SUM(K12:K25)</f>
        <v>1369.73234874666</v>
      </c>
      <c r="L26" s="68" t="n">
        <f aca="false">SUM(L12:L25)</f>
        <v>792.722262496351</v>
      </c>
      <c r="M26" s="68" t="n">
        <f aca="false">SUM(M12:M25)</f>
        <v>6228.28157499443</v>
      </c>
    </row>
    <row r="28" customFormat="false" ht="15" hidden="false" customHeight="false" outlineLevel="0" collapsed="false">
      <c r="B28" s="22" t="s">
        <v>335</v>
      </c>
      <c r="C28" s="23"/>
      <c r="D28" s="23"/>
      <c r="E28" s="23"/>
      <c r="F28" s="23"/>
      <c r="G28" s="23"/>
      <c r="H28" s="23"/>
      <c r="I28" s="23"/>
      <c r="J28" s="23"/>
      <c r="K28" s="23"/>
      <c r="L28" s="23"/>
      <c r="M28" s="23"/>
      <c r="N28" s="23"/>
      <c r="O28" s="23"/>
      <c r="P28" s="23"/>
      <c r="Q28" s="23"/>
      <c r="R28" s="23"/>
      <c r="S28" s="23"/>
    </row>
    <row r="29" customFormat="false" ht="15" hidden="false" customHeight="false" outlineLevel="0" collapsed="false">
      <c r="B29" s="24" t="s">
        <v>336</v>
      </c>
      <c r="C29" s="25" t="s">
        <v>170</v>
      </c>
      <c r="F29" s="47" t="n">
        <f aca="false">'E1 TelukLamong Output'!F11*'Global Inputs'!$K$89+'E2 CigadingExist Output'!F11*'Global Inputs'!$K$90+'E3 Belawan Output'!F11*'Global Inputs'!$K$91+'E4 WIN Output'!F11*'Global Inputs'!$K$92+'P01 CigWharf2 Output'!F11*'Global Inputs'!$K$93+'P02 CigConveyor Output'!F11*'Global Inputs'!$K$94+'P03 KBSWarehouse Output'!F11*'Global Inputs'!$K$95+'P04 TTLSilo Output'!F11*'Global Inputs'!$K$96+'P05 Dumai Output'!F11*'Global Inputs'!$K$97+'P06 Ciwandan Output'!F11*'Global Inputs'!$K$98+'P08 DMSTrucking Output'!F11*'Global Inputs'!$K$99+'P12 BUMNOps Output'!F11*'Global Inputs'!$K$100+'P15 TBM Output'!F11*'Global Inputs'!$K$101+'P19 Badas Output'!F11*'Global Inputs'!$K$102</f>
        <v>0</v>
      </c>
      <c r="G29" s="47" t="n">
        <f aca="false">'E1 TelukLamong Output'!G11*'Global Inputs'!$K$89+'E2 CigadingExist Output'!G11*'Global Inputs'!$K$90+'E3 Belawan Output'!G11*'Global Inputs'!$K$91+'E4 WIN Output'!G11*'Global Inputs'!$K$92+'P01 CigWharf2 Output'!G11*'Global Inputs'!$K$93+'P02 CigConveyor Output'!G11*'Global Inputs'!$K$94+'P03 KBSWarehouse Output'!G11*'Global Inputs'!$K$95+'P04 TTLSilo Output'!G11*'Global Inputs'!$K$96+'P05 Dumai Output'!G11*'Global Inputs'!$K$97+'P06 Ciwandan Output'!G11*'Global Inputs'!$K$98+'P08 DMSTrucking Output'!G11*'Global Inputs'!$K$99+'P12 BUMNOps Output'!G11*'Global Inputs'!$K$100+'P15 TBM Output'!G11*'Global Inputs'!$K$101+'P19 Badas Output'!G11*'Global Inputs'!$K$102</f>
        <v>305.288412360754</v>
      </c>
      <c r="H29" s="47" t="n">
        <f aca="false">'E1 TelukLamong Output'!H11*'Global Inputs'!$K$89+'E2 CigadingExist Output'!H11*'Global Inputs'!$K$90+'E3 Belawan Output'!H11*'Global Inputs'!$K$91+'E4 WIN Output'!H11*'Global Inputs'!$K$92+'P01 CigWharf2 Output'!H11*'Global Inputs'!$K$93+'P02 CigConveyor Output'!H11*'Global Inputs'!$K$94+'P03 KBSWarehouse Output'!H11*'Global Inputs'!$K$95+'P04 TTLSilo Output'!H11*'Global Inputs'!$K$96+'P05 Dumai Output'!H11*'Global Inputs'!$K$97+'P06 Ciwandan Output'!H11*'Global Inputs'!$K$98+'P08 DMSTrucking Output'!H11*'Global Inputs'!$K$99+'P12 BUMNOps Output'!H11*'Global Inputs'!$K$100+'P15 TBM Output'!H11*'Global Inputs'!$K$101+'P19 Badas Output'!H11*'Global Inputs'!$K$102</f>
        <v>427.60263552932</v>
      </c>
      <c r="I29" s="47" t="n">
        <f aca="false">'E1 TelukLamong Output'!I11*'Global Inputs'!$K$89+'E2 CigadingExist Output'!I11*'Global Inputs'!$K$90+'E3 Belawan Output'!I11*'Global Inputs'!$K$91+'E4 WIN Output'!I11*'Global Inputs'!$K$92+'P01 CigWharf2 Output'!I11*'Global Inputs'!$K$93+'P02 CigConveyor Output'!I11*'Global Inputs'!$K$94+'P03 KBSWarehouse Output'!I11*'Global Inputs'!$K$95+'P04 TTLSilo Output'!I11*'Global Inputs'!$K$96+'P05 Dumai Output'!I11*'Global Inputs'!$K$97+'P06 Ciwandan Output'!I11*'Global Inputs'!$K$98+'P08 DMSTrucking Output'!I11*'Global Inputs'!$K$99+'P12 BUMNOps Output'!I11*'Global Inputs'!$K$100+'P15 TBM Output'!I11*'Global Inputs'!$K$101+'P19 Badas Output'!I11*'Global Inputs'!$K$102</f>
        <v>494.570841069113</v>
      </c>
      <c r="J29" s="47" t="n">
        <f aca="false">'E1 TelukLamong Output'!J11*'Global Inputs'!$K$89+'E2 CigadingExist Output'!J11*'Global Inputs'!$K$90+'E3 Belawan Output'!J11*'Global Inputs'!$K$91+'E4 WIN Output'!J11*'Global Inputs'!$K$92+'P01 CigWharf2 Output'!J11*'Global Inputs'!$K$93+'P02 CigConveyor Output'!J11*'Global Inputs'!$K$94+'P03 KBSWarehouse Output'!J11*'Global Inputs'!$K$95+'P04 TTLSilo Output'!J11*'Global Inputs'!$K$96+'P05 Dumai Output'!J11*'Global Inputs'!$K$97+'P06 Ciwandan Output'!J11*'Global Inputs'!$K$98+'P08 DMSTrucking Output'!J11*'Global Inputs'!$K$99+'P12 BUMNOps Output'!J11*'Global Inputs'!$K$100+'P15 TBM Output'!J11*'Global Inputs'!$K$101+'P19 Badas Output'!J11*'Global Inputs'!$K$102</f>
        <v>619.926112278324</v>
      </c>
      <c r="K29" s="47" t="n">
        <f aca="false">'E1 TelukLamong Output'!K11*'Global Inputs'!$K$89+'E2 CigadingExist Output'!K11*'Global Inputs'!$K$90+'E3 Belawan Output'!K11*'Global Inputs'!$K$91+'E4 WIN Output'!K11*'Global Inputs'!$K$92+'P01 CigWharf2 Output'!K11*'Global Inputs'!$K$93+'P02 CigConveyor Output'!K11*'Global Inputs'!$K$94+'P03 KBSWarehouse Output'!K11*'Global Inputs'!$K$95+'P04 TTLSilo Output'!K11*'Global Inputs'!$K$96+'P05 Dumai Output'!K11*'Global Inputs'!$K$97+'P06 Ciwandan Output'!K11*'Global Inputs'!$K$98+'P08 DMSTrucking Output'!K11*'Global Inputs'!$K$99+'P12 BUMNOps Output'!K11*'Global Inputs'!$K$100+'P15 TBM Output'!K11*'Global Inputs'!$K$101+'P19 Badas Output'!K11*'Global Inputs'!$K$102</f>
        <v>702.028827178926</v>
      </c>
      <c r="L29" s="47" t="n">
        <f aca="false">'E1 TelukLamong Output'!L11*'Global Inputs'!$K$89+'E2 CigadingExist Output'!L11*'Global Inputs'!$K$90+'E3 Belawan Output'!L11*'Global Inputs'!$K$91+'E4 WIN Output'!L11*'Global Inputs'!$K$92+'P01 CigWharf2 Output'!L11*'Global Inputs'!$K$93+'P02 CigConveyor Output'!L11*'Global Inputs'!$K$94+'P03 KBSWarehouse Output'!L11*'Global Inputs'!$K$95+'P04 TTLSilo Output'!L11*'Global Inputs'!$K$96+'P05 Dumai Output'!L11*'Global Inputs'!$K$97+'P06 Ciwandan Output'!L11*'Global Inputs'!$K$98+'P08 DMSTrucking Output'!L11*'Global Inputs'!$K$99+'P12 BUMNOps Output'!L11*'Global Inputs'!$K$100+'P15 TBM Output'!L11*'Global Inputs'!$K$101+'P19 Badas Output'!L11*'Global Inputs'!$K$102</f>
        <v>773.764063356243</v>
      </c>
      <c r="M29" s="47" t="n">
        <f aca="false">'E1 TelukLamong Output'!M11*'Global Inputs'!$K$89+'E2 CigadingExist Output'!M11*'Global Inputs'!$K$90+'E3 Belawan Output'!M11*'Global Inputs'!$K$91+'E4 WIN Output'!M11*'Global Inputs'!$K$92+'P01 CigWharf2 Output'!M11*'Global Inputs'!$K$93+'P02 CigConveyor Output'!M11*'Global Inputs'!$K$94+'P03 KBSWarehouse Output'!M11*'Global Inputs'!$K$95+'P04 TTLSilo Output'!M11*'Global Inputs'!$K$96+'P05 Dumai Output'!M11*'Global Inputs'!$K$97+'P06 Ciwandan Output'!M11*'Global Inputs'!$K$98+'P08 DMSTrucking Output'!M11*'Global Inputs'!$K$99+'P12 BUMNOps Output'!M11*'Global Inputs'!$K$100+'P15 TBM Output'!M11*'Global Inputs'!$K$101+'P19 Badas Output'!M11*'Global Inputs'!$K$102</f>
        <v>807.889956243013</v>
      </c>
      <c r="N29" s="47" t="n">
        <f aca="false">'E1 TelukLamong Output'!N11*'Global Inputs'!$K$89+'E2 CigadingExist Output'!N11*'Global Inputs'!$K$90+'E3 Belawan Output'!N11*'Global Inputs'!$K$91+'E4 WIN Output'!N11*'Global Inputs'!$K$92+'P01 CigWharf2 Output'!N11*'Global Inputs'!$K$93+'P02 CigConveyor Output'!N11*'Global Inputs'!$K$94+'P03 KBSWarehouse Output'!N11*'Global Inputs'!$K$95+'P04 TTLSilo Output'!N11*'Global Inputs'!$K$96+'P05 Dumai Output'!N11*'Global Inputs'!$K$97+'P06 Ciwandan Output'!N11*'Global Inputs'!$K$98+'P08 DMSTrucking Output'!N11*'Global Inputs'!$K$99+'P12 BUMNOps Output'!N11*'Global Inputs'!$K$100+'P15 TBM Output'!N11*'Global Inputs'!$K$101+'P19 Badas Output'!N11*'Global Inputs'!$K$102</f>
        <v>867.206853011173</v>
      </c>
      <c r="O29" s="47" t="n">
        <f aca="false">'E1 TelukLamong Output'!O11*'Global Inputs'!$K$89+'E2 CigadingExist Output'!O11*'Global Inputs'!$K$90+'E3 Belawan Output'!O11*'Global Inputs'!$K$91+'E4 WIN Output'!O11*'Global Inputs'!$K$92+'P01 CigWharf2 Output'!O11*'Global Inputs'!$K$93+'P02 CigConveyor Output'!O11*'Global Inputs'!$K$94+'P03 KBSWarehouse Output'!O11*'Global Inputs'!$K$95+'P04 TTLSilo Output'!O11*'Global Inputs'!$K$96+'P05 Dumai Output'!O11*'Global Inputs'!$K$97+'P06 Ciwandan Output'!O11*'Global Inputs'!$K$98+'P08 DMSTrucking Output'!O11*'Global Inputs'!$K$99+'P12 BUMNOps Output'!O11*'Global Inputs'!$K$100+'P15 TBM Output'!O11*'Global Inputs'!$K$101+'P19 Badas Output'!O11*'Global Inputs'!$K$102</f>
        <v>908.854372121655</v>
      </c>
      <c r="P29" s="47" t="n">
        <f aca="false">'E1 TelukLamong Output'!P11*'Global Inputs'!$K$89+'E2 CigadingExist Output'!P11*'Global Inputs'!$K$90+'E3 Belawan Output'!P11*'Global Inputs'!$K$91+'E4 WIN Output'!P11*'Global Inputs'!$K$92+'P01 CigWharf2 Output'!P11*'Global Inputs'!$K$93+'P02 CigConveyor Output'!P11*'Global Inputs'!$K$94+'P03 KBSWarehouse Output'!P11*'Global Inputs'!$K$95+'P04 TTLSilo Output'!P11*'Global Inputs'!$K$96+'P05 Dumai Output'!P11*'Global Inputs'!$K$97+'P06 Ciwandan Output'!P11*'Global Inputs'!$K$98+'P08 DMSTrucking Output'!P11*'Global Inputs'!$K$99+'P12 BUMNOps Output'!P11*'Global Inputs'!$K$100+'P15 TBM Output'!P11*'Global Inputs'!$K$101+'P19 Badas Output'!P11*'Global Inputs'!$K$102</f>
        <v>972.375691528293</v>
      </c>
      <c r="Q29" s="47" t="n">
        <f aca="false">'E1 TelukLamong Output'!Q11*'Global Inputs'!$K$89+'E2 CigadingExist Output'!Q11*'Global Inputs'!$K$90+'E3 Belawan Output'!Q11*'Global Inputs'!$K$91+'E4 WIN Output'!Q11*'Global Inputs'!$K$92+'P01 CigWharf2 Output'!Q11*'Global Inputs'!$K$93+'P02 CigConveyor Output'!Q11*'Global Inputs'!$K$94+'P03 KBSWarehouse Output'!Q11*'Global Inputs'!$K$95+'P04 TTLSilo Output'!Q11*'Global Inputs'!$K$96+'P05 Dumai Output'!Q11*'Global Inputs'!$K$97+'P06 Ciwandan Output'!Q11*'Global Inputs'!$K$98+'P08 DMSTrucking Output'!Q11*'Global Inputs'!$K$99+'P12 BUMNOps Output'!Q11*'Global Inputs'!$K$100+'P15 TBM Output'!Q11*'Global Inputs'!$K$101+'P19 Badas Output'!Q11*'Global Inputs'!$K$102</f>
        <v>992.227365539461</v>
      </c>
      <c r="R29" s="47" t="n">
        <f aca="false">'E1 TelukLamong Output'!R11*'Global Inputs'!$K$89+'E2 CigadingExist Output'!R11*'Global Inputs'!$K$90+'E3 Belawan Output'!R11*'Global Inputs'!$K$91+'E4 WIN Output'!R11*'Global Inputs'!$K$92+'P01 CigWharf2 Output'!R11*'Global Inputs'!$K$93+'P02 CigConveyor Output'!R11*'Global Inputs'!$K$94+'P03 KBSWarehouse Output'!R11*'Global Inputs'!$K$95+'P04 TTLSilo Output'!R11*'Global Inputs'!$K$96+'P05 Dumai Output'!R11*'Global Inputs'!$K$97+'P06 Ciwandan Output'!R11*'Global Inputs'!$K$98+'P08 DMSTrucking Output'!R11*'Global Inputs'!$K$99+'P12 BUMNOps Output'!R11*'Global Inputs'!$K$100+'P15 TBM Output'!R11*'Global Inputs'!$K$101+'P19 Badas Output'!R11*'Global Inputs'!$K$102</f>
        <v>1004.86363756786</v>
      </c>
      <c r="S29" s="47" t="n">
        <f aca="false">'E1 TelukLamong Output'!S11*'Global Inputs'!$K$89+'E2 CigadingExist Output'!S11*'Global Inputs'!$K$90+'E3 Belawan Output'!S11*'Global Inputs'!$K$91+'E4 WIN Output'!S11*'Global Inputs'!$K$92+'P01 CigWharf2 Output'!S11*'Global Inputs'!$K$93+'P02 CigConveyor Output'!S11*'Global Inputs'!$K$94+'P03 KBSWarehouse Output'!S11*'Global Inputs'!$K$95+'P04 TTLSilo Output'!S11*'Global Inputs'!$K$96+'P05 Dumai Output'!S11*'Global Inputs'!$K$97+'P06 Ciwandan Output'!S11*'Global Inputs'!$K$98+'P08 DMSTrucking Output'!S11*'Global Inputs'!$K$99+'P12 BUMNOps Output'!S11*'Global Inputs'!$K$100+'P15 TBM Output'!S11*'Global Inputs'!$K$101+'P19 Badas Output'!S11*'Global Inputs'!$K$102</f>
        <v>1040.94827313929</v>
      </c>
    </row>
    <row r="30" customFormat="false" ht="15" hidden="false" customHeight="false" outlineLevel="0" collapsed="false">
      <c r="B30" s="24" t="s">
        <v>337</v>
      </c>
      <c r="C30" s="25" t="s">
        <v>170</v>
      </c>
      <c r="F30" s="58" t="n">
        <f aca="false">'FSL Financials — Without BUMN'!F18</f>
        <v>0</v>
      </c>
      <c r="G30" s="58" t="n">
        <f aca="false">'FSL Financials — Without BUMN'!G18</f>
        <v>305.288412360754</v>
      </c>
      <c r="H30" s="58" t="n">
        <f aca="false">'FSL Financials — Without BUMN'!H18</f>
        <v>427.60263552932</v>
      </c>
      <c r="I30" s="58" t="n">
        <f aca="false">'FSL Financials — Without BUMN'!I18</f>
        <v>494.570841069113</v>
      </c>
      <c r="J30" s="58" t="n">
        <f aca="false">'FSL Financials — Without BUMN'!J18</f>
        <v>619.926112278324</v>
      </c>
      <c r="K30" s="58" t="n">
        <f aca="false">'FSL Financials — Without BUMN'!K18</f>
        <v>702.028827178926</v>
      </c>
      <c r="L30" s="58" t="n">
        <f aca="false">'FSL Financials — Without BUMN'!L18</f>
        <v>773.764063356243</v>
      </c>
      <c r="M30" s="58" t="n">
        <f aca="false">'FSL Financials — Without BUMN'!M18</f>
        <v>807.889956243013</v>
      </c>
      <c r="N30" s="58" t="n">
        <f aca="false">'FSL Financials — Without BUMN'!N18</f>
        <v>867.206853011173</v>
      </c>
      <c r="O30" s="58" t="n">
        <f aca="false">'FSL Financials — Without BUMN'!O18</f>
        <v>908.854372121655</v>
      </c>
      <c r="P30" s="58" t="n">
        <f aca="false">'FSL Financials — Without BUMN'!P18</f>
        <v>972.375691528293</v>
      </c>
      <c r="Q30" s="58" t="n">
        <f aca="false">'FSL Financials — Without BUMN'!Q18</f>
        <v>992.227365539461</v>
      </c>
      <c r="R30" s="58" t="n">
        <f aca="false">'FSL Financials — Without BUMN'!R18</f>
        <v>1004.86363756786</v>
      </c>
      <c r="S30" s="58" t="n">
        <f aca="false">'FSL Financials — Without BUMN'!S18</f>
        <v>1040.94827313929</v>
      </c>
    </row>
    <row r="31" customFormat="false" ht="15" hidden="false" customHeight="false" outlineLevel="0" collapsed="false">
      <c r="B31" s="24" t="s">
        <v>338</v>
      </c>
      <c r="C31" s="25" t="s">
        <v>170</v>
      </c>
      <c r="F31" s="32" t="n">
        <f aca="false">F29-F30</f>
        <v>0</v>
      </c>
      <c r="G31" s="32" t="n">
        <f aca="false">G29-G30</f>
        <v>0</v>
      </c>
      <c r="H31" s="32" t="n">
        <f aca="false">H29-H30</f>
        <v>0</v>
      </c>
      <c r="I31" s="32" t="n">
        <f aca="false">I29-I30</f>
        <v>0</v>
      </c>
      <c r="J31" s="32" t="n">
        <f aca="false">J29-J30</f>
        <v>0</v>
      </c>
      <c r="K31" s="32" t="n">
        <f aca="false">K29-K30</f>
        <v>0</v>
      </c>
      <c r="L31" s="32" t="n">
        <f aca="false">L29-L30</f>
        <v>0</v>
      </c>
      <c r="M31" s="32" t="n">
        <f aca="false">M29-M30</f>
        <v>0</v>
      </c>
      <c r="N31" s="32" t="n">
        <f aca="false">N29-N30</f>
        <v>0</v>
      </c>
      <c r="O31" s="32" t="n">
        <f aca="false">O29-O30</f>
        <v>0</v>
      </c>
      <c r="P31" s="32" t="n">
        <f aca="false">P29-P30</f>
        <v>0</v>
      </c>
      <c r="Q31" s="32" t="n">
        <f aca="false">Q29-Q30</f>
        <v>0</v>
      </c>
      <c r="R31" s="32" t="n">
        <f aca="false">R29-R30</f>
        <v>0</v>
      </c>
      <c r="S31" s="32" t="n">
        <f aca="false">S29-S30</f>
        <v>0</v>
      </c>
    </row>
    <row r="32" customFormat="false" ht="15" hidden="false" customHeight="false" outlineLevel="0" collapsed="false">
      <c r="B32" s="24" t="s">
        <v>339</v>
      </c>
      <c r="C32" s="25" t="s">
        <v>170</v>
      </c>
      <c r="F32" s="47" t="n">
        <f aca="false">'E1 TelukLamong Output'!F11*'Global Inputs'!$L$89+'E2 CigadingExist Output'!F11*'Global Inputs'!$L$90+'E3 Belawan Output'!F11*'Global Inputs'!$L$91+'E4 WIN Output'!F11*'Global Inputs'!$L$92+'P01 CigWharf2 Output'!F11*'Global Inputs'!$L$93+'P02 CigConveyor Output'!F11*'Global Inputs'!$L$94+'P03 KBSWarehouse Output'!F11*'Global Inputs'!$L$95+'P04 TTLSilo Output'!F11*'Global Inputs'!$L$96+'P05 Dumai Output'!F11*'Global Inputs'!$L$97+'P06 Ciwandan Output'!F11*'Global Inputs'!$L$98+'P08 DMSTrucking Output'!F11*'Global Inputs'!$L$99+'P12 BUMNOps Output'!F11*'Global Inputs'!$L$100+'P15 TBM Output'!F11*'Global Inputs'!$L$101+'P19 Badas Output'!F11*'Global Inputs'!$L$102</f>
        <v>0</v>
      </c>
      <c r="G32" s="47" t="n">
        <f aca="false">'E1 TelukLamong Output'!G11*'Global Inputs'!$L$89+'E2 CigadingExist Output'!G11*'Global Inputs'!$L$90+'E3 Belawan Output'!G11*'Global Inputs'!$L$91+'E4 WIN Output'!G11*'Global Inputs'!$L$92+'P01 CigWharf2 Output'!G11*'Global Inputs'!$L$93+'P02 CigConveyor Output'!G11*'Global Inputs'!$L$94+'P03 KBSWarehouse Output'!G11*'Global Inputs'!$L$95+'P04 TTLSilo Output'!G11*'Global Inputs'!$L$96+'P05 Dumai Output'!G11*'Global Inputs'!$L$97+'P06 Ciwandan Output'!G11*'Global Inputs'!$L$98+'P08 DMSTrucking Output'!G11*'Global Inputs'!$L$99+'P12 BUMNOps Output'!G11*'Global Inputs'!$L$100+'P15 TBM Output'!G11*'Global Inputs'!$L$101+'P19 Badas Output'!G11*'Global Inputs'!$L$102</f>
        <v>305.288412360754</v>
      </c>
      <c r="H32" s="47" t="n">
        <f aca="false">'E1 TelukLamong Output'!H11*'Global Inputs'!$L$89+'E2 CigadingExist Output'!H11*'Global Inputs'!$L$90+'E3 Belawan Output'!H11*'Global Inputs'!$L$91+'E4 WIN Output'!H11*'Global Inputs'!$L$92+'P01 CigWharf2 Output'!H11*'Global Inputs'!$L$93+'P02 CigConveyor Output'!H11*'Global Inputs'!$L$94+'P03 KBSWarehouse Output'!H11*'Global Inputs'!$L$95+'P04 TTLSilo Output'!H11*'Global Inputs'!$L$96+'P05 Dumai Output'!H11*'Global Inputs'!$L$97+'P06 Ciwandan Output'!H11*'Global Inputs'!$L$98+'P08 DMSTrucking Output'!H11*'Global Inputs'!$L$99+'P12 BUMNOps Output'!H11*'Global Inputs'!$L$100+'P15 TBM Output'!H11*'Global Inputs'!$L$101+'P19 Badas Output'!H11*'Global Inputs'!$L$102</f>
        <v>427.60263552932</v>
      </c>
      <c r="I32" s="47" t="n">
        <f aca="false">'E1 TelukLamong Output'!I11*'Global Inputs'!$L$89+'E2 CigadingExist Output'!I11*'Global Inputs'!$L$90+'E3 Belawan Output'!I11*'Global Inputs'!$L$91+'E4 WIN Output'!I11*'Global Inputs'!$L$92+'P01 CigWharf2 Output'!I11*'Global Inputs'!$L$93+'P02 CigConveyor Output'!I11*'Global Inputs'!$L$94+'P03 KBSWarehouse Output'!I11*'Global Inputs'!$L$95+'P04 TTLSilo Output'!I11*'Global Inputs'!$L$96+'P05 Dumai Output'!I11*'Global Inputs'!$L$97+'P06 Ciwandan Output'!I11*'Global Inputs'!$L$98+'P08 DMSTrucking Output'!I11*'Global Inputs'!$L$99+'P12 BUMNOps Output'!I11*'Global Inputs'!$L$100+'P15 TBM Output'!I11*'Global Inputs'!$L$101+'P19 Badas Output'!I11*'Global Inputs'!$L$102</f>
        <v>622.064556538699</v>
      </c>
      <c r="J32" s="47" t="n">
        <f aca="false">'E1 TelukLamong Output'!J11*'Global Inputs'!$L$89+'E2 CigadingExist Output'!J11*'Global Inputs'!$L$90+'E3 Belawan Output'!J11*'Global Inputs'!$L$91+'E4 WIN Output'!J11*'Global Inputs'!$L$92+'P01 CigWharf2 Output'!J11*'Global Inputs'!$L$93+'P02 CigConveyor Output'!J11*'Global Inputs'!$L$94+'P03 KBSWarehouse Output'!J11*'Global Inputs'!$L$95+'P04 TTLSilo Output'!J11*'Global Inputs'!$L$96+'P05 Dumai Output'!J11*'Global Inputs'!$L$97+'P06 Ciwandan Output'!J11*'Global Inputs'!$L$98+'P08 DMSTrucking Output'!J11*'Global Inputs'!$L$99+'P12 BUMNOps Output'!J11*'Global Inputs'!$L$100+'P15 TBM Output'!J11*'Global Inputs'!$L$101+'P19 Badas Output'!J11*'Global Inputs'!$L$102</f>
        <v>754.462492082283</v>
      </c>
      <c r="K32" s="47" t="n">
        <f aca="false">'E1 TelukLamong Output'!K11*'Global Inputs'!$L$89+'E2 CigadingExist Output'!K11*'Global Inputs'!$L$90+'E3 Belawan Output'!K11*'Global Inputs'!$L$91+'E4 WIN Output'!K11*'Global Inputs'!$L$92+'P01 CigWharf2 Output'!K11*'Global Inputs'!$L$93+'P02 CigConveyor Output'!K11*'Global Inputs'!$L$94+'P03 KBSWarehouse Output'!K11*'Global Inputs'!$L$95+'P04 TTLSilo Output'!K11*'Global Inputs'!$L$96+'P05 Dumai Output'!K11*'Global Inputs'!$L$97+'P06 Ciwandan Output'!K11*'Global Inputs'!$L$98+'P08 DMSTrucking Output'!K11*'Global Inputs'!$L$99+'P12 BUMNOps Output'!K11*'Global Inputs'!$L$100+'P15 TBM Output'!K11*'Global Inputs'!$L$101+'P19 Badas Output'!K11*'Global Inputs'!$L$102</f>
        <v>841.309226008467</v>
      </c>
      <c r="L32" s="47" t="n">
        <f aca="false">'E1 TelukLamong Output'!L11*'Global Inputs'!$L$89+'E2 CigadingExist Output'!L11*'Global Inputs'!$L$90+'E3 Belawan Output'!L11*'Global Inputs'!$L$91+'E4 WIN Output'!L11*'Global Inputs'!$L$92+'P01 CigWharf2 Output'!L11*'Global Inputs'!$L$93+'P02 CigConveyor Output'!L11*'Global Inputs'!$L$94+'P03 KBSWarehouse Output'!L11*'Global Inputs'!$L$95+'P04 TTLSilo Output'!L11*'Global Inputs'!$L$96+'P05 Dumai Output'!L11*'Global Inputs'!$L$97+'P06 Ciwandan Output'!L11*'Global Inputs'!$L$98+'P08 DMSTrucking Output'!L11*'Global Inputs'!$L$99+'P12 BUMNOps Output'!L11*'Global Inputs'!$L$100+'P15 TBM Output'!L11*'Global Inputs'!$L$101+'P19 Badas Output'!L11*'Global Inputs'!$L$102</f>
        <v>917.906667885605</v>
      </c>
      <c r="M32" s="47" t="n">
        <f aca="false">'E1 TelukLamong Output'!M11*'Global Inputs'!$L$89+'E2 CigadingExist Output'!M11*'Global Inputs'!$L$90+'E3 Belawan Output'!M11*'Global Inputs'!$L$91+'E4 WIN Output'!M11*'Global Inputs'!$L$92+'P01 CigWharf2 Output'!M11*'Global Inputs'!$L$93+'P02 CigConveyor Output'!M11*'Global Inputs'!$L$94+'P03 KBSWarehouse Output'!M11*'Global Inputs'!$L$95+'P04 TTLSilo Output'!M11*'Global Inputs'!$L$96+'P05 Dumai Output'!M11*'Global Inputs'!$L$97+'P06 Ciwandan Output'!M11*'Global Inputs'!$L$98+'P08 DMSTrucking Output'!M11*'Global Inputs'!$L$99+'P12 BUMNOps Output'!M11*'Global Inputs'!$L$100+'P15 TBM Output'!M11*'Global Inputs'!$L$101+'P19 Badas Output'!M11*'Global Inputs'!$L$102</f>
        <v>957.016498746665</v>
      </c>
      <c r="N32" s="47" t="n">
        <f aca="false">'E1 TelukLamong Output'!N11*'Global Inputs'!$L$89+'E2 CigadingExist Output'!N11*'Global Inputs'!$L$90+'E3 Belawan Output'!N11*'Global Inputs'!$L$91+'E4 WIN Output'!N11*'Global Inputs'!$L$92+'P01 CigWharf2 Output'!N11*'Global Inputs'!$L$93+'P02 CigConveyor Output'!N11*'Global Inputs'!$L$94+'P03 KBSWarehouse Output'!N11*'Global Inputs'!$L$95+'P04 TTLSilo Output'!N11*'Global Inputs'!$L$96+'P05 Dumai Output'!N11*'Global Inputs'!$L$97+'P06 Ciwandan Output'!N11*'Global Inputs'!$L$98+'P08 DMSTrucking Output'!N11*'Global Inputs'!$L$99+'P12 BUMNOps Output'!N11*'Global Inputs'!$L$100+'P15 TBM Output'!N11*'Global Inputs'!$L$101+'P19 Badas Output'!N11*'Global Inputs'!$L$102</f>
        <v>1021.44271773182</v>
      </c>
      <c r="O32" s="47" t="n">
        <f aca="false">'E1 TelukLamong Output'!O11*'Global Inputs'!$L$89+'E2 CigadingExist Output'!O11*'Global Inputs'!$L$90+'E3 Belawan Output'!O11*'Global Inputs'!$L$91+'E4 WIN Output'!O11*'Global Inputs'!$L$92+'P01 CigWharf2 Output'!O11*'Global Inputs'!$L$93+'P02 CigConveyor Output'!O11*'Global Inputs'!$L$94+'P03 KBSWarehouse Output'!O11*'Global Inputs'!$L$95+'P04 TTLSilo Output'!O11*'Global Inputs'!$L$96+'P05 Dumai Output'!O11*'Global Inputs'!$L$97+'P06 Ciwandan Output'!O11*'Global Inputs'!$L$98+'P08 DMSTrucking Output'!O11*'Global Inputs'!$L$99+'P12 BUMNOps Output'!O11*'Global Inputs'!$L$100+'P15 TBM Output'!O11*'Global Inputs'!$L$101+'P19 Badas Output'!O11*'Global Inputs'!$L$102</f>
        <v>1068.32870482927</v>
      </c>
      <c r="P32" s="47" t="n">
        <f aca="false">'E1 TelukLamong Output'!P11*'Global Inputs'!$L$89+'E2 CigadingExist Output'!P11*'Global Inputs'!$L$90+'E3 Belawan Output'!P11*'Global Inputs'!$L$91+'E4 WIN Output'!P11*'Global Inputs'!$L$92+'P01 CigWharf2 Output'!P11*'Global Inputs'!$L$93+'P02 CigConveyor Output'!P11*'Global Inputs'!$L$94+'P03 KBSWarehouse Output'!P11*'Global Inputs'!$L$95+'P04 TTLSilo Output'!P11*'Global Inputs'!$L$96+'P05 Dumai Output'!P11*'Global Inputs'!$L$97+'P06 Ciwandan Output'!P11*'Global Inputs'!$L$98+'P08 DMSTrucking Output'!P11*'Global Inputs'!$L$99+'P12 BUMNOps Output'!P11*'Global Inputs'!$L$100+'P15 TBM Output'!P11*'Global Inputs'!$L$101+'P19 Badas Output'!P11*'Global Inputs'!$L$102</f>
        <v>1137.22151236596</v>
      </c>
      <c r="Q32" s="47" t="n">
        <f aca="false">'E1 TelukLamong Output'!Q11*'Global Inputs'!$L$89+'E2 CigadingExist Output'!Q11*'Global Inputs'!$L$90+'E3 Belawan Output'!Q11*'Global Inputs'!$L$91+'E4 WIN Output'!Q11*'Global Inputs'!$L$92+'P01 CigWharf2 Output'!Q11*'Global Inputs'!$L$93+'P02 CigConveyor Output'!Q11*'Global Inputs'!$L$94+'P03 KBSWarehouse Output'!Q11*'Global Inputs'!$L$95+'P04 TTLSilo Output'!Q11*'Global Inputs'!$L$96+'P05 Dumai Output'!Q11*'Global Inputs'!$L$97+'P06 Ciwandan Output'!Q11*'Global Inputs'!$L$98+'P08 DMSTrucking Output'!Q11*'Global Inputs'!$L$99+'P12 BUMNOps Output'!Q11*'Global Inputs'!$L$100+'P15 TBM Output'!Q11*'Global Inputs'!$L$101+'P19 Badas Output'!Q11*'Global Inputs'!$L$102</f>
        <v>1162.58168525456</v>
      </c>
      <c r="R32" s="47" t="n">
        <f aca="false">'E1 TelukLamong Output'!R11*'Global Inputs'!$L$89+'E2 CigadingExist Output'!R11*'Global Inputs'!$L$90+'E3 Belawan Output'!R11*'Global Inputs'!$L$91+'E4 WIN Output'!R11*'Global Inputs'!$L$92+'P01 CigWharf2 Output'!R11*'Global Inputs'!$L$93+'P02 CigConveyor Output'!R11*'Global Inputs'!$L$94+'P03 KBSWarehouse Output'!R11*'Global Inputs'!$L$95+'P04 TTLSilo Output'!R11*'Global Inputs'!$L$96+'P05 Dumai Output'!R11*'Global Inputs'!$L$97+'P06 Ciwandan Output'!R11*'Global Inputs'!$L$98+'P08 DMSTrucking Output'!R11*'Global Inputs'!$L$99+'P12 BUMNOps Output'!R11*'Global Inputs'!$L$100+'P15 TBM Output'!R11*'Global Inputs'!$L$101+'P19 Badas Output'!R11*'Global Inputs'!$L$102</f>
        <v>1171.21401861933</v>
      </c>
      <c r="S32" s="47" t="n">
        <f aca="false">'E1 TelukLamong Output'!S11*'Global Inputs'!$L$89+'E2 CigadingExist Output'!S11*'Global Inputs'!$L$90+'E3 Belawan Output'!S11*'Global Inputs'!$L$91+'E4 WIN Output'!S11*'Global Inputs'!$L$92+'P01 CigWharf2 Output'!S11*'Global Inputs'!$L$93+'P02 CigConveyor Output'!S11*'Global Inputs'!$L$94+'P03 KBSWarehouse Output'!S11*'Global Inputs'!$L$95+'P04 TTLSilo Output'!S11*'Global Inputs'!$L$96+'P05 Dumai Output'!S11*'Global Inputs'!$L$97+'P06 Ciwandan Output'!S11*'Global Inputs'!$L$98+'P08 DMSTrucking Output'!S11*'Global Inputs'!$L$99+'P12 BUMNOps Output'!S11*'Global Inputs'!$L$100+'P15 TBM Output'!S11*'Global Inputs'!$L$101+'P19 Badas Output'!S11*'Global Inputs'!$L$102</f>
        <v>1212.2891656223</v>
      </c>
    </row>
    <row r="33" customFormat="false" ht="15" hidden="false" customHeight="false" outlineLevel="0" collapsed="false">
      <c r="B33" s="24" t="s">
        <v>340</v>
      </c>
      <c r="C33" s="25" t="s">
        <v>170</v>
      </c>
      <c r="F33" s="58" t="n">
        <f aca="false">'FSL Financials — With BUMN'!F18</f>
        <v>0</v>
      </c>
      <c r="G33" s="58" t="n">
        <f aca="false">'FSL Financials — With BUMN'!G18</f>
        <v>305.288412360754</v>
      </c>
      <c r="H33" s="58" t="n">
        <f aca="false">'FSL Financials — With BUMN'!H18</f>
        <v>427.60263552932</v>
      </c>
      <c r="I33" s="58" t="n">
        <f aca="false">'FSL Financials — With BUMN'!I18</f>
        <v>622.064556538699</v>
      </c>
      <c r="J33" s="58" t="n">
        <f aca="false">'FSL Financials — With BUMN'!J18</f>
        <v>754.462492082283</v>
      </c>
      <c r="K33" s="58" t="n">
        <f aca="false">'FSL Financials — With BUMN'!K18</f>
        <v>841.309226008467</v>
      </c>
      <c r="L33" s="58" t="n">
        <f aca="false">'FSL Financials — With BUMN'!L18</f>
        <v>917.906667885605</v>
      </c>
      <c r="M33" s="58" t="n">
        <f aca="false">'FSL Financials — With BUMN'!M18</f>
        <v>957.016498746665</v>
      </c>
      <c r="N33" s="58" t="n">
        <f aca="false">'FSL Financials — With BUMN'!N18</f>
        <v>1021.44271773182</v>
      </c>
      <c r="O33" s="58" t="n">
        <f aca="false">'FSL Financials — With BUMN'!O18</f>
        <v>1068.32870482927</v>
      </c>
      <c r="P33" s="58" t="n">
        <f aca="false">'FSL Financials — With BUMN'!P18</f>
        <v>1137.22151236596</v>
      </c>
      <c r="Q33" s="58" t="n">
        <f aca="false">'FSL Financials — With BUMN'!Q18</f>
        <v>1162.58168525456</v>
      </c>
      <c r="R33" s="58" t="n">
        <f aca="false">'FSL Financials — With BUMN'!R18</f>
        <v>1171.21401861933</v>
      </c>
      <c r="S33" s="58" t="n">
        <f aca="false">'FSL Financials — With BUMN'!S18</f>
        <v>1212.2891656223</v>
      </c>
    </row>
    <row r="34" customFormat="false" ht="15" hidden="false" customHeight="false" outlineLevel="0" collapsed="false">
      <c r="B34" s="24" t="s">
        <v>338</v>
      </c>
      <c r="C34" s="25" t="s">
        <v>170</v>
      </c>
      <c r="F34" s="32" t="n">
        <f aca="false">F32-F33</f>
        <v>0</v>
      </c>
      <c r="G34" s="32" t="n">
        <f aca="false">G32-G33</f>
        <v>0</v>
      </c>
      <c r="H34" s="32" t="n">
        <f aca="false">H32-H33</f>
        <v>0</v>
      </c>
      <c r="I34" s="32" t="n">
        <f aca="false">I32-I33</f>
        <v>0</v>
      </c>
      <c r="J34" s="32" t="n">
        <f aca="false">J32-J33</f>
        <v>0</v>
      </c>
      <c r="K34" s="32" t="n">
        <f aca="false">K32-K33</f>
        <v>0</v>
      </c>
      <c r="L34" s="32" t="n">
        <f aca="false">L32-L33</f>
        <v>0</v>
      </c>
      <c r="M34" s="32" t="n">
        <f aca="false">M32-M33</f>
        <v>0</v>
      </c>
      <c r="N34" s="32" t="n">
        <f aca="false">N32-N33</f>
        <v>0</v>
      </c>
      <c r="O34" s="32" t="n">
        <f aca="false">O32-O33</f>
        <v>0</v>
      </c>
      <c r="P34" s="32" t="n">
        <f aca="false">P32-P33</f>
        <v>0</v>
      </c>
      <c r="Q34" s="32" t="n">
        <f aca="false">Q32-Q33</f>
        <v>0</v>
      </c>
      <c r="R34" s="32" t="n">
        <f aca="false">R32-R33</f>
        <v>0</v>
      </c>
      <c r="S34" s="32" t="n">
        <f aca="false">S32-S33</f>
        <v>0</v>
      </c>
    </row>
    <row r="35" customFormat="false" ht="15" hidden="false" customHeight="false" outlineLevel="0" collapsed="false">
      <c r="B35" s="24" t="s">
        <v>341</v>
      </c>
      <c r="C35" s="25" t="s">
        <v>170</v>
      </c>
      <c r="F35" s="47" t="n">
        <f aca="false">'E1 TelukLamong Output'!F28*'Global Inputs'!$L$89+'E2 CigadingExist Output'!F28*'Global Inputs'!$L$90+'E3 Belawan Output'!F28*'Global Inputs'!$L$91+'E4 WIN Output'!F28*'Global Inputs'!$L$92+'P01 CigWharf2 Output'!F28*'Global Inputs'!$L$93+'P02 CigConveyor Output'!F28*'Global Inputs'!$L$94+'P03 KBSWarehouse Output'!F28*'Global Inputs'!$L$95+'P04 TTLSilo Output'!F28*'Global Inputs'!$L$96+'P05 Dumai Output'!F28*'Global Inputs'!$L$97+'P06 Ciwandan Output'!F28*'Global Inputs'!$L$98+'P08 DMSTrucking Output'!F28*'Global Inputs'!$L$99+'P12 BUMNOps Output'!F28*'Global Inputs'!$L$100+'P15 TBM Output'!F28*'Global Inputs'!$L$101+'P19 Badas Output'!F28*'Global Inputs'!$L$102</f>
        <v>-198.433</v>
      </c>
      <c r="G35" s="47" t="n">
        <f aca="false">'E1 TelukLamong Output'!G28*'Global Inputs'!$L$89+'E2 CigadingExist Output'!G28*'Global Inputs'!$L$90+'E3 Belawan Output'!G28*'Global Inputs'!$L$91+'E4 WIN Output'!G28*'Global Inputs'!$L$92+'P01 CigWharf2 Output'!G28*'Global Inputs'!$L$93+'P02 CigConveyor Output'!G28*'Global Inputs'!$L$94+'P03 KBSWarehouse Output'!G28*'Global Inputs'!$L$95+'P04 TTLSilo Output'!G28*'Global Inputs'!$L$96+'P05 Dumai Output'!G28*'Global Inputs'!$L$97+'P06 Ciwandan Output'!G28*'Global Inputs'!$L$98+'P08 DMSTrucking Output'!G28*'Global Inputs'!$L$99+'P12 BUMNOps Output'!G28*'Global Inputs'!$L$100+'P15 TBM Output'!G28*'Global Inputs'!$L$101+'P19 Badas Output'!G28*'Global Inputs'!$L$102</f>
        <v>11.8695999317167</v>
      </c>
      <c r="H35" s="47" t="n">
        <f aca="false">'E1 TelukLamong Output'!H28*'Global Inputs'!$L$89+'E2 CigadingExist Output'!H28*'Global Inputs'!$L$90+'E3 Belawan Output'!H28*'Global Inputs'!$L$91+'E4 WIN Output'!H28*'Global Inputs'!$L$92+'P01 CigWharf2 Output'!H28*'Global Inputs'!$L$93+'P02 CigConveyor Output'!H28*'Global Inputs'!$L$94+'P03 KBSWarehouse Output'!H28*'Global Inputs'!$L$95+'P04 TTLSilo Output'!H28*'Global Inputs'!$L$96+'P05 Dumai Output'!H28*'Global Inputs'!$L$97+'P06 Ciwandan Output'!H28*'Global Inputs'!$L$98+'P08 DMSTrucking Output'!H28*'Global Inputs'!$L$99+'P12 BUMNOps Output'!H28*'Global Inputs'!$L$100+'P15 TBM Output'!H28*'Global Inputs'!$L$101+'P19 Badas Output'!H28*'Global Inputs'!$L$102</f>
        <v>196.172071283682</v>
      </c>
      <c r="I35" s="47" t="n">
        <f aca="false">'E1 TelukLamong Output'!I28*'Global Inputs'!$L$89+'E2 CigadingExist Output'!I28*'Global Inputs'!$L$90+'E3 Belawan Output'!I28*'Global Inputs'!$L$91+'E4 WIN Output'!I28*'Global Inputs'!$L$92+'P01 CigWharf2 Output'!I28*'Global Inputs'!$L$93+'P02 CigConveyor Output'!I28*'Global Inputs'!$L$94+'P03 KBSWarehouse Output'!I28*'Global Inputs'!$L$95+'P04 TTLSilo Output'!I28*'Global Inputs'!$L$96+'P05 Dumai Output'!I28*'Global Inputs'!$L$97+'P06 Ciwandan Output'!I28*'Global Inputs'!$L$98+'P08 DMSTrucking Output'!I28*'Global Inputs'!$L$99+'P12 BUMNOps Output'!I28*'Global Inputs'!$L$100+'P15 TBM Output'!I28*'Global Inputs'!$L$101+'P19 Badas Output'!I28*'Global Inputs'!$L$102</f>
        <v>-133.209504718301</v>
      </c>
      <c r="J35" s="47" t="n">
        <f aca="false">'E1 TelukLamong Output'!J28*'Global Inputs'!$L$89+'E2 CigadingExist Output'!J28*'Global Inputs'!$L$90+'E3 Belawan Output'!J28*'Global Inputs'!$L$91+'E4 WIN Output'!J28*'Global Inputs'!$L$92+'P01 CigWharf2 Output'!J28*'Global Inputs'!$L$93+'P02 CigConveyor Output'!J28*'Global Inputs'!$L$94+'P03 KBSWarehouse Output'!J28*'Global Inputs'!$L$95+'P04 TTLSilo Output'!J28*'Global Inputs'!$L$96+'P05 Dumai Output'!J28*'Global Inputs'!$L$97+'P06 Ciwandan Output'!J28*'Global Inputs'!$L$98+'P08 DMSTrucking Output'!J28*'Global Inputs'!$L$99+'P12 BUMNOps Output'!J28*'Global Inputs'!$L$100+'P15 TBM Output'!J28*'Global Inputs'!$L$101+'P19 Badas Output'!J28*'Global Inputs'!$L$102</f>
        <v>205.305864723085</v>
      </c>
      <c r="K35" s="47" t="n">
        <f aca="false">'E1 TelukLamong Output'!K28*'Global Inputs'!$L$89+'E2 CigadingExist Output'!K28*'Global Inputs'!$L$90+'E3 Belawan Output'!K28*'Global Inputs'!$L$91+'E4 WIN Output'!K28*'Global Inputs'!$L$92+'P01 CigWharf2 Output'!K28*'Global Inputs'!$L$93+'P02 CigConveyor Output'!K28*'Global Inputs'!$L$94+'P03 KBSWarehouse Output'!K28*'Global Inputs'!$L$95+'P04 TTLSilo Output'!K28*'Global Inputs'!$L$96+'P05 Dumai Output'!K28*'Global Inputs'!$L$97+'P06 Ciwandan Output'!K28*'Global Inputs'!$L$98+'P08 DMSTrucking Output'!K28*'Global Inputs'!$L$99+'P12 BUMNOps Output'!K28*'Global Inputs'!$L$100+'P15 TBM Output'!K28*'Global Inputs'!$L$101+'P19 Badas Output'!K28*'Global Inputs'!$L$102</f>
        <v>411.920113361151</v>
      </c>
      <c r="L35" s="47" t="n">
        <f aca="false">'E1 TelukLamong Output'!L28*'Global Inputs'!$L$89+'E2 CigadingExist Output'!L28*'Global Inputs'!$L$90+'E3 Belawan Output'!L28*'Global Inputs'!$L$91+'E4 WIN Output'!L28*'Global Inputs'!$L$92+'P01 CigWharf2 Output'!L28*'Global Inputs'!$L$93+'P02 CigConveyor Output'!L28*'Global Inputs'!$L$94+'P03 KBSWarehouse Output'!L28*'Global Inputs'!$L$95+'P04 TTLSilo Output'!L28*'Global Inputs'!$L$96+'P05 Dumai Output'!L28*'Global Inputs'!$L$97+'P06 Ciwandan Output'!L28*'Global Inputs'!$L$98+'P08 DMSTrucking Output'!L28*'Global Inputs'!$L$99+'P12 BUMNOps Output'!L28*'Global Inputs'!$L$100+'P15 TBM Output'!L28*'Global Inputs'!$L$101+'P19 Badas Output'!L28*'Global Inputs'!$L$102</f>
        <v>456.292059622871</v>
      </c>
      <c r="M35" s="47" t="n">
        <f aca="false">'E1 TelukLamong Output'!M28*'Global Inputs'!$L$89+'E2 CigadingExist Output'!M28*'Global Inputs'!$L$90+'E3 Belawan Output'!M28*'Global Inputs'!$L$91+'E4 WIN Output'!M28*'Global Inputs'!$L$92+'P01 CigWharf2 Output'!M28*'Global Inputs'!$L$93+'P02 CigConveyor Output'!M28*'Global Inputs'!$L$94+'P03 KBSWarehouse Output'!M28*'Global Inputs'!$L$95+'P04 TTLSilo Output'!M28*'Global Inputs'!$L$96+'P05 Dumai Output'!M28*'Global Inputs'!$L$97+'P06 Ciwandan Output'!M28*'Global Inputs'!$L$98+'P08 DMSTrucking Output'!M28*'Global Inputs'!$L$99+'P12 BUMNOps Output'!M28*'Global Inputs'!$L$100+'P15 TBM Output'!M28*'Global Inputs'!$L$101+'P19 Badas Output'!M28*'Global Inputs'!$L$102</f>
        <v>478.006911014325</v>
      </c>
      <c r="N35" s="47" t="n">
        <f aca="false">'E1 TelukLamong Output'!N28*'Global Inputs'!$L$89+'E2 CigadingExist Output'!N28*'Global Inputs'!$L$90+'E3 Belawan Output'!N28*'Global Inputs'!$L$91+'E4 WIN Output'!N28*'Global Inputs'!$L$92+'P01 CigWharf2 Output'!N28*'Global Inputs'!$L$93+'P02 CigConveyor Output'!N28*'Global Inputs'!$L$94+'P03 KBSWarehouse Output'!N28*'Global Inputs'!$L$95+'P04 TTLSilo Output'!N28*'Global Inputs'!$L$96+'P05 Dumai Output'!N28*'Global Inputs'!$L$97+'P06 Ciwandan Output'!N28*'Global Inputs'!$L$98+'P08 DMSTrucking Output'!N28*'Global Inputs'!$L$99+'P12 BUMNOps Output'!N28*'Global Inputs'!$L$100+'P15 TBM Output'!N28*'Global Inputs'!$L$101+'P19 Badas Output'!N28*'Global Inputs'!$L$102</f>
        <v>508.592966035562</v>
      </c>
      <c r="O35" s="47" t="n">
        <f aca="false">'E1 TelukLamong Output'!O28*'Global Inputs'!$L$89+'E2 CigadingExist Output'!O28*'Global Inputs'!$L$90+'E3 Belawan Output'!O28*'Global Inputs'!$L$91+'E4 WIN Output'!O28*'Global Inputs'!$L$92+'P01 CigWharf2 Output'!O28*'Global Inputs'!$L$93+'P02 CigConveyor Output'!O28*'Global Inputs'!$L$94+'P03 KBSWarehouse Output'!O28*'Global Inputs'!$L$95+'P04 TTLSilo Output'!O28*'Global Inputs'!$L$96+'P05 Dumai Output'!O28*'Global Inputs'!$L$97+'P06 Ciwandan Output'!O28*'Global Inputs'!$L$98+'P08 DMSTrucking Output'!O28*'Global Inputs'!$L$99+'P12 BUMNOps Output'!O28*'Global Inputs'!$L$100+'P15 TBM Output'!O28*'Global Inputs'!$L$101+'P19 Badas Output'!O28*'Global Inputs'!$L$102</f>
        <v>533.83222053788</v>
      </c>
      <c r="P35" s="47" t="n">
        <f aca="false">'E1 TelukLamong Output'!P28*'Global Inputs'!$L$89+'E2 CigadingExist Output'!P28*'Global Inputs'!$L$90+'E3 Belawan Output'!P28*'Global Inputs'!$L$91+'E4 WIN Output'!P28*'Global Inputs'!$L$92+'P01 CigWharf2 Output'!P28*'Global Inputs'!$L$93+'P02 CigConveyor Output'!P28*'Global Inputs'!$L$94+'P03 KBSWarehouse Output'!P28*'Global Inputs'!$L$95+'P04 TTLSilo Output'!P28*'Global Inputs'!$L$96+'P05 Dumai Output'!P28*'Global Inputs'!$L$97+'P06 Ciwandan Output'!P28*'Global Inputs'!$L$98+'P08 DMSTrucking Output'!P28*'Global Inputs'!$L$99+'P12 BUMNOps Output'!P28*'Global Inputs'!$L$100+'P15 TBM Output'!P28*'Global Inputs'!$L$101+'P19 Badas Output'!P28*'Global Inputs'!$L$102</f>
        <v>564.326294295352</v>
      </c>
      <c r="Q35" s="47" t="n">
        <f aca="false">'E1 TelukLamong Output'!Q28*'Global Inputs'!$L$89+'E2 CigadingExist Output'!Q28*'Global Inputs'!$L$90+'E3 Belawan Output'!Q28*'Global Inputs'!$L$91+'E4 WIN Output'!Q28*'Global Inputs'!$L$92+'P01 CigWharf2 Output'!Q28*'Global Inputs'!$L$93+'P02 CigConveyor Output'!Q28*'Global Inputs'!$L$94+'P03 KBSWarehouse Output'!Q28*'Global Inputs'!$L$95+'P04 TTLSilo Output'!Q28*'Global Inputs'!$L$96+'P05 Dumai Output'!Q28*'Global Inputs'!$L$97+'P06 Ciwandan Output'!Q28*'Global Inputs'!$L$98+'P08 DMSTrucking Output'!Q28*'Global Inputs'!$L$99+'P12 BUMNOps Output'!Q28*'Global Inputs'!$L$100+'P15 TBM Output'!Q28*'Global Inputs'!$L$101+'P19 Badas Output'!Q28*'Global Inputs'!$L$102</f>
        <v>584.11697585198</v>
      </c>
      <c r="R35" s="47" t="n">
        <f aca="false">'E1 TelukLamong Output'!R28*'Global Inputs'!$L$89+'E2 CigadingExist Output'!R28*'Global Inputs'!$L$90+'E3 Belawan Output'!R28*'Global Inputs'!$L$91+'E4 WIN Output'!R28*'Global Inputs'!$L$92+'P01 CigWharf2 Output'!R28*'Global Inputs'!$L$93+'P02 CigConveyor Output'!R28*'Global Inputs'!$L$94+'P03 KBSWarehouse Output'!R28*'Global Inputs'!$L$95+'P04 TTLSilo Output'!R28*'Global Inputs'!$L$96+'P05 Dumai Output'!R28*'Global Inputs'!$L$97+'P06 Ciwandan Output'!R28*'Global Inputs'!$L$98+'P08 DMSTrucking Output'!R28*'Global Inputs'!$L$99+'P12 BUMNOps Output'!R28*'Global Inputs'!$L$100+'P15 TBM Output'!R28*'Global Inputs'!$L$101+'P19 Badas Output'!R28*'Global Inputs'!$L$102</f>
        <v>583.326386477287</v>
      </c>
      <c r="S35" s="47" t="n">
        <f aca="false">'E1 TelukLamong Output'!S28*'Global Inputs'!$L$89+'E2 CigadingExist Output'!S28*'Global Inputs'!$L$90+'E3 Belawan Output'!S28*'Global Inputs'!$L$91+'E4 WIN Output'!S28*'Global Inputs'!$L$92+'P01 CigWharf2 Output'!S28*'Global Inputs'!$L$93+'P02 CigConveyor Output'!S28*'Global Inputs'!$L$94+'P03 KBSWarehouse Output'!S28*'Global Inputs'!$L$95+'P04 TTLSilo Output'!S28*'Global Inputs'!$L$96+'P05 Dumai Output'!S28*'Global Inputs'!$L$97+'P06 Ciwandan Output'!S28*'Global Inputs'!$L$98+'P08 DMSTrucking Output'!S28*'Global Inputs'!$L$99+'P12 BUMNOps Output'!S28*'Global Inputs'!$L$100+'P15 TBM Output'!S28*'Global Inputs'!$L$101+'P19 Badas Output'!S28*'Global Inputs'!$L$102</f>
        <v>596.577441607989</v>
      </c>
    </row>
    <row r="36" customFormat="false" ht="15" hidden="false" customHeight="false" outlineLevel="0" collapsed="false">
      <c r="B36" s="24" t="s">
        <v>342</v>
      </c>
      <c r="C36" s="25" t="s">
        <v>170</v>
      </c>
      <c r="F36" s="58" t="n">
        <f aca="false">'Valuation — With BUMN'!F31</f>
        <v>-198.433</v>
      </c>
      <c r="G36" s="58" t="n">
        <f aca="false">'Valuation — With BUMN'!G31</f>
        <v>11.8695999317166</v>
      </c>
      <c r="H36" s="58" t="n">
        <f aca="false">'Valuation — With BUMN'!H31</f>
        <v>196.172071283682</v>
      </c>
      <c r="I36" s="58" t="n">
        <f aca="false">'Valuation — With BUMN'!I31</f>
        <v>-133.209504718301</v>
      </c>
      <c r="J36" s="58" t="n">
        <f aca="false">'Valuation — With BUMN'!J31</f>
        <v>205.305864723085</v>
      </c>
      <c r="K36" s="58" t="n">
        <f aca="false">'Valuation — With BUMN'!K31</f>
        <v>411.920113361151</v>
      </c>
      <c r="L36" s="58" t="n">
        <f aca="false">'Valuation — With BUMN'!L31</f>
        <v>456.292059622871</v>
      </c>
      <c r="M36" s="58" t="n">
        <f aca="false">'Valuation — With BUMN'!M31</f>
        <v>478.006911014325</v>
      </c>
      <c r="N36" s="58" t="n">
        <f aca="false">'Valuation — With BUMN'!N31</f>
        <v>508.592966035562</v>
      </c>
      <c r="O36" s="58" t="n">
        <f aca="false">'Valuation — With BUMN'!O31</f>
        <v>533.83222053788</v>
      </c>
      <c r="P36" s="58" t="n">
        <f aca="false">'Valuation — With BUMN'!P31</f>
        <v>564.326294295352</v>
      </c>
      <c r="Q36" s="58" t="n">
        <f aca="false">'Valuation — With BUMN'!Q31</f>
        <v>584.11697585198</v>
      </c>
      <c r="R36" s="58" t="n">
        <f aca="false">'Valuation — With BUMN'!R31</f>
        <v>583.326386477287</v>
      </c>
      <c r="S36" s="58" t="n">
        <f aca="false">'Valuation — With BUMN'!S31</f>
        <v>596.577441607989</v>
      </c>
    </row>
    <row r="37" customFormat="false" ht="15" hidden="false" customHeight="false" outlineLevel="0" collapsed="false">
      <c r="B37" s="24" t="s">
        <v>338</v>
      </c>
      <c r="C37" s="25" t="s">
        <v>170</v>
      </c>
      <c r="F37" s="32" t="n">
        <f aca="false">F35-F36</f>
        <v>0</v>
      </c>
      <c r="G37" s="32" t="n">
        <f aca="false">G35-G36</f>
        <v>0</v>
      </c>
      <c r="H37" s="32" t="n">
        <f aca="false">H35-H36</f>
        <v>0</v>
      </c>
      <c r="I37" s="32" t="n">
        <f aca="false">I35-I36</f>
        <v>0</v>
      </c>
      <c r="J37" s="32" t="n">
        <f aca="false">J35-J36</f>
        <v>0</v>
      </c>
      <c r="K37" s="32" t="n">
        <f aca="false">K35-K36</f>
        <v>0</v>
      </c>
      <c r="L37" s="32" t="n">
        <f aca="false">L35-L36</f>
        <v>0</v>
      </c>
      <c r="M37" s="32" t="n">
        <f aca="false">M35-M36</f>
        <v>0</v>
      </c>
      <c r="N37" s="32" t="n">
        <f aca="false">N35-N36</f>
        <v>0</v>
      </c>
      <c r="O37" s="32" t="n">
        <f aca="false">O35-O36</f>
        <v>0</v>
      </c>
      <c r="P37" s="32" t="n">
        <f aca="false">P35-P36</f>
        <v>0</v>
      </c>
      <c r="Q37" s="32" t="n">
        <f aca="false">Q35-Q36</f>
        <v>0</v>
      </c>
      <c r="R37" s="32" t="n">
        <f aca="false">R35-R36</f>
        <v>0</v>
      </c>
      <c r="S37" s="32" t="n">
        <f aca="false">S35-S36</f>
        <v>0</v>
      </c>
    </row>
    <row r="38" customFormat="false" ht="15" hidden="false" customHeight="false" outlineLevel="0" collapsed="false">
      <c r="B38" s="5" t="s">
        <v>343</v>
      </c>
    </row>
    <row r="40" customFormat="false" ht="15" hidden="false" customHeight="false" outlineLevel="0" collapsed="false">
      <c r="B40" s="22" t="s">
        <v>344</v>
      </c>
      <c r="C40" s="23"/>
      <c r="D40" s="23"/>
      <c r="E40" s="23"/>
      <c r="F40" s="23"/>
      <c r="G40" s="23"/>
      <c r="H40" s="23"/>
      <c r="I40" s="23"/>
      <c r="J40" s="23"/>
      <c r="K40" s="23"/>
      <c r="L40" s="23"/>
      <c r="M40" s="23"/>
      <c r="N40" s="23"/>
      <c r="O40" s="23"/>
      <c r="P40" s="23"/>
      <c r="Q40" s="23"/>
      <c r="R40" s="23"/>
      <c r="S40" s="23"/>
    </row>
    <row r="41" customFormat="false" ht="15" hidden="false" customHeight="false" outlineLevel="0" collapsed="false">
      <c r="B41" s="5" t="s">
        <v>32</v>
      </c>
      <c r="C41" s="17" t="s">
        <v>27</v>
      </c>
      <c r="D41" s="17" t="s">
        <v>28</v>
      </c>
      <c r="E41" s="17" t="s">
        <v>29</v>
      </c>
      <c r="G41" s="5" t="str">
        <f aca="false">"In valuation: "&amp;'Global Inputs'!$E$89&amp;"  |  case: "&amp;'Global Inputs'!$F$89&amp;"  |  FSL interest: "&amp;TEXT('Global Inputs'!$G$89,"0%")</f>
        <v>In valuation: 1  |  case: 1  |  FSL interest: 65%</v>
      </c>
    </row>
    <row r="42" customFormat="false" ht="15" hidden="false" customHeight="false" outlineLevel="0" collapsed="false">
      <c r="B42" s="24" t="s">
        <v>345</v>
      </c>
      <c r="C42" s="25" t="s">
        <v>170</v>
      </c>
      <c r="E42" s="47" t="n">
        <f aca="false">SUM(F42:S42)</f>
        <v>2524.11078340178</v>
      </c>
      <c r="F42" s="58" t="n">
        <f aca="false">'E1 TelukLamong Output'!F11</f>
        <v>0</v>
      </c>
      <c r="G42" s="58" t="n">
        <f aca="false">'E1 TelukLamong Output'!G11</f>
        <v>156.43828</v>
      </c>
      <c r="H42" s="58" t="n">
        <f aca="false">'E1 TelukLamong Output'!H11</f>
        <v>161.1314284</v>
      </c>
      <c r="I42" s="58" t="n">
        <f aca="false">'E1 TelukLamong Output'!I11</f>
        <v>165.965371252</v>
      </c>
      <c r="J42" s="58" t="n">
        <f aca="false">'E1 TelukLamong Output'!J11</f>
        <v>170.94433238956</v>
      </c>
      <c r="K42" s="58" t="n">
        <f aca="false">'E1 TelukLamong Output'!K11</f>
        <v>176.072662361247</v>
      </c>
      <c r="L42" s="58" t="n">
        <f aca="false">'E1 TelukLamong Output'!L11</f>
        <v>186.795487499047</v>
      </c>
      <c r="M42" s="58" t="n">
        <f aca="false">'E1 TelukLamong Output'!M11</f>
        <v>192.399352124018</v>
      </c>
      <c r="N42" s="58" t="n">
        <f aca="false">'E1 TelukLamong Output'!N11</f>
        <v>198.171332687739</v>
      </c>
      <c r="O42" s="58" t="n">
        <f aca="false">'E1 TelukLamong Output'!O11</f>
        <v>210.239966848422</v>
      </c>
      <c r="P42" s="58" t="n">
        <f aca="false">'E1 TelukLamong Output'!P11</f>
        <v>216.547165853875</v>
      </c>
      <c r="Q42" s="58" t="n">
        <f aca="false">'E1 TelukLamong Output'!Q11</f>
        <v>223.043580829491</v>
      </c>
      <c r="R42" s="58" t="n">
        <f aca="false">'E1 TelukLamong Output'!R11</f>
        <v>229.734888254376</v>
      </c>
      <c r="S42" s="58" t="n">
        <f aca="false">'E1 TelukLamong Output'!S11</f>
        <v>236.626934902007</v>
      </c>
    </row>
    <row r="43" customFormat="false" ht="15" hidden="false" customHeight="false" outlineLevel="0" collapsed="false">
      <c r="B43" s="24" t="s">
        <v>346</v>
      </c>
      <c r="C43" s="25" t="s">
        <v>170</v>
      </c>
      <c r="E43" s="47" t="n">
        <f aca="false">SUM(F43:S43)</f>
        <v>1786.36828651919</v>
      </c>
      <c r="F43" s="58" t="n">
        <f aca="false">'E1 TelukLamong Output'!F15</f>
        <v>0</v>
      </c>
      <c r="G43" s="58" t="n">
        <f aca="false">'E1 TelukLamong Output'!G15</f>
        <v>112.510596237151</v>
      </c>
      <c r="H43" s="58" t="n">
        <f aca="false">'E1 TelukLamong Output'!H15</f>
        <v>115.418623828307</v>
      </c>
      <c r="I43" s="58" t="n">
        <f aca="false">'E1 TelukLamong Output'!I15</f>
        <v>118.363614111219</v>
      </c>
      <c r="J43" s="58" t="n">
        <f aca="false">'E1 TelukLamong Output'!J15</f>
        <v>121.388189867105</v>
      </c>
      <c r="K43" s="58" t="n">
        <f aca="false">'E1 TelukLamong Output'!K15</f>
        <v>124.470962797606</v>
      </c>
      <c r="L43" s="58" t="n">
        <f aca="false">'E1 TelukLamong Output'!L15</f>
        <v>133.031076163037</v>
      </c>
      <c r="M43" s="58" t="n">
        <f aca="false">'E1 TelukLamong Output'!M15</f>
        <v>136.392739763852</v>
      </c>
      <c r="N43" s="58" t="n">
        <f aca="false">'E1 TelukLamong Output'!N15</f>
        <v>139.816515315686</v>
      </c>
      <c r="O43" s="58" t="n">
        <f aca="false">'E1 TelukLamong Output'!O15</f>
        <v>149.404136565713</v>
      </c>
      <c r="P43" s="58" t="n">
        <f aca="false">'E1 TelukLamong Output'!P15</f>
        <v>153.134311768195</v>
      </c>
      <c r="Q43" s="58" t="n">
        <f aca="false">'E1 TelukLamong Output'!Q15</f>
        <v>156.930258359816</v>
      </c>
      <c r="R43" s="58" t="n">
        <f aca="false">'E1 TelukLamong Output'!R15</f>
        <v>160.791178756722</v>
      </c>
      <c r="S43" s="58" t="n">
        <f aca="false">'E1 TelukLamong Output'!S15</f>
        <v>164.716082984778</v>
      </c>
    </row>
    <row r="44" customFormat="false" ht="15" hidden="false" customHeight="false" outlineLevel="0" collapsed="false">
      <c r="B44" s="69" t="s">
        <v>347</v>
      </c>
      <c r="C44" s="25" t="s">
        <v>170</v>
      </c>
      <c r="E44" s="70" t="n">
        <f aca="false">SUM(F44:S44)</f>
        <v>1219.27819608368</v>
      </c>
      <c r="F44" s="71" t="n">
        <f aca="false">'E1 TelukLamong Output'!F17</f>
        <v>0</v>
      </c>
      <c r="G44" s="71" t="n">
        <f aca="false">'E1 TelukLamong Output'!G17</f>
        <v>70.769813754729</v>
      </c>
      <c r="H44" s="71" t="n">
        <f aca="false">'E1 TelukLamong Output'!H17</f>
        <v>73.6723672098848</v>
      </c>
      <c r="I44" s="71" t="n">
        <f aca="false">'E1 TelukLamong Output'!I17</f>
        <v>75.6117738740764</v>
      </c>
      <c r="J44" s="71" t="n">
        <f aca="false">'E1 TelukLamong Output'!J17</f>
        <v>78.6306543388679</v>
      </c>
      <c r="K44" s="71" t="n">
        <f aca="false">'E1 TelukLamong Output'!K17</f>
        <v>81.7076180724527</v>
      </c>
      <c r="L44" s="71" t="n">
        <f aca="false">'E1 TelukLamong Output'!L17</f>
        <v>89.2618060570292</v>
      </c>
      <c r="M44" s="71" t="n">
        <f aca="false">'E1 TelukLamong Output'!M17</f>
        <v>92.6174257693723</v>
      </c>
      <c r="N44" s="71" t="n">
        <f aca="false">'E1 TelukLamong Output'!N17</f>
        <v>96.0350365549655</v>
      </c>
      <c r="O44" s="71" t="n">
        <f aca="false">'E1 TelukLamong Output'!O17</f>
        <v>104.616369743427</v>
      </c>
      <c r="P44" s="71" t="n">
        <f aca="false">'E1 TelukLamong Output'!P17</f>
        <v>108.340131123112</v>
      </c>
      <c r="Q44" s="71" t="n">
        <f aca="false">'E1 TelukLamong Output'!Q17</f>
        <v>112.129535615479</v>
      </c>
      <c r="R44" s="71" t="n">
        <f aca="false">'E1 TelukLamong Output'!R17</f>
        <v>115.983783071147</v>
      </c>
      <c r="S44" s="71" t="n">
        <f aca="false">'E1 TelukLamong Output'!S17</f>
        <v>119.901880899139</v>
      </c>
    </row>
    <row r="45" customFormat="false" ht="15" hidden="false" customHeight="false" outlineLevel="0" collapsed="false">
      <c r="B45" s="24" t="s">
        <v>348</v>
      </c>
      <c r="C45" s="25" t="s">
        <v>170</v>
      </c>
      <c r="E45" s="47" t="n">
        <f aca="false">SUM(F45:S45)</f>
        <v>951.036992945271</v>
      </c>
      <c r="F45" s="58" t="n">
        <f aca="false">'E1 TelukLamong Output'!F19</f>
        <v>0</v>
      </c>
      <c r="G45" s="58" t="n">
        <f aca="false">'E1 TelukLamong Output'!G19</f>
        <v>55.2004547286886</v>
      </c>
      <c r="H45" s="58" t="n">
        <f aca="false">'E1 TelukLamong Output'!H19</f>
        <v>57.4644464237102</v>
      </c>
      <c r="I45" s="58" t="n">
        <f aca="false">'E1 TelukLamong Output'!I19</f>
        <v>58.9771836217796</v>
      </c>
      <c r="J45" s="58" t="n">
        <f aca="false">'E1 TelukLamong Output'!J19</f>
        <v>61.3319103843169</v>
      </c>
      <c r="K45" s="58" t="n">
        <f aca="false">'E1 TelukLamong Output'!K19</f>
        <v>63.7319420965131</v>
      </c>
      <c r="L45" s="58" t="n">
        <f aca="false">'E1 TelukLamong Output'!L19</f>
        <v>69.6242087244828</v>
      </c>
      <c r="M45" s="58" t="n">
        <f aca="false">'E1 TelukLamong Output'!M19</f>
        <v>72.2415921001104</v>
      </c>
      <c r="N45" s="58" t="n">
        <f aca="false">'E1 TelukLamong Output'!N19</f>
        <v>74.9073285128731</v>
      </c>
      <c r="O45" s="58" t="n">
        <f aca="false">'E1 TelukLamong Output'!O19</f>
        <v>81.6007683998727</v>
      </c>
      <c r="P45" s="58" t="n">
        <f aca="false">'E1 TelukLamong Output'!P19</f>
        <v>84.5053022760271</v>
      </c>
      <c r="Q45" s="58" t="n">
        <f aca="false">'E1 TelukLamong Output'!Q19</f>
        <v>87.4610377800737</v>
      </c>
      <c r="R45" s="58" t="n">
        <f aca="false">'E1 TelukLamong Output'!R19</f>
        <v>90.4673507954944</v>
      </c>
      <c r="S45" s="58" t="n">
        <f aca="false">'E1 TelukLamong Output'!S19</f>
        <v>93.5234671013286</v>
      </c>
    </row>
    <row r="46" customFormat="false" ht="15" hidden="false" customHeight="false" outlineLevel="0" collapsed="false">
      <c r="B46" s="24" t="s">
        <v>349</v>
      </c>
      <c r="C46" s="25" t="s">
        <v>170</v>
      </c>
      <c r="E46" s="47" t="n">
        <f aca="false">SUM(F46:S46)</f>
        <v>-567.090090435504</v>
      </c>
      <c r="F46" s="58" t="n">
        <f aca="false">'E1 TelukLamong Output'!F16</f>
        <v>-0</v>
      </c>
      <c r="G46" s="58" t="n">
        <f aca="false">'E1 TelukLamong Output'!G16</f>
        <v>-41.7407824824223</v>
      </c>
      <c r="H46" s="58" t="n">
        <f aca="false">'E1 TelukLamong Output'!H16</f>
        <v>-41.7462566184223</v>
      </c>
      <c r="I46" s="58" t="n">
        <f aca="false">'E1 TelukLamong Output'!I16</f>
        <v>-42.7518402371423</v>
      </c>
      <c r="J46" s="58" t="n">
        <f aca="false">'E1 TelukLamong Output'!J16</f>
        <v>-42.7575355282367</v>
      </c>
      <c r="K46" s="58" t="n">
        <f aca="false">'E1 TelukLamong Output'!K16</f>
        <v>-42.763344725153</v>
      </c>
      <c r="L46" s="58" t="n">
        <f aca="false">'E1 TelukLamong Output'!L16</f>
        <v>-43.7692701060076</v>
      </c>
      <c r="M46" s="58" t="n">
        <f aca="false">'E1 TelukLamong Output'!M16</f>
        <v>-43.7753139944793</v>
      </c>
      <c r="N46" s="58" t="n">
        <f aca="false">'E1 TelukLamong Output'!N16</f>
        <v>-43.7814787607205</v>
      </c>
      <c r="O46" s="58" t="n">
        <f aca="false">'E1 TelukLamong Output'!O16</f>
        <v>-44.7877668222864</v>
      </c>
      <c r="P46" s="58" t="n">
        <f aca="false">'E1 TelukLamong Output'!P16</f>
        <v>-44.7941806450837</v>
      </c>
      <c r="Q46" s="58" t="n">
        <f aca="false">'E1 TelukLamong Output'!Q16</f>
        <v>-44.8007227443369</v>
      </c>
      <c r="R46" s="58" t="n">
        <f aca="false">'E1 TelukLamong Output'!R16</f>
        <v>-44.8073956855752</v>
      </c>
      <c r="S46" s="58" t="n">
        <f aca="false">'E1 TelukLamong Output'!S16</f>
        <v>-44.8142020856383</v>
      </c>
    </row>
    <row r="47" customFormat="false" ht="15" hidden="false" customHeight="false" outlineLevel="0" collapsed="false">
      <c r="B47" s="24" t="s">
        <v>350</v>
      </c>
      <c r="C47" s="25" t="s">
        <v>240</v>
      </c>
      <c r="E47" s="44" t="n">
        <f aca="false">SUM(F47:S47)</f>
        <v>0</v>
      </c>
      <c r="F47" s="72" t="n">
        <f aca="false">'E1 TelukLamong Output'!F34</f>
        <v>0</v>
      </c>
      <c r="G47" s="72" t="n">
        <f aca="false">'E1 TelukLamong Output'!G34</f>
        <v>0</v>
      </c>
      <c r="H47" s="72" t="n">
        <f aca="false">'E1 TelukLamong Output'!H34</f>
        <v>0</v>
      </c>
      <c r="I47" s="72" t="n">
        <f aca="false">'E1 TelukLamong Output'!I34</f>
        <v>0</v>
      </c>
      <c r="J47" s="72" t="n">
        <f aca="false">'E1 TelukLamong Output'!J34</f>
        <v>0</v>
      </c>
      <c r="K47" s="72" t="n">
        <f aca="false">'E1 TelukLamong Output'!K34</f>
        <v>0</v>
      </c>
      <c r="L47" s="72" t="n">
        <f aca="false">'E1 TelukLamong Output'!L34</f>
        <v>0</v>
      </c>
      <c r="M47" s="72" t="n">
        <f aca="false">'E1 TelukLamong Output'!M34</f>
        <v>0</v>
      </c>
      <c r="N47" s="72" t="n">
        <f aca="false">'E1 TelukLamong Output'!N34</f>
        <v>0</v>
      </c>
      <c r="O47" s="72" t="n">
        <f aca="false">'E1 TelukLamong Output'!O34</f>
        <v>0</v>
      </c>
      <c r="P47" s="72" t="n">
        <f aca="false">'E1 TelukLamong Output'!P34</f>
        <v>0</v>
      </c>
      <c r="Q47" s="72" t="n">
        <f aca="false">'E1 TelukLamong Output'!Q34</f>
        <v>0</v>
      </c>
      <c r="R47" s="72" t="n">
        <f aca="false">'E1 TelukLamong Output'!R34</f>
        <v>0</v>
      </c>
      <c r="S47" s="72" t="n">
        <f aca="false">'E1 TelukLamong Output'!S34</f>
        <v>0</v>
      </c>
    </row>
    <row r="48" customFormat="false" ht="15" hidden="false" customHeight="false" outlineLevel="0" collapsed="false">
      <c r="B48" s="24" t="s">
        <v>351</v>
      </c>
      <c r="C48" s="25" t="s">
        <v>170</v>
      </c>
      <c r="E48" s="47" t="n">
        <f aca="false">SUM(F48:S48)</f>
        <v>0</v>
      </c>
      <c r="F48" s="58" t="n">
        <f aca="false">'E1 TelukLamong Output'!F35</f>
        <v>0</v>
      </c>
      <c r="G48" s="58" t="n">
        <f aca="false">'E1 TelukLamong Output'!G35</f>
        <v>0</v>
      </c>
      <c r="H48" s="58" t="n">
        <f aca="false">'E1 TelukLamong Output'!H35</f>
        <v>0</v>
      </c>
      <c r="I48" s="58" t="n">
        <f aca="false">'E1 TelukLamong Output'!I35</f>
        <v>0</v>
      </c>
      <c r="J48" s="58" t="n">
        <f aca="false">'E1 TelukLamong Output'!J35</f>
        <v>0</v>
      </c>
      <c r="K48" s="58" t="n">
        <f aca="false">'E1 TelukLamong Output'!K35</f>
        <v>0</v>
      </c>
      <c r="L48" s="58" t="n">
        <f aca="false">'E1 TelukLamong Output'!L35</f>
        <v>0</v>
      </c>
      <c r="M48" s="58" t="n">
        <f aca="false">'E1 TelukLamong Output'!M35</f>
        <v>0</v>
      </c>
      <c r="N48" s="58" t="n">
        <f aca="false">'E1 TelukLamong Output'!N35</f>
        <v>0</v>
      </c>
      <c r="O48" s="58" t="n">
        <f aca="false">'E1 TelukLamong Output'!O35</f>
        <v>0</v>
      </c>
      <c r="P48" s="58" t="n">
        <f aca="false">'E1 TelukLamong Output'!P35</f>
        <v>0</v>
      </c>
      <c r="Q48" s="58" t="n">
        <f aca="false">'E1 TelukLamong Output'!Q35</f>
        <v>0</v>
      </c>
      <c r="R48" s="58" t="n">
        <f aca="false">'E1 TelukLamong Output'!R35</f>
        <v>0</v>
      </c>
      <c r="S48" s="58" t="n">
        <f aca="false">'E1 TelukLamong Output'!S35</f>
        <v>0</v>
      </c>
    </row>
    <row r="49" customFormat="false" ht="15" hidden="false" customHeight="false" outlineLevel="0" collapsed="false">
      <c r="B49" s="24" t="s">
        <v>352</v>
      </c>
      <c r="C49" s="25" t="s">
        <v>170</v>
      </c>
      <c r="E49" s="47" t="n">
        <f aca="false">SUM(F49:S49)</f>
        <v>-5.34229162101871</v>
      </c>
      <c r="F49" s="58" t="n">
        <f aca="false">'E1 TelukLamong Output'!F27</f>
        <v>-0</v>
      </c>
      <c r="G49" s="58" t="n">
        <f aca="false">'E1 TelukLamong Output'!G27</f>
        <v>2.69467710415828</v>
      </c>
      <c r="H49" s="58" t="n">
        <f aca="false">'E1 TelukLamong Output'!H27</f>
        <v>-0.511285575743667</v>
      </c>
      <c r="I49" s="58" t="n">
        <f aca="false">'E1 TelukLamong Output'!I27</f>
        <v>-0.475116560332946</v>
      </c>
      <c r="J49" s="58" t="n">
        <f aca="false">'E1 TelukLamong Output'!J27</f>
        <v>-0.488627690838815</v>
      </c>
      <c r="K49" s="58" t="n">
        <f aca="false">'E1 TelukLamong Output'!K27</f>
        <v>-0.449342963009634</v>
      </c>
      <c r="L49" s="58" t="n">
        <f aca="false">'E1 TelukLamong Output'!L27</f>
        <v>-1.23301005239415</v>
      </c>
      <c r="M49" s="58" t="n">
        <f aca="false">'E1 TelukLamong Output'!M27</f>
        <v>-0.545227885382797</v>
      </c>
      <c r="N49" s="58" t="n">
        <f aca="false">'E1 TelukLamong Output'!N27</f>
        <v>-0.558376947086764</v>
      </c>
      <c r="O49" s="58" t="n">
        <f aca="false">'E1 TelukLamong Output'!O27</f>
        <v>-1.26381888624326</v>
      </c>
      <c r="P49" s="58" t="n">
        <f aca="false">'E1 TelukLamong Output'!P27</f>
        <v>-0.669038449617968</v>
      </c>
      <c r="Q49" s="58" t="n">
        <f aca="false">'E1 TelukLamong Output'!Q27</f>
        <v>-0.62234838973799</v>
      </c>
      <c r="R49" s="58" t="n">
        <f aca="false">'E1 TelukLamong Output'!R27</f>
        <v>-0.636973488078322</v>
      </c>
      <c r="S49" s="58" t="n">
        <f aca="false">'E1 TelukLamong Output'!S27</f>
        <v>-0.583801836710688</v>
      </c>
    </row>
    <row r="50" customFormat="false" ht="15" hidden="false" customHeight="false" outlineLevel="0" collapsed="false">
      <c r="B50" s="69" t="s">
        <v>353</v>
      </c>
      <c r="C50" s="25" t="s">
        <v>170</v>
      </c>
      <c r="E50" s="70" t="n">
        <f aca="false">SUM(F50:S50)</f>
        <v>1512.78479175976</v>
      </c>
      <c r="F50" s="71" t="n">
        <f aca="false">'E1 TelukLamong Output'!F28</f>
        <v>0</v>
      </c>
      <c r="G50" s="71" t="n">
        <f aca="false">'E1 TelukLamong Output'!G28</f>
        <v>99.6359143152692</v>
      </c>
      <c r="H50" s="71" t="n">
        <f aca="false">'E1 TelukLamong Output'!H28</f>
        <v>98.6994174663888</v>
      </c>
      <c r="I50" s="71" t="n">
        <f aca="false">'E1 TelukLamong Output'!I28</f>
        <v>101.253907298589</v>
      </c>
      <c r="J50" s="71" t="n">
        <f aca="false">'E1 TelukLamong Output'!J28</f>
        <v>103.600818221715</v>
      </c>
      <c r="K50" s="71" t="n">
        <f aca="false">'E1 TelukLamong Output'!K28</f>
        <v>106.045943858656</v>
      </c>
      <c r="L50" s="71" t="n">
        <f aca="false">'E1 TelukLamong Output'!L28</f>
        <v>112.160468778096</v>
      </c>
      <c r="M50" s="71" t="n">
        <f aca="false">'E1 TelukLamong Output'!M28</f>
        <v>115.471678209207</v>
      </c>
      <c r="N50" s="71" t="n">
        <f aca="false">'E1 TelukLamong Output'!N28</f>
        <v>118.130430326507</v>
      </c>
      <c r="O50" s="71" t="n">
        <f aca="false">'E1 TelukLamong Output'!O28</f>
        <v>125.124716335916</v>
      </c>
      <c r="P50" s="71" t="n">
        <f aca="false">'E1 TelukLamong Output'!P28</f>
        <v>128.630444471493</v>
      </c>
      <c r="Q50" s="71" t="n">
        <f aca="false">'E1 TelukLamong Output'!Q28</f>
        <v>131.639412134673</v>
      </c>
      <c r="R50" s="71" t="n">
        <f aca="false">'E1 TelukLamong Output'!R28</f>
        <v>134.637772992991</v>
      </c>
      <c r="S50" s="71" t="n">
        <f aca="false">'E1 TelukLamong Output'!S28</f>
        <v>137.753867350256</v>
      </c>
    </row>
    <row r="51" customFormat="false" ht="15" hidden="false" customHeight="false" outlineLevel="0" collapsed="false">
      <c r="B51" s="24" t="s">
        <v>354</v>
      </c>
      <c r="C51" s="25" t="s">
        <v>170</v>
      </c>
      <c r="F51" s="58" t="n">
        <f aca="false">'E1 TelukLamong Output'!F29</f>
        <v>0</v>
      </c>
      <c r="G51" s="58" t="n">
        <f aca="false">'E1 TelukLamong Output'!G29</f>
        <v>99.6359143152692</v>
      </c>
      <c r="H51" s="58" t="n">
        <f aca="false">'E1 TelukLamong Output'!H29</f>
        <v>198.335331781658</v>
      </c>
      <c r="I51" s="58" t="n">
        <f aca="false">'E1 TelukLamong Output'!I29</f>
        <v>299.589239080247</v>
      </c>
      <c r="J51" s="58" t="n">
        <f aca="false">'E1 TelukLamong Output'!J29</f>
        <v>403.190057301962</v>
      </c>
      <c r="K51" s="58" t="n">
        <f aca="false">'E1 TelukLamong Output'!K29</f>
        <v>509.236001160618</v>
      </c>
      <c r="L51" s="58" t="n">
        <f aca="false">'E1 TelukLamong Output'!L29</f>
        <v>621.396469938715</v>
      </c>
      <c r="M51" s="58" t="n">
        <f aca="false">'E1 TelukLamong Output'!M29</f>
        <v>736.868148147921</v>
      </c>
      <c r="N51" s="58" t="n">
        <f aca="false">'E1 TelukLamong Output'!N29</f>
        <v>854.998578474428</v>
      </c>
      <c r="O51" s="58" t="n">
        <f aca="false">'E1 TelukLamong Output'!O29</f>
        <v>980.123294810344</v>
      </c>
      <c r="P51" s="58" t="n">
        <f aca="false">'E1 TelukLamong Output'!P29</f>
        <v>1108.75373928184</v>
      </c>
      <c r="Q51" s="58" t="n">
        <f aca="false">'E1 TelukLamong Output'!Q29</f>
        <v>1240.39315141651</v>
      </c>
      <c r="R51" s="58" t="n">
        <f aca="false">'E1 TelukLamong Output'!R29</f>
        <v>1375.0309244095</v>
      </c>
      <c r="S51" s="58" t="n">
        <f aca="false">'E1 TelukLamong Output'!S29</f>
        <v>1512.78479175976</v>
      </c>
    </row>
    <row r="52" customFormat="false" ht="15" hidden="false" customHeight="false" outlineLevel="0" collapsed="false">
      <c r="B52" s="24" t="s">
        <v>355</v>
      </c>
      <c r="C52" s="25" t="s">
        <v>170</v>
      </c>
      <c r="F52" s="58" t="n">
        <f aca="false">'E1 TelukLamong Output'!F39</f>
        <v>19.4753028764002</v>
      </c>
      <c r="G52" s="58" t="n">
        <f aca="false">'E1 TelukLamong Output'!G39</f>
        <v>16.7806257722419</v>
      </c>
      <c r="H52" s="58" t="n">
        <f aca="false">'E1 TelukLamong Output'!H39</f>
        <v>17.2919113479856</v>
      </c>
      <c r="I52" s="58" t="n">
        <f aca="false">'E1 TelukLamong Output'!I39</f>
        <v>17.7670279083185</v>
      </c>
      <c r="J52" s="58" t="n">
        <f aca="false">'E1 TelukLamong Output'!J39</f>
        <v>18.2556555991573</v>
      </c>
      <c r="K52" s="58" t="n">
        <f aca="false">'E1 TelukLamong Output'!K39</f>
        <v>18.704998562167</v>
      </c>
      <c r="L52" s="58" t="n">
        <f aca="false">'E1 TelukLamong Output'!L39</f>
        <v>19.9380086145611</v>
      </c>
      <c r="M52" s="58" t="n">
        <f aca="false">'E1 TelukLamong Output'!M39</f>
        <v>20.4832364999439</v>
      </c>
      <c r="N52" s="58" t="n">
        <f aca="false">'E1 TelukLamong Output'!N39</f>
        <v>21.0416134470307</v>
      </c>
      <c r="O52" s="58" t="n">
        <f aca="false">'E1 TelukLamong Output'!O39</f>
        <v>22.3054323332739</v>
      </c>
      <c r="P52" s="58" t="n">
        <f aca="false">'E1 TelukLamong Output'!P39</f>
        <v>22.9744707828919</v>
      </c>
      <c r="Q52" s="58" t="n">
        <f aca="false">'E1 TelukLamong Output'!Q39</f>
        <v>23.5968191726299</v>
      </c>
      <c r="R52" s="58" t="n">
        <f aca="false">'E1 TelukLamong Output'!R39</f>
        <v>24.2337926607082</v>
      </c>
      <c r="S52" s="58" t="n">
        <f aca="false">'E1 TelukLamong Output'!S39</f>
        <v>24.8175944974189</v>
      </c>
    </row>
    <row r="53" customFormat="false" ht="15" hidden="false" customHeight="false" outlineLevel="0" collapsed="false">
      <c r="B53" s="24" t="s">
        <v>356</v>
      </c>
      <c r="C53" s="25" t="s">
        <v>170</v>
      </c>
      <c r="E53" s="47" t="n">
        <f aca="false">SUM(F53:S53)</f>
        <v>0</v>
      </c>
      <c r="F53" s="58" t="n">
        <f aca="false">'E1 TelukLamong Output'!F31</f>
        <v>-0</v>
      </c>
      <c r="G53" s="58" t="n">
        <f aca="false">'E1 TelukLamong Output'!G31</f>
        <v>0</v>
      </c>
      <c r="H53" s="58" t="n">
        <f aca="false">'E1 TelukLamong Output'!H31</f>
        <v>0</v>
      </c>
      <c r="I53" s="58" t="n">
        <f aca="false">'E1 TelukLamong Output'!I31</f>
        <v>0</v>
      </c>
      <c r="J53" s="58" t="n">
        <f aca="false">'E1 TelukLamong Output'!J31</f>
        <v>0</v>
      </c>
      <c r="K53" s="58" t="n">
        <f aca="false">'E1 TelukLamong Output'!K31</f>
        <v>0</v>
      </c>
      <c r="L53" s="58" t="n">
        <f aca="false">'E1 TelukLamong Output'!L31</f>
        <v>0</v>
      </c>
      <c r="M53" s="58" t="n">
        <f aca="false">'E1 TelukLamong Output'!M31</f>
        <v>0</v>
      </c>
      <c r="N53" s="58" t="n">
        <f aca="false">'E1 TelukLamong Output'!N31</f>
        <v>0</v>
      </c>
      <c r="O53" s="58" t="n">
        <f aca="false">'E1 TelukLamong Output'!O31</f>
        <v>0</v>
      </c>
      <c r="P53" s="58" t="n">
        <f aca="false">'E1 TelukLamong Output'!P31</f>
        <v>0</v>
      </c>
      <c r="Q53" s="58" t="n">
        <f aca="false">'E1 TelukLamong Output'!Q31</f>
        <v>0</v>
      </c>
      <c r="R53" s="58" t="n">
        <f aca="false">'E1 TelukLamong Output'!R31</f>
        <v>0</v>
      </c>
      <c r="S53" s="58" t="n">
        <f aca="false">'E1 TelukLamong Output'!S31</f>
        <v>0</v>
      </c>
    </row>
    <row r="54" customFormat="false" ht="15" hidden="false" customHeight="false" outlineLevel="0" collapsed="false">
      <c r="B54" s="24" t="s">
        <v>357</v>
      </c>
      <c r="C54" s="25" t="s">
        <v>170</v>
      </c>
      <c r="E54" s="47" t="n">
        <f aca="false">SUM(F54:S54)</f>
        <v>1190.21626244184</v>
      </c>
      <c r="F54" s="58" t="n">
        <f aca="false">'E1 TelukLamong Output'!F47</f>
        <v>0</v>
      </c>
      <c r="G54" s="58" t="n">
        <f aca="false">'E1 TelukLamong Output'!G47</f>
        <v>0</v>
      </c>
      <c r="H54" s="58" t="n">
        <f aca="false">'E1 TelukLamong Output'!H47</f>
        <v>0</v>
      </c>
      <c r="I54" s="58" t="n">
        <f aca="false">'E1 TelukLamong Output'!I47</f>
        <v>0</v>
      </c>
      <c r="J54" s="58" t="n">
        <f aca="false">'E1 TelukLamong Output'!J47</f>
        <v>92.6111097677872</v>
      </c>
      <c r="K54" s="58" t="n">
        <f aca="false">'E1 TelukLamong Output'!K47</f>
        <v>84.7410552706192</v>
      </c>
      <c r="L54" s="58" t="n">
        <f aca="false">'E1 TelukLamong Output'!L47</f>
        <v>80.1197388104414</v>
      </c>
      <c r="M54" s="58" t="n">
        <f aca="false">'E1 TelukLamong Output'!M47</f>
        <v>73.7352385721781</v>
      </c>
      <c r="N54" s="58" t="n">
        <f aca="false">'E1 TelukLamong Output'!N47</f>
        <v>67.4312640776229</v>
      </c>
      <c r="O54" s="58" t="n">
        <f aca="false">'E1 TelukLamong Output'!O47</f>
        <v>63.8472981858816</v>
      </c>
      <c r="P54" s="58" t="n">
        <f aca="false">'E1 TelukLamong Output'!P47</f>
        <v>58.6736480503403</v>
      </c>
      <c r="Q54" s="58" t="n">
        <f aca="false">'E1 TelukLamong Output'!Q47</f>
        <v>53.6766197156247</v>
      </c>
      <c r="R54" s="58" t="n">
        <f aca="false">'E1 TelukLamong Output'!R47</f>
        <v>49.07564843663</v>
      </c>
      <c r="S54" s="58" t="n">
        <f aca="false">'E1 TelukLamong Output'!S47</f>
        <v>566.30464155471</v>
      </c>
    </row>
    <row r="55" customFormat="false" ht="15" hidden="false" customHeight="false" outlineLevel="0" collapsed="false">
      <c r="B55" s="3" t="s">
        <v>358</v>
      </c>
      <c r="C55" s="73" t="s">
        <v>359</v>
      </c>
      <c r="D55" s="74" t="n">
        <f aca="false">'E1 TelukLamong Output'!$E$48</f>
        <v>1190.21626244184</v>
      </c>
      <c r="E55" s="73" t="s">
        <v>360</v>
      </c>
      <c r="F55" s="75" t="str">
        <f aca="false">IF(ISNUMBER('E1 TelukLamong Output'!$E$50),'E1 TelukLamong Output'!$E$50,"n/a")</f>
        <v>n/a</v>
      </c>
      <c r="G55" s="73" t="s">
        <v>361</v>
      </c>
      <c r="H55" s="75" t="str">
        <f aca="false">IF(ISNUMBER('E1 TelukLamong Output'!$E$51),'E1 TelukLamong Output'!$E$51,"n/a")</f>
        <v>n/a</v>
      </c>
      <c r="I55" s="73" t="s">
        <v>362</v>
      </c>
      <c r="J55" s="76" t="str">
        <f aca="false">IF(ISNUMBER('E1 TelukLamong Output'!$E$53),'E1 TelukLamong Output'!$E$53,"n/a")</f>
        <v>n/a</v>
      </c>
      <c r="K55" s="73" t="s">
        <v>363</v>
      </c>
      <c r="L55" s="74" t="n">
        <f aca="false">'E1 TelukLamong Output'!$E$55</f>
        <v>0</v>
      </c>
      <c r="M55" s="73" t="s">
        <v>364</v>
      </c>
      <c r="N55" s="74" t="n">
        <f aca="false">'E1 TelukLamong Output'!$E$56</f>
        <v>0</v>
      </c>
    </row>
    <row r="57" customFormat="false" ht="15" hidden="false" customHeight="false" outlineLevel="0" collapsed="false">
      <c r="B57" s="22" t="s">
        <v>365</v>
      </c>
      <c r="C57" s="23"/>
      <c r="D57" s="23"/>
      <c r="E57" s="23"/>
      <c r="F57" s="23"/>
      <c r="G57" s="23"/>
      <c r="H57" s="23"/>
      <c r="I57" s="23"/>
      <c r="J57" s="23"/>
      <c r="K57" s="23"/>
      <c r="L57" s="23"/>
      <c r="M57" s="23"/>
      <c r="N57" s="23"/>
      <c r="O57" s="23"/>
      <c r="P57" s="23"/>
      <c r="Q57" s="23"/>
      <c r="R57" s="23"/>
      <c r="S57" s="23"/>
    </row>
    <row r="58" customFormat="false" ht="15" hidden="false" customHeight="false" outlineLevel="0" collapsed="false">
      <c r="B58" s="5" t="s">
        <v>35</v>
      </c>
      <c r="C58" s="17" t="s">
        <v>27</v>
      </c>
      <c r="D58" s="17" t="s">
        <v>28</v>
      </c>
      <c r="E58" s="17" t="s">
        <v>29</v>
      </c>
      <c r="G58" s="5" t="str">
        <f aca="false">"In valuation: "&amp;'Global Inputs'!$E$90&amp;"  |  case: "&amp;'Global Inputs'!$F$90&amp;"  |  FSL interest: "&amp;TEXT('Global Inputs'!$G$90,"0%")</f>
        <v>In valuation: 1  |  case: 1  |  FSL interest: 100%</v>
      </c>
    </row>
    <row r="59" customFormat="false" ht="15" hidden="false" customHeight="false" outlineLevel="0" collapsed="false">
      <c r="B59" s="24" t="s">
        <v>345</v>
      </c>
      <c r="C59" s="25" t="s">
        <v>170</v>
      </c>
      <c r="E59" s="47" t="n">
        <f aca="false">SUM(F59:S59)</f>
        <v>914.588928983835</v>
      </c>
      <c r="F59" s="58" t="n">
        <f aca="false">'E2 CigadingExist Output'!F11</f>
        <v>0</v>
      </c>
      <c r="G59" s="58" t="n">
        <f aca="false">'E2 CigadingExist Output'!G11</f>
        <v>38.65796</v>
      </c>
      <c r="H59" s="58" t="n">
        <f aca="false">'E2 CigadingExist Output'!H11</f>
        <v>46.389552</v>
      </c>
      <c r="I59" s="58" t="n">
        <f aca="false">'E2 CigadingExist Output'!I11</f>
        <v>47.78123856</v>
      </c>
      <c r="J59" s="58" t="n">
        <f aca="false">'E2 CigadingExist Output'!J11</f>
        <v>59.05761086016</v>
      </c>
      <c r="K59" s="58" t="n">
        <f aca="false">'E2 CigadingExist Output'!K11</f>
        <v>60.8293391859648</v>
      </c>
      <c r="L59" s="58" t="n">
        <f aca="false">'E2 CigadingExist Output'!L11</f>
        <v>68.9196412976981</v>
      </c>
      <c r="M59" s="58" t="n">
        <f aca="false">'E2 CigadingExist Output'!M11</f>
        <v>70.9872305366291</v>
      </c>
      <c r="N59" s="58" t="n">
        <f aca="false">'E2 CigadingExist Output'!N11</f>
        <v>77.5038582998916</v>
      </c>
      <c r="O59" s="58" t="n">
        <f aca="false">'E2 CigadingExist Output'!O11</f>
        <v>79.8289740488884</v>
      </c>
      <c r="P59" s="58" t="n">
        <f aca="false">'E2 CigadingExist Output'!P11</f>
        <v>87.1572738665763</v>
      </c>
      <c r="Q59" s="58" t="n">
        <f aca="false">'E2 CigadingExist Output'!Q11</f>
        <v>89.7719920825736</v>
      </c>
      <c r="R59" s="58" t="n">
        <f aca="false">'E2 CigadingExist Output'!R11</f>
        <v>92.4651518450508</v>
      </c>
      <c r="S59" s="58" t="n">
        <f aca="false">'E2 CigadingExist Output'!S11</f>
        <v>95.2391064004024</v>
      </c>
    </row>
    <row r="60" customFormat="false" ht="15" hidden="false" customHeight="false" outlineLevel="0" collapsed="false">
      <c r="B60" s="24" t="s">
        <v>346</v>
      </c>
      <c r="C60" s="25" t="s">
        <v>170</v>
      </c>
      <c r="E60" s="47" t="n">
        <f aca="false">SUM(F60:S60)</f>
        <v>544.836451832756</v>
      </c>
      <c r="F60" s="58" t="n">
        <f aca="false">'E2 CigadingExist Output'!F15</f>
        <v>0</v>
      </c>
      <c r="G60" s="58" t="n">
        <f aca="false">'E2 CigadingExist Output'!G15</f>
        <v>16.0835902524953</v>
      </c>
      <c r="H60" s="58" t="n">
        <f aca="false">'E2 CigadingExist Output'!H15</f>
        <v>22.9901637303985</v>
      </c>
      <c r="I60" s="58" t="n">
        <f aca="false">'E2 CigadingExist Output'!I15</f>
        <v>23.4890536219182</v>
      </c>
      <c r="J60" s="58" t="n">
        <f aca="false">'E2 CigadingExist Output'!J15</f>
        <v>33.8696044260706</v>
      </c>
      <c r="K60" s="58" t="n">
        <f aca="false">'E2 CigadingExist Output'!K15</f>
        <v>34.7076587285948</v>
      </c>
      <c r="L60" s="58" t="n">
        <f aca="false">'E2 CigadingExist Output'!L15</f>
        <v>41.7915238768719</v>
      </c>
      <c r="M60" s="58" t="n">
        <f aca="false">'E2 CigadingExist Output'!M15</f>
        <v>42.8444181574391</v>
      </c>
      <c r="N60" s="58" t="n">
        <f aca="false">'E2 CigadingExist Output'!N15</f>
        <v>48.3030036395046</v>
      </c>
      <c r="O60" s="58" t="n">
        <f aca="false">'E2 CigadingExist Output'!O15</f>
        <v>49.4915437449182</v>
      </c>
      <c r="P60" s="58" t="n">
        <f aca="false">'E2 CigadingExist Output'!P15</f>
        <v>55.6689490897229</v>
      </c>
      <c r="Q60" s="58" t="n">
        <f aca="false">'E2 CigadingExist Output'!Q15</f>
        <v>57.0830586450931</v>
      </c>
      <c r="R60" s="58" t="n">
        <f aca="false">'E2 CigadingExist Output'!R15</f>
        <v>58.5235544845299</v>
      </c>
      <c r="S60" s="58" t="n">
        <f aca="false">'E2 CigadingExist Output'!S15</f>
        <v>59.9903294351993</v>
      </c>
    </row>
    <row r="61" customFormat="false" ht="15" hidden="false" customHeight="false" outlineLevel="0" collapsed="false">
      <c r="B61" s="69" t="s">
        <v>347</v>
      </c>
      <c r="C61" s="25" t="s">
        <v>170</v>
      </c>
      <c r="E61" s="70" t="n">
        <f aca="false">SUM(F61:S61)</f>
        <v>-11.8464405240752</v>
      </c>
      <c r="F61" s="71" t="n">
        <f aca="false">'E2 CigadingExist Output'!F17</f>
        <v>0</v>
      </c>
      <c r="G61" s="71" t="n">
        <f aca="false">'E2 CigadingExist Output'!G17</f>
        <v>-24.8752588875047</v>
      </c>
      <c r="H61" s="71" t="n">
        <f aca="false">'E2 CigadingExist Output'!H17</f>
        <v>-17.9712783924015</v>
      </c>
      <c r="I61" s="71" t="n">
        <f aca="false">'E2 CigadingExist Output'!I17</f>
        <v>-18.4750333433378</v>
      </c>
      <c r="J61" s="71" t="n">
        <f aca="false">'E2 CigadingExist Output'!J17</f>
        <v>-8.09718027849051</v>
      </c>
      <c r="K61" s="71" t="n">
        <f aca="false">'E2 CigadingExist Output'!K17</f>
        <v>-7.26187767005758</v>
      </c>
      <c r="L61" s="71" t="n">
        <f aca="false">'E2 CigadingExist Output'!L17</f>
        <v>-1.1808192497535</v>
      </c>
      <c r="M61" s="71" t="n">
        <f aca="false">'E2 CigadingExist Output'!M17</f>
        <v>-0.130787831718834</v>
      </c>
      <c r="N61" s="71" t="n">
        <f aca="false">'E2 CigadingExist Output'!N17</f>
        <v>5.32487753056357</v>
      </c>
      <c r="O61" s="71" t="n">
        <f aca="false">'E2 CigadingExist Output'!O17</f>
        <v>5.51043911379837</v>
      </c>
      <c r="P61" s="71" t="n">
        <f aca="false">'E2 CigadingExist Output'!P17</f>
        <v>11.6848063659806</v>
      </c>
      <c r="Q61" s="71" t="n">
        <f aca="false">'E2 CigadingExist Output'!Q17</f>
        <v>13.095817066876</v>
      </c>
      <c r="R61" s="71" t="n">
        <f aca="false">'E2 CigadingExist Output'!R17</f>
        <v>14.5331520747484</v>
      </c>
      <c r="S61" s="71" t="n">
        <f aca="false">'E2 CigadingExist Output'!S17</f>
        <v>15.9967029772222</v>
      </c>
    </row>
    <row r="62" customFormat="false" ht="15" hidden="false" customHeight="false" outlineLevel="0" collapsed="false">
      <c r="B62" s="24" t="s">
        <v>348</v>
      </c>
      <c r="C62" s="25" t="s">
        <v>170</v>
      </c>
      <c r="E62" s="47" t="n">
        <f aca="false">SUM(F62:S62)</f>
        <v>-26.3985154524968</v>
      </c>
      <c r="F62" s="58" t="n">
        <f aca="false">'E2 CigadingExist Output'!F19</f>
        <v>0</v>
      </c>
      <c r="G62" s="58" t="n">
        <f aca="false">'E2 CigadingExist Output'!G19</f>
        <v>-24.8752588875047</v>
      </c>
      <c r="H62" s="58" t="n">
        <f aca="false">'E2 CigadingExist Output'!H19</f>
        <v>-17.9712783924015</v>
      </c>
      <c r="I62" s="58" t="n">
        <f aca="false">'E2 CigadingExist Output'!I19</f>
        <v>-18.4750333433378</v>
      </c>
      <c r="J62" s="58" t="n">
        <f aca="false">'E2 CigadingExist Output'!J19</f>
        <v>-8.09718027849051</v>
      </c>
      <c r="K62" s="58" t="n">
        <f aca="false">'E2 CigadingExist Output'!K19</f>
        <v>-7.26187767005758</v>
      </c>
      <c r="L62" s="58" t="n">
        <f aca="false">'E2 CigadingExist Output'!L19</f>
        <v>-1.1808192497535</v>
      </c>
      <c r="M62" s="58" t="n">
        <f aca="false">'E2 CigadingExist Output'!M19</f>
        <v>-0.130787831718834</v>
      </c>
      <c r="N62" s="58" t="n">
        <f aca="false">'E2 CigadingExist Output'!N19</f>
        <v>4.15340447383958</v>
      </c>
      <c r="O62" s="58" t="n">
        <f aca="false">'E2 CigadingExist Output'!O19</f>
        <v>4.29814250876273</v>
      </c>
      <c r="P62" s="58" t="n">
        <f aca="false">'E2 CigadingExist Output'!P19</f>
        <v>9.11414896546488</v>
      </c>
      <c r="Q62" s="58" t="n">
        <f aca="false">'E2 CigadingExist Output'!Q19</f>
        <v>10.2147373121633</v>
      </c>
      <c r="R62" s="58" t="n">
        <f aca="false">'E2 CigadingExist Output'!R19</f>
        <v>11.3358586183038</v>
      </c>
      <c r="S62" s="58" t="n">
        <f aca="false">'E2 CigadingExist Output'!S19</f>
        <v>12.4774283222333</v>
      </c>
    </row>
    <row r="63" customFormat="false" ht="15" hidden="false" customHeight="false" outlineLevel="0" collapsed="false">
      <c r="B63" s="24" t="s">
        <v>349</v>
      </c>
      <c r="C63" s="25" t="s">
        <v>170</v>
      </c>
      <c r="E63" s="47" t="n">
        <f aca="false">SUM(F63:S63)</f>
        <v>-556.682892356832</v>
      </c>
      <c r="F63" s="58" t="n">
        <f aca="false">'E2 CigadingExist Output'!F16</f>
        <v>-0</v>
      </c>
      <c r="G63" s="58" t="n">
        <f aca="false">'E2 CigadingExist Output'!G16</f>
        <v>-40.95884914</v>
      </c>
      <c r="H63" s="58" t="n">
        <f aca="false">'E2 CigadingExist Output'!H16</f>
        <v>-40.9614421228</v>
      </c>
      <c r="I63" s="58" t="n">
        <f aca="false">'E2 CigadingExist Output'!I16</f>
        <v>-41.964086965256</v>
      </c>
      <c r="J63" s="58" t="n">
        <f aca="false">'E2 CigadingExist Output'!J16</f>
        <v>-41.9667847045611</v>
      </c>
      <c r="K63" s="58" t="n">
        <f aca="false">'E2 CigadingExist Output'!K16</f>
        <v>-41.9695363986523</v>
      </c>
      <c r="L63" s="58" t="n">
        <f aca="false">'E2 CigadingExist Output'!L16</f>
        <v>-42.9723431266254</v>
      </c>
      <c r="M63" s="58" t="n">
        <f aca="false">'E2 CigadingExist Output'!M16</f>
        <v>-42.9752059891579</v>
      </c>
      <c r="N63" s="58" t="n">
        <f aca="false">'E2 CigadingExist Output'!N16</f>
        <v>-42.9781261089411</v>
      </c>
      <c r="O63" s="58" t="n">
        <f aca="false">'E2 CigadingExist Output'!O16</f>
        <v>-43.9811046311199</v>
      </c>
      <c r="P63" s="58" t="n">
        <f aca="false">'E2 CigadingExist Output'!P16</f>
        <v>-43.9841427237423</v>
      </c>
      <c r="Q63" s="58" t="n">
        <f aca="false">'E2 CigadingExist Output'!Q16</f>
        <v>-43.9872415782171</v>
      </c>
      <c r="R63" s="58" t="n">
        <f aca="false">'E2 CigadingExist Output'!R16</f>
        <v>-43.9904024097815</v>
      </c>
      <c r="S63" s="58" t="n">
        <f aca="false">'E2 CigadingExist Output'!S16</f>
        <v>-43.9936264579771</v>
      </c>
    </row>
    <row r="64" customFormat="false" ht="15" hidden="false" customHeight="false" outlineLevel="0" collapsed="false">
      <c r="B64" s="24" t="s">
        <v>350</v>
      </c>
      <c r="C64" s="25" t="s">
        <v>240</v>
      </c>
      <c r="E64" s="44" t="n">
        <f aca="false">SUM(F64:S64)</f>
        <v>0</v>
      </c>
      <c r="F64" s="72" t="n">
        <f aca="false">'E2 CigadingExist Output'!F34</f>
        <v>0</v>
      </c>
      <c r="G64" s="72" t="n">
        <f aca="false">'E2 CigadingExist Output'!G34</f>
        <v>0</v>
      </c>
      <c r="H64" s="72" t="n">
        <f aca="false">'E2 CigadingExist Output'!H34</f>
        <v>0</v>
      </c>
      <c r="I64" s="72" t="n">
        <f aca="false">'E2 CigadingExist Output'!I34</f>
        <v>0</v>
      </c>
      <c r="J64" s="72" t="n">
        <f aca="false">'E2 CigadingExist Output'!J34</f>
        <v>0</v>
      </c>
      <c r="K64" s="72" t="n">
        <f aca="false">'E2 CigadingExist Output'!K34</f>
        <v>0</v>
      </c>
      <c r="L64" s="72" t="n">
        <f aca="false">'E2 CigadingExist Output'!L34</f>
        <v>0</v>
      </c>
      <c r="M64" s="72" t="n">
        <f aca="false">'E2 CigadingExist Output'!M34</f>
        <v>0</v>
      </c>
      <c r="N64" s="72" t="n">
        <f aca="false">'E2 CigadingExist Output'!N34</f>
        <v>0</v>
      </c>
      <c r="O64" s="72" t="n">
        <f aca="false">'E2 CigadingExist Output'!O34</f>
        <v>0</v>
      </c>
      <c r="P64" s="72" t="n">
        <f aca="false">'E2 CigadingExist Output'!P34</f>
        <v>0</v>
      </c>
      <c r="Q64" s="72" t="n">
        <f aca="false">'E2 CigadingExist Output'!Q34</f>
        <v>0</v>
      </c>
      <c r="R64" s="72" t="n">
        <f aca="false">'E2 CigadingExist Output'!R34</f>
        <v>0</v>
      </c>
      <c r="S64" s="72" t="n">
        <f aca="false">'E2 CigadingExist Output'!S34</f>
        <v>0</v>
      </c>
    </row>
    <row r="65" customFormat="false" ht="15" hidden="false" customHeight="false" outlineLevel="0" collapsed="false">
      <c r="B65" s="24" t="s">
        <v>351</v>
      </c>
      <c r="C65" s="25" t="s">
        <v>170</v>
      </c>
      <c r="E65" s="47" t="n">
        <f aca="false">SUM(F65:S65)</f>
        <v>0</v>
      </c>
      <c r="F65" s="58" t="n">
        <f aca="false">'E2 CigadingExist Output'!F35</f>
        <v>0</v>
      </c>
      <c r="G65" s="58" t="n">
        <f aca="false">'E2 CigadingExist Output'!G35</f>
        <v>0</v>
      </c>
      <c r="H65" s="58" t="n">
        <f aca="false">'E2 CigadingExist Output'!H35</f>
        <v>0</v>
      </c>
      <c r="I65" s="58" t="n">
        <f aca="false">'E2 CigadingExist Output'!I35</f>
        <v>0</v>
      </c>
      <c r="J65" s="58" t="n">
        <f aca="false">'E2 CigadingExist Output'!J35</f>
        <v>0</v>
      </c>
      <c r="K65" s="58" t="n">
        <f aca="false">'E2 CigadingExist Output'!K35</f>
        <v>0</v>
      </c>
      <c r="L65" s="58" t="n">
        <f aca="false">'E2 CigadingExist Output'!L35</f>
        <v>0</v>
      </c>
      <c r="M65" s="58" t="n">
        <f aca="false">'E2 CigadingExist Output'!M35</f>
        <v>0</v>
      </c>
      <c r="N65" s="58" t="n">
        <f aca="false">'E2 CigadingExist Output'!N35</f>
        <v>0</v>
      </c>
      <c r="O65" s="58" t="n">
        <f aca="false">'E2 CigadingExist Output'!O35</f>
        <v>0</v>
      </c>
      <c r="P65" s="58" t="n">
        <f aca="false">'E2 CigadingExist Output'!P35</f>
        <v>0</v>
      </c>
      <c r="Q65" s="58" t="n">
        <f aca="false">'E2 CigadingExist Output'!Q35</f>
        <v>0</v>
      </c>
      <c r="R65" s="58" t="n">
        <f aca="false">'E2 CigadingExist Output'!R35</f>
        <v>0</v>
      </c>
      <c r="S65" s="58" t="n">
        <f aca="false">'E2 CigadingExist Output'!S35</f>
        <v>0</v>
      </c>
    </row>
    <row r="66" customFormat="false" ht="15" hidden="false" customHeight="false" outlineLevel="0" collapsed="false">
      <c r="B66" s="24" t="s">
        <v>352</v>
      </c>
      <c r="C66" s="25" t="s">
        <v>170</v>
      </c>
      <c r="E66" s="47" t="n">
        <f aca="false">SUM(F66:S66)</f>
        <v>-5.82910119008007</v>
      </c>
      <c r="F66" s="58" t="n">
        <f aca="false">'E2 CigadingExist Output'!F27</f>
        <v>-0</v>
      </c>
      <c r="G66" s="58" t="n">
        <f aca="false">'E2 CigadingExist Output'!G27</f>
        <v>0.438386311723827</v>
      </c>
      <c r="H66" s="58" t="n">
        <f aca="false">'E2 CigadingExist Output'!H27</f>
        <v>-0.91975161680469</v>
      </c>
      <c r="I66" s="58" t="n">
        <f aca="false">'E2 CigadingExist Output'!I27</f>
        <v>-0.123333795054978</v>
      </c>
      <c r="J66" s="58" t="n">
        <f aca="false">'E2 CigadingExist Output'!J27</f>
        <v>-1.34256414172363</v>
      </c>
      <c r="K66" s="58" t="n">
        <f aca="false">'E2 CigadingExist Output'!K27</f>
        <v>-0.151534388617997</v>
      </c>
      <c r="L66" s="58" t="n">
        <f aca="false">'E2 CigadingExist Output'!L27</f>
        <v>-0.959348005639164</v>
      </c>
      <c r="M66" s="58" t="n">
        <f aca="false">'E2 CigadingExist Output'!M27</f>
        <v>-0.200086263679455</v>
      </c>
      <c r="N66" s="58" t="n">
        <f aca="false">'E2 CigadingExist Output'!N27</f>
        <v>-0.745967019396987</v>
      </c>
      <c r="O66" s="58" t="n">
        <f aca="false">'E2 CigadingExist Output'!O27</f>
        <v>-0.200982984896127</v>
      </c>
      <c r="P66" s="58" t="n">
        <f aca="false">'E2 CigadingExist Output'!P27</f>
        <v>-0.863091170876249</v>
      </c>
      <c r="Q66" s="58" t="n">
        <f aca="false">'E2 CigadingExist Output'!Q27</f>
        <v>-0.256175323427415</v>
      </c>
      <c r="R66" s="58" t="n">
        <f aca="false">'E2 CigadingExist Output'!R27</f>
        <v>-0.262628165795999</v>
      </c>
      <c r="S66" s="58" t="n">
        <f aca="false">'E2 CigadingExist Output'!S27</f>
        <v>-0.242024625891201</v>
      </c>
    </row>
    <row r="67" customFormat="false" ht="15" hidden="false" customHeight="false" outlineLevel="0" collapsed="false">
      <c r="B67" s="69" t="s">
        <v>353</v>
      </c>
      <c r="C67" s="25" t="s">
        <v>170</v>
      </c>
      <c r="E67" s="70" t="n">
        <f aca="false">SUM(F67:S67)</f>
        <v>524.455275714255</v>
      </c>
      <c r="F67" s="71" t="n">
        <f aca="false">'E2 CigadingExist Output'!F28</f>
        <v>0</v>
      </c>
      <c r="G67" s="71" t="n">
        <f aca="false">'E2 CigadingExist Output'!G28</f>
        <v>16.5219765642192</v>
      </c>
      <c r="H67" s="71" t="n">
        <f aca="false">'E2 CigadingExist Output'!H28</f>
        <v>22.0704121135938</v>
      </c>
      <c r="I67" s="71" t="n">
        <f aca="false">'E2 CigadingExist Output'!I28</f>
        <v>23.3657198268632</v>
      </c>
      <c r="J67" s="71" t="n">
        <f aca="false">'E2 CigadingExist Output'!J28</f>
        <v>32.527040284347</v>
      </c>
      <c r="K67" s="71" t="n">
        <f aca="false">'E2 CigadingExist Output'!K28</f>
        <v>34.5561243399768</v>
      </c>
      <c r="L67" s="71" t="n">
        <f aca="false">'E2 CigadingExist Output'!L28</f>
        <v>40.8321758712327</v>
      </c>
      <c r="M67" s="71" t="n">
        <f aca="false">'E2 CigadingExist Output'!M28</f>
        <v>42.6443318937596</v>
      </c>
      <c r="N67" s="71" t="n">
        <f aca="false">'E2 CigadingExist Output'!N28</f>
        <v>46.3855635633837</v>
      </c>
      <c r="O67" s="71" t="n">
        <f aca="false">'E2 CigadingExist Output'!O28</f>
        <v>48.0782641549865</v>
      </c>
      <c r="P67" s="71" t="n">
        <f aca="false">'E2 CigadingExist Output'!P28</f>
        <v>52.2352005183309</v>
      </c>
      <c r="Q67" s="71" t="n">
        <f aca="false">'E2 CigadingExist Output'!Q28</f>
        <v>53.945803566953</v>
      </c>
      <c r="R67" s="71" t="n">
        <f aca="false">'E2 CigadingExist Output'!R28</f>
        <v>55.0636328622892</v>
      </c>
      <c r="S67" s="71" t="n">
        <f aca="false">'E2 CigadingExist Output'!S28</f>
        <v>56.2290301543192</v>
      </c>
    </row>
    <row r="68" customFormat="false" ht="15" hidden="false" customHeight="false" outlineLevel="0" collapsed="false">
      <c r="B68" s="24" t="s">
        <v>354</v>
      </c>
      <c r="C68" s="25" t="s">
        <v>170</v>
      </c>
      <c r="F68" s="58" t="n">
        <f aca="false">'E2 CigadingExist Output'!F29</f>
        <v>0</v>
      </c>
      <c r="G68" s="58" t="n">
        <f aca="false">'E2 CigadingExist Output'!G29</f>
        <v>16.5219765642192</v>
      </c>
      <c r="H68" s="58" t="n">
        <f aca="false">'E2 CigadingExist Output'!H29</f>
        <v>38.592388677813</v>
      </c>
      <c r="I68" s="58" t="n">
        <f aca="false">'E2 CigadingExist Output'!I29</f>
        <v>61.9581085046762</v>
      </c>
      <c r="J68" s="58" t="n">
        <f aca="false">'E2 CigadingExist Output'!J29</f>
        <v>94.4851487890232</v>
      </c>
      <c r="K68" s="58" t="n">
        <f aca="false">'E2 CigadingExist Output'!K29</f>
        <v>129.041273129</v>
      </c>
      <c r="L68" s="58" t="n">
        <f aca="false">'E2 CigadingExist Output'!L29</f>
        <v>169.873449000233</v>
      </c>
      <c r="M68" s="58" t="n">
        <f aca="false">'E2 CigadingExist Output'!M29</f>
        <v>212.517780893992</v>
      </c>
      <c r="N68" s="58" t="n">
        <f aca="false">'E2 CigadingExist Output'!N29</f>
        <v>258.903344457376</v>
      </c>
      <c r="O68" s="58" t="n">
        <f aca="false">'E2 CigadingExist Output'!O29</f>
        <v>306.981608612362</v>
      </c>
      <c r="P68" s="58" t="n">
        <f aca="false">'E2 CigadingExist Output'!P29</f>
        <v>359.216809130693</v>
      </c>
      <c r="Q68" s="58" t="n">
        <f aca="false">'E2 CigadingExist Output'!Q29</f>
        <v>413.162612697646</v>
      </c>
      <c r="R68" s="58" t="n">
        <f aca="false">'E2 CigadingExist Output'!R29</f>
        <v>468.226245559936</v>
      </c>
      <c r="S68" s="58" t="n">
        <f aca="false">'E2 CigadingExist Output'!S29</f>
        <v>524.455275714255</v>
      </c>
    </row>
    <row r="69" customFormat="false" ht="15" hidden="false" customHeight="false" outlineLevel="0" collapsed="false">
      <c r="B69" s="24" t="s">
        <v>355</v>
      </c>
      <c r="C69" s="25" t="s">
        <v>170</v>
      </c>
      <c r="F69" s="58" t="n">
        <f aca="false">'E2 CigadingExist Output'!F39</f>
        <v>4.09127439823984</v>
      </c>
      <c r="G69" s="58" t="n">
        <f aca="false">'E2 CigadingExist Output'!G39</f>
        <v>3.65288808651601</v>
      </c>
      <c r="H69" s="58" t="n">
        <f aca="false">'E2 CigadingExist Output'!H39</f>
        <v>4.5726397033207</v>
      </c>
      <c r="I69" s="58" t="n">
        <f aca="false">'E2 CigadingExist Output'!I39</f>
        <v>4.69597349837568</v>
      </c>
      <c r="J69" s="58" t="n">
        <f aca="false">'E2 CigadingExist Output'!J39</f>
        <v>6.03853764009931</v>
      </c>
      <c r="K69" s="58" t="n">
        <f aca="false">'E2 CigadingExist Output'!K39</f>
        <v>6.19007202871731</v>
      </c>
      <c r="L69" s="58" t="n">
        <f aca="false">'E2 CigadingExist Output'!L39</f>
        <v>7.14942003435647</v>
      </c>
      <c r="M69" s="58" t="n">
        <f aca="false">'E2 CigadingExist Output'!M39</f>
        <v>7.34950629803593</v>
      </c>
      <c r="N69" s="58" t="n">
        <f aca="false">'E2 CigadingExist Output'!N39</f>
        <v>8.09547331743291</v>
      </c>
      <c r="O69" s="58" t="n">
        <f aca="false">'E2 CigadingExist Output'!O39</f>
        <v>8.29645630232904</v>
      </c>
      <c r="P69" s="58" t="n">
        <f aca="false">'E2 CigadingExist Output'!P39</f>
        <v>9.15954747320529</v>
      </c>
      <c r="Q69" s="58" t="n">
        <f aca="false">'E2 CigadingExist Output'!Q39</f>
        <v>9.41572279663271</v>
      </c>
      <c r="R69" s="58" t="n">
        <f aca="false">'E2 CigadingExist Output'!R39</f>
        <v>9.6783509624287</v>
      </c>
      <c r="S69" s="58" t="n">
        <f aca="false">'E2 CigadingExist Output'!S39</f>
        <v>9.92037558831991</v>
      </c>
    </row>
    <row r="70" customFormat="false" ht="15" hidden="false" customHeight="false" outlineLevel="0" collapsed="false">
      <c r="B70" s="24" t="s">
        <v>356</v>
      </c>
      <c r="C70" s="25" t="s">
        <v>170</v>
      </c>
      <c r="E70" s="47" t="n">
        <f aca="false">SUM(F70:S70)</f>
        <v>0</v>
      </c>
      <c r="F70" s="58" t="n">
        <f aca="false">'E2 CigadingExist Output'!F31</f>
        <v>-0</v>
      </c>
      <c r="G70" s="58" t="n">
        <f aca="false">'E2 CigadingExist Output'!G31</f>
        <v>0</v>
      </c>
      <c r="H70" s="58" t="n">
        <f aca="false">'E2 CigadingExist Output'!H31</f>
        <v>0</v>
      </c>
      <c r="I70" s="58" t="n">
        <f aca="false">'E2 CigadingExist Output'!I31</f>
        <v>0</v>
      </c>
      <c r="J70" s="58" t="n">
        <f aca="false">'E2 CigadingExist Output'!J31</f>
        <v>0</v>
      </c>
      <c r="K70" s="58" t="n">
        <f aca="false">'E2 CigadingExist Output'!K31</f>
        <v>0</v>
      </c>
      <c r="L70" s="58" t="n">
        <f aca="false">'E2 CigadingExist Output'!L31</f>
        <v>0</v>
      </c>
      <c r="M70" s="58" t="n">
        <f aca="false">'E2 CigadingExist Output'!M31</f>
        <v>0</v>
      </c>
      <c r="N70" s="58" t="n">
        <f aca="false">'E2 CigadingExist Output'!N31</f>
        <v>0</v>
      </c>
      <c r="O70" s="58" t="n">
        <f aca="false">'E2 CigadingExist Output'!O31</f>
        <v>0</v>
      </c>
      <c r="P70" s="58" t="n">
        <f aca="false">'E2 CigadingExist Output'!P31</f>
        <v>0</v>
      </c>
      <c r="Q70" s="58" t="n">
        <f aca="false">'E2 CigadingExist Output'!Q31</f>
        <v>0</v>
      </c>
      <c r="R70" s="58" t="n">
        <f aca="false">'E2 CigadingExist Output'!R31</f>
        <v>0</v>
      </c>
      <c r="S70" s="58" t="n">
        <f aca="false">'E2 CigadingExist Output'!S31</f>
        <v>0</v>
      </c>
    </row>
    <row r="71" customFormat="false" ht="15" hidden="false" customHeight="false" outlineLevel="0" collapsed="false">
      <c r="B71" s="24" t="s">
        <v>357</v>
      </c>
      <c r="C71" s="25" t="s">
        <v>170</v>
      </c>
      <c r="E71" s="47" t="n">
        <f aca="false">SUM(F71:S71)</f>
        <v>461.150586479111</v>
      </c>
      <c r="F71" s="58" t="n">
        <f aca="false">'E2 CigadingExist Output'!F47</f>
        <v>0</v>
      </c>
      <c r="G71" s="58" t="n">
        <f aca="false">'E2 CigadingExist Output'!G47</f>
        <v>0</v>
      </c>
      <c r="H71" s="58" t="n">
        <f aca="false">'E2 CigadingExist Output'!H47</f>
        <v>0</v>
      </c>
      <c r="I71" s="58" t="n">
        <f aca="false">'E2 CigadingExist Output'!I47</f>
        <v>0</v>
      </c>
      <c r="J71" s="58" t="n">
        <f aca="false">'E2 CigadingExist Output'!J47</f>
        <v>29.0766554733976</v>
      </c>
      <c r="K71" s="58" t="n">
        <f aca="false">'E2 CigadingExist Output'!K47</f>
        <v>27.61371473609</v>
      </c>
      <c r="L71" s="58" t="n">
        <f aca="false">'E2 CigadingExist Output'!L47</f>
        <v>29.1677032158059</v>
      </c>
      <c r="M71" s="58" t="n">
        <f aca="false">'E2 CigadingExist Output'!M47</f>
        <v>27.2308330034022</v>
      </c>
      <c r="N71" s="58" t="n">
        <f aca="false">'E2 CigadingExist Output'!N47</f>
        <v>26.4778277484192</v>
      </c>
      <c r="O71" s="58" t="n">
        <f aca="false">'E2 CigadingExist Output'!O47</f>
        <v>24.5328609538824</v>
      </c>
      <c r="P71" s="58" t="n">
        <f aca="false">'E2 CigadingExist Output'!P47</f>
        <v>23.8266281644602</v>
      </c>
      <c r="Q71" s="58" t="n">
        <f aca="false">'E2 CigadingExist Output'!Q47</f>
        <v>21.9966675356676</v>
      </c>
      <c r="R71" s="58" t="n">
        <f aca="false">'E2 CigadingExist Output'!R47</f>
        <v>20.0707678679002</v>
      </c>
      <c r="S71" s="58" t="n">
        <f aca="false">'E2 CigadingExist Output'!S47</f>
        <v>231.156927780086</v>
      </c>
    </row>
    <row r="72" customFormat="false" ht="15" hidden="false" customHeight="false" outlineLevel="0" collapsed="false">
      <c r="B72" s="3" t="s">
        <v>358</v>
      </c>
      <c r="C72" s="73" t="s">
        <v>359</v>
      </c>
      <c r="D72" s="74" t="n">
        <f aca="false">'E2 CigadingExist Output'!$E$48</f>
        <v>461.150586479111</v>
      </c>
      <c r="E72" s="73" t="s">
        <v>360</v>
      </c>
      <c r="F72" s="75" t="str">
        <f aca="false">IF(ISNUMBER('E2 CigadingExist Output'!$E$50),'E2 CigadingExist Output'!$E$50,"n/a")</f>
        <v>n/a</v>
      </c>
      <c r="G72" s="73" t="s">
        <v>361</v>
      </c>
      <c r="H72" s="75" t="str">
        <f aca="false">IF(ISNUMBER('E2 CigadingExist Output'!$E$51),'E2 CigadingExist Output'!$E$51,"n/a")</f>
        <v>n/a</v>
      </c>
      <c r="I72" s="73" t="s">
        <v>362</v>
      </c>
      <c r="J72" s="76" t="str">
        <f aca="false">IF(ISNUMBER('E2 CigadingExist Output'!$E$53),'E2 CigadingExist Output'!$E$53,"n/a")</f>
        <v>n/a</v>
      </c>
      <c r="K72" s="73" t="s">
        <v>363</v>
      </c>
      <c r="L72" s="74" t="n">
        <f aca="false">'E2 CigadingExist Output'!$E$55</f>
        <v>0</v>
      </c>
      <c r="M72" s="73" t="s">
        <v>364</v>
      </c>
      <c r="N72" s="74" t="n">
        <f aca="false">'E2 CigadingExist Output'!$E$56</f>
        <v>0</v>
      </c>
    </row>
    <row r="74" customFormat="false" ht="15" hidden="false" customHeight="false" outlineLevel="0" collapsed="false">
      <c r="B74" s="22" t="s">
        <v>366</v>
      </c>
      <c r="C74" s="23"/>
      <c r="D74" s="23"/>
      <c r="E74" s="23"/>
      <c r="F74" s="23"/>
      <c r="G74" s="23"/>
      <c r="H74" s="23"/>
      <c r="I74" s="23"/>
      <c r="J74" s="23"/>
      <c r="K74" s="23"/>
      <c r="L74" s="23"/>
      <c r="M74" s="23"/>
      <c r="N74" s="23"/>
      <c r="O74" s="23"/>
      <c r="P74" s="23"/>
      <c r="Q74" s="23"/>
      <c r="R74" s="23"/>
      <c r="S74" s="23"/>
    </row>
    <row r="75" customFormat="false" ht="15" hidden="false" customHeight="false" outlineLevel="0" collapsed="false">
      <c r="B75" s="5" t="s">
        <v>38</v>
      </c>
      <c r="C75" s="17" t="s">
        <v>27</v>
      </c>
      <c r="D75" s="17" t="s">
        <v>28</v>
      </c>
      <c r="E75" s="17" t="s">
        <v>29</v>
      </c>
      <c r="G75" s="5" t="str">
        <f aca="false">"In valuation: "&amp;'Global Inputs'!$E$91&amp;"  |  case: "&amp;'Global Inputs'!$F$91&amp;"  |  FSL interest: "&amp;TEXT('Global Inputs'!$G$91,"0%")</f>
        <v>In valuation: 1  |  case: 1  |  FSL interest: 100%</v>
      </c>
    </row>
    <row r="76" customFormat="false" ht="15" hidden="false" customHeight="false" outlineLevel="0" collapsed="false">
      <c r="B76" s="24" t="s">
        <v>345</v>
      </c>
      <c r="C76" s="25" t="s">
        <v>170</v>
      </c>
      <c r="E76" s="47" t="n">
        <f aca="false">SUM(F76:S76)</f>
        <v>706.443991374042</v>
      </c>
      <c r="F76" s="58" t="n">
        <f aca="false">'E3 Belawan Output'!F11</f>
        <v>0</v>
      </c>
      <c r="G76" s="58" t="n">
        <f aca="false">'E3 Belawan Output'!G11</f>
        <v>22.2435</v>
      </c>
      <c r="H76" s="58" t="n">
        <f aca="false">'E3 Belawan Output'!H11</f>
        <v>22.910805</v>
      </c>
      <c r="I76" s="58" t="n">
        <f aca="false">'E3 Belawan Output'!I11</f>
        <v>34.9679270625</v>
      </c>
      <c r="J76" s="58" t="n">
        <f aca="false">'E3 Belawan Output'!J11</f>
        <v>44.806464874375</v>
      </c>
      <c r="K76" s="58" t="n">
        <f aca="false">'E3 Belawan Output'!K11</f>
        <v>49.5268792852244</v>
      </c>
      <c r="L76" s="58" t="n">
        <f aca="false">'E3 Belawan Output'!L11</f>
        <v>54.5245821005696</v>
      </c>
      <c r="M76" s="58" t="n">
        <f aca="false">'E3 Belawan Output'!M11</f>
        <v>59.8140565636268</v>
      </c>
      <c r="N76" s="58" t="n">
        <f aca="false">'E3 Belawan Output'!N11</f>
        <v>65.4105328962369</v>
      </c>
      <c r="O76" s="58" t="n">
        <f aca="false">'E3 Belawan Output'!O11</f>
        <v>71.3300278493691</v>
      </c>
      <c r="P76" s="58" t="n">
        <f aca="false">'E3 Belawan Output'!P11</f>
        <v>77.5893864308892</v>
      </c>
      <c r="Q76" s="58" t="n">
        <f aca="false">'E3 Belawan Output'!Q11</f>
        <v>84.2064817177669</v>
      </c>
      <c r="R76" s="58" t="n">
        <f aca="false">'E3 Belawan Output'!R11</f>
        <v>57.7967623822037</v>
      </c>
      <c r="S76" s="58" t="n">
        <f aca="false">'E3 Belawan Output'!S11</f>
        <v>61.3165852112799</v>
      </c>
    </row>
    <row r="77" customFormat="false" ht="15" hidden="false" customHeight="false" outlineLevel="0" collapsed="false">
      <c r="B77" s="24" t="s">
        <v>346</v>
      </c>
      <c r="C77" s="25" t="s">
        <v>170</v>
      </c>
      <c r="E77" s="47" t="n">
        <f aca="false">SUM(F77:S77)</f>
        <v>500.644523302262</v>
      </c>
      <c r="F77" s="58" t="n">
        <f aca="false">'E3 Belawan Output'!F15</f>
        <v>0</v>
      </c>
      <c r="G77" s="58" t="n">
        <f aca="false">'E3 Belawan Output'!G15</f>
        <v>11.1456051639507</v>
      </c>
      <c r="H77" s="58" t="n">
        <f aca="false">'E3 Belawan Output'!H15</f>
        <v>11.3960814624348</v>
      </c>
      <c r="I77" s="58" t="n">
        <f aca="false">'E3 Belawan Output'!I15</f>
        <v>22.3072136032567</v>
      </c>
      <c r="J77" s="58" t="n">
        <f aca="false">'E3 Belawan Output'!J15</f>
        <v>30.9041396069071</v>
      </c>
      <c r="K77" s="58" t="n">
        <f aca="false">'E3 Belawan Output'!K15</f>
        <v>34.8837618885848</v>
      </c>
      <c r="L77" s="58" t="n">
        <f aca="false">'E3 Belawan Output'!L15</f>
        <v>39.104688681565</v>
      </c>
      <c r="M77" s="58" t="n">
        <f aca="false">'E3 Belawan Output'!M15</f>
        <v>43.5796979446148</v>
      </c>
      <c r="N77" s="58" t="n">
        <f aca="false">'E3 Belawan Output'!N15</f>
        <v>48.3222319339973</v>
      </c>
      <c r="O77" s="58" t="n">
        <f aca="false">'E3 Belawan Output'!O15</f>
        <v>53.346432555175</v>
      </c>
      <c r="P77" s="58" t="n">
        <f aca="false">'E3 Belawan Output'!P15</f>
        <v>58.6671786670103</v>
      </c>
      <c r="Q77" s="58" t="n">
        <f aca="false">'E3 Belawan Output'!Q15</f>
        <v>64.3002773384541</v>
      </c>
      <c r="R77" s="58" t="n">
        <f aca="false">'E3 Belawan Output'!R15</f>
        <v>39.9449589766659</v>
      </c>
      <c r="S77" s="58" t="n">
        <f aca="false">'E3 Belawan Output'!S15</f>
        <v>42.742255479646</v>
      </c>
    </row>
    <row r="78" customFormat="false" ht="15" hidden="false" customHeight="false" outlineLevel="0" collapsed="false">
      <c r="B78" s="69" t="s">
        <v>347</v>
      </c>
      <c r="C78" s="25" t="s">
        <v>170</v>
      </c>
      <c r="E78" s="70" t="n">
        <f aca="false">SUM(F78:S78)</f>
        <v>356.957612768687</v>
      </c>
      <c r="F78" s="71" t="n">
        <f aca="false">'E3 Belawan Output'!F17</f>
        <v>0</v>
      </c>
      <c r="G78" s="71" t="n">
        <f aca="false">'E3 Belawan Output'!G17</f>
        <v>5.91163095052072</v>
      </c>
      <c r="H78" s="71" t="n">
        <f aca="false">'E3 Belawan Output'!H17</f>
        <v>6.16210724900483</v>
      </c>
      <c r="I78" s="71" t="n">
        <f aca="false">'E3 Belawan Output'!I17</f>
        <v>13.1205639965417</v>
      </c>
      <c r="J78" s="71" t="n">
        <f aca="false">'E3 Belawan Output'!J17</f>
        <v>17.7878146069071</v>
      </c>
      <c r="K78" s="71" t="n">
        <f aca="false">'E3 Belawan Output'!K17</f>
        <v>21.7674368885848</v>
      </c>
      <c r="L78" s="71" t="n">
        <f aca="false">'E3 Belawan Output'!L17</f>
        <v>25.988363681565</v>
      </c>
      <c r="M78" s="71" t="n">
        <f aca="false">'E3 Belawan Output'!M17</f>
        <v>30.4633729446148</v>
      </c>
      <c r="N78" s="71" t="n">
        <f aca="false">'E3 Belawan Output'!N17</f>
        <v>35.2059069339973</v>
      </c>
      <c r="O78" s="71" t="n">
        <f aca="false">'E3 Belawan Output'!O17</f>
        <v>40.230107555175</v>
      </c>
      <c r="P78" s="71" t="n">
        <f aca="false">'E3 Belawan Output'!P17</f>
        <v>45.5508536670102</v>
      </c>
      <c r="Q78" s="71" t="n">
        <f aca="false">'E3 Belawan Output'!Q17</f>
        <v>52.6121398384541</v>
      </c>
      <c r="R78" s="71" t="n">
        <f aca="false">'E3 Belawan Output'!R17</f>
        <v>29.6800089766659</v>
      </c>
      <c r="S78" s="71" t="n">
        <f aca="false">'E3 Belawan Output'!S17</f>
        <v>32.477305479646</v>
      </c>
    </row>
    <row r="79" customFormat="false" ht="15" hidden="false" customHeight="false" outlineLevel="0" collapsed="false">
      <c r="B79" s="24" t="s">
        <v>348</v>
      </c>
      <c r="C79" s="25" t="s">
        <v>170</v>
      </c>
      <c r="E79" s="47" t="n">
        <f aca="false">SUM(F79:S79)</f>
        <v>278.426937959576</v>
      </c>
      <c r="F79" s="58" t="n">
        <f aca="false">'E3 Belawan Output'!F19</f>
        <v>0</v>
      </c>
      <c r="G79" s="58" t="n">
        <f aca="false">'E3 Belawan Output'!G19</f>
        <v>4.61107214140616</v>
      </c>
      <c r="H79" s="58" t="n">
        <f aca="false">'E3 Belawan Output'!H19</f>
        <v>4.80644365422377</v>
      </c>
      <c r="I79" s="58" t="n">
        <f aca="false">'E3 Belawan Output'!I19</f>
        <v>10.2340399173025</v>
      </c>
      <c r="J79" s="58" t="n">
        <f aca="false">'E3 Belawan Output'!J19</f>
        <v>13.8744953933875</v>
      </c>
      <c r="K79" s="58" t="n">
        <f aca="false">'E3 Belawan Output'!K19</f>
        <v>16.9786007730962</v>
      </c>
      <c r="L79" s="58" t="n">
        <f aca="false">'E3 Belawan Output'!L19</f>
        <v>20.2709236716207</v>
      </c>
      <c r="M79" s="58" t="n">
        <f aca="false">'E3 Belawan Output'!M19</f>
        <v>23.7614308967995</v>
      </c>
      <c r="N79" s="58" t="n">
        <f aca="false">'E3 Belawan Output'!N19</f>
        <v>27.4606074085179</v>
      </c>
      <c r="O79" s="58" t="n">
        <f aca="false">'E3 Belawan Output'!O19</f>
        <v>31.3794838930365</v>
      </c>
      <c r="P79" s="58" t="n">
        <f aca="false">'E3 Belawan Output'!P19</f>
        <v>35.529665860268</v>
      </c>
      <c r="Q79" s="58" t="n">
        <f aca="false">'E3 Belawan Output'!Q19</f>
        <v>41.0374690739942</v>
      </c>
      <c r="R79" s="58" t="n">
        <f aca="false">'E3 Belawan Output'!R19</f>
        <v>23.1504070017994</v>
      </c>
      <c r="S79" s="58" t="n">
        <f aca="false">'E3 Belawan Output'!S19</f>
        <v>25.3322982741239</v>
      </c>
    </row>
    <row r="80" customFormat="false" ht="15" hidden="false" customHeight="false" outlineLevel="0" collapsed="false">
      <c r="B80" s="24" t="s">
        <v>349</v>
      </c>
      <c r="C80" s="25" t="s">
        <v>170</v>
      </c>
      <c r="E80" s="47" t="n">
        <f aca="false">SUM(F80:S80)</f>
        <v>-143.686910533575</v>
      </c>
      <c r="F80" s="58" t="n">
        <f aca="false">'E3 Belawan Output'!F16</f>
        <v>-0</v>
      </c>
      <c r="G80" s="58" t="n">
        <f aca="false">'E3 Belawan Output'!G16</f>
        <v>-5.23397421343</v>
      </c>
      <c r="H80" s="58" t="n">
        <f aca="false">'E3 Belawan Output'!H16</f>
        <v>-5.23397421343</v>
      </c>
      <c r="I80" s="58" t="n">
        <f aca="false">'E3 Belawan Output'!I16</f>
        <v>-9.186649606715</v>
      </c>
      <c r="J80" s="58" t="n">
        <f aca="false">'E3 Belawan Output'!J16</f>
        <v>-13.116325</v>
      </c>
      <c r="K80" s="58" t="n">
        <f aca="false">'E3 Belawan Output'!K16</f>
        <v>-13.116325</v>
      </c>
      <c r="L80" s="58" t="n">
        <f aca="false">'E3 Belawan Output'!L16</f>
        <v>-13.116325</v>
      </c>
      <c r="M80" s="58" t="n">
        <f aca="false">'E3 Belawan Output'!M16</f>
        <v>-13.116325</v>
      </c>
      <c r="N80" s="58" t="n">
        <f aca="false">'E3 Belawan Output'!N16</f>
        <v>-13.116325</v>
      </c>
      <c r="O80" s="58" t="n">
        <f aca="false">'E3 Belawan Output'!O16</f>
        <v>-13.116325</v>
      </c>
      <c r="P80" s="58" t="n">
        <f aca="false">'E3 Belawan Output'!P16</f>
        <v>-13.116325</v>
      </c>
      <c r="Q80" s="58" t="n">
        <f aca="false">'E3 Belawan Output'!Q16</f>
        <v>-11.6881375</v>
      </c>
      <c r="R80" s="58" t="n">
        <f aca="false">'E3 Belawan Output'!R16</f>
        <v>-10.26495</v>
      </c>
      <c r="S80" s="58" t="n">
        <f aca="false">'E3 Belawan Output'!S16</f>
        <v>-10.26495</v>
      </c>
    </row>
    <row r="81" customFormat="false" ht="15" hidden="false" customHeight="false" outlineLevel="0" collapsed="false">
      <c r="B81" s="24" t="s">
        <v>350</v>
      </c>
      <c r="C81" s="25" t="s">
        <v>240</v>
      </c>
      <c r="E81" s="44" t="n">
        <f aca="false">SUM(F81:S81)</f>
        <v>14.0245926836766</v>
      </c>
      <c r="F81" s="72" t="n">
        <f aca="false">'E3 Belawan Output'!F34</f>
        <v>0</v>
      </c>
      <c r="G81" s="72" t="n">
        <f aca="false">'E3 Belawan Output'!G34</f>
        <v>0</v>
      </c>
      <c r="H81" s="72" t="n">
        <f aca="false">'E3 Belawan Output'!H34</f>
        <v>0</v>
      </c>
      <c r="I81" s="72" t="n">
        <f aca="false">'E3 Belawan Output'!I34</f>
        <v>7.02459268367661</v>
      </c>
      <c r="J81" s="72" t="n">
        <f aca="false">'E3 Belawan Output'!J34</f>
        <v>7</v>
      </c>
      <c r="K81" s="72" t="n">
        <f aca="false">'E3 Belawan Output'!K34</f>
        <v>0</v>
      </c>
      <c r="L81" s="72" t="n">
        <f aca="false">'E3 Belawan Output'!L34</f>
        <v>0</v>
      </c>
      <c r="M81" s="72" t="n">
        <f aca="false">'E3 Belawan Output'!M34</f>
        <v>0</v>
      </c>
      <c r="N81" s="72" t="n">
        <f aca="false">'E3 Belawan Output'!N34</f>
        <v>0</v>
      </c>
      <c r="O81" s="72" t="n">
        <f aca="false">'E3 Belawan Output'!O34</f>
        <v>0</v>
      </c>
      <c r="P81" s="72" t="n">
        <f aca="false">'E3 Belawan Output'!P34</f>
        <v>0</v>
      </c>
      <c r="Q81" s="72" t="n">
        <f aca="false">'E3 Belawan Output'!Q34</f>
        <v>0</v>
      </c>
      <c r="R81" s="72" t="n">
        <f aca="false">'E3 Belawan Output'!R34</f>
        <v>0</v>
      </c>
      <c r="S81" s="72" t="n">
        <f aca="false">'E3 Belawan Output'!S34</f>
        <v>0</v>
      </c>
    </row>
    <row r="82" customFormat="false" ht="15" hidden="false" customHeight="false" outlineLevel="0" collapsed="false">
      <c r="B82" s="24" t="s">
        <v>351</v>
      </c>
      <c r="C82" s="25" t="s">
        <v>170</v>
      </c>
      <c r="E82" s="47" t="n">
        <f aca="false">SUM(F82:S82)</f>
        <v>228.11</v>
      </c>
      <c r="F82" s="58" t="n">
        <f aca="false">'E3 Belawan Output'!F35</f>
        <v>0</v>
      </c>
      <c r="G82" s="58" t="n">
        <f aca="false">'E3 Belawan Output'!G35</f>
        <v>0</v>
      </c>
      <c r="H82" s="58" t="n">
        <f aca="false">'E3 Belawan Output'!H35</f>
        <v>0</v>
      </c>
      <c r="I82" s="58" t="n">
        <f aca="false">'E3 Belawan Output'!I35</f>
        <v>114.255</v>
      </c>
      <c r="J82" s="58" t="n">
        <f aca="false">'E3 Belawan Output'!J35</f>
        <v>113.855</v>
      </c>
      <c r="K82" s="58" t="n">
        <f aca="false">'E3 Belawan Output'!K35</f>
        <v>0</v>
      </c>
      <c r="L82" s="58" t="n">
        <f aca="false">'E3 Belawan Output'!L35</f>
        <v>0</v>
      </c>
      <c r="M82" s="58" t="n">
        <f aca="false">'E3 Belawan Output'!M35</f>
        <v>0</v>
      </c>
      <c r="N82" s="58" t="n">
        <f aca="false">'E3 Belawan Output'!N35</f>
        <v>0</v>
      </c>
      <c r="O82" s="58" t="n">
        <f aca="false">'E3 Belawan Output'!O35</f>
        <v>0</v>
      </c>
      <c r="P82" s="58" t="n">
        <f aca="false">'E3 Belawan Output'!P35</f>
        <v>0</v>
      </c>
      <c r="Q82" s="58" t="n">
        <f aca="false">'E3 Belawan Output'!Q35</f>
        <v>0</v>
      </c>
      <c r="R82" s="58" t="n">
        <f aca="false">'E3 Belawan Output'!R35</f>
        <v>0</v>
      </c>
      <c r="S82" s="58" t="n">
        <f aca="false">'E3 Belawan Output'!S35</f>
        <v>0</v>
      </c>
    </row>
    <row r="83" customFormat="false" ht="15" hidden="false" customHeight="false" outlineLevel="0" collapsed="false">
      <c r="B83" s="24" t="s">
        <v>352</v>
      </c>
      <c r="C83" s="25" t="s">
        <v>170</v>
      </c>
      <c r="E83" s="47" t="n">
        <f aca="false">SUM(F83:S83)</f>
        <v>-4.05139694882897</v>
      </c>
      <c r="F83" s="58" t="n">
        <f aca="false">'E3 Belawan Output'!F27</f>
        <v>-0</v>
      </c>
      <c r="G83" s="58" t="n">
        <f aca="false">'E3 Belawan Output'!G27</f>
        <v>0.240787471642953</v>
      </c>
      <c r="H83" s="58" t="n">
        <f aca="false">'E3 Belawan Output'!H27</f>
        <v>-0.0608716133521008</v>
      </c>
      <c r="I83" s="58" t="n">
        <f aca="false">'E3 Belawan Output'!I27</f>
        <v>-1.39968217986214</v>
      </c>
      <c r="J83" s="58" t="n">
        <f aca="false">'E3 Belawan Output'!J27</f>
        <v>-1.11851283748626</v>
      </c>
      <c r="K83" s="58" t="n">
        <f aca="false">'E3 Belawan Output'!K27</f>
        <v>-0.514728472712831</v>
      </c>
      <c r="L83" s="58" t="n">
        <f aca="false">'E3 Belawan Output'!L27</f>
        <v>-0.574517010294794</v>
      </c>
      <c r="M83" s="58" t="n">
        <f aca="false">'E3 Belawan Output'!M27</f>
        <v>-0.593458194365939</v>
      </c>
      <c r="N83" s="58" t="n">
        <f aca="false">'E3 Belawan Output'!N27</f>
        <v>-0.628303508361864</v>
      </c>
      <c r="O83" s="58" t="n">
        <f aca="false">'E3 Belawan Output'!O27</f>
        <v>-0.644123958638215</v>
      </c>
      <c r="P83" s="58" t="n">
        <f aca="false">'E3 Belawan Output'!P27</f>
        <v>-0.724424491622747</v>
      </c>
      <c r="Q83" s="58" t="n">
        <f aca="false">'E3 Belawan Output'!Q27</f>
        <v>-0.744208678549608</v>
      </c>
      <c r="R83" s="58" t="n">
        <f aca="false">'E3 Belawan Output'!R27</f>
        <v>3.07758892772107</v>
      </c>
      <c r="S83" s="58" t="n">
        <f aca="false">'E3 Belawan Output'!S27</f>
        <v>-0.366942402946497</v>
      </c>
    </row>
    <row r="84" customFormat="false" ht="15" hidden="false" customHeight="false" outlineLevel="0" collapsed="false">
      <c r="B84" s="69" t="s">
        <v>353</v>
      </c>
      <c r="C84" s="25" t="s">
        <v>170</v>
      </c>
      <c r="E84" s="70" t="n">
        <f aca="false">SUM(F84:S84)</f>
        <v>189.952451544322</v>
      </c>
      <c r="F84" s="71" t="n">
        <f aca="false">'E3 Belawan Output'!F28</f>
        <v>0</v>
      </c>
      <c r="G84" s="71" t="n">
        <f aca="false">'E3 Belawan Output'!G28</f>
        <v>10.0858338264791</v>
      </c>
      <c r="H84" s="71" t="n">
        <f aca="false">'E3 Belawan Output'!H28</f>
        <v>9.97954625430167</v>
      </c>
      <c r="I84" s="71" t="n">
        <f aca="false">'E3 Belawan Output'!I28</f>
        <v>-96.2339926558447</v>
      </c>
      <c r="J84" s="71" t="n">
        <f aca="false">'E3 Belawan Output'!J28</f>
        <v>-87.9826924440988</v>
      </c>
      <c r="K84" s="71" t="n">
        <f aca="false">'E3 Belawan Output'!K28</f>
        <v>29.5801973003833</v>
      </c>
      <c r="L84" s="71" t="n">
        <f aca="false">'E3 Belawan Output'!L28</f>
        <v>32.8127316613259</v>
      </c>
      <c r="M84" s="71" t="n">
        <f aca="false">'E3 Belawan Output'!M28</f>
        <v>36.2842977024336</v>
      </c>
      <c r="N84" s="71" t="n">
        <f aca="false">'E3 Belawan Output'!N28</f>
        <v>39.948628900156</v>
      </c>
      <c r="O84" s="71" t="n">
        <f aca="false">'E3 Belawan Output'!O28</f>
        <v>43.8516849343983</v>
      </c>
      <c r="P84" s="71" t="n">
        <f aca="false">'E3 Belawan Output'!P28</f>
        <v>47.9215663686452</v>
      </c>
      <c r="Q84" s="71" t="n">
        <f aca="false">'E3 Belawan Output'!Q28</f>
        <v>51.9813978954446</v>
      </c>
      <c r="R84" s="71" t="n">
        <f aca="false">'E3 Belawan Output'!R28</f>
        <v>36.4929459295205</v>
      </c>
      <c r="S84" s="71" t="n">
        <f aca="false">'E3 Belawan Output'!S28</f>
        <v>35.2303058711774</v>
      </c>
    </row>
    <row r="85" customFormat="false" ht="15" hidden="false" customHeight="false" outlineLevel="0" collapsed="false">
      <c r="B85" s="24" t="s">
        <v>354</v>
      </c>
      <c r="C85" s="25" t="s">
        <v>170</v>
      </c>
      <c r="F85" s="58" t="n">
        <f aca="false">'E3 Belawan Output'!F29</f>
        <v>0</v>
      </c>
      <c r="G85" s="58" t="n">
        <f aca="false">'E3 Belawan Output'!G29</f>
        <v>10.0858338264791</v>
      </c>
      <c r="H85" s="58" t="n">
        <f aca="false">'E3 Belawan Output'!H29</f>
        <v>20.0653800807808</v>
      </c>
      <c r="I85" s="58" t="n">
        <f aca="false">'E3 Belawan Output'!I29</f>
        <v>-76.1686125750639</v>
      </c>
      <c r="J85" s="58" t="n">
        <f aca="false">'E3 Belawan Output'!J29</f>
        <v>-164.151305019163</v>
      </c>
      <c r="K85" s="58" t="n">
        <f aca="false">'E3 Belawan Output'!K29</f>
        <v>-134.571107718779</v>
      </c>
      <c r="L85" s="58" t="n">
        <f aca="false">'E3 Belawan Output'!L29</f>
        <v>-101.758376057453</v>
      </c>
      <c r="M85" s="58" t="n">
        <f aca="false">'E3 Belawan Output'!M29</f>
        <v>-65.4740783550198</v>
      </c>
      <c r="N85" s="58" t="n">
        <f aca="false">'E3 Belawan Output'!N29</f>
        <v>-25.5254494548638</v>
      </c>
      <c r="O85" s="58" t="n">
        <f aca="false">'E3 Belawan Output'!O29</f>
        <v>18.3262354795345</v>
      </c>
      <c r="P85" s="58" t="n">
        <f aca="false">'E3 Belawan Output'!P29</f>
        <v>66.2478018481798</v>
      </c>
      <c r="Q85" s="58" t="n">
        <f aca="false">'E3 Belawan Output'!Q29</f>
        <v>118.229199743624</v>
      </c>
      <c r="R85" s="58" t="n">
        <f aca="false">'E3 Belawan Output'!R29</f>
        <v>154.722145673145</v>
      </c>
      <c r="S85" s="58" t="n">
        <f aca="false">'E3 Belawan Output'!S29</f>
        <v>189.952451544322</v>
      </c>
    </row>
    <row r="86" customFormat="false" ht="15" hidden="false" customHeight="false" outlineLevel="0" collapsed="false">
      <c r="B86" s="24" t="s">
        <v>355</v>
      </c>
      <c r="C86" s="25" t="s">
        <v>170</v>
      </c>
      <c r="F86" s="58" t="n">
        <f aca="false">'E3 Belawan Output'!F39</f>
        <v>2.31776361240639</v>
      </c>
      <c r="G86" s="58" t="n">
        <f aca="false">'E3 Belawan Output'!G39</f>
        <v>2.07697614076344</v>
      </c>
      <c r="H86" s="58" t="n">
        <f aca="false">'E3 Belawan Output'!H39</f>
        <v>2.13784775411554</v>
      </c>
      <c r="I86" s="58" t="n">
        <f aca="false">'E3 Belawan Output'!I39</f>
        <v>111.222867433978</v>
      </c>
      <c r="J86" s="58" t="n">
        <f aca="false">'E3 Belawan Output'!J39</f>
        <v>213.080055271464</v>
      </c>
      <c r="K86" s="58" t="n">
        <f aca="false">'E3 Belawan Output'!K39</f>
        <v>200.478458744177</v>
      </c>
      <c r="L86" s="58" t="n">
        <f aca="false">'E3 Belawan Output'!L39</f>
        <v>187.936650754472</v>
      </c>
      <c r="M86" s="58" t="n">
        <f aca="false">'E3 Belawan Output'!M39</f>
        <v>175.413783948838</v>
      </c>
      <c r="N86" s="58" t="n">
        <f aca="false">'E3 Belawan Output'!N39</f>
        <v>162.925762457199</v>
      </c>
      <c r="O86" s="58" t="n">
        <f aca="false">'E3 Belawan Output'!O39</f>
        <v>150.453561415838</v>
      </c>
      <c r="P86" s="58" t="n">
        <f aca="false">'E3 Belawan Output'!P39</f>
        <v>138.06166090746</v>
      </c>
      <c r="Q86" s="58" t="n">
        <f aca="false">'E3 Belawan Output'!Q39</f>
        <v>127.11773208601</v>
      </c>
      <c r="R86" s="58" t="n">
        <f aca="false">'E3 Belawan Output'!R39</f>
        <v>113.775193158289</v>
      </c>
      <c r="S86" s="58" t="n">
        <f aca="false">'E3 Belawan Output'!S39</f>
        <v>103.877185561235</v>
      </c>
    </row>
    <row r="87" customFormat="false" ht="15" hidden="false" customHeight="false" outlineLevel="0" collapsed="false">
      <c r="B87" s="24" t="s">
        <v>356</v>
      </c>
      <c r="C87" s="25" t="s">
        <v>170</v>
      </c>
      <c r="E87" s="47" t="n">
        <f aca="false">SUM(F87:S87)</f>
        <v>184.216685099943</v>
      </c>
      <c r="F87" s="58" t="n">
        <f aca="false">'E3 Belawan Output'!F31</f>
        <v>-0</v>
      </c>
      <c r="G87" s="58" t="n">
        <f aca="false">'E3 Belawan Output'!G31</f>
        <v>0</v>
      </c>
      <c r="H87" s="58" t="n">
        <f aca="false">'E3 Belawan Output'!H31</f>
        <v>0</v>
      </c>
      <c r="I87" s="58" t="n">
        <f aca="false">'E3 Belawan Output'!I31</f>
        <v>96.2339926558447</v>
      </c>
      <c r="J87" s="58" t="n">
        <f aca="false">'E3 Belawan Output'!J31</f>
        <v>87.9826924440988</v>
      </c>
      <c r="K87" s="58" t="n">
        <f aca="false">'E3 Belawan Output'!K31</f>
        <v>0</v>
      </c>
      <c r="L87" s="58" t="n">
        <f aca="false">'E3 Belawan Output'!L31</f>
        <v>0</v>
      </c>
      <c r="M87" s="58" t="n">
        <f aca="false">'E3 Belawan Output'!M31</f>
        <v>0</v>
      </c>
      <c r="N87" s="58" t="n">
        <f aca="false">'E3 Belawan Output'!N31</f>
        <v>0</v>
      </c>
      <c r="O87" s="58" t="n">
        <f aca="false">'E3 Belawan Output'!O31</f>
        <v>0</v>
      </c>
      <c r="P87" s="58" t="n">
        <f aca="false">'E3 Belawan Output'!P31</f>
        <v>0</v>
      </c>
      <c r="Q87" s="58" t="n">
        <f aca="false">'E3 Belawan Output'!Q31</f>
        <v>0</v>
      </c>
      <c r="R87" s="58" t="n">
        <f aca="false">'E3 Belawan Output'!R31</f>
        <v>0</v>
      </c>
      <c r="S87" s="58" t="n">
        <f aca="false">'E3 Belawan Output'!S31</f>
        <v>0</v>
      </c>
    </row>
    <row r="88" customFormat="false" ht="15" hidden="false" customHeight="false" outlineLevel="0" collapsed="false">
      <c r="B88" s="24" t="s">
        <v>357</v>
      </c>
      <c r="C88" s="25" t="s">
        <v>170</v>
      </c>
      <c r="E88" s="47" t="n">
        <f aca="false">SUM(F88:S88)</f>
        <v>237.96396515498</v>
      </c>
      <c r="F88" s="58" t="n">
        <f aca="false">'E3 Belawan Output'!F47</f>
        <v>0</v>
      </c>
      <c r="G88" s="58" t="n">
        <f aca="false">'E3 Belawan Output'!G47</f>
        <v>0</v>
      </c>
      <c r="H88" s="58" t="n">
        <f aca="false">'E3 Belawan Output'!H47</f>
        <v>0</v>
      </c>
      <c r="I88" s="58" t="n">
        <f aca="false">'E3 Belawan Output'!I47</f>
        <v>-0</v>
      </c>
      <c r="J88" s="58" t="n">
        <f aca="false">'E3 Belawan Output'!J47</f>
        <v>-78.6497146206711</v>
      </c>
      <c r="K88" s="58" t="n">
        <f aca="false">'E3 Belawan Output'!K47</f>
        <v>23.6374635666274</v>
      </c>
      <c r="L88" s="58" t="n">
        <f aca="false">'E3 Belawan Output'!L47</f>
        <v>23.4391628262875</v>
      </c>
      <c r="M88" s="58" t="n">
        <f aca="false">'E3 Belawan Output'!M47</f>
        <v>23.1695891928204</v>
      </c>
      <c r="N88" s="58" t="n">
        <f aca="false">'E3 Belawan Output'!N47</f>
        <v>22.8034938792645</v>
      </c>
      <c r="O88" s="58" t="n">
        <f aca="false">'E3 Belawan Output'!O47</f>
        <v>22.3761674427565</v>
      </c>
      <c r="P88" s="58" t="n">
        <f aca="false">'E3 Belawan Output'!P47</f>
        <v>21.8590018147535</v>
      </c>
      <c r="Q88" s="58" t="n">
        <f aca="false">'E3 Belawan Output'!Q47</f>
        <v>21.1956714320926</v>
      </c>
      <c r="R88" s="58" t="n">
        <f aca="false">'E3 Belawan Output'!R47</f>
        <v>13.3017276284518</v>
      </c>
      <c r="S88" s="58" t="n">
        <f aca="false">'E3 Belawan Output'!S47</f>
        <v>144.831401992597</v>
      </c>
    </row>
    <row r="89" customFormat="false" ht="15" hidden="false" customHeight="false" outlineLevel="0" collapsed="false">
      <c r="B89" s="3" t="s">
        <v>358</v>
      </c>
      <c r="C89" s="73" t="s">
        <v>359</v>
      </c>
      <c r="D89" s="74" t="n">
        <f aca="false">'E3 Belawan Output'!$E$48</f>
        <v>237.96396515498</v>
      </c>
      <c r="E89" s="73" t="s">
        <v>360</v>
      </c>
      <c r="F89" s="75" t="str">
        <f aca="false">IF(ISNUMBER('E3 Belawan Output'!$E$50),'E3 Belawan Output'!$E$50,"n/a")</f>
        <v>n/a</v>
      </c>
      <c r="G89" s="73" t="s">
        <v>361</v>
      </c>
      <c r="H89" s="75" t="str">
        <f aca="false">IF(ISNUMBER('E3 Belawan Output'!$E$51),'E3 Belawan Output'!$E$51,"n/a")</f>
        <v>n/a</v>
      </c>
      <c r="I89" s="73" t="s">
        <v>362</v>
      </c>
      <c r="J89" s="76" t="n">
        <f aca="false">IF(ISNUMBER('E3 Belawan Output'!$E$53),'E3 Belawan Output'!$E$53,"n/a")</f>
        <v>2032</v>
      </c>
      <c r="K89" s="73" t="s">
        <v>363</v>
      </c>
      <c r="L89" s="74" t="n">
        <f aca="false">'E3 Belawan Output'!$E$55</f>
        <v>14.0245926836766</v>
      </c>
      <c r="M89" s="73" t="s">
        <v>364</v>
      </c>
      <c r="N89" s="74" t="n">
        <f aca="false">'E3 Belawan Output'!$E$56</f>
        <v>7</v>
      </c>
    </row>
    <row r="91" customFormat="false" ht="15" hidden="false" customHeight="false" outlineLevel="0" collapsed="false">
      <c r="B91" s="22" t="s">
        <v>367</v>
      </c>
      <c r="C91" s="23"/>
      <c r="D91" s="23"/>
      <c r="E91" s="23"/>
      <c r="F91" s="23"/>
      <c r="G91" s="23"/>
      <c r="H91" s="23"/>
      <c r="I91" s="23"/>
      <c r="J91" s="23"/>
      <c r="K91" s="23"/>
      <c r="L91" s="23"/>
      <c r="M91" s="23"/>
      <c r="N91" s="23"/>
      <c r="O91" s="23"/>
      <c r="P91" s="23"/>
      <c r="Q91" s="23"/>
      <c r="R91" s="23"/>
      <c r="S91" s="23"/>
    </row>
    <row r="92" customFormat="false" ht="15" hidden="false" customHeight="false" outlineLevel="0" collapsed="false">
      <c r="B92" s="5" t="s">
        <v>41</v>
      </c>
      <c r="C92" s="17" t="s">
        <v>27</v>
      </c>
      <c r="D92" s="17" t="s">
        <v>28</v>
      </c>
      <c r="E92" s="17" t="s">
        <v>29</v>
      </c>
      <c r="G92" s="5" t="str">
        <f aca="false">"In valuation: "&amp;'Global Inputs'!$E$92&amp;"  |  case: "&amp;'Global Inputs'!$F$92&amp;"  |  FSL interest: "&amp;TEXT('Global Inputs'!$G$92,"0%")</f>
        <v>In valuation: 1  |  case: 1  |  FSL interest: 100%</v>
      </c>
    </row>
    <row r="93" customFormat="false" ht="15" hidden="false" customHeight="false" outlineLevel="0" collapsed="false">
      <c r="B93" s="24" t="s">
        <v>345</v>
      </c>
      <c r="C93" s="25" t="s">
        <v>170</v>
      </c>
      <c r="E93" s="47" t="n">
        <f aca="false">SUM(F93:S93)</f>
        <v>1102.6466786616</v>
      </c>
      <c r="F93" s="58" t="n">
        <f aca="false">'E4 WIN Output'!F11</f>
        <v>0</v>
      </c>
      <c r="G93" s="58" t="n">
        <f aca="false">'E4 WIN Output'!G11</f>
        <v>87.9486723607539</v>
      </c>
      <c r="H93" s="58" t="n">
        <f aca="false">'E4 WIN Output'!H11</f>
        <v>65.3586410331276</v>
      </c>
      <c r="I93" s="58" t="n">
        <f aca="false">'E4 WIN Output'!I11</f>
        <v>61.9897288255351</v>
      </c>
      <c r="J93" s="58" t="n">
        <f aca="false">'E4 WIN Output'!J11</f>
        <v>66.8577054381607</v>
      </c>
      <c r="K93" s="58" t="n">
        <f aca="false">'E4 WIN Output'!K11</f>
        <v>72.1093080811055</v>
      </c>
      <c r="L93" s="58" t="n">
        <f aca="false">'E4 WIN Output'!L11</f>
        <v>77.7748685545113</v>
      </c>
      <c r="M93" s="58" t="n">
        <f aca="false">'E4 WIN Output'!M11</f>
        <v>83.8871242192732</v>
      </c>
      <c r="N93" s="58" t="n">
        <f aca="false">'E4 WIN Output'!N11</f>
        <v>90.4814093167961</v>
      </c>
      <c r="O93" s="58" t="n">
        <f aca="false">'E4 WIN Output'!O11</f>
        <v>97.5958615442911</v>
      </c>
      <c r="P93" s="58" t="n">
        <f aca="false">'E4 WIN Output'!P11</f>
        <v>105.271645104941</v>
      </c>
      <c r="Q93" s="58" t="n">
        <f aca="false">'E4 WIN Output'!Q11</f>
        <v>93.1878419546129</v>
      </c>
      <c r="R93" s="58" t="n">
        <f aca="false">'E4 WIN Output'!R11</f>
        <v>97.7168270689103</v>
      </c>
      <c r="S93" s="58" t="n">
        <f aca="false">'E4 WIN Output'!S11</f>
        <v>102.467045159585</v>
      </c>
    </row>
    <row r="94" customFormat="false" ht="15" hidden="false" customHeight="false" outlineLevel="0" collapsed="false">
      <c r="B94" s="24" t="s">
        <v>346</v>
      </c>
      <c r="C94" s="25" t="s">
        <v>170</v>
      </c>
      <c r="E94" s="47" t="n">
        <f aca="false">SUM(F94:S94)</f>
        <v>317.94556564388</v>
      </c>
      <c r="F94" s="58" t="n">
        <f aca="false">'E4 WIN Output'!F15</f>
        <v>0</v>
      </c>
      <c r="G94" s="58" t="n">
        <f aca="false">'E4 WIN Output'!G15</f>
        <v>14.4954815214039</v>
      </c>
      <c r="H94" s="58" t="n">
        <f aca="false">'E4 WIN Output'!H15</f>
        <v>13.9457566433103</v>
      </c>
      <c r="I94" s="58" t="n">
        <f aca="false">'E4 WIN Output'!I15</f>
        <v>16.7252653808313</v>
      </c>
      <c r="J94" s="58" t="n">
        <f aca="false">'E4 WIN Output'!J15</f>
        <v>18.4310807134747</v>
      </c>
      <c r="K94" s="58" t="n">
        <f aca="false">'E4 WIN Output'!K15</f>
        <v>20.2826339439416</v>
      </c>
      <c r="L94" s="58" t="n">
        <f aca="false">'E4 WIN Output'!L15</f>
        <v>22.2919198642634</v>
      </c>
      <c r="M94" s="58" t="n">
        <f aca="false">'E4 WIN Output'!M15</f>
        <v>24.4719091196429</v>
      </c>
      <c r="N94" s="58" t="n">
        <f aca="false">'E4 WIN Output'!N15</f>
        <v>26.8366272912959</v>
      </c>
      <c r="O94" s="58" t="n">
        <f aca="false">'E4 WIN Output'!O15</f>
        <v>29.4012403813888</v>
      </c>
      <c r="P94" s="58" t="n">
        <f aca="false">'E4 WIN Output'!P15</f>
        <v>32.1821472183827</v>
      </c>
      <c r="Q94" s="58" t="n">
        <f aca="false">'E4 WIN Output'!Q15</f>
        <v>31.2027784900809</v>
      </c>
      <c r="R94" s="58" t="n">
        <f aca="false">'E4 WIN Output'!R15</f>
        <v>32.9306328552513</v>
      </c>
      <c r="S94" s="58" t="n">
        <f aca="false">'E4 WIN Output'!S15</f>
        <v>34.7480922206116</v>
      </c>
    </row>
    <row r="95" customFormat="false" ht="15" hidden="false" customHeight="false" outlineLevel="0" collapsed="false">
      <c r="B95" s="69" t="s">
        <v>347</v>
      </c>
      <c r="C95" s="25" t="s">
        <v>170</v>
      </c>
      <c r="E95" s="70" t="n">
        <f aca="false">SUM(F95:S95)</f>
        <v>312.232320244329</v>
      </c>
      <c r="F95" s="71" t="n">
        <f aca="false">'E4 WIN Output'!F17</f>
        <v>0</v>
      </c>
      <c r="G95" s="71" t="n">
        <f aca="false">'E4 WIN Output'!G17</f>
        <v>14.0560011060539</v>
      </c>
      <c r="H95" s="71" t="n">
        <f aca="false">'E4 WIN Output'!H17</f>
        <v>13.5062762279603</v>
      </c>
      <c r="I95" s="71" t="n">
        <f aca="false">'E4 WIN Output'!I17</f>
        <v>16.2857849654813</v>
      </c>
      <c r="J95" s="71" t="n">
        <f aca="false">'E4 WIN Output'!J17</f>
        <v>17.9916002981247</v>
      </c>
      <c r="K95" s="71" t="n">
        <f aca="false">'E4 WIN Output'!K17</f>
        <v>19.8431535285916</v>
      </c>
      <c r="L95" s="71" t="n">
        <f aca="false">'E4 WIN Output'!L17</f>
        <v>21.8524394489134</v>
      </c>
      <c r="M95" s="71" t="n">
        <f aca="false">'E4 WIN Output'!M17</f>
        <v>24.0324287042929</v>
      </c>
      <c r="N95" s="71" t="n">
        <f aca="false">'E4 WIN Output'!N17</f>
        <v>26.3971468759459</v>
      </c>
      <c r="O95" s="71" t="n">
        <f aca="false">'E4 WIN Output'!O17</f>
        <v>28.9617599660388</v>
      </c>
      <c r="P95" s="71" t="n">
        <f aca="false">'E4 WIN Output'!P17</f>
        <v>31.7426668030327</v>
      </c>
      <c r="Q95" s="71" t="n">
        <f aca="false">'E4 WIN Output'!Q17</f>
        <v>30.7632980747309</v>
      </c>
      <c r="R95" s="71" t="n">
        <f aca="false">'E4 WIN Output'!R17</f>
        <v>32.4911524399013</v>
      </c>
      <c r="S95" s="71" t="n">
        <f aca="false">'E4 WIN Output'!S17</f>
        <v>34.3086118052616</v>
      </c>
    </row>
    <row r="96" customFormat="false" ht="15" hidden="false" customHeight="false" outlineLevel="0" collapsed="false">
      <c r="B96" s="24" t="s">
        <v>348</v>
      </c>
      <c r="C96" s="25" t="s">
        <v>170</v>
      </c>
      <c r="E96" s="47" t="n">
        <f aca="false">SUM(F96:S96)</f>
        <v>243.541209790577</v>
      </c>
      <c r="F96" s="58" t="n">
        <f aca="false">'E4 WIN Output'!F19</f>
        <v>0</v>
      </c>
      <c r="G96" s="58" t="n">
        <f aca="false">'E4 WIN Output'!G19</f>
        <v>10.9636808627221</v>
      </c>
      <c r="H96" s="58" t="n">
        <f aca="false">'E4 WIN Output'!H19</f>
        <v>10.534895457809</v>
      </c>
      <c r="I96" s="58" t="n">
        <f aca="false">'E4 WIN Output'!I19</f>
        <v>12.7029122730754</v>
      </c>
      <c r="J96" s="58" t="n">
        <f aca="false">'E4 WIN Output'!J19</f>
        <v>14.0334482325373</v>
      </c>
      <c r="K96" s="58" t="n">
        <f aca="false">'E4 WIN Output'!K19</f>
        <v>15.4776597523015</v>
      </c>
      <c r="L96" s="58" t="n">
        <f aca="false">'E4 WIN Output'!L19</f>
        <v>17.0449027701525</v>
      </c>
      <c r="M96" s="58" t="n">
        <f aca="false">'E4 WIN Output'!M19</f>
        <v>18.7452943893485</v>
      </c>
      <c r="N96" s="58" t="n">
        <f aca="false">'E4 WIN Output'!N19</f>
        <v>20.5897745632378</v>
      </c>
      <c r="O96" s="58" t="n">
        <f aca="false">'E4 WIN Output'!O19</f>
        <v>22.5901727735102</v>
      </c>
      <c r="P96" s="58" t="n">
        <f aca="false">'E4 WIN Output'!P19</f>
        <v>24.7592801063655</v>
      </c>
      <c r="Q96" s="58" t="n">
        <f aca="false">'E4 WIN Output'!Q19</f>
        <v>23.9953724982901</v>
      </c>
      <c r="R96" s="58" t="n">
        <f aca="false">'E4 WIN Output'!R19</f>
        <v>25.343098903123</v>
      </c>
      <c r="S96" s="58" t="n">
        <f aca="false">'E4 WIN Output'!S19</f>
        <v>26.760717208104</v>
      </c>
    </row>
    <row r="97" customFormat="false" ht="15" hidden="false" customHeight="false" outlineLevel="0" collapsed="false">
      <c r="B97" s="24" t="s">
        <v>349</v>
      </c>
      <c r="C97" s="25" t="s">
        <v>170</v>
      </c>
      <c r="E97" s="47" t="n">
        <f aca="false">SUM(F97:S97)</f>
        <v>-5.71324539955</v>
      </c>
      <c r="F97" s="58" t="n">
        <f aca="false">'E4 WIN Output'!F16</f>
        <v>-0</v>
      </c>
      <c r="G97" s="58" t="n">
        <f aca="false">'E4 WIN Output'!G16</f>
        <v>-0.43948041535</v>
      </c>
      <c r="H97" s="58" t="n">
        <f aca="false">'E4 WIN Output'!H16</f>
        <v>-0.43948041535</v>
      </c>
      <c r="I97" s="58" t="n">
        <f aca="false">'E4 WIN Output'!I16</f>
        <v>-0.43948041535</v>
      </c>
      <c r="J97" s="58" t="n">
        <f aca="false">'E4 WIN Output'!J16</f>
        <v>-0.43948041535</v>
      </c>
      <c r="K97" s="58" t="n">
        <f aca="false">'E4 WIN Output'!K16</f>
        <v>-0.43948041535</v>
      </c>
      <c r="L97" s="58" t="n">
        <f aca="false">'E4 WIN Output'!L16</f>
        <v>-0.43948041535</v>
      </c>
      <c r="M97" s="58" t="n">
        <f aca="false">'E4 WIN Output'!M16</f>
        <v>-0.43948041535</v>
      </c>
      <c r="N97" s="58" t="n">
        <f aca="false">'E4 WIN Output'!N16</f>
        <v>-0.43948041535</v>
      </c>
      <c r="O97" s="58" t="n">
        <f aca="false">'E4 WIN Output'!O16</f>
        <v>-0.43948041535</v>
      </c>
      <c r="P97" s="58" t="n">
        <f aca="false">'E4 WIN Output'!P16</f>
        <v>-0.43948041535</v>
      </c>
      <c r="Q97" s="58" t="n">
        <f aca="false">'E4 WIN Output'!Q16</f>
        <v>-0.43948041535</v>
      </c>
      <c r="R97" s="58" t="n">
        <f aca="false">'E4 WIN Output'!R16</f>
        <v>-0.43948041535</v>
      </c>
      <c r="S97" s="58" t="n">
        <f aca="false">'E4 WIN Output'!S16</f>
        <v>-0.43948041535</v>
      </c>
    </row>
    <row r="98" customFormat="false" ht="15" hidden="false" customHeight="false" outlineLevel="0" collapsed="false">
      <c r="B98" s="24" t="s">
        <v>350</v>
      </c>
      <c r="C98" s="25" t="s">
        <v>240</v>
      </c>
      <c r="E98" s="44" t="n">
        <f aca="false">SUM(F98:S98)</f>
        <v>0</v>
      </c>
      <c r="F98" s="72" t="n">
        <f aca="false">'E4 WIN Output'!F34</f>
        <v>0</v>
      </c>
      <c r="G98" s="72" t="n">
        <f aca="false">'E4 WIN Output'!G34</f>
        <v>0</v>
      </c>
      <c r="H98" s="72" t="n">
        <f aca="false">'E4 WIN Output'!H34</f>
        <v>0</v>
      </c>
      <c r="I98" s="72" t="n">
        <f aca="false">'E4 WIN Output'!I34</f>
        <v>0</v>
      </c>
      <c r="J98" s="72" t="n">
        <f aca="false">'E4 WIN Output'!J34</f>
        <v>0</v>
      </c>
      <c r="K98" s="72" t="n">
        <f aca="false">'E4 WIN Output'!K34</f>
        <v>0</v>
      </c>
      <c r="L98" s="72" t="n">
        <f aca="false">'E4 WIN Output'!L34</f>
        <v>0</v>
      </c>
      <c r="M98" s="72" t="n">
        <f aca="false">'E4 WIN Output'!M34</f>
        <v>0</v>
      </c>
      <c r="N98" s="72" t="n">
        <f aca="false">'E4 WIN Output'!N34</f>
        <v>0</v>
      </c>
      <c r="O98" s="72" t="n">
        <f aca="false">'E4 WIN Output'!O34</f>
        <v>0</v>
      </c>
      <c r="P98" s="72" t="n">
        <f aca="false">'E4 WIN Output'!P34</f>
        <v>0</v>
      </c>
      <c r="Q98" s="72" t="n">
        <f aca="false">'E4 WIN Output'!Q34</f>
        <v>0</v>
      </c>
      <c r="R98" s="72" t="n">
        <f aca="false">'E4 WIN Output'!R34</f>
        <v>0</v>
      </c>
      <c r="S98" s="72" t="n">
        <f aca="false">'E4 WIN Output'!S34</f>
        <v>0</v>
      </c>
    </row>
    <row r="99" customFormat="false" ht="15" hidden="false" customHeight="false" outlineLevel="0" collapsed="false">
      <c r="B99" s="24" t="s">
        <v>351</v>
      </c>
      <c r="C99" s="25" t="s">
        <v>170</v>
      </c>
      <c r="E99" s="47" t="n">
        <f aca="false">SUM(F99:S99)</f>
        <v>0</v>
      </c>
      <c r="F99" s="58" t="n">
        <f aca="false">'E4 WIN Output'!F35</f>
        <v>0</v>
      </c>
      <c r="G99" s="58" t="n">
        <f aca="false">'E4 WIN Output'!G35</f>
        <v>0</v>
      </c>
      <c r="H99" s="58" t="n">
        <f aca="false">'E4 WIN Output'!H35</f>
        <v>0</v>
      </c>
      <c r="I99" s="58" t="n">
        <f aca="false">'E4 WIN Output'!I35</f>
        <v>0</v>
      </c>
      <c r="J99" s="58" t="n">
        <f aca="false">'E4 WIN Output'!J35</f>
        <v>0</v>
      </c>
      <c r="K99" s="58" t="n">
        <f aca="false">'E4 WIN Output'!K35</f>
        <v>0</v>
      </c>
      <c r="L99" s="58" t="n">
        <f aca="false">'E4 WIN Output'!L35</f>
        <v>0</v>
      </c>
      <c r="M99" s="58" t="n">
        <f aca="false">'E4 WIN Output'!M35</f>
        <v>0</v>
      </c>
      <c r="N99" s="58" t="n">
        <f aca="false">'E4 WIN Output'!N35</f>
        <v>0</v>
      </c>
      <c r="O99" s="58" t="n">
        <f aca="false">'E4 WIN Output'!O35</f>
        <v>0</v>
      </c>
      <c r="P99" s="58" t="n">
        <f aca="false">'E4 WIN Output'!P35</f>
        <v>0</v>
      </c>
      <c r="Q99" s="58" t="n">
        <f aca="false">'E4 WIN Output'!Q35</f>
        <v>0</v>
      </c>
      <c r="R99" s="58" t="n">
        <f aca="false">'E4 WIN Output'!R35</f>
        <v>0</v>
      </c>
      <c r="S99" s="58" t="n">
        <f aca="false">'E4 WIN Output'!S35</f>
        <v>0</v>
      </c>
    </row>
    <row r="100" customFormat="false" ht="15" hidden="false" customHeight="false" outlineLevel="0" collapsed="false">
      <c r="B100" s="24" t="s">
        <v>352</v>
      </c>
      <c r="C100" s="25" t="s">
        <v>170</v>
      </c>
      <c r="E100" s="47" t="n">
        <f aca="false">SUM(F100:S100)</f>
        <v>-2.81567561908217</v>
      </c>
      <c r="F100" s="58" t="n">
        <f aca="false">'E4 WIN Output'!F27</f>
        <v>-0</v>
      </c>
      <c r="G100" s="58" t="n">
        <f aca="false">'E4 WIN Output'!G27</f>
        <v>-0.536786052322896</v>
      </c>
      <c r="H100" s="58" t="n">
        <f aca="false">'E4 WIN Output'!H27</f>
        <v>0.958011566514756</v>
      </c>
      <c r="I100" s="58" t="n">
        <f aca="false">'E4 WIN Output'!I27</f>
        <v>-0.0919068209908458</v>
      </c>
      <c r="J100" s="58" t="n">
        <f aca="false">'E4 WIN Output'!J27</f>
        <v>-0.342179353219455</v>
      </c>
      <c r="K100" s="58" t="n">
        <f aca="false">'E4 WIN Output'!K27</f>
        <v>-0.356755385442868</v>
      </c>
      <c r="L100" s="58" t="n">
        <f aca="false">'E4 WIN Output'!L27</f>
        <v>-0.413125276365123</v>
      </c>
      <c r="M100" s="58" t="n">
        <f aca="false">'E4 WIN Output'!M27</f>
        <v>-0.432345531889593</v>
      </c>
      <c r="N100" s="58" t="n">
        <f aca="false">'E4 WIN Output'!N27</f>
        <v>-0.467357956669559</v>
      </c>
      <c r="O100" s="58" t="n">
        <f aca="false">'E4 WIN Output'!O27</f>
        <v>-0.4870660903619</v>
      </c>
      <c r="P100" s="58" t="n">
        <f aca="false">'E4 WIN Output'!P27</f>
        <v>-0.564168889745258</v>
      </c>
      <c r="Q100" s="58" t="n">
        <f aca="false">'E4 WIN Output'!Q27</f>
        <v>0.575030580480164</v>
      </c>
      <c r="R100" s="58" t="n">
        <f aca="false">'E4 WIN Output'!R27</f>
        <v>-0.330218833892006</v>
      </c>
      <c r="S100" s="58" t="n">
        <f aca="false">'E4 WIN Output'!S27</f>
        <v>-0.326807575177587</v>
      </c>
    </row>
    <row r="101" customFormat="false" ht="15" hidden="false" customHeight="false" outlineLevel="0" collapsed="false">
      <c r="B101" s="69" t="s">
        <v>353</v>
      </c>
      <c r="C101" s="25" t="s">
        <v>170</v>
      </c>
      <c r="E101" s="70" t="n">
        <f aca="false">SUM(F101:S101)</f>
        <v>246.438779571045</v>
      </c>
      <c r="F101" s="71" t="n">
        <f aca="false">'E4 WIN Output'!F28</f>
        <v>0</v>
      </c>
      <c r="G101" s="71" t="n">
        <f aca="false">'E4 WIN Output'!G28</f>
        <v>10.8663752257492</v>
      </c>
      <c r="H101" s="71" t="n">
        <f aca="false">'E4 WIN Output'!H28</f>
        <v>11.9323874396738</v>
      </c>
      <c r="I101" s="71" t="n">
        <f aca="false">'E4 WIN Output'!I28</f>
        <v>13.0504858674346</v>
      </c>
      <c r="J101" s="71" t="n">
        <f aca="false">'E4 WIN Output'!J28</f>
        <v>14.1307492946678</v>
      </c>
      <c r="K101" s="71" t="n">
        <f aca="false">'E4 WIN Output'!K28</f>
        <v>15.5603847822086</v>
      </c>
      <c r="L101" s="71" t="n">
        <f aca="false">'E4 WIN Output'!L28</f>
        <v>17.0712579091374</v>
      </c>
      <c r="M101" s="71" t="n">
        <f aca="false">'E4 WIN Output'!M28</f>
        <v>18.7524292728089</v>
      </c>
      <c r="N101" s="71" t="n">
        <f aca="false">'E4 WIN Output'!N28</f>
        <v>20.5618970219182</v>
      </c>
      <c r="O101" s="71" t="n">
        <f aca="false">'E4 WIN Output'!O28</f>
        <v>22.5425870984983</v>
      </c>
      <c r="P101" s="71" t="n">
        <f aca="false">'E4 WIN Output'!P28</f>
        <v>24.6345916319703</v>
      </c>
      <c r="Q101" s="71" t="n">
        <f aca="false">'E4 WIN Output'!Q28</f>
        <v>25.0098834941203</v>
      </c>
      <c r="R101" s="71" t="n">
        <f aca="false">'E4 WIN Output'!R28</f>
        <v>25.452360484581</v>
      </c>
      <c r="S101" s="71" t="n">
        <f aca="false">'E4 WIN Output'!S28</f>
        <v>26.8733900482765</v>
      </c>
    </row>
    <row r="102" customFormat="false" ht="15" hidden="false" customHeight="false" outlineLevel="0" collapsed="false">
      <c r="B102" s="24" t="s">
        <v>354</v>
      </c>
      <c r="C102" s="25" t="s">
        <v>170</v>
      </c>
      <c r="F102" s="58" t="n">
        <f aca="false">'E4 WIN Output'!F29</f>
        <v>0</v>
      </c>
      <c r="G102" s="58" t="n">
        <f aca="false">'E4 WIN Output'!G29</f>
        <v>10.8663752257492</v>
      </c>
      <c r="H102" s="58" t="n">
        <f aca="false">'E4 WIN Output'!H29</f>
        <v>22.798762665423</v>
      </c>
      <c r="I102" s="58" t="n">
        <f aca="false">'E4 WIN Output'!I29</f>
        <v>35.8492485328576</v>
      </c>
      <c r="J102" s="58" t="n">
        <f aca="false">'E4 WIN Output'!J29</f>
        <v>49.9799978275254</v>
      </c>
      <c r="K102" s="58" t="n">
        <f aca="false">'E4 WIN Output'!K29</f>
        <v>65.540382609734</v>
      </c>
      <c r="L102" s="58" t="n">
        <f aca="false">'E4 WIN Output'!L29</f>
        <v>82.6116405188714</v>
      </c>
      <c r="M102" s="58" t="n">
        <f aca="false">'E4 WIN Output'!M29</f>
        <v>101.36406979168</v>
      </c>
      <c r="N102" s="58" t="n">
        <f aca="false">'E4 WIN Output'!N29</f>
        <v>121.925966813598</v>
      </c>
      <c r="O102" s="58" t="n">
        <f aca="false">'E4 WIN Output'!O29</f>
        <v>144.468553912097</v>
      </c>
      <c r="P102" s="58" t="n">
        <f aca="false">'E4 WIN Output'!P29</f>
        <v>169.103145544067</v>
      </c>
      <c r="Q102" s="58" t="n">
        <f aca="false">'E4 WIN Output'!Q29</f>
        <v>194.113029038187</v>
      </c>
      <c r="R102" s="58" t="n">
        <f aca="false">'E4 WIN Output'!R29</f>
        <v>219.565389522768</v>
      </c>
      <c r="S102" s="58" t="n">
        <f aca="false">'E4 WIN Output'!S29</f>
        <v>246.438779571045</v>
      </c>
    </row>
    <row r="103" customFormat="false" ht="15" hidden="false" customHeight="false" outlineLevel="0" collapsed="false">
      <c r="B103" s="24" t="s">
        <v>355</v>
      </c>
      <c r="C103" s="25" t="s">
        <v>170</v>
      </c>
      <c r="F103" s="58" t="n">
        <f aca="false">'E4 WIN Output'!F39</f>
        <v>4.4436731300487</v>
      </c>
      <c r="G103" s="58" t="n">
        <f aca="false">'E4 WIN Output'!G39</f>
        <v>4.9804591823716</v>
      </c>
      <c r="H103" s="58" t="n">
        <f aca="false">'E4 WIN Output'!H39</f>
        <v>4.02244761585684</v>
      </c>
      <c r="I103" s="58" t="n">
        <f aca="false">'E4 WIN Output'!I39</f>
        <v>4.11435443684769</v>
      </c>
      <c r="J103" s="58" t="n">
        <f aca="false">'E4 WIN Output'!J39</f>
        <v>4.45653379006714</v>
      </c>
      <c r="K103" s="58" t="n">
        <f aca="false">'E4 WIN Output'!K39</f>
        <v>4.81328917551001</v>
      </c>
      <c r="L103" s="58" t="n">
        <f aca="false">'E4 WIN Output'!L39</f>
        <v>5.22641445187513</v>
      </c>
      <c r="M103" s="58" t="n">
        <f aca="false">'E4 WIN Output'!M39</f>
        <v>5.65875998376473</v>
      </c>
      <c r="N103" s="58" t="n">
        <f aca="false">'E4 WIN Output'!N39</f>
        <v>6.12611794043428</v>
      </c>
      <c r="O103" s="58" t="n">
        <f aca="false">'E4 WIN Output'!O39</f>
        <v>6.61318403079618</v>
      </c>
      <c r="P103" s="58" t="n">
        <f aca="false">'E4 WIN Output'!P39</f>
        <v>7.17735292054144</v>
      </c>
      <c r="Q103" s="58" t="n">
        <f aca="false">'E4 WIN Output'!Q39</f>
        <v>6.60232234006128</v>
      </c>
      <c r="R103" s="58" t="n">
        <f aca="false">'E4 WIN Output'!R39</f>
        <v>6.93254117395328</v>
      </c>
      <c r="S103" s="58" t="n">
        <f aca="false">'E4 WIN Output'!S39</f>
        <v>7.25934874913087</v>
      </c>
    </row>
    <row r="104" customFormat="false" ht="15" hidden="false" customHeight="false" outlineLevel="0" collapsed="false">
      <c r="B104" s="24" t="s">
        <v>356</v>
      </c>
      <c r="C104" s="25" t="s">
        <v>170</v>
      </c>
      <c r="E104" s="47" t="n">
        <f aca="false">SUM(F104:S104)</f>
        <v>0</v>
      </c>
      <c r="F104" s="58" t="n">
        <f aca="false">'E4 WIN Output'!F31</f>
        <v>-0</v>
      </c>
      <c r="G104" s="58" t="n">
        <f aca="false">'E4 WIN Output'!G31</f>
        <v>0</v>
      </c>
      <c r="H104" s="58" t="n">
        <f aca="false">'E4 WIN Output'!H31</f>
        <v>0</v>
      </c>
      <c r="I104" s="58" t="n">
        <f aca="false">'E4 WIN Output'!I31</f>
        <v>0</v>
      </c>
      <c r="J104" s="58" t="n">
        <f aca="false">'E4 WIN Output'!J31</f>
        <v>0</v>
      </c>
      <c r="K104" s="58" t="n">
        <f aca="false">'E4 WIN Output'!K31</f>
        <v>0</v>
      </c>
      <c r="L104" s="58" t="n">
        <f aca="false">'E4 WIN Output'!L31</f>
        <v>0</v>
      </c>
      <c r="M104" s="58" t="n">
        <f aca="false">'E4 WIN Output'!M31</f>
        <v>0</v>
      </c>
      <c r="N104" s="58" t="n">
        <f aca="false">'E4 WIN Output'!N31</f>
        <v>0</v>
      </c>
      <c r="O104" s="58" t="n">
        <f aca="false">'E4 WIN Output'!O31</f>
        <v>0</v>
      </c>
      <c r="P104" s="58" t="n">
        <f aca="false">'E4 WIN Output'!P31</f>
        <v>0</v>
      </c>
      <c r="Q104" s="58" t="n">
        <f aca="false">'E4 WIN Output'!Q31</f>
        <v>0</v>
      </c>
      <c r="R104" s="58" t="n">
        <f aca="false">'E4 WIN Output'!R31</f>
        <v>0</v>
      </c>
      <c r="S104" s="58" t="n">
        <f aca="false">'E4 WIN Output'!S31</f>
        <v>0</v>
      </c>
    </row>
    <row r="105" customFormat="false" ht="15" hidden="false" customHeight="false" outlineLevel="0" collapsed="false">
      <c r="B105" s="24" t="s">
        <v>357</v>
      </c>
      <c r="C105" s="25" t="s">
        <v>170</v>
      </c>
      <c r="E105" s="47" t="n">
        <f aca="false">SUM(F105:S105)</f>
        <v>213.663418002089</v>
      </c>
      <c r="F105" s="58" t="n">
        <f aca="false">'E4 WIN Output'!F47</f>
        <v>0</v>
      </c>
      <c r="G105" s="58" t="n">
        <f aca="false">'E4 WIN Output'!G47</f>
        <v>0</v>
      </c>
      <c r="H105" s="58" t="n">
        <f aca="false">'E4 WIN Output'!H47</f>
        <v>0</v>
      </c>
      <c r="I105" s="58" t="n">
        <f aca="false">'E4 WIN Output'!I47</f>
        <v>0</v>
      </c>
      <c r="J105" s="58" t="n">
        <f aca="false">'E4 WIN Output'!J47</f>
        <v>12.6317957376447</v>
      </c>
      <c r="K105" s="58" t="n">
        <f aca="false">'E4 WIN Output'!K47</f>
        <v>12.4342655539824</v>
      </c>
      <c r="L105" s="58" t="n">
        <f aca="false">'E4 WIN Output'!L47</f>
        <v>12.1945346675733</v>
      </c>
      <c r="M105" s="58" t="n">
        <f aca="false">'E4 WIN Output'!M47</f>
        <v>11.9744933795222</v>
      </c>
      <c r="N105" s="58" t="n">
        <f aca="false">'E4 WIN Output'!N47</f>
        <v>11.7371510811363</v>
      </c>
      <c r="O105" s="58" t="n">
        <f aca="false">'E4 WIN Output'!O47</f>
        <v>11.5027895567416</v>
      </c>
      <c r="P105" s="58" t="n">
        <f aca="false">'E4 WIN Output'!P47</f>
        <v>11.2368527156758</v>
      </c>
      <c r="Q105" s="58" t="n">
        <f aca="false">'E4 WIN Output'!Q47</f>
        <v>10.1979033761758</v>
      </c>
      <c r="R105" s="58" t="n">
        <f aca="false">'E4 WIN Output'!R47</f>
        <v>9.27741945856973</v>
      </c>
      <c r="S105" s="58" t="n">
        <f aca="false">'E4 WIN Output'!S47</f>
        <v>110.476212475067</v>
      </c>
    </row>
    <row r="106" customFormat="false" ht="15" hidden="false" customHeight="false" outlineLevel="0" collapsed="false">
      <c r="B106" s="3" t="s">
        <v>358</v>
      </c>
      <c r="C106" s="73" t="s">
        <v>359</v>
      </c>
      <c r="D106" s="74" t="n">
        <f aca="false">'E4 WIN Output'!$E$48</f>
        <v>213.663418002089</v>
      </c>
      <c r="E106" s="73" t="s">
        <v>360</v>
      </c>
      <c r="F106" s="75" t="str">
        <f aca="false">IF(ISNUMBER('E4 WIN Output'!$E$50),'E4 WIN Output'!$E$50,"n/a")</f>
        <v>n/a</v>
      </c>
      <c r="G106" s="73" t="s">
        <v>361</v>
      </c>
      <c r="H106" s="75" t="str">
        <f aca="false">IF(ISNUMBER('E4 WIN Output'!$E$51),'E4 WIN Output'!$E$51,"n/a")</f>
        <v>n/a</v>
      </c>
      <c r="I106" s="73" t="s">
        <v>362</v>
      </c>
      <c r="J106" s="76" t="str">
        <f aca="false">IF(ISNUMBER('E4 WIN Output'!$E$53),'E4 WIN Output'!$E$53,"n/a")</f>
        <v>n/a</v>
      </c>
      <c r="K106" s="73" t="s">
        <v>363</v>
      </c>
      <c r="L106" s="74" t="n">
        <f aca="false">'E4 WIN Output'!$E$55</f>
        <v>0</v>
      </c>
      <c r="M106" s="73" t="s">
        <v>364</v>
      </c>
      <c r="N106" s="74" t="n">
        <f aca="false">'E4 WIN Output'!$E$56</f>
        <v>0</v>
      </c>
    </row>
    <row r="108" customFormat="false" ht="15" hidden="false" customHeight="false" outlineLevel="0" collapsed="false">
      <c r="B108" s="22" t="s">
        <v>368</v>
      </c>
      <c r="C108" s="23"/>
      <c r="D108" s="23"/>
      <c r="E108" s="23"/>
      <c r="F108" s="23"/>
      <c r="G108" s="23"/>
      <c r="H108" s="23"/>
      <c r="I108" s="23"/>
      <c r="J108" s="23"/>
      <c r="K108" s="23"/>
      <c r="L108" s="23"/>
      <c r="M108" s="23"/>
      <c r="N108" s="23"/>
      <c r="O108" s="23"/>
      <c r="P108" s="23"/>
      <c r="Q108" s="23"/>
      <c r="R108" s="23"/>
      <c r="S108" s="23"/>
    </row>
    <row r="109" customFormat="false" ht="15" hidden="false" customHeight="false" outlineLevel="0" collapsed="false">
      <c r="B109" s="5" t="s">
        <v>44</v>
      </c>
      <c r="C109" s="17" t="s">
        <v>27</v>
      </c>
      <c r="D109" s="17" t="s">
        <v>28</v>
      </c>
      <c r="E109" s="17" t="s">
        <v>29</v>
      </c>
      <c r="G109" s="5" t="str">
        <f aca="false">"In valuation: "&amp;'Global Inputs'!$E$93&amp;"  |  case: "&amp;'Global Inputs'!$F$93&amp;"  |  FSL interest: "&amp;TEXT('Global Inputs'!$G$93,"0%")</f>
        <v>In valuation: 1  |  case: 1  |  FSL interest: 100%</v>
      </c>
    </row>
    <row r="110" customFormat="false" ht="15" hidden="false" customHeight="false" outlineLevel="0" collapsed="false">
      <c r="B110" s="24" t="s">
        <v>345</v>
      </c>
      <c r="C110" s="25" t="s">
        <v>170</v>
      </c>
      <c r="E110" s="47" t="n">
        <f aca="false">SUM(F110:S110)</f>
        <v>1894.10258832714</v>
      </c>
      <c r="F110" s="58" t="n">
        <f aca="false">'P01 CigWharf2 Output'!F11</f>
        <v>0</v>
      </c>
      <c r="G110" s="58" t="n">
        <f aca="false">'P01 CigWharf2 Output'!G11</f>
        <v>0</v>
      </c>
      <c r="H110" s="58" t="n">
        <f aca="false">'P01 CigWharf2 Output'!H11</f>
        <v>100.312209096192</v>
      </c>
      <c r="I110" s="58" t="n">
        <f aca="false">'P01 CigWharf2 Output'!I11</f>
        <v>103.321575369078</v>
      </c>
      <c r="J110" s="58" t="n">
        <f aca="false">'P01 CigWharf2 Output'!J11</f>
        <v>127.70546715618</v>
      </c>
      <c r="K110" s="58" t="n">
        <f aca="false">'P01 CigWharf2 Output'!K11</f>
        <v>131.536631170866</v>
      </c>
      <c r="L110" s="58" t="n">
        <f aca="false">'P01 CigWharf2 Output'!L11</f>
        <v>149.031003116591</v>
      </c>
      <c r="M110" s="58" t="n">
        <f aca="false">'P01 CigWharf2 Output'!M11</f>
        <v>153.501933210088</v>
      </c>
      <c r="N110" s="58" t="n">
        <f aca="false">'P01 CigWharf2 Output'!N11</f>
        <v>167.593410678774</v>
      </c>
      <c r="O110" s="58" t="n">
        <f aca="false">'P01 CigWharf2 Output'!O11</f>
        <v>172.621212999138</v>
      </c>
      <c r="P110" s="58" t="n">
        <f aca="false">'P01 CigWharf2 Output'!P11</f>
        <v>188.467840352459</v>
      </c>
      <c r="Q110" s="58" t="n">
        <f aca="false">'P01 CigWharf2 Output'!Q11</f>
        <v>194.121875563032</v>
      </c>
      <c r="R110" s="58" t="n">
        <f aca="false">'P01 CigWharf2 Output'!R11</f>
        <v>199.945531829923</v>
      </c>
      <c r="S110" s="58" t="n">
        <f aca="false">'P01 CigWharf2 Output'!S11</f>
        <v>205.943897784821</v>
      </c>
    </row>
    <row r="111" customFormat="false" ht="15" hidden="false" customHeight="false" outlineLevel="0" collapsed="false">
      <c r="B111" s="24" t="s">
        <v>346</v>
      </c>
      <c r="C111" s="25" t="s">
        <v>170</v>
      </c>
      <c r="E111" s="47" t="n">
        <f aca="false">SUM(F111:S111)</f>
        <v>1359.08152918839</v>
      </c>
      <c r="F111" s="58" t="n">
        <f aca="false">'P01 CigWharf2 Output'!F15</f>
        <v>0</v>
      </c>
      <c r="G111" s="58" t="n">
        <f aca="false">'P01 CigWharf2 Output'!G15</f>
        <v>0</v>
      </c>
      <c r="H111" s="58" t="n">
        <f aca="false">'P01 CigWharf2 Output'!H15</f>
        <v>70.7348245605729</v>
      </c>
      <c r="I111" s="58" t="n">
        <f aca="false">'P01 CigWharf2 Output'!I15</f>
        <v>72.6262520314539</v>
      </c>
      <c r="J111" s="58" t="n">
        <f aca="false">'P01 CigWharf2 Output'!J15</f>
        <v>91.5858715218699</v>
      </c>
      <c r="K111" s="58" t="n">
        <f aca="false">'P01 CigWharf2 Output'!K15</f>
        <v>94.069966413451</v>
      </c>
      <c r="L111" s="58" t="n">
        <f aca="false">'P01 CigWharf2 Output'!L15</f>
        <v>107.449254717966</v>
      </c>
      <c r="M111" s="58" t="n">
        <f aca="false">'P01 CigWharf2 Output'!M15</f>
        <v>110.372262397248</v>
      </c>
      <c r="N111" s="58" t="n">
        <f aca="false">'P01 CigWharf2 Output'!N15</f>
        <v>120.951895430193</v>
      </c>
      <c r="O111" s="58" t="n">
        <f aca="false">'P01 CigWharf2 Output'!O15</f>
        <v>124.238351213913</v>
      </c>
      <c r="P111" s="58" t="n">
        <f aca="false">'P01 CigWharf2 Output'!P15</f>
        <v>136.135057652179</v>
      </c>
      <c r="Q111" s="58" t="n">
        <f aca="false">'P01 CigWharf2 Output'!Q15</f>
        <v>139.830152113684</v>
      </c>
      <c r="R111" s="58" t="n">
        <f aca="false">'P01 CigWharf2 Output'!R15</f>
        <v>143.610510077489</v>
      </c>
      <c r="S111" s="58" t="n">
        <f aca="false">'P01 CigWharf2 Output'!S15</f>
        <v>147.477131058372</v>
      </c>
    </row>
    <row r="112" customFormat="false" ht="15" hidden="false" customHeight="false" outlineLevel="0" collapsed="false">
      <c r="B112" s="69" t="s">
        <v>347</v>
      </c>
      <c r="C112" s="25" t="s">
        <v>170</v>
      </c>
      <c r="E112" s="70" t="n">
        <f aca="false">SUM(F112:S112)</f>
        <v>1194.75867125174</v>
      </c>
      <c r="F112" s="71" t="n">
        <f aca="false">'P01 CigWharf2 Output'!F17</f>
        <v>0</v>
      </c>
      <c r="G112" s="71" t="n">
        <f aca="false">'P01 CigWharf2 Output'!G17</f>
        <v>0</v>
      </c>
      <c r="H112" s="71" t="n">
        <f aca="false">'P01 CigWharf2 Output'!H17</f>
        <v>52.9362886974509</v>
      </c>
      <c r="I112" s="71" t="n">
        <f aca="false">'P01 CigWharf2 Output'!I17</f>
        <v>54.8277161683319</v>
      </c>
      <c r="J112" s="71" t="n">
        <f aca="false">'P01 CigWharf2 Output'!J17</f>
        <v>73.7873356587479</v>
      </c>
      <c r="K112" s="71" t="n">
        <f aca="false">'P01 CigWharf2 Output'!K17</f>
        <v>76.271430550329</v>
      </c>
      <c r="L112" s="71" t="n">
        <f aca="false">'P01 CigWharf2 Output'!L17</f>
        <v>89.6507188548437</v>
      </c>
      <c r="M112" s="71" t="n">
        <f aca="false">'P01 CigWharf2 Output'!M17</f>
        <v>92.5737265341256</v>
      </c>
      <c r="N112" s="71" t="n">
        <f aca="false">'P01 CigWharf2 Output'!N17</f>
        <v>103.153359567071</v>
      </c>
      <c r="O112" s="71" t="n">
        <f aca="false">'P01 CigWharf2 Output'!O17</f>
        <v>106.439815350791</v>
      </c>
      <c r="P112" s="71" t="n">
        <f aca="false">'P01 CigWharf2 Output'!P17</f>
        <v>130.65141489426</v>
      </c>
      <c r="Q112" s="71" t="n">
        <f aca="false">'P01 CigWharf2 Output'!Q17</f>
        <v>134.346509355765</v>
      </c>
      <c r="R112" s="71" t="n">
        <f aca="false">'P01 CigWharf2 Output'!R17</f>
        <v>138.12686731957</v>
      </c>
      <c r="S112" s="71" t="n">
        <f aca="false">'P01 CigWharf2 Output'!S17</f>
        <v>141.993488300454</v>
      </c>
    </row>
    <row r="113" customFormat="false" ht="15" hidden="false" customHeight="false" outlineLevel="0" collapsed="false">
      <c r="B113" s="24" t="s">
        <v>348</v>
      </c>
      <c r="C113" s="25" t="s">
        <v>170</v>
      </c>
      <c r="E113" s="47" t="n">
        <f aca="false">SUM(F113:S113)</f>
        <v>931.911763576358</v>
      </c>
      <c r="F113" s="58" t="n">
        <f aca="false">'P01 CigWharf2 Output'!F19</f>
        <v>0</v>
      </c>
      <c r="G113" s="58" t="n">
        <f aca="false">'P01 CigWharf2 Output'!G19</f>
        <v>0</v>
      </c>
      <c r="H113" s="58" t="n">
        <f aca="false">'P01 CigWharf2 Output'!H19</f>
        <v>41.2903051840117</v>
      </c>
      <c r="I113" s="58" t="n">
        <f aca="false">'P01 CigWharf2 Output'!I19</f>
        <v>42.7656186112989</v>
      </c>
      <c r="J113" s="58" t="n">
        <f aca="false">'P01 CigWharf2 Output'!J19</f>
        <v>57.5541218138233</v>
      </c>
      <c r="K113" s="58" t="n">
        <f aca="false">'P01 CigWharf2 Output'!K19</f>
        <v>59.4917158292566</v>
      </c>
      <c r="L113" s="58" t="n">
        <f aca="false">'P01 CigWharf2 Output'!L19</f>
        <v>69.927560706778</v>
      </c>
      <c r="M113" s="58" t="n">
        <f aca="false">'P01 CigWharf2 Output'!M19</f>
        <v>72.207506696618</v>
      </c>
      <c r="N113" s="58" t="n">
        <f aca="false">'P01 CigWharf2 Output'!N19</f>
        <v>80.4596204623157</v>
      </c>
      <c r="O113" s="58" t="n">
        <f aca="false">'P01 CigWharf2 Output'!O19</f>
        <v>83.0230559736169</v>
      </c>
      <c r="P113" s="58" t="n">
        <f aca="false">'P01 CigWharf2 Output'!P19</f>
        <v>101.908103617523</v>
      </c>
      <c r="Q113" s="58" t="n">
        <f aca="false">'P01 CigWharf2 Output'!Q19</f>
        <v>104.790277297497</v>
      </c>
      <c r="R113" s="58" t="n">
        <f aca="false">'P01 CigWharf2 Output'!R19</f>
        <v>107.738956509265</v>
      </c>
      <c r="S113" s="58" t="n">
        <f aca="false">'P01 CigWharf2 Output'!S19</f>
        <v>110.754920874354</v>
      </c>
    </row>
    <row r="114" customFormat="false" ht="15" hidden="false" customHeight="false" outlineLevel="0" collapsed="false">
      <c r="B114" s="24" t="s">
        <v>349</v>
      </c>
      <c r="C114" s="25" t="s">
        <v>170</v>
      </c>
      <c r="E114" s="47" t="n">
        <f aca="false">SUM(F114:S114)</f>
        <v>-164.322857936651</v>
      </c>
      <c r="F114" s="58" t="n">
        <f aca="false">'P01 CigWharf2 Output'!F16</f>
        <v>-0</v>
      </c>
      <c r="G114" s="58" t="n">
        <f aca="false">'P01 CigWharf2 Output'!G16</f>
        <v>-0</v>
      </c>
      <c r="H114" s="58" t="n">
        <f aca="false">'P01 CigWharf2 Output'!H16</f>
        <v>-17.798535863122</v>
      </c>
      <c r="I114" s="58" t="n">
        <f aca="false">'P01 CigWharf2 Output'!I16</f>
        <v>-17.798535863122</v>
      </c>
      <c r="J114" s="58" t="n">
        <f aca="false">'P01 CigWharf2 Output'!J16</f>
        <v>-17.798535863122</v>
      </c>
      <c r="K114" s="58" t="n">
        <f aca="false">'P01 CigWharf2 Output'!K16</f>
        <v>-17.798535863122</v>
      </c>
      <c r="L114" s="58" t="n">
        <f aca="false">'P01 CigWharf2 Output'!L16</f>
        <v>-17.798535863122</v>
      </c>
      <c r="M114" s="58" t="n">
        <f aca="false">'P01 CigWharf2 Output'!M16</f>
        <v>-17.798535863122</v>
      </c>
      <c r="N114" s="58" t="n">
        <f aca="false">'P01 CigWharf2 Output'!N16</f>
        <v>-17.798535863122</v>
      </c>
      <c r="O114" s="58" t="n">
        <f aca="false">'P01 CigWharf2 Output'!O16</f>
        <v>-17.798535863122</v>
      </c>
      <c r="P114" s="58" t="n">
        <f aca="false">'P01 CigWharf2 Output'!P16</f>
        <v>-5.48364275791868</v>
      </c>
      <c r="Q114" s="58" t="n">
        <f aca="false">'P01 CigWharf2 Output'!Q16</f>
        <v>-5.48364275791868</v>
      </c>
      <c r="R114" s="58" t="n">
        <f aca="false">'P01 CigWharf2 Output'!R16</f>
        <v>-5.48364275791868</v>
      </c>
      <c r="S114" s="58" t="n">
        <f aca="false">'P01 CigWharf2 Output'!S16</f>
        <v>-5.48364275791868</v>
      </c>
    </row>
    <row r="115" customFormat="false" ht="15" hidden="false" customHeight="false" outlineLevel="0" collapsed="false">
      <c r="B115" s="24" t="s">
        <v>350</v>
      </c>
      <c r="C115" s="25" t="s">
        <v>240</v>
      </c>
      <c r="E115" s="44" t="n">
        <f aca="false">SUM(F115:S115)</f>
        <v>12.8</v>
      </c>
      <c r="F115" s="72" t="n">
        <f aca="false">'P01 CigWharf2 Output'!F34</f>
        <v>10</v>
      </c>
      <c r="G115" s="72" t="n">
        <f aca="false">'P01 CigWharf2 Output'!G34</f>
        <v>2.3</v>
      </c>
      <c r="H115" s="72" t="n">
        <f aca="false">'P01 CigWharf2 Output'!H34</f>
        <v>0.5</v>
      </c>
      <c r="I115" s="72" t="n">
        <f aca="false">'P01 CigWharf2 Output'!I34</f>
        <v>0</v>
      </c>
      <c r="J115" s="72" t="n">
        <f aca="false">'P01 CigWharf2 Output'!J34</f>
        <v>0</v>
      </c>
      <c r="K115" s="72" t="n">
        <f aca="false">'P01 CigWharf2 Output'!K34</f>
        <v>0</v>
      </c>
      <c r="L115" s="72" t="n">
        <f aca="false">'P01 CigWharf2 Output'!L34</f>
        <v>0</v>
      </c>
      <c r="M115" s="72" t="n">
        <f aca="false">'P01 CigWharf2 Output'!M34</f>
        <v>0</v>
      </c>
      <c r="N115" s="72" t="n">
        <f aca="false">'P01 CigWharf2 Output'!N34</f>
        <v>0</v>
      </c>
      <c r="O115" s="72" t="n">
        <f aca="false">'P01 CigWharf2 Output'!O34</f>
        <v>0</v>
      </c>
      <c r="P115" s="72" t="n">
        <f aca="false">'P01 CigWharf2 Output'!P34</f>
        <v>0</v>
      </c>
      <c r="Q115" s="72" t="n">
        <f aca="false">'P01 CigWharf2 Output'!Q34</f>
        <v>0</v>
      </c>
      <c r="R115" s="72" t="n">
        <f aca="false">'P01 CigWharf2 Output'!R34</f>
        <v>0</v>
      </c>
      <c r="S115" s="72" t="n">
        <f aca="false">'P01 CigWharf2 Output'!S34</f>
        <v>0</v>
      </c>
    </row>
    <row r="116" customFormat="false" ht="15" hidden="false" customHeight="false" outlineLevel="0" collapsed="false">
      <c r="B116" s="24" t="s">
        <v>351</v>
      </c>
      <c r="C116" s="25" t="s">
        <v>170</v>
      </c>
      <c r="E116" s="47" t="n">
        <f aca="false">SUM(F116:S116)</f>
        <v>208.192</v>
      </c>
      <c r="F116" s="58" t="n">
        <f aca="false">'P01 CigWharf2 Output'!F35</f>
        <v>162.65</v>
      </c>
      <c r="G116" s="58" t="n">
        <f aca="false">'P01 CigWharf2 Output'!G35</f>
        <v>37.4095</v>
      </c>
      <c r="H116" s="58" t="n">
        <f aca="false">'P01 CigWharf2 Output'!H35</f>
        <v>8.1325</v>
      </c>
      <c r="I116" s="58" t="n">
        <f aca="false">'P01 CigWharf2 Output'!I35</f>
        <v>0</v>
      </c>
      <c r="J116" s="58" t="n">
        <f aca="false">'P01 CigWharf2 Output'!J35</f>
        <v>0</v>
      </c>
      <c r="K116" s="58" t="n">
        <f aca="false">'P01 CigWharf2 Output'!K35</f>
        <v>0</v>
      </c>
      <c r="L116" s="58" t="n">
        <f aca="false">'P01 CigWharf2 Output'!L35</f>
        <v>0</v>
      </c>
      <c r="M116" s="58" t="n">
        <f aca="false">'P01 CigWharf2 Output'!M35</f>
        <v>0</v>
      </c>
      <c r="N116" s="58" t="n">
        <f aca="false">'P01 CigWharf2 Output'!N35</f>
        <v>0</v>
      </c>
      <c r="O116" s="58" t="n">
        <f aca="false">'P01 CigWharf2 Output'!O35</f>
        <v>0</v>
      </c>
      <c r="P116" s="58" t="n">
        <f aca="false">'P01 CigWharf2 Output'!P35</f>
        <v>0</v>
      </c>
      <c r="Q116" s="58" t="n">
        <f aca="false">'P01 CigWharf2 Output'!Q35</f>
        <v>0</v>
      </c>
      <c r="R116" s="58" t="n">
        <f aca="false">'P01 CigWharf2 Output'!R35</f>
        <v>0</v>
      </c>
      <c r="S116" s="58" t="n">
        <f aca="false">'P01 CigWharf2 Output'!S35</f>
        <v>0</v>
      </c>
    </row>
    <row r="117" customFormat="false" ht="15" hidden="false" customHeight="false" outlineLevel="0" collapsed="false">
      <c r="B117" s="24" t="s">
        <v>352</v>
      </c>
      <c r="C117" s="25" t="s">
        <v>170</v>
      </c>
      <c r="E117" s="47" t="n">
        <f aca="false">SUM(F117:S117)</f>
        <v>-23.9047425826022</v>
      </c>
      <c r="F117" s="58" t="n">
        <f aca="false">'P01 CigWharf2 Output'!F27</f>
        <v>-0</v>
      </c>
      <c r="G117" s="58" t="n">
        <f aca="false">'P01 CigWharf2 Output'!G27</f>
        <v>-0</v>
      </c>
      <c r="H117" s="58" t="n">
        <f aca="false">'P01 CigWharf2 Output'!H27</f>
        <v>-11.585208569417</v>
      </c>
      <c r="I117" s="58" t="n">
        <f aca="false">'P01 CigWharf2 Output'!I27</f>
        <v>-0.328601413306934</v>
      </c>
      <c r="J117" s="58" t="n">
        <f aca="false">'P01 CigWharf2 Output'!J27</f>
        <v>-2.96123373216884</v>
      </c>
      <c r="K117" s="58" t="n">
        <f aca="false">'P01 CigWharf2 Output'!K27</f>
        <v>-0.382793025521675</v>
      </c>
      <c r="L117" s="58" t="n">
        <f aca="false">'P01 CigWharf2 Output'!L27</f>
        <v>-2.14799533352352</v>
      </c>
      <c r="M117" s="58" t="n">
        <f aca="false">'P01 CigWharf2 Output'!M27</f>
        <v>-0.497478800936744</v>
      </c>
      <c r="N117" s="58" t="n">
        <f aca="false">'P01 CigWharf2 Output'!N27</f>
        <v>-1.68030141871447</v>
      </c>
      <c r="O117" s="58" t="n">
        <f aca="false">'P01 CigWharf2 Output'!O27</f>
        <v>-0.504354945206618</v>
      </c>
      <c r="P117" s="58" t="n">
        <f aca="false">'P01 CigWharf2 Output'!P27</f>
        <v>-1.94457078029182</v>
      </c>
      <c r="Q117" s="58" t="n">
        <f aca="false">'P01 CigWharf2 Output'!Q27</f>
        <v>-0.629007050047115</v>
      </c>
      <c r="R117" s="58" t="n">
        <f aca="false">'P01 CigWharf2 Output'!R27</f>
        <v>-0.645774028818806</v>
      </c>
      <c r="S117" s="58" t="n">
        <f aca="false">'P01 CigWharf2 Output'!S27</f>
        <v>-0.597423484648626</v>
      </c>
    </row>
    <row r="118" customFormat="false" ht="15" hidden="false" customHeight="false" outlineLevel="0" collapsed="false">
      <c r="B118" s="69" t="s">
        <v>353</v>
      </c>
      <c r="C118" s="25" t="s">
        <v>170</v>
      </c>
      <c r="E118" s="70" t="n">
        <f aca="false">SUM(F118:S118)</f>
        <v>864.137878930406</v>
      </c>
      <c r="F118" s="71" t="n">
        <f aca="false">'P01 CigWharf2 Output'!F28</f>
        <v>-162.65</v>
      </c>
      <c r="G118" s="71" t="n">
        <f aca="false">'P01 CigWharf2 Output'!G28</f>
        <v>-37.4095</v>
      </c>
      <c r="H118" s="71" t="n">
        <f aca="false">'P01 CigWharf2 Output'!H28</f>
        <v>39.3711324777166</v>
      </c>
      <c r="I118" s="71" t="n">
        <f aca="false">'P01 CigWharf2 Output'!I28</f>
        <v>60.2355530611139</v>
      </c>
      <c r="J118" s="71" t="n">
        <f aca="false">'P01 CigWharf2 Output'!J28</f>
        <v>72.3914239447765</v>
      </c>
      <c r="K118" s="71" t="n">
        <f aca="false">'P01 CigWharf2 Output'!K28</f>
        <v>76.9074586668569</v>
      </c>
      <c r="L118" s="71" t="n">
        <f aca="false">'P01 CigWharf2 Output'!L28</f>
        <v>85.5781012363765</v>
      </c>
      <c r="M118" s="71" t="n">
        <f aca="false">'P01 CigWharf2 Output'!M28</f>
        <v>89.5085637588032</v>
      </c>
      <c r="N118" s="71" t="n">
        <f aca="false">'P01 CigWharf2 Output'!N28</f>
        <v>96.5778549067232</v>
      </c>
      <c r="O118" s="71" t="n">
        <f aca="false">'P01 CigWharf2 Output'!O28</f>
        <v>100.317236891532</v>
      </c>
      <c r="P118" s="71" t="n">
        <f aca="false">'P01 CigWharf2 Output'!P28</f>
        <v>105.44717559515</v>
      </c>
      <c r="Q118" s="71" t="n">
        <f aca="false">'P01 CigWharf2 Output'!Q28</f>
        <v>109.644913005368</v>
      </c>
      <c r="R118" s="71" t="n">
        <f aca="false">'P01 CigWharf2 Output'!R28</f>
        <v>112.576825238365</v>
      </c>
      <c r="S118" s="71" t="n">
        <f aca="false">'P01 CigWharf2 Output'!S28</f>
        <v>115.641140147624</v>
      </c>
    </row>
    <row r="119" customFormat="false" ht="15" hidden="false" customHeight="false" outlineLevel="0" collapsed="false">
      <c r="B119" s="24" t="s">
        <v>354</v>
      </c>
      <c r="C119" s="25" t="s">
        <v>170</v>
      </c>
      <c r="F119" s="58" t="n">
        <f aca="false">'P01 CigWharf2 Output'!F29</f>
        <v>-162.65</v>
      </c>
      <c r="G119" s="58" t="n">
        <f aca="false">'P01 CigWharf2 Output'!G29</f>
        <v>-200.0595</v>
      </c>
      <c r="H119" s="58" t="n">
        <f aca="false">'P01 CigWharf2 Output'!H29</f>
        <v>-160.688367522283</v>
      </c>
      <c r="I119" s="58" t="n">
        <f aca="false">'P01 CigWharf2 Output'!I29</f>
        <v>-100.452814461169</v>
      </c>
      <c r="J119" s="58" t="n">
        <f aca="false">'P01 CigWharf2 Output'!J29</f>
        <v>-28.061390516393</v>
      </c>
      <c r="K119" s="58" t="n">
        <f aca="false">'P01 CigWharf2 Output'!K29</f>
        <v>48.8460681504639</v>
      </c>
      <c r="L119" s="58" t="n">
        <f aca="false">'P01 CigWharf2 Output'!L29</f>
        <v>134.42416938684</v>
      </c>
      <c r="M119" s="58" t="n">
        <f aca="false">'P01 CigWharf2 Output'!M29</f>
        <v>223.932733145644</v>
      </c>
      <c r="N119" s="58" t="n">
        <f aca="false">'P01 CigWharf2 Output'!N29</f>
        <v>320.510588052367</v>
      </c>
      <c r="O119" s="58" t="n">
        <f aca="false">'P01 CigWharf2 Output'!O29</f>
        <v>420.827824943899</v>
      </c>
      <c r="P119" s="58" t="n">
        <f aca="false">'P01 CigWharf2 Output'!P29</f>
        <v>526.275000539049</v>
      </c>
      <c r="Q119" s="58" t="n">
        <f aca="false">'P01 CigWharf2 Output'!Q29</f>
        <v>635.919913544417</v>
      </c>
      <c r="R119" s="58" t="n">
        <f aca="false">'P01 CigWharf2 Output'!R29</f>
        <v>748.496738782782</v>
      </c>
      <c r="S119" s="58" t="n">
        <f aca="false">'P01 CigWharf2 Output'!S29</f>
        <v>864.137878930406</v>
      </c>
    </row>
    <row r="120" customFormat="false" ht="15" hidden="false" customHeight="false" outlineLevel="0" collapsed="false">
      <c r="B120" s="24" t="s">
        <v>355</v>
      </c>
      <c r="C120" s="25" t="s">
        <v>170</v>
      </c>
      <c r="F120" s="58" t="n">
        <f aca="false">'P01 CigWharf2 Output'!F39</f>
        <v>162.65</v>
      </c>
      <c r="G120" s="58" t="n">
        <f aca="false">'P01 CigWharf2 Output'!G39</f>
        <v>200.0595</v>
      </c>
      <c r="H120" s="58" t="n">
        <f aca="false">'P01 CigWharf2 Output'!H39</f>
        <v>201.978672706295</v>
      </c>
      <c r="I120" s="58" t="n">
        <f aca="false">'P01 CigWharf2 Output'!I39</f>
        <v>184.50873825648</v>
      </c>
      <c r="J120" s="58" t="n">
        <f aca="false">'P01 CigWharf2 Output'!J39</f>
        <v>169.671436125527</v>
      </c>
      <c r="K120" s="58" t="n">
        <f aca="false">'P01 CigWharf2 Output'!K39</f>
        <v>152.255693287927</v>
      </c>
      <c r="L120" s="58" t="n">
        <f aca="false">'P01 CigWharf2 Output'!L39</f>
        <v>136.605152758328</v>
      </c>
      <c r="M120" s="58" t="n">
        <f aca="false">'P01 CigWharf2 Output'!M39</f>
        <v>119.304095696143</v>
      </c>
      <c r="N120" s="58" t="n">
        <f aca="false">'P01 CigWharf2 Output'!N39</f>
        <v>103.185861251735</v>
      </c>
      <c r="O120" s="58" t="n">
        <f aca="false">'P01 CigWharf2 Output'!O39</f>
        <v>85.89168033382</v>
      </c>
      <c r="P120" s="58" t="n">
        <f aca="false">'P01 CigWharf2 Output'!P39</f>
        <v>82.3526083561932</v>
      </c>
      <c r="Q120" s="58" t="n">
        <f aca="false">'P01 CigWharf2 Output'!Q39</f>
        <v>77.4979726483216</v>
      </c>
      <c r="R120" s="58" t="n">
        <f aca="false">'P01 CigWharf2 Output'!R39</f>
        <v>72.6601039192217</v>
      </c>
      <c r="S120" s="58" t="n">
        <f aca="false">'P01 CigWharf2 Output'!S39</f>
        <v>67.7738846459517</v>
      </c>
    </row>
    <row r="121" customFormat="false" ht="15" hidden="false" customHeight="false" outlineLevel="0" collapsed="false">
      <c r="B121" s="24" t="s">
        <v>356</v>
      </c>
      <c r="C121" s="25" t="s">
        <v>170</v>
      </c>
      <c r="E121" s="47" t="n">
        <f aca="false">SUM(F121:S121)</f>
        <v>200.0595</v>
      </c>
      <c r="F121" s="58" t="n">
        <f aca="false">'P01 CigWharf2 Output'!F31</f>
        <v>162.65</v>
      </c>
      <c r="G121" s="58" t="n">
        <f aca="false">'P01 CigWharf2 Output'!G31</f>
        <v>37.4095</v>
      </c>
      <c r="H121" s="58" t="n">
        <f aca="false">'P01 CigWharf2 Output'!H31</f>
        <v>0</v>
      </c>
      <c r="I121" s="58" t="n">
        <f aca="false">'P01 CigWharf2 Output'!I31</f>
        <v>0</v>
      </c>
      <c r="J121" s="58" t="n">
        <f aca="false">'P01 CigWharf2 Output'!J31</f>
        <v>0</v>
      </c>
      <c r="K121" s="58" t="n">
        <f aca="false">'P01 CigWharf2 Output'!K31</f>
        <v>0</v>
      </c>
      <c r="L121" s="58" t="n">
        <f aca="false">'P01 CigWharf2 Output'!L31</f>
        <v>0</v>
      </c>
      <c r="M121" s="58" t="n">
        <f aca="false">'P01 CigWharf2 Output'!M31</f>
        <v>0</v>
      </c>
      <c r="N121" s="58" t="n">
        <f aca="false">'P01 CigWharf2 Output'!N31</f>
        <v>0</v>
      </c>
      <c r="O121" s="58" t="n">
        <f aca="false">'P01 CigWharf2 Output'!O31</f>
        <v>0</v>
      </c>
      <c r="P121" s="58" t="n">
        <f aca="false">'P01 CigWharf2 Output'!P31</f>
        <v>0</v>
      </c>
      <c r="Q121" s="58" t="n">
        <f aca="false">'P01 CigWharf2 Output'!Q31</f>
        <v>0</v>
      </c>
      <c r="R121" s="58" t="n">
        <f aca="false">'P01 CigWharf2 Output'!R31</f>
        <v>0</v>
      </c>
      <c r="S121" s="58" t="n">
        <f aca="false">'P01 CigWharf2 Output'!S31</f>
        <v>0</v>
      </c>
    </row>
    <row r="122" customFormat="false" ht="15" hidden="false" customHeight="false" outlineLevel="0" collapsed="false">
      <c r="B122" s="24" t="s">
        <v>357</v>
      </c>
      <c r="C122" s="25" t="s">
        <v>170</v>
      </c>
      <c r="E122" s="47" t="n">
        <f aca="false">SUM(F122:S122)</f>
        <v>960.014663512148</v>
      </c>
      <c r="F122" s="58" t="n">
        <f aca="false">'P01 CigWharf2 Output'!F46</f>
        <v>-0</v>
      </c>
      <c r="G122" s="58" t="n">
        <f aca="false">'P01 CigWharf2 Output'!G46</f>
        <v>-0</v>
      </c>
      <c r="H122" s="58" t="n">
        <f aca="false">'P01 CigWharf2 Output'!H46</f>
        <v>0</v>
      </c>
      <c r="I122" s="58" t="n">
        <f aca="false">'P01 CigWharf2 Output'!I46</f>
        <v>0</v>
      </c>
      <c r="J122" s="58" t="n">
        <f aca="false">'P01 CigWharf2 Output'!J46</f>
        <v>64.7123278008136</v>
      </c>
      <c r="K122" s="58" t="n">
        <f aca="false">'P01 CigWharf2 Output'!K46</f>
        <v>61.4565627733718</v>
      </c>
      <c r="L122" s="58" t="n">
        <f aca="false">'P01 CigWharf2 Output'!L46</f>
        <v>61.1311203817918</v>
      </c>
      <c r="M122" s="58" t="n">
        <f aca="false">'P01 CigWharf2 Output'!M46</f>
        <v>57.1563123127983</v>
      </c>
      <c r="N122" s="58" t="n">
        <f aca="false">'P01 CigWharf2 Output'!N46</f>
        <v>55.1286135186822</v>
      </c>
      <c r="O122" s="58" t="n">
        <f aca="false">'P01 CigWharf2 Output'!O46</f>
        <v>51.1888036557241</v>
      </c>
      <c r="P122" s="58" t="n">
        <f aca="false">'P01 CigWharf2 Output'!P46</f>
        <v>48.0988034690606</v>
      </c>
      <c r="Q122" s="58" t="n">
        <f aca="false">'P01 CigWharf2 Output'!Q46</f>
        <v>44.7082541900212</v>
      </c>
      <c r="R122" s="58" t="n">
        <f aca="false">'P01 CigWharf2 Output'!R46</f>
        <v>41.0344034567292</v>
      </c>
      <c r="S122" s="58" t="n">
        <f aca="false">'P01 CigWharf2 Output'!S46</f>
        <v>475.399461953155</v>
      </c>
    </row>
    <row r="123" customFormat="false" ht="15" hidden="false" customHeight="false" outlineLevel="0" collapsed="false">
      <c r="B123" s="3" t="s">
        <v>358</v>
      </c>
      <c r="C123" s="73" t="s">
        <v>359</v>
      </c>
      <c r="D123" s="74" t="n">
        <f aca="false">'P01 CigWharf2 Output'!$E$47</f>
        <v>960.014663512148</v>
      </c>
      <c r="E123" s="73" t="s">
        <v>360</v>
      </c>
      <c r="F123" s="75" t="n">
        <f aca="false">IF(ISNUMBER('P01 CigWharf2 Output'!$E$49),'P01 CigWharf2 Output'!$E$49,"n/a")</f>
        <v>0.275873560051958</v>
      </c>
      <c r="G123" s="73" t="s">
        <v>361</v>
      </c>
      <c r="H123" s="75" t="n">
        <f aca="false">IF(ISNUMBER('P01 CigWharf2 Output'!$E$50),'P01 CigWharf2 Output'!$E$50,"n/a")</f>
        <v>0.323882288247527</v>
      </c>
      <c r="I123" s="73" t="s">
        <v>362</v>
      </c>
      <c r="J123" s="76" t="n">
        <f aca="false">IF(ISNUMBER('P01 CigWharf2 Output'!$E$52),'P01 CigWharf2 Output'!$E$52,"n/a")</f>
        <v>2028</v>
      </c>
      <c r="K123" s="73" t="s">
        <v>363</v>
      </c>
      <c r="L123" s="74" t="n">
        <f aca="false">'P01 CigWharf2 Output'!$E$54</f>
        <v>12.8</v>
      </c>
      <c r="M123" s="73" t="s">
        <v>364</v>
      </c>
      <c r="N123" s="74" t="n">
        <f aca="false">'P01 CigWharf2 Output'!$E$55</f>
        <v>0</v>
      </c>
    </row>
    <row r="125" customFormat="false" ht="15" hidden="false" customHeight="false" outlineLevel="0" collapsed="false">
      <c r="B125" s="22" t="s">
        <v>369</v>
      </c>
      <c r="C125" s="23"/>
      <c r="D125" s="23"/>
      <c r="E125" s="23"/>
      <c r="F125" s="23"/>
      <c r="G125" s="23"/>
      <c r="H125" s="23"/>
      <c r="I125" s="23"/>
      <c r="J125" s="23"/>
      <c r="K125" s="23"/>
      <c r="L125" s="23"/>
      <c r="M125" s="23"/>
      <c r="N125" s="23"/>
      <c r="O125" s="23"/>
      <c r="P125" s="23"/>
      <c r="Q125" s="23"/>
      <c r="R125" s="23"/>
      <c r="S125" s="23"/>
    </row>
    <row r="126" customFormat="false" ht="15" hidden="false" customHeight="false" outlineLevel="0" collapsed="false">
      <c r="B126" s="5" t="s">
        <v>47</v>
      </c>
      <c r="C126" s="17" t="s">
        <v>27</v>
      </c>
      <c r="D126" s="17" t="s">
        <v>28</v>
      </c>
      <c r="E126" s="17" t="s">
        <v>29</v>
      </c>
      <c r="G126" s="5" t="str">
        <f aca="false">"In valuation: "&amp;'Global Inputs'!$E$94&amp;"  |  case: "&amp;'Global Inputs'!$F$94&amp;"  |  FSL interest: "&amp;TEXT('Global Inputs'!$G$94,"0%")</f>
        <v>In valuation: 1  |  case: 1  |  FSL interest: 100%</v>
      </c>
    </row>
    <row r="127" customFormat="false" ht="15" hidden="false" customHeight="false" outlineLevel="0" collapsed="false">
      <c r="B127" s="24" t="s">
        <v>345</v>
      </c>
      <c r="C127" s="25" t="s">
        <v>170</v>
      </c>
      <c r="E127" s="47" t="n">
        <f aca="false">SUM(F127:S127)</f>
        <v>447.048931188488</v>
      </c>
      <c r="F127" s="58" t="n">
        <f aca="false">'P02 CigConveyor Output'!F11</f>
        <v>0</v>
      </c>
      <c r="G127" s="58" t="n">
        <f aca="false">'P02 CigConveyor Output'!G11</f>
        <v>0</v>
      </c>
      <c r="H127" s="58" t="n">
        <f aca="false">'P02 CigConveyor Output'!H11</f>
        <v>31.5</v>
      </c>
      <c r="I127" s="58" t="n">
        <f aca="false">'P02 CigConveyor Output'!I11</f>
        <v>32.445</v>
      </c>
      <c r="J127" s="58" t="n">
        <f aca="false">'P02 CigConveyor Output'!J11</f>
        <v>33.41835</v>
      </c>
      <c r="K127" s="58" t="n">
        <f aca="false">'P02 CigConveyor Output'!K11</f>
        <v>34.4209005</v>
      </c>
      <c r="L127" s="58" t="n">
        <f aca="false">'P02 CigConveyor Output'!L11</f>
        <v>35.453527515</v>
      </c>
      <c r="M127" s="58" t="n">
        <f aca="false">'P02 CigConveyor Output'!M11</f>
        <v>36.51713334045</v>
      </c>
      <c r="N127" s="58" t="n">
        <f aca="false">'P02 CigConveyor Output'!N11</f>
        <v>37.6126473406635</v>
      </c>
      <c r="O127" s="58" t="n">
        <f aca="false">'P02 CigConveyor Output'!O11</f>
        <v>38.7410267608834</v>
      </c>
      <c r="P127" s="58" t="n">
        <f aca="false">'P02 CigConveyor Output'!P11</f>
        <v>39.9032575637099</v>
      </c>
      <c r="Q127" s="58" t="n">
        <f aca="false">'P02 CigConveyor Output'!Q11</f>
        <v>41.1003552906212</v>
      </c>
      <c r="R127" s="58" t="n">
        <f aca="false">'P02 CigConveyor Output'!R11</f>
        <v>42.3333659493399</v>
      </c>
      <c r="S127" s="58" t="n">
        <f aca="false">'P02 CigConveyor Output'!S11</f>
        <v>43.6033669278201</v>
      </c>
    </row>
    <row r="128" customFormat="false" ht="15" hidden="false" customHeight="false" outlineLevel="0" collapsed="false">
      <c r="B128" s="24" t="s">
        <v>346</v>
      </c>
      <c r="C128" s="25" t="s">
        <v>170</v>
      </c>
      <c r="E128" s="47" t="n">
        <f aca="false">SUM(F128:S128)</f>
        <v>409.113920469556</v>
      </c>
      <c r="F128" s="58" t="n">
        <f aca="false">'P02 CigConveyor Output'!F15</f>
        <v>0</v>
      </c>
      <c r="G128" s="58" t="n">
        <f aca="false">'P02 CigConveyor Output'!G15</f>
        <v>0</v>
      </c>
      <c r="H128" s="58" t="n">
        <f aca="false">'P02 CigConveyor Output'!H15</f>
        <v>29.0728758493431</v>
      </c>
      <c r="I128" s="58" t="n">
        <f aca="false">'P02 CigConveyor Output'!I15</f>
        <v>29.9096855285681</v>
      </c>
      <c r="J128" s="58" t="n">
        <f aca="false">'P02 CigConveyor Output'!J15</f>
        <v>30.7682564172579</v>
      </c>
      <c r="K128" s="58" t="n">
        <f aca="false">'P02 CigConveyor Output'!K15</f>
        <v>31.649037758069</v>
      </c>
      <c r="L128" s="58" t="n">
        <f aca="false">'P02 CigConveyor Output'!L15</f>
        <v>32.5524798720854</v>
      </c>
      <c r="M128" s="58" t="n">
        <f aca="false">'P02 CigConveyor Output'!M15</f>
        <v>33.4790334360819</v>
      </c>
      <c r="N128" s="58" t="n">
        <f aca="false">'P02 CigConveyor Output'!N15</f>
        <v>34.4291486921193</v>
      </c>
      <c r="O128" s="58" t="n">
        <f aca="false">'P02 CigConveyor Output'!O15</f>
        <v>35.4032745846429</v>
      </c>
      <c r="P128" s="58" t="n">
        <f aca="false">'P02 CigConveyor Output'!P15</f>
        <v>36.4018578199364</v>
      </c>
      <c r="Q128" s="58" t="n">
        <f aca="false">'P02 CigConveyor Output'!Q15</f>
        <v>37.4253418424518</v>
      </c>
      <c r="R128" s="58" t="n">
        <f aca="false">'P02 CigConveyor Output'!R15</f>
        <v>38.474165722177</v>
      </c>
      <c r="S128" s="58" t="n">
        <f aca="false">'P02 CigConveyor Output'!S15</f>
        <v>39.5487629468229</v>
      </c>
    </row>
    <row r="129" customFormat="false" ht="15" hidden="false" customHeight="false" outlineLevel="0" collapsed="false">
      <c r="B129" s="69" t="s">
        <v>347</v>
      </c>
      <c r="C129" s="25" t="s">
        <v>170</v>
      </c>
      <c r="E129" s="70" t="n">
        <f aca="false">SUM(F129:S129)</f>
        <v>326.167148175336</v>
      </c>
      <c r="F129" s="71" t="n">
        <f aca="false">'P02 CigConveyor Output'!F17</f>
        <v>0</v>
      </c>
      <c r="G129" s="71" t="n">
        <f aca="false">'P02 CigConveyor Output'!G17</f>
        <v>0</v>
      </c>
      <c r="H129" s="71" t="n">
        <f aca="false">'P02 CigConveyor Output'!H17</f>
        <v>21.6528560441769</v>
      </c>
      <c r="I129" s="71" t="n">
        <f aca="false">'P02 CigConveyor Output'!I17</f>
        <v>22.4896657234019</v>
      </c>
      <c r="J129" s="71" t="n">
        <f aca="false">'P02 CigConveyor Output'!J17</f>
        <v>23.3482366120917</v>
      </c>
      <c r="K129" s="71" t="n">
        <f aca="false">'P02 CigConveyor Output'!K17</f>
        <v>24.2290179529028</v>
      </c>
      <c r="L129" s="71" t="n">
        <f aca="false">'P02 CigConveyor Output'!L17</f>
        <v>25.1324600669191</v>
      </c>
      <c r="M129" s="71" t="n">
        <f aca="false">'P02 CigConveyor Output'!M17</f>
        <v>26.0590136309156</v>
      </c>
      <c r="N129" s="71" t="n">
        <f aca="false">'P02 CigConveyor Output'!N17</f>
        <v>27.0091288869531</v>
      </c>
      <c r="O129" s="71" t="n">
        <f aca="false">'P02 CigConveyor Output'!O17</f>
        <v>27.9832547794767</v>
      </c>
      <c r="P129" s="71" t="n">
        <f aca="false">'P02 CigConveyor Output'!P17</f>
        <v>30.5052043567138</v>
      </c>
      <c r="Q129" s="71" t="n">
        <f aca="false">'P02 CigConveyor Output'!Q17</f>
        <v>31.5286883792293</v>
      </c>
      <c r="R129" s="71" t="n">
        <f aca="false">'P02 CigConveyor Output'!R17</f>
        <v>32.5775122589544</v>
      </c>
      <c r="S129" s="71" t="n">
        <f aca="false">'P02 CigConveyor Output'!S17</f>
        <v>33.6521094836004</v>
      </c>
    </row>
    <row r="130" customFormat="false" ht="15" hidden="false" customHeight="false" outlineLevel="0" collapsed="false">
      <c r="B130" s="24" t="s">
        <v>348</v>
      </c>
      <c r="C130" s="25" t="s">
        <v>170</v>
      </c>
      <c r="E130" s="47" t="n">
        <f aca="false">SUM(F130:S130)</f>
        <v>254.410375576762</v>
      </c>
      <c r="F130" s="58" t="n">
        <f aca="false">'P02 CigConveyor Output'!F19</f>
        <v>0</v>
      </c>
      <c r="G130" s="58" t="n">
        <f aca="false">'P02 CigConveyor Output'!G19</f>
        <v>0</v>
      </c>
      <c r="H130" s="58" t="n">
        <f aca="false">'P02 CigConveyor Output'!H19</f>
        <v>16.889227714458</v>
      </c>
      <c r="I130" s="58" t="n">
        <f aca="false">'P02 CigConveyor Output'!I19</f>
        <v>17.5419392642535</v>
      </c>
      <c r="J130" s="58" t="n">
        <f aca="false">'P02 CigConveyor Output'!J19</f>
        <v>18.2116245574316</v>
      </c>
      <c r="K130" s="58" t="n">
        <f aca="false">'P02 CigConveyor Output'!K19</f>
        <v>18.8986340032641</v>
      </c>
      <c r="L130" s="58" t="n">
        <f aca="false">'P02 CigConveyor Output'!L19</f>
        <v>19.6033188521969</v>
      </c>
      <c r="M130" s="58" t="n">
        <f aca="false">'P02 CigConveyor Output'!M19</f>
        <v>20.3260306321142</v>
      </c>
      <c r="N130" s="58" t="n">
        <f aca="false">'P02 CigConveyor Output'!N19</f>
        <v>21.0671205318234</v>
      </c>
      <c r="O130" s="58" t="n">
        <f aca="false">'P02 CigConveyor Output'!O19</f>
        <v>21.8269387279918</v>
      </c>
      <c r="P130" s="58" t="n">
        <f aca="false">'P02 CigConveyor Output'!P19</f>
        <v>23.7940593982368</v>
      </c>
      <c r="Q130" s="58" t="n">
        <f aca="false">'P02 CigConveyor Output'!Q19</f>
        <v>24.5923769357989</v>
      </c>
      <c r="R130" s="58" t="n">
        <f aca="false">'P02 CigConveyor Output'!R19</f>
        <v>25.4104595619845</v>
      </c>
      <c r="S130" s="58" t="n">
        <f aca="false">'P02 CigConveyor Output'!S19</f>
        <v>26.2486453972083</v>
      </c>
    </row>
    <row r="131" customFormat="false" ht="15" hidden="false" customHeight="false" outlineLevel="0" collapsed="false">
      <c r="B131" s="24" t="s">
        <v>349</v>
      </c>
      <c r="C131" s="25" t="s">
        <v>170</v>
      </c>
      <c r="E131" s="47" t="n">
        <f aca="false">SUM(F131:S131)</f>
        <v>-82.9467722942198</v>
      </c>
      <c r="F131" s="58" t="n">
        <f aca="false">'P02 CigConveyor Output'!F16</f>
        <v>-0</v>
      </c>
      <c r="G131" s="58" t="n">
        <f aca="false">'P02 CigConveyor Output'!G16</f>
        <v>-0</v>
      </c>
      <c r="H131" s="58" t="n">
        <f aca="false">'P02 CigConveyor Output'!H16</f>
        <v>-7.4200198051662</v>
      </c>
      <c r="I131" s="58" t="n">
        <f aca="false">'P02 CigConveyor Output'!I16</f>
        <v>-7.4200198051662</v>
      </c>
      <c r="J131" s="58" t="n">
        <f aca="false">'P02 CigConveyor Output'!J16</f>
        <v>-7.4200198051662</v>
      </c>
      <c r="K131" s="58" t="n">
        <f aca="false">'P02 CigConveyor Output'!K16</f>
        <v>-7.4200198051662</v>
      </c>
      <c r="L131" s="58" t="n">
        <f aca="false">'P02 CigConveyor Output'!L16</f>
        <v>-7.4200198051662</v>
      </c>
      <c r="M131" s="58" t="n">
        <f aca="false">'P02 CigConveyor Output'!M16</f>
        <v>-7.4200198051662</v>
      </c>
      <c r="N131" s="58" t="n">
        <f aca="false">'P02 CigConveyor Output'!N16</f>
        <v>-7.4200198051662</v>
      </c>
      <c r="O131" s="58" t="n">
        <f aca="false">'P02 CigConveyor Output'!O16</f>
        <v>-7.4200198051662</v>
      </c>
      <c r="P131" s="58" t="n">
        <f aca="false">'P02 CigConveyor Output'!P16</f>
        <v>-5.89665346322253</v>
      </c>
      <c r="Q131" s="58" t="n">
        <f aca="false">'P02 CigConveyor Output'!Q16</f>
        <v>-5.89665346322253</v>
      </c>
      <c r="R131" s="58" t="n">
        <f aca="false">'P02 CigConveyor Output'!R16</f>
        <v>-5.89665346322253</v>
      </c>
      <c r="S131" s="58" t="n">
        <f aca="false">'P02 CigConveyor Output'!S16</f>
        <v>-5.89665346322253</v>
      </c>
    </row>
    <row r="132" customFormat="false" ht="15" hidden="false" customHeight="false" outlineLevel="0" collapsed="false">
      <c r="B132" s="24" t="s">
        <v>350</v>
      </c>
      <c r="C132" s="25" t="s">
        <v>240</v>
      </c>
      <c r="E132" s="44" t="n">
        <f aca="false">SUM(F132:S132)</f>
        <v>8</v>
      </c>
      <c r="F132" s="72" t="n">
        <f aca="false">'P02 CigConveyor Output'!F34</f>
        <v>2.2</v>
      </c>
      <c r="G132" s="72" t="n">
        <f aca="false">'P02 CigConveyor Output'!G34</f>
        <v>5.4</v>
      </c>
      <c r="H132" s="72" t="n">
        <f aca="false">'P02 CigConveyor Output'!H34</f>
        <v>0.4</v>
      </c>
      <c r="I132" s="72" t="n">
        <f aca="false">'P02 CigConveyor Output'!I34</f>
        <v>0</v>
      </c>
      <c r="J132" s="72" t="n">
        <f aca="false">'P02 CigConveyor Output'!J34</f>
        <v>0</v>
      </c>
      <c r="K132" s="72" t="n">
        <f aca="false">'P02 CigConveyor Output'!K34</f>
        <v>0</v>
      </c>
      <c r="L132" s="72" t="n">
        <f aca="false">'P02 CigConveyor Output'!L34</f>
        <v>0</v>
      </c>
      <c r="M132" s="72" t="n">
        <f aca="false">'P02 CigConveyor Output'!M34</f>
        <v>0</v>
      </c>
      <c r="N132" s="72" t="n">
        <f aca="false">'P02 CigConveyor Output'!N34</f>
        <v>0</v>
      </c>
      <c r="O132" s="72" t="n">
        <f aca="false">'P02 CigConveyor Output'!O34</f>
        <v>0</v>
      </c>
      <c r="P132" s="72" t="n">
        <f aca="false">'P02 CigConveyor Output'!P34</f>
        <v>0</v>
      </c>
      <c r="Q132" s="72" t="n">
        <f aca="false">'P02 CigConveyor Output'!Q34</f>
        <v>0</v>
      </c>
      <c r="R132" s="72" t="n">
        <f aca="false">'P02 CigConveyor Output'!R34</f>
        <v>0</v>
      </c>
      <c r="S132" s="72" t="n">
        <f aca="false">'P02 CigConveyor Output'!S34</f>
        <v>0</v>
      </c>
    </row>
    <row r="133" customFormat="false" ht="15" hidden="false" customHeight="false" outlineLevel="0" collapsed="false">
      <c r="B133" s="24" t="s">
        <v>351</v>
      </c>
      <c r="C133" s="25" t="s">
        <v>170</v>
      </c>
      <c r="E133" s="47" t="n">
        <f aca="false">SUM(F133:S133)</f>
        <v>130.12</v>
      </c>
      <c r="F133" s="58" t="n">
        <f aca="false">'P02 CigConveyor Output'!F35</f>
        <v>35.783</v>
      </c>
      <c r="G133" s="58" t="n">
        <f aca="false">'P02 CigConveyor Output'!G35</f>
        <v>87.831</v>
      </c>
      <c r="H133" s="58" t="n">
        <f aca="false">'P02 CigConveyor Output'!H35</f>
        <v>6.506</v>
      </c>
      <c r="I133" s="58" t="n">
        <f aca="false">'P02 CigConveyor Output'!I35</f>
        <v>0</v>
      </c>
      <c r="J133" s="58" t="n">
        <f aca="false">'P02 CigConveyor Output'!J35</f>
        <v>0</v>
      </c>
      <c r="K133" s="58" t="n">
        <f aca="false">'P02 CigConveyor Output'!K35</f>
        <v>0</v>
      </c>
      <c r="L133" s="58" t="n">
        <f aca="false">'P02 CigConveyor Output'!L35</f>
        <v>0</v>
      </c>
      <c r="M133" s="58" t="n">
        <f aca="false">'P02 CigConveyor Output'!M35</f>
        <v>0</v>
      </c>
      <c r="N133" s="58" t="n">
        <f aca="false">'P02 CigConveyor Output'!N35</f>
        <v>0</v>
      </c>
      <c r="O133" s="58" t="n">
        <f aca="false">'P02 CigConveyor Output'!O35</f>
        <v>0</v>
      </c>
      <c r="P133" s="58" t="n">
        <f aca="false">'P02 CigConveyor Output'!P35</f>
        <v>0</v>
      </c>
      <c r="Q133" s="58" t="n">
        <f aca="false">'P02 CigConveyor Output'!Q35</f>
        <v>0</v>
      </c>
      <c r="R133" s="58" t="n">
        <f aca="false">'P02 CigConveyor Output'!R35</f>
        <v>0</v>
      </c>
      <c r="S133" s="58" t="n">
        <f aca="false">'P02 CigConveyor Output'!S35</f>
        <v>0</v>
      </c>
    </row>
    <row r="134" customFormat="false" ht="15" hidden="false" customHeight="false" outlineLevel="0" collapsed="false">
      <c r="B134" s="24" t="s">
        <v>352</v>
      </c>
      <c r="C134" s="25" t="s">
        <v>170</v>
      </c>
      <c r="E134" s="47" t="n">
        <f aca="false">SUM(F134:S134)</f>
        <v>-5.02872511563385</v>
      </c>
      <c r="F134" s="58" t="n">
        <f aca="false">'P02 CigConveyor Output'!F27</f>
        <v>-0</v>
      </c>
      <c r="G134" s="58" t="n">
        <f aca="false">'P02 CigConveyor Output'!G27</f>
        <v>-0</v>
      </c>
      <c r="H134" s="58" t="n">
        <f aca="false">'P02 CigConveyor Output'!H27</f>
        <v>-3.68407198761725</v>
      </c>
      <c r="I134" s="58" t="n">
        <f aca="false">'P02 CigConveyor Output'!I27</f>
        <v>-0.107614494182877</v>
      </c>
      <c r="J134" s="58" t="n">
        <f aca="false">'P02 CigConveyor Output'!J27</f>
        <v>-0.110568155234777</v>
      </c>
      <c r="K134" s="58" t="n">
        <f aca="false">'P02 CigConveyor Output'!K27</f>
        <v>-0.102621429200262</v>
      </c>
      <c r="L134" s="58" t="n">
        <f aca="false">'P02 CigConveyor Output'!L27</f>
        <v>-0.127664506059525</v>
      </c>
      <c r="M134" s="58" t="n">
        <f aca="false">'P02 CigConveyor Output'!M27</f>
        <v>-0.119864915894918</v>
      </c>
      <c r="N134" s="58" t="n">
        <f aca="false">'P02 CigConveyor Output'!N27</f>
        <v>-0.123112788176238</v>
      </c>
      <c r="O134" s="58" t="n">
        <f aca="false">'P02 CigConveyor Output'!O27</f>
        <v>-0.114136474870602</v>
      </c>
      <c r="P134" s="58" t="n">
        <f aca="false">'P02 CigConveyor Output'!P27</f>
        <v>-0.14213866808887</v>
      </c>
      <c r="Q134" s="58" t="n">
        <f aca="false">'P02 CigConveyor Output'!Q27</f>
        <v>-0.133317771449683</v>
      </c>
      <c r="R134" s="58" t="n">
        <f aca="false">'P02 CigConveyor Output'!R27</f>
        <v>-0.136876373349406</v>
      </c>
      <c r="S134" s="58" t="n">
        <f aca="false">'P02 CigConveyor Output'!S27</f>
        <v>-0.126737551509448</v>
      </c>
    </row>
    <row r="135" customFormat="false" ht="15" hidden="false" customHeight="false" outlineLevel="0" collapsed="false">
      <c r="B135" s="69" t="s">
        <v>353</v>
      </c>
      <c r="C135" s="25" t="s">
        <v>170</v>
      </c>
      <c r="E135" s="70" t="n">
        <f aca="false">SUM(F135:S135)</f>
        <v>202.208422755348</v>
      </c>
      <c r="F135" s="71" t="n">
        <f aca="false">'P02 CigConveyor Output'!F28</f>
        <v>-35.783</v>
      </c>
      <c r="G135" s="71" t="n">
        <f aca="false">'P02 CigConveyor Output'!G28</f>
        <v>-87.831</v>
      </c>
      <c r="H135" s="71" t="n">
        <f aca="false">'P02 CigConveyor Output'!H28</f>
        <v>14.119175532007</v>
      </c>
      <c r="I135" s="71" t="n">
        <f aca="false">'P02 CigConveyor Output'!I28</f>
        <v>24.8543445752368</v>
      </c>
      <c r="J135" s="71" t="n">
        <f aca="false">'P02 CigConveyor Output'!J28</f>
        <v>25.521076207363</v>
      </c>
      <c r="K135" s="71" t="n">
        <f aca="false">'P02 CigConveyor Output'!K28</f>
        <v>26.2160323792301</v>
      </c>
      <c r="L135" s="71" t="n">
        <f aca="false">'P02 CigConveyor Output'!L28</f>
        <v>26.8956741513036</v>
      </c>
      <c r="M135" s="71" t="n">
        <f aca="false">'P02 CigConveyor Output'!M28</f>
        <v>27.6261855213855</v>
      </c>
      <c r="N135" s="71" t="n">
        <f aca="false">'P02 CigConveyor Output'!N28</f>
        <v>28.3640275488134</v>
      </c>
      <c r="O135" s="71" t="n">
        <f aca="false">'P02 CigConveyor Output'!O28</f>
        <v>29.1328220582874</v>
      </c>
      <c r="P135" s="71" t="n">
        <f aca="false">'P02 CigConveyor Output'!P28</f>
        <v>29.5485741933704</v>
      </c>
      <c r="Q135" s="71" t="n">
        <f aca="false">'P02 CigConveyor Output'!Q28</f>
        <v>30.3557126275717</v>
      </c>
      <c r="R135" s="71" t="n">
        <f aca="false">'P02 CigConveyor Output'!R28</f>
        <v>31.1702366518576</v>
      </c>
      <c r="S135" s="71" t="n">
        <f aca="false">'P02 CigConveyor Output'!S28</f>
        <v>32.0185613089214</v>
      </c>
    </row>
    <row r="136" customFormat="false" ht="15" hidden="false" customHeight="false" outlineLevel="0" collapsed="false">
      <c r="B136" s="24" t="s">
        <v>354</v>
      </c>
      <c r="C136" s="25" t="s">
        <v>170</v>
      </c>
      <c r="F136" s="58" t="n">
        <f aca="false">'P02 CigConveyor Output'!F29</f>
        <v>-35.783</v>
      </c>
      <c r="G136" s="58" t="n">
        <f aca="false">'P02 CigConveyor Output'!G29</f>
        <v>-123.614</v>
      </c>
      <c r="H136" s="58" t="n">
        <f aca="false">'P02 CigConveyor Output'!H29</f>
        <v>-109.494824467993</v>
      </c>
      <c r="I136" s="58" t="n">
        <f aca="false">'P02 CigConveyor Output'!I29</f>
        <v>-84.6404798927562</v>
      </c>
      <c r="J136" s="58" t="n">
        <f aca="false">'P02 CigConveyor Output'!J29</f>
        <v>-59.1194036853932</v>
      </c>
      <c r="K136" s="58" t="n">
        <f aca="false">'P02 CigConveyor Output'!K29</f>
        <v>-32.9033713061631</v>
      </c>
      <c r="L136" s="58" t="n">
        <f aca="false">'P02 CigConveyor Output'!L29</f>
        <v>-6.00769715485951</v>
      </c>
      <c r="M136" s="58" t="n">
        <f aca="false">'P02 CigConveyor Output'!M29</f>
        <v>21.618488366526</v>
      </c>
      <c r="N136" s="58" t="n">
        <f aca="false">'P02 CigConveyor Output'!N29</f>
        <v>49.9825159153394</v>
      </c>
      <c r="O136" s="58" t="n">
        <f aca="false">'P02 CigConveyor Output'!O29</f>
        <v>79.1153379736268</v>
      </c>
      <c r="P136" s="58" t="n">
        <f aca="false">'P02 CigConveyor Output'!P29</f>
        <v>108.663912166997</v>
      </c>
      <c r="Q136" s="58" t="n">
        <f aca="false">'P02 CigConveyor Output'!Q29</f>
        <v>139.019624794569</v>
      </c>
      <c r="R136" s="58" t="n">
        <f aca="false">'P02 CigConveyor Output'!R29</f>
        <v>170.189861446427</v>
      </c>
      <c r="S136" s="58" t="n">
        <f aca="false">'P02 CigConveyor Output'!S29</f>
        <v>202.208422755348</v>
      </c>
    </row>
    <row r="137" customFormat="false" ht="15" hidden="false" customHeight="false" outlineLevel="0" collapsed="false">
      <c r="B137" s="24" t="s">
        <v>355</v>
      </c>
      <c r="C137" s="25" t="s">
        <v>170</v>
      </c>
      <c r="F137" s="58" t="n">
        <f aca="false">'P02 CigConveyor Output'!F39</f>
        <v>35.783</v>
      </c>
      <c r="G137" s="58" t="n">
        <f aca="false">'P02 CigConveyor Output'!G39</f>
        <v>123.614</v>
      </c>
      <c r="H137" s="58" t="n">
        <f aca="false">'P02 CigConveyor Output'!H39</f>
        <v>126.384052182451</v>
      </c>
      <c r="I137" s="58" t="n">
        <f aca="false">'P02 CigConveyor Output'!I39</f>
        <v>119.071646871468</v>
      </c>
      <c r="J137" s="58" t="n">
        <f aca="false">'P02 CigConveyor Output'!J39</f>
        <v>111.762195221536</v>
      </c>
      <c r="K137" s="58" t="n">
        <f aca="false">'P02 CigConveyor Output'!K39</f>
        <v>104.44479684557</v>
      </c>
      <c r="L137" s="58" t="n">
        <f aca="false">'P02 CigConveyor Output'!L39</f>
        <v>97.1524415464637</v>
      </c>
      <c r="M137" s="58" t="n">
        <f aca="false">'P02 CigConveyor Output'!M39</f>
        <v>89.8522866571924</v>
      </c>
      <c r="N137" s="58" t="n">
        <f aca="false">'P02 CigConveyor Output'!N39</f>
        <v>82.5553796402024</v>
      </c>
      <c r="O137" s="58" t="n">
        <f aca="false">'P02 CigConveyor Output'!O39</f>
        <v>75.2494963099068</v>
      </c>
      <c r="P137" s="58" t="n">
        <f aca="false">'P02 CigConveyor Output'!P39</f>
        <v>69.4949815147731</v>
      </c>
      <c r="Q137" s="58" t="n">
        <f aca="false">'P02 CigConveyor Output'!Q39</f>
        <v>63.7316458230003</v>
      </c>
      <c r="R137" s="58" t="n">
        <f aca="false">'P02 CigConveyor Output'!R39</f>
        <v>57.9718687331272</v>
      </c>
      <c r="S137" s="58" t="n">
        <f aca="false">'P02 CigConveyor Output'!S39</f>
        <v>52.2019528214141</v>
      </c>
    </row>
    <row r="138" customFormat="false" ht="15" hidden="false" customHeight="false" outlineLevel="0" collapsed="false">
      <c r="B138" s="24" t="s">
        <v>356</v>
      </c>
      <c r="C138" s="25" t="s">
        <v>170</v>
      </c>
      <c r="E138" s="47" t="n">
        <f aca="false">SUM(F138:S138)</f>
        <v>123.614</v>
      </c>
      <c r="F138" s="58" t="n">
        <f aca="false">'P02 CigConveyor Output'!F31</f>
        <v>35.783</v>
      </c>
      <c r="G138" s="58" t="n">
        <f aca="false">'P02 CigConveyor Output'!G31</f>
        <v>87.831</v>
      </c>
      <c r="H138" s="58" t="n">
        <f aca="false">'P02 CigConveyor Output'!H31</f>
        <v>0</v>
      </c>
      <c r="I138" s="58" t="n">
        <f aca="false">'P02 CigConveyor Output'!I31</f>
        <v>0</v>
      </c>
      <c r="J138" s="58" t="n">
        <f aca="false">'P02 CigConveyor Output'!J31</f>
        <v>0</v>
      </c>
      <c r="K138" s="58" t="n">
        <f aca="false">'P02 CigConveyor Output'!K31</f>
        <v>0</v>
      </c>
      <c r="L138" s="58" t="n">
        <f aca="false">'P02 CigConveyor Output'!L31</f>
        <v>0</v>
      </c>
      <c r="M138" s="58" t="n">
        <f aca="false">'P02 CigConveyor Output'!M31</f>
        <v>0</v>
      </c>
      <c r="N138" s="58" t="n">
        <f aca="false">'P02 CigConveyor Output'!N31</f>
        <v>0</v>
      </c>
      <c r="O138" s="58" t="n">
        <f aca="false">'P02 CigConveyor Output'!O31</f>
        <v>0</v>
      </c>
      <c r="P138" s="58" t="n">
        <f aca="false">'P02 CigConveyor Output'!P31</f>
        <v>0</v>
      </c>
      <c r="Q138" s="58" t="n">
        <f aca="false">'P02 CigConveyor Output'!Q31</f>
        <v>0</v>
      </c>
      <c r="R138" s="58" t="n">
        <f aca="false">'P02 CigConveyor Output'!R31</f>
        <v>0</v>
      </c>
      <c r="S138" s="58" t="n">
        <f aca="false">'P02 CigConveyor Output'!S31</f>
        <v>0</v>
      </c>
    </row>
    <row r="139" customFormat="false" ht="15" hidden="false" customHeight="false" outlineLevel="0" collapsed="false">
      <c r="B139" s="24" t="s">
        <v>357</v>
      </c>
      <c r="C139" s="25" t="s">
        <v>170</v>
      </c>
      <c r="E139" s="47" t="n">
        <f aca="false">SUM(F139:S139)</f>
        <v>280.518261713808</v>
      </c>
      <c r="F139" s="58" t="n">
        <f aca="false">'P02 CigConveyor Output'!F46</f>
        <v>-0</v>
      </c>
      <c r="G139" s="58" t="n">
        <f aca="false">'P02 CigConveyor Output'!G46</f>
        <v>-0</v>
      </c>
      <c r="H139" s="58" t="n">
        <f aca="false">'P02 CigConveyor Output'!H46</f>
        <v>0</v>
      </c>
      <c r="I139" s="58" t="n">
        <f aca="false">'P02 CigConveyor Output'!I46</f>
        <v>0</v>
      </c>
      <c r="J139" s="58" t="n">
        <f aca="false">'P02 CigConveyor Output'!J46</f>
        <v>22.8138660543586</v>
      </c>
      <c r="K139" s="58" t="n">
        <f aca="false">'P02 CigConveyor Output'!K46</f>
        <v>20.9491675776464</v>
      </c>
      <c r="L139" s="58" t="n">
        <f aca="false">'P02 CigConveyor Output'!L46</f>
        <v>19.2124231612877</v>
      </c>
      <c r="M139" s="58" t="n">
        <f aca="false">'P02 CigConveyor Output'!M46</f>
        <v>17.6408917913882</v>
      </c>
      <c r="N139" s="58" t="n">
        <f aca="false">'P02 CigConveyor Output'!N46</f>
        <v>16.1907666522725</v>
      </c>
      <c r="O139" s="58" t="n">
        <f aca="false">'P02 CigConveyor Output'!O46</f>
        <v>14.8655839663054</v>
      </c>
      <c r="P139" s="58" t="n">
        <f aca="false">'P02 CigConveyor Output'!P46</f>
        <v>13.4783227231669</v>
      </c>
      <c r="Q139" s="58" t="n">
        <f aca="false">'P02 CigConveyor Output'!Q46</f>
        <v>12.3776915779601</v>
      </c>
      <c r="R139" s="58" t="n">
        <f aca="false">'P02 CigConveyor Output'!R46</f>
        <v>11.3615929735614</v>
      </c>
      <c r="S139" s="58" t="n">
        <f aca="false">'P02 CigConveyor Output'!S46</f>
        <v>131.627955235861</v>
      </c>
    </row>
    <row r="140" customFormat="false" ht="15" hidden="false" customHeight="false" outlineLevel="0" collapsed="false">
      <c r="B140" s="3" t="s">
        <v>358</v>
      </c>
      <c r="C140" s="73" t="s">
        <v>359</v>
      </c>
      <c r="D140" s="74" t="n">
        <f aca="false">'P02 CigConveyor Output'!$E$47</f>
        <v>280.518261713808</v>
      </c>
      <c r="E140" s="73" t="s">
        <v>360</v>
      </c>
      <c r="F140" s="75" t="n">
        <f aca="false">IF(ISNUMBER('P02 CigConveyor Output'!$E$49),'P02 CigConveyor Output'!$E$49,"n/a")</f>
        <v>0.162103645956107</v>
      </c>
      <c r="G140" s="73" t="s">
        <v>361</v>
      </c>
      <c r="H140" s="75" t="n">
        <f aca="false">IF(ISNUMBER('P02 CigConveyor Output'!$E$50),'P02 CigConveyor Output'!$E$50,"n/a")</f>
        <v>0.224915506232389</v>
      </c>
      <c r="I140" s="73" t="s">
        <v>362</v>
      </c>
      <c r="J140" s="76" t="n">
        <f aca="false">IF(ISNUMBER('P02 CigConveyor Output'!$E$52),'P02 CigConveyor Output'!$E$52,"n/a")</f>
        <v>2030</v>
      </c>
      <c r="K140" s="73" t="s">
        <v>363</v>
      </c>
      <c r="L140" s="74" t="n">
        <f aca="false">'P02 CigConveyor Output'!$E$54</f>
        <v>8</v>
      </c>
      <c r="M140" s="73" t="s">
        <v>364</v>
      </c>
      <c r="N140" s="74" t="n">
        <f aca="false">'P02 CigConveyor Output'!$E$55</f>
        <v>0</v>
      </c>
    </row>
    <row r="142" customFormat="false" ht="15" hidden="false" customHeight="false" outlineLevel="0" collapsed="false">
      <c r="B142" s="22" t="s">
        <v>370</v>
      </c>
      <c r="C142" s="23"/>
      <c r="D142" s="23"/>
      <c r="E142" s="23"/>
      <c r="F142" s="23"/>
      <c r="G142" s="23"/>
      <c r="H142" s="23"/>
      <c r="I142" s="23"/>
      <c r="J142" s="23"/>
      <c r="K142" s="23"/>
      <c r="L142" s="23"/>
      <c r="M142" s="23"/>
      <c r="N142" s="23"/>
      <c r="O142" s="23"/>
      <c r="P142" s="23"/>
      <c r="Q142" s="23"/>
      <c r="R142" s="23"/>
      <c r="S142" s="23"/>
    </row>
    <row r="143" customFormat="false" ht="15" hidden="false" customHeight="false" outlineLevel="0" collapsed="false">
      <c r="B143" s="5" t="s">
        <v>49</v>
      </c>
      <c r="C143" s="17" t="s">
        <v>27</v>
      </c>
      <c r="D143" s="17" t="s">
        <v>28</v>
      </c>
      <c r="E143" s="17" t="s">
        <v>29</v>
      </c>
      <c r="G143" s="5" t="str">
        <f aca="false">"In valuation: "&amp;'Global Inputs'!$E$95&amp;"  |  case: "&amp;'Global Inputs'!$F$95&amp;"  |  FSL interest: "&amp;TEXT('Global Inputs'!$G$95,"0%")</f>
        <v>In valuation: 1  |  case: 1  |  FSL interest: 100%</v>
      </c>
    </row>
    <row r="144" customFormat="false" ht="15" hidden="false" customHeight="false" outlineLevel="0" collapsed="false">
      <c r="B144" s="24" t="s">
        <v>345</v>
      </c>
      <c r="C144" s="25" t="s">
        <v>170</v>
      </c>
      <c r="E144" s="47" t="n">
        <f aca="false">SUM(F144:S144)</f>
        <v>607.858237485734</v>
      </c>
      <c r="F144" s="58" t="n">
        <f aca="false">'P03 KBSWarehouse Output'!F11</f>
        <v>0</v>
      </c>
      <c r="G144" s="58" t="n">
        <f aca="false">'P03 KBSWarehouse Output'!G11</f>
        <v>0</v>
      </c>
      <c r="H144" s="58" t="n">
        <f aca="false">'P03 KBSWarehouse Output'!H11</f>
        <v>0</v>
      </c>
      <c r="I144" s="58" t="n">
        <f aca="false">'P03 KBSWarehouse Output'!I11</f>
        <v>0</v>
      </c>
      <c r="J144" s="58" t="n">
        <f aca="false">'P03 KBSWarehouse Output'!J11</f>
        <v>53.023782</v>
      </c>
      <c r="K144" s="58" t="n">
        <f aca="false">'P03 KBSWarehouse Output'!K11</f>
        <v>54.61449546</v>
      </c>
      <c r="L144" s="58" t="n">
        <f aca="false">'P03 KBSWarehouse Output'!L11</f>
        <v>56.2529303238</v>
      </c>
      <c r="M144" s="58" t="n">
        <f aca="false">'P03 KBSWarehouse Output'!M11</f>
        <v>57.940518233514</v>
      </c>
      <c r="N144" s="58" t="n">
        <f aca="false">'P03 KBSWarehouse Output'!N11</f>
        <v>59.6787337805194</v>
      </c>
      <c r="O144" s="58" t="n">
        <f aca="false">'P03 KBSWarehouse Output'!O11</f>
        <v>61.469095793935</v>
      </c>
      <c r="P144" s="58" t="n">
        <f aca="false">'P03 KBSWarehouse Output'!P11</f>
        <v>63.3131686677531</v>
      </c>
      <c r="Q144" s="58" t="n">
        <f aca="false">'P03 KBSWarehouse Output'!Q11</f>
        <v>65.2125637277857</v>
      </c>
      <c r="R144" s="58" t="n">
        <f aca="false">'P03 KBSWarehouse Output'!R11</f>
        <v>67.1689406396192</v>
      </c>
      <c r="S144" s="58" t="n">
        <f aca="false">'P03 KBSWarehouse Output'!S11</f>
        <v>69.1840088588078</v>
      </c>
    </row>
    <row r="145" customFormat="false" ht="15" hidden="false" customHeight="false" outlineLevel="0" collapsed="false">
      <c r="B145" s="24" t="s">
        <v>346</v>
      </c>
      <c r="C145" s="25" t="s">
        <v>170</v>
      </c>
      <c r="E145" s="47" t="n">
        <f aca="false">SUM(F145:S145)</f>
        <v>243.143294994294</v>
      </c>
      <c r="F145" s="58" t="n">
        <f aca="false">'P03 KBSWarehouse Output'!F15</f>
        <v>0</v>
      </c>
      <c r="G145" s="58" t="n">
        <f aca="false">'P03 KBSWarehouse Output'!G15</f>
        <v>0</v>
      </c>
      <c r="H145" s="58" t="n">
        <f aca="false">'P03 KBSWarehouse Output'!H15</f>
        <v>0</v>
      </c>
      <c r="I145" s="58" t="n">
        <f aca="false">'P03 KBSWarehouse Output'!I15</f>
        <v>0</v>
      </c>
      <c r="J145" s="58" t="n">
        <f aca="false">'P03 KBSWarehouse Output'!J15</f>
        <v>21.2095128</v>
      </c>
      <c r="K145" s="58" t="n">
        <f aca="false">'P03 KBSWarehouse Output'!K15</f>
        <v>21.845798184</v>
      </c>
      <c r="L145" s="58" t="n">
        <f aca="false">'P03 KBSWarehouse Output'!L15</f>
        <v>22.50117212952</v>
      </c>
      <c r="M145" s="58" t="n">
        <f aca="false">'P03 KBSWarehouse Output'!M15</f>
        <v>23.1762072934056</v>
      </c>
      <c r="N145" s="58" t="n">
        <f aca="false">'P03 KBSWarehouse Output'!N15</f>
        <v>23.8714935122078</v>
      </c>
      <c r="O145" s="58" t="n">
        <f aca="false">'P03 KBSWarehouse Output'!O15</f>
        <v>24.587638317574</v>
      </c>
      <c r="P145" s="58" t="n">
        <f aca="false">'P03 KBSWarehouse Output'!P15</f>
        <v>25.3252674671012</v>
      </c>
      <c r="Q145" s="58" t="n">
        <f aca="false">'P03 KBSWarehouse Output'!Q15</f>
        <v>26.0850254911143</v>
      </c>
      <c r="R145" s="58" t="n">
        <f aca="false">'P03 KBSWarehouse Output'!R15</f>
        <v>26.8675762558477</v>
      </c>
      <c r="S145" s="58" t="n">
        <f aca="false">'P03 KBSWarehouse Output'!S15</f>
        <v>27.6736035435231</v>
      </c>
    </row>
    <row r="146" customFormat="false" ht="15" hidden="false" customHeight="false" outlineLevel="0" collapsed="false">
      <c r="B146" s="69" t="s">
        <v>347</v>
      </c>
      <c r="C146" s="25" t="s">
        <v>170</v>
      </c>
      <c r="E146" s="70" t="n">
        <f aca="false">SUM(F146:S146)</f>
        <v>194.148316819294</v>
      </c>
      <c r="F146" s="71" t="n">
        <f aca="false">'P03 KBSWarehouse Output'!F17</f>
        <v>0</v>
      </c>
      <c r="G146" s="71" t="n">
        <f aca="false">'P03 KBSWarehouse Output'!G17</f>
        <v>0</v>
      </c>
      <c r="H146" s="71" t="n">
        <f aca="false">'P03 KBSWarehouse Output'!H17</f>
        <v>0</v>
      </c>
      <c r="I146" s="71" t="n">
        <f aca="false">'P03 KBSWarehouse Output'!I17</f>
        <v>0</v>
      </c>
      <c r="J146" s="71" t="n">
        <f aca="false">'P03 KBSWarehouse Output'!J17</f>
        <v>16.3100149825</v>
      </c>
      <c r="K146" s="71" t="n">
        <f aca="false">'P03 KBSWarehouse Output'!K17</f>
        <v>16.9463003665</v>
      </c>
      <c r="L146" s="71" t="n">
        <f aca="false">'P03 KBSWarehouse Output'!L17</f>
        <v>17.60167431202</v>
      </c>
      <c r="M146" s="71" t="n">
        <f aca="false">'P03 KBSWarehouse Output'!M17</f>
        <v>18.2767094759056</v>
      </c>
      <c r="N146" s="71" t="n">
        <f aca="false">'P03 KBSWarehouse Output'!N17</f>
        <v>18.9719956947078</v>
      </c>
      <c r="O146" s="71" t="n">
        <f aca="false">'P03 KBSWarehouse Output'!O17</f>
        <v>19.688140500074</v>
      </c>
      <c r="P146" s="71" t="n">
        <f aca="false">'P03 KBSWarehouse Output'!P17</f>
        <v>20.4257696496012</v>
      </c>
      <c r="Q146" s="71" t="n">
        <f aca="false">'P03 KBSWarehouse Output'!Q17</f>
        <v>21.1855276736143</v>
      </c>
      <c r="R146" s="71" t="n">
        <f aca="false">'P03 KBSWarehouse Output'!R17</f>
        <v>21.9680784383477</v>
      </c>
      <c r="S146" s="71" t="n">
        <f aca="false">'P03 KBSWarehouse Output'!S17</f>
        <v>22.7741057260231</v>
      </c>
    </row>
    <row r="147" customFormat="false" ht="15" hidden="false" customHeight="false" outlineLevel="0" collapsed="false">
      <c r="B147" s="24" t="s">
        <v>348</v>
      </c>
      <c r="C147" s="25" t="s">
        <v>170</v>
      </c>
      <c r="E147" s="47" t="n">
        <f aca="false">SUM(F147:S147)</f>
        <v>151.435687119049</v>
      </c>
      <c r="F147" s="58" t="n">
        <f aca="false">'P03 KBSWarehouse Output'!F19</f>
        <v>0</v>
      </c>
      <c r="G147" s="58" t="n">
        <f aca="false">'P03 KBSWarehouse Output'!G19</f>
        <v>0</v>
      </c>
      <c r="H147" s="58" t="n">
        <f aca="false">'P03 KBSWarehouse Output'!H19</f>
        <v>0</v>
      </c>
      <c r="I147" s="58" t="n">
        <f aca="false">'P03 KBSWarehouse Output'!I19</f>
        <v>0</v>
      </c>
      <c r="J147" s="58" t="n">
        <f aca="false">'P03 KBSWarehouse Output'!J19</f>
        <v>12.72181168635</v>
      </c>
      <c r="K147" s="58" t="n">
        <f aca="false">'P03 KBSWarehouse Output'!K19</f>
        <v>13.21811428587</v>
      </c>
      <c r="L147" s="58" t="n">
        <f aca="false">'P03 KBSWarehouse Output'!L19</f>
        <v>13.7293059633756</v>
      </c>
      <c r="M147" s="58" t="n">
        <f aca="false">'P03 KBSWarehouse Output'!M19</f>
        <v>14.2558333912064</v>
      </c>
      <c r="N147" s="58" t="n">
        <f aca="false">'P03 KBSWarehouse Output'!N19</f>
        <v>14.7981566418721</v>
      </c>
      <c r="O147" s="58" t="n">
        <f aca="false">'P03 KBSWarehouse Output'!O19</f>
        <v>15.3567495900577</v>
      </c>
      <c r="P147" s="58" t="n">
        <f aca="false">'P03 KBSWarehouse Output'!P19</f>
        <v>15.932100326689</v>
      </c>
      <c r="Q147" s="58" t="n">
        <f aca="false">'P03 KBSWarehouse Output'!Q19</f>
        <v>16.5247115854191</v>
      </c>
      <c r="R147" s="58" t="n">
        <f aca="false">'P03 KBSWarehouse Output'!R19</f>
        <v>17.1351011819112</v>
      </c>
      <c r="S147" s="58" t="n">
        <f aca="false">'P03 KBSWarehouse Output'!S19</f>
        <v>17.763802466298</v>
      </c>
    </row>
    <row r="148" customFormat="false" ht="15" hidden="false" customHeight="false" outlineLevel="0" collapsed="false">
      <c r="B148" s="24" t="s">
        <v>349</v>
      </c>
      <c r="C148" s="25" t="s">
        <v>170</v>
      </c>
      <c r="E148" s="47" t="n">
        <f aca="false">SUM(F148:S148)</f>
        <v>-48.994978175</v>
      </c>
      <c r="F148" s="58" t="n">
        <f aca="false">'P03 KBSWarehouse Output'!F16</f>
        <v>-0</v>
      </c>
      <c r="G148" s="58" t="n">
        <f aca="false">'P03 KBSWarehouse Output'!G16</f>
        <v>-0</v>
      </c>
      <c r="H148" s="58" t="n">
        <f aca="false">'P03 KBSWarehouse Output'!H16</f>
        <v>-0</v>
      </c>
      <c r="I148" s="58" t="n">
        <f aca="false">'P03 KBSWarehouse Output'!I16</f>
        <v>-0</v>
      </c>
      <c r="J148" s="58" t="n">
        <f aca="false">'P03 KBSWarehouse Output'!J16</f>
        <v>-4.8994978175</v>
      </c>
      <c r="K148" s="58" t="n">
        <f aca="false">'P03 KBSWarehouse Output'!K16</f>
        <v>-4.8994978175</v>
      </c>
      <c r="L148" s="58" t="n">
        <f aca="false">'P03 KBSWarehouse Output'!L16</f>
        <v>-4.8994978175</v>
      </c>
      <c r="M148" s="58" t="n">
        <f aca="false">'P03 KBSWarehouse Output'!M16</f>
        <v>-4.8994978175</v>
      </c>
      <c r="N148" s="58" t="n">
        <f aca="false">'P03 KBSWarehouse Output'!N16</f>
        <v>-4.8994978175</v>
      </c>
      <c r="O148" s="58" t="n">
        <f aca="false">'P03 KBSWarehouse Output'!O16</f>
        <v>-4.8994978175</v>
      </c>
      <c r="P148" s="58" t="n">
        <f aca="false">'P03 KBSWarehouse Output'!P16</f>
        <v>-4.8994978175</v>
      </c>
      <c r="Q148" s="58" t="n">
        <f aca="false">'P03 KBSWarehouse Output'!Q16</f>
        <v>-4.8994978175</v>
      </c>
      <c r="R148" s="58" t="n">
        <f aca="false">'P03 KBSWarehouse Output'!R16</f>
        <v>-4.8994978175</v>
      </c>
      <c r="S148" s="58" t="n">
        <f aca="false">'P03 KBSWarehouse Output'!S16</f>
        <v>-4.8994978175</v>
      </c>
    </row>
    <row r="149" customFormat="false" ht="15" hidden="false" customHeight="false" outlineLevel="0" collapsed="false">
      <c r="B149" s="24" t="s">
        <v>350</v>
      </c>
      <c r="C149" s="25" t="s">
        <v>240</v>
      </c>
      <c r="E149" s="44" t="n">
        <f aca="false">SUM(F149:S149)</f>
        <v>6.02459</v>
      </c>
      <c r="F149" s="72" t="n">
        <f aca="false">'P03 KBSWarehouse Output'!F34</f>
        <v>0</v>
      </c>
      <c r="G149" s="72" t="n">
        <f aca="false">'P03 KBSWarehouse Output'!G34</f>
        <v>0</v>
      </c>
      <c r="H149" s="72" t="n">
        <f aca="false">'P03 KBSWarehouse Output'!H34</f>
        <v>0</v>
      </c>
      <c r="I149" s="72" t="n">
        <f aca="false">'P03 KBSWarehouse Output'!I34</f>
        <v>6.02459</v>
      </c>
      <c r="J149" s="72" t="n">
        <f aca="false">'P03 KBSWarehouse Output'!J34</f>
        <v>0</v>
      </c>
      <c r="K149" s="72" t="n">
        <f aca="false">'P03 KBSWarehouse Output'!K34</f>
        <v>0</v>
      </c>
      <c r="L149" s="72" t="n">
        <f aca="false">'P03 KBSWarehouse Output'!L34</f>
        <v>0</v>
      </c>
      <c r="M149" s="72" t="n">
        <f aca="false">'P03 KBSWarehouse Output'!M34</f>
        <v>0</v>
      </c>
      <c r="N149" s="72" t="n">
        <f aca="false">'P03 KBSWarehouse Output'!N34</f>
        <v>0</v>
      </c>
      <c r="O149" s="72" t="n">
        <f aca="false">'P03 KBSWarehouse Output'!O34</f>
        <v>0</v>
      </c>
      <c r="P149" s="72" t="n">
        <f aca="false">'P03 KBSWarehouse Output'!P34</f>
        <v>0</v>
      </c>
      <c r="Q149" s="72" t="n">
        <f aca="false">'P03 KBSWarehouse Output'!Q34</f>
        <v>0</v>
      </c>
      <c r="R149" s="72" t="n">
        <f aca="false">'P03 KBSWarehouse Output'!R34</f>
        <v>0</v>
      </c>
      <c r="S149" s="72" t="n">
        <f aca="false">'P03 KBSWarehouse Output'!S34</f>
        <v>0</v>
      </c>
    </row>
    <row r="150" customFormat="false" ht="15" hidden="false" customHeight="false" outlineLevel="0" collapsed="false">
      <c r="B150" s="24" t="s">
        <v>351</v>
      </c>
      <c r="C150" s="25" t="s">
        <v>170</v>
      </c>
      <c r="E150" s="47" t="n">
        <f aca="false">SUM(F150:S150)</f>
        <v>97.98995635</v>
      </c>
      <c r="F150" s="58" t="n">
        <f aca="false">'P03 KBSWarehouse Output'!F35</f>
        <v>0</v>
      </c>
      <c r="G150" s="58" t="n">
        <f aca="false">'P03 KBSWarehouse Output'!G35</f>
        <v>0</v>
      </c>
      <c r="H150" s="58" t="n">
        <f aca="false">'P03 KBSWarehouse Output'!H35</f>
        <v>0</v>
      </c>
      <c r="I150" s="58" t="n">
        <f aca="false">'P03 KBSWarehouse Output'!I35</f>
        <v>97.98995635</v>
      </c>
      <c r="J150" s="58" t="n">
        <f aca="false">'P03 KBSWarehouse Output'!J35</f>
        <v>0</v>
      </c>
      <c r="K150" s="58" t="n">
        <f aca="false">'P03 KBSWarehouse Output'!K35</f>
        <v>0</v>
      </c>
      <c r="L150" s="58" t="n">
        <f aca="false">'P03 KBSWarehouse Output'!L35</f>
        <v>0</v>
      </c>
      <c r="M150" s="58" t="n">
        <f aca="false">'P03 KBSWarehouse Output'!M35</f>
        <v>0</v>
      </c>
      <c r="N150" s="58" t="n">
        <f aca="false">'P03 KBSWarehouse Output'!N35</f>
        <v>0</v>
      </c>
      <c r="O150" s="58" t="n">
        <f aca="false">'P03 KBSWarehouse Output'!O35</f>
        <v>0</v>
      </c>
      <c r="P150" s="58" t="n">
        <f aca="false">'P03 KBSWarehouse Output'!P35</f>
        <v>0</v>
      </c>
      <c r="Q150" s="58" t="n">
        <f aca="false">'P03 KBSWarehouse Output'!Q35</f>
        <v>0</v>
      </c>
      <c r="R150" s="58" t="n">
        <f aca="false">'P03 KBSWarehouse Output'!R35</f>
        <v>0</v>
      </c>
      <c r="S150" s="58" t="n">
        <f aca="false">'P03 KBSWarehouse Output'!S35</f>
        <v>0</v>
      </c>
    </row>
    <row r="151" customFormat="false" ht="15" hidden="false" customHeight="false" outlineLevel="0" collapsed="false">
      <c r="B151" s="24" t="s">
        <v>352</v>
      </c>
      <c r="C151" s="25" t="s">
        <v>170</v>
      </c>
      <c r="E151" s="47" t="n">
        <f aca="false">SUM(F151:S151)</f>
        <v>-7.93914855756811</v>
      </c>
      <c r="F151" s="58" t="n">
        <f aca="false">'P03 KBSWarehouse Output'!F27</f>
        <v>-0</v>
      </c>
      <c r="G151" s="58" t="n">
        <f aca="false">'P03 KBSWarehouse Output'!G27</f>
        <v>-0</v>
      </c>
      <c r="H151" s="58" t="n">
        <f aca="false">'P03 KBSWarehouse Output'!H27</f>
        <v>-0</v>
      </c>
      <c r="I151" s="58" t="n">
        <f aca="false">'P03 KBSWarehouse Output'!I27</f>
        <v>-0</v>
      </c>
      <c r="J151" s="58" t="n">
        <f aca="false">'P03 KBSWarehouse Output'!J27</f>
        <v>-6.10136669589041</v>
      </c>
      <c r="K151" s="58" t="n">
        <f aca="false">'P03 KBSWarehouse Output'!K27</f>
        <v>-0.165870488044015</v>
      </c>
      <c r="L151" s="58" t="n">
        <f aca="false">'P03 KBSWarehouse Output'!L27</f>
        <v>-0.205702743735712</v>
      </c>
      <c r="M151" s="58" t="n">
        <f aca="false">'P03 KBSWarehouse Output'!M27</f>
        <v>-0.194188197830104</v>
      </c>
      <c r="N151" s="58" t="n">
        <f aca="false">'P03 KBSWarehouse Output'!N27</f>
        <v>-0.200013843765008</v>
      </c>
      <c r="O151" s="58" t="n">
        <f aca="false">'P03 KBSWarehouse Output'!O27</f>
        <v>-0.186688695612538</v>
      </c>
      <c r="P151" s="58" t="n">
        <f aca="false">'P03 KBSWarehouse Output'!P27</f>
        <v>-0.231520250315716</v>
      </c>
      <c r="Q151" s="58" t="n">
        <f aca="false">'P03 KBSWarehouse Output'!Q27</f>
        <v>-0.218560527455803</v>
      </c>
      <c r="R151" s="58" t="n">
        <f aca="false">'P03 KBSWarehouse Output'!R27</f>
        <v>-0.225117343279483</v>
      </c>
      <c r="S151" s="58" t="n">
        <f aca="false">'P03 KBSWarehouse Output'!S27</f>
        <v>-0.210119771639318</v>
      </c>
    </row>
    <row r="152" customFormat="false" ht="15" hidden="false" customHeight="false" outlineLevel="0" collapsed="false">
      <c r="B152" s="69" t="s">
        <v>353</v>
      </c>
      <c r="C152" s="25" t="s">
        <v>170</v>
      </c>
      <c r="E152" s="70" t="n">
        <f aca="false">SUM(F152:S152)</f>
        <v>94.501560386481</v>
      </c>
      <c r="F152" s="71" t="n">
        <f aca="false">'P03 KBSWarehouse Output'!F28</f>
        <v>0</v>
      </c>
      <c r="G152" s="71" t="n">
        <f aca="false">'P03 KBSWarehouse Output'!G28</f>
        <v>0</v>
      </c>
      <c r="H152" s="71" t="n">
        <f aca="false">'P03 KBSWarehouse Output'!H28</f>
        <v>0</v>
      </c>
      <c r="I152" s="71" t="n">
        <f aca="false">'P03 KBSWarehouse Output'!I28</f>
        <v>-97.98995635</v>
      </c>
      <c r="J152" s="71" t="n">
        <f aca="false">'P03 KBSWarehouse Output'!J28</f>
        <v>11.5199428079596</v>
      </c>
      <c r="K152" s="71" t="n">
        <f aca="false">'P03 KBSWarehouse Output'!K28</f>
        <v>17.951741615326</v>
      </c>
      <c r="L152" s="71" t="n">
        <f aca="false">'P03 KBSWarehouse Output'!L28</f>
        <v>18.4231010371399</v>
      </c>
      <c r="M152" s="71" t="n">
        <f aca="false">'P03 KBSWarehouse Output'!M28</f>
        <v>18.9611430108763</v>
      </c>
      <c r="N152" s="71" t="n">
        <f aca="false">'P03 KBSWarehouse Output'!N28</f>
        <v>19.4976406156071</v>
      </c>
      <c r="O152" s="71" t="n">
        <f aca="false">'P03 KBSWarehouse Output'!O28</f>
        <v>20.0695587119452</v>
      </c>
      <c r="P152" s="71" t="n">
        <f aca="false">'P03 KBSWarehouse Output'!P28</f>
        <v>20.6000778938732</v>
      </c>
      <c r="Q152" s="71" t="n">
        <f aca="false">'P03 KBSWarehouse Output'!Q28</f>
        <v>21.2056488754633</v>
      </c>
      <c r="R152" s="71" t="n">
        <f aca="false">'P03 KBSWarehouse Output'!R28</f>
        <v>21.8094816561317</v>
      </c>
      <c r="S152" s="71" t="n">
        <f aca="false">'P03 KBSWarehouse Output'!S28</f>
        <v>22.4531805121587</v>
      </c>
    </row>
    <row r="153" customFormat="false" ht="15" hidden="false" customHeight="false" outlineLevel="0" collapsed="false">
      <c r="B153" s="24" t="s">
        <v>354</v>
      </c>
      <c r="C153" s="25" t="s">
        <v>170</v>
      </c>
      <c r="F153" s="58" t="n">
        <f aca="false">'P03 KBSWarehouse Output'!F29</f>
        <v>0</v>
      </c>
      <c r="G153" s="58" t="n">
        <f aca="false">'P03 KBSWarehouse Output'!G29</f>
        <v>0</v>
      </c>
      <c r="H153" s="58" t="n">
        <f aca="false">'P03 KBSWarehouse Output'!H29</f>
        <v>0</v>
      </c>
      <c r="I153" s="58" t="n">
        <f aca="false">'P03 KBSWarehouse Output'!I29</f>
        <v>-97.98995635</v>
      </c>
      <c r="J153" s="58" t="n">
        <f aca="false">'P03 KBSWarehouse Output'!J29</f>
        <v>-86.4700135420404</v>
      </c>
      <c r="K153" s="58" t="n">
        <f aca="false">'P03 KBSWarehouse Output'!K29</f>
        <v>-68.5182719267144</v>
      </c>
      <c r="L153" s="58" t="n">
        <f aca="false">'P03 KBSWarehouse Output'!L29</f>
        <v>-50.0951708895745</v>
      </c>
      <c r="M153" s="58" t="n">
        <f aca="false">'P03 KBSWarehouse Output'!M29</f>
        <v>-31.1340278786983</v>
      </c>
      <c r="N153" s="58" t="n">
        <f aca="false">'P03 KBSWarehouse Output'!N29</f>
        <v>-11.6363872630912</v>
      </c>
      <c r="O153" s="58" t="n">
        <f aca="false">'P03 KBSWarehouse Output'!O29</f>
        <v>8.43317144885396</v>
      </c>
      <c r="P153" s="58" t="n">
        <f aca="false">'P03 KBSWarehouse Output'!P29</f>
        <v>29.0332493427272</v>
      </c>
      <c r="Q153" s="58" t="n">
        <f aca="false">'P03 KBSWarehouse Output'!Q29</f>
        <v>50.2388982181905</v>
      </c>
      <c r="R153" s="58" t="n">
        <f aca="false">'P03 KBSWarehouse Output'!R29</f>
        <v>72.0483798743222</v>
      </c>
      <c r="S153" s="58" t="n">
        <f aca="false">'P03 KBSWarehouse Output'!S29</f>
        <v>94.501560386481</v>
      </c>
    </row>
    <row r="154" customFormat="false" ht="15" hidden="false" customHeight="false" outlineLevel="0" collapsed="false">
      <c r="B154" s="24" t="s">
        <v>355</v>
      </c>
      <c r="C154" s="25" t="s">
        <v>170</v>
      </c>
      <c r="F154" s="58" t="n">
        <f aca="false">'P03 KBSWarehouse Output'!F39</f>
        <v>0</v>
      </c>
      <c r="G154" s="58" t="n">
        <f aca="false">'P03 KBSWarehouse Output'!G39</f>
        <v>0</v>
      </c>
      <c r="H154" s="58" t="n">
        <f aca="false">'P03 KBSWarehouse Output'!H39</f>
        <v>0</v>
      </c>
      <c r="I154" s="58" t="n">
        <f aca="false">'P03 KBSWarehouse Output'!I39</f>
        <v>97.98995635</v>
      </c>
      <c r="J154" s="58" t="n">
        <f aca="false">'P03 KBSWarehouse Output'!J39</f>
        <v>99.1918252283904</v>
      </c>
      <c r="K154" s="58" t="n">
        <f aca="false">'P03 KBSWarehouse Output'!K39</f>
        <v>94.4581978989344</v>
      </c>
      <c r="L154" s="58" t="n">
        <f aca="false">'P03 KBSWarehouse Output'!L39</f>
        <v>89.7644028251701</v>
      </c>
      <c r="M154" s="58" t="n">
        <f aca="false">'P03 KBSWarehouse Output'!M39</f>
        <v>85.0590932055002</v>
      </c>
      <c r="N154" s="58" t="n">
        <f aca="false">'P03 KBSWarehouse Output'!N39</f>
        <v>80.3596092317652</v>
      </c>
      <c r="O154" s="58" t="n">
        <f aca="false">'P03 KBSWarehouse Output'!O39</f>
        <v>75.6468001098778</v>
      </c>
      <c r="P154" s="58" t="n">
        <f aca="false">'P03 KBSWarehouse Output'!P39</f>
        <v>70.9788225426935</v>
      </c>
      <c r="Q154" s="58" t="n">
        <f aca="false">'P03 KBSWarehouse Output'!Q39</f>
        <v>66.2978852526493</v>
      </c>
      <c r="R154" s="58" t="n">
        <f aca="false">'P03 KBSWarehouse Output'!R39</f>
        <v>61.6235047784288</v>
      </c>
      <c r="S154" s="58" t="n">
        <f aca="false">'P03 KBSWarehouse Output'!S39</f>
        <v>56.9341267325681</v>
      </c>
    </row>
    <row r="155" customFormat="false" ht="15" hidden="false" customHeight="false" outlineLevel="0" collapsed="false">
      <c r="B155" s="24" t="s">
        <v>356</v>
      </c>
      <c r="C155" s="25" t="s">
        <v>170</v>
      </c>
      <c r="E155" s="47" t="n">
        <f aca="false">SUM(F155:S155)</f>
        <v>97.98995635</v>
      </c>
      <c r="F155" s="58" t="n">
        <f aca="false">'P03 KBSWarehouse Output'!F31</f>
        <v>-0</v>
      </c>
      <c r="G155" s="58" t="n">
        <f aca="false">'P03 KBSWarehouse Output'!G31</f>
        <v>-0</v>
      </c>
      <c r="H155" s="58" t="n">
        <f aca="false">'P03 KBSWarehouse Output'!H31</f>
        <v>-0</v>
      </c>
      <c r="I155" s="58" t="n">
        <f aca="false">'P03 KBSWarehouse Output'!I31</f>
        <v>97.98995635</v>
      </c>
      <c r="J155" s="58" t="n">
        <f aca="false">'P03 KBSWarehouse Output'!J31</f>
        <v>0</v>
      </c>
      <c r="K155" s="58" t="n">
        <f aca="false">'P03 KBSWarehouse Output'!K31</f>
        <v>0</v>
      </c>
      <c r="L155" s="58" t="n">
        <f aca="false">'P03 KBSWarehouse Output'!L31</f>
        <v>0</v>
      </c>
      <c r="M155" s="58" t="n">
        <f aca="false">'P03 KBSWarehouse Output'!M31</f>
        <v>0</v>
      </c>
      <c r="N155" s="58" t="n">
        <f aca="false">'P03 KBSWarehouse Output'!N31</f>
        <v>0</v>
      </c>
      <c r="O155" s="58" t="n">
        <f aca="false">'P03 KBSWarehouse Output'!O31</f>
        <v>0</v>
      </c>
      <c r="P155" s="58" t="n">
        <f aca="false">'P03 KBSWarehouse Output'!P31</f>
        <v>0</v>
      </c>
      <c r="Q155" s="58" t="n">
        <f aca="false">'P03 KBSWarehouse Output'!Q31</f>
        <v>0</v>
      </c>
      <c r="R155" s="58" t="n">
        <f aca="false">'P03 KBSWarehouse Output'!R31</f>
        <v>0</v>
      </c>
      <c r="S155" s="58" t="n">
        <f aca="false">'P03 KBSWarehouse Output'!S31</f>
        <v>0</v>
      </c>
    </row>
    <row r="156" customFormat="false" ht="15" hidden="false" customHeight="false" outlineLevel="0" collapsed="false">
      <c r="B156" s="24" t="s">
        <v>357</v>
      </c>
      <c r="C156" s="25" t="s">
        <v>170</v>
      </c>
      <c r="E156" s="47" t="n">
        <f aca="false">SUM(F156:S156)</f>
        <v>189.579245679262</v>
      </c>
      <c r="F156" s="58" t="n">
        <f aca="false">'P03 KBSWarehouse Output'!F46</f>
        <v>0</v>
      </c>
      <c r="G156" s="58" t="n">
        <f aca="false">'P03 KBSWarehouse Output'!G46</f>
        <v>0</v>
      </c>
      <c r="H156" s="58" t="n">
        <f aca="false">'P03 KBSWarehouse Output'!H46</f>
        <v>0</v>
      </c>
      <c r="I156" s="58" t="n">
        <f aca="false">'P03 KBSWarehouse Output'!I46</f>
        <v>-0</v>
      </c>
      <c r="J156" s="58" t="n">
        <f aca="false">'P03 KBSWarehouse Output'!J46</f>
        <v>10.2979368910328</v>
      </c>
      <c r="K156" s="58" t="n">
        <f aca="false">'P03 KBSWarehouse Output'!K46</f>
        <v>14.3451929708487</v>
      </c>
      <c r="L156" s="58" t="n">
        <f aca="false">'P03 KBSWarehouse Output'!L46</f>
        <v>13.160198590952</v>
      </c>
      <c r="M156" s="58" t="n">
        <f aca="false">'P03 KBSWarehouse Output'!M46</f>
        <v>12.1077689801574</v>
      </c>
      <c r="N156" s="58" t="n">
        <f aca="false">'P03 KBSWarehouse Output'!N46</f>
        <v>11.1296517722629</v>
      </c>
      <c r="O156" s="58" t="n">
        <f aca="false">'P03 KBSWarehouse Output'!O46</f>
        <v>10.2408791569249</v>
      </c>
      <c r="P156" s="58" t="n">
        <f aca="false">'P03 KBSWarehouse Output'!P46</f>
        <v>9.39654469142866</v>
      </c>
      <c r="Q156" s="58" t="n">
        <f aca="false">'P03 KBSWarehouse Output'!Q46</f>
        <v>8.64670794295886</v>
      </c>
      <c r="R156" s="58" t="n">
        <f aca="false">'P03 KBSWarehouse Output'!R46</f>
        <v>7.94958525047178</v>
      </c>
      <c r="S156" s="58" t="n">
        <f aca="false">'P03 KBSWarehouse Output'!S46</f>
        <v>92.304779432224</v>
      </c>
    </row>
    <row r="157" customFormat="false" ht="15" hidden="false" customHeight="false" outlineLevel="0" collapsed="false">
      <c r="B157" s="3" t="s">
        <v>358</v>
      </c>
      <c r="C157" s="73" t="s">
        <v>359</v>
      </c>
      <c r="D157" s="74" t="n">
        <f aca="false">'P03 KBSWarehouse Output'!$E$47</f>
        <v>189.579245679262</v>
      </c>
      <c r="E157" s="73" t="s">
        <v>360</v>
      </c>
      <c r="F157" s="75" t="n">
        <f aca="false">IF(ISNUMBER('P03 KBSWarehouse Output'!$E$49),'P03 KBSWarehouse Output'!$E$49,"n/a")</f>
        <v>0.13347382720029</v>
      </c>
      <c r="G157" s="73" t="s">
        <v>361</v>
      </c>
      <c r="H157" s="75" t="n">
        <f aca="false">IF(ISNUMBER('P03 KBSWarehouse Output'!$E$50),'P03 KBSWarehouse Output'!$E$50,"n/a")</f>
        <v>0.234353398901383</v>
      </c>
      <c r="I157" s="73" t="s">
        <v>362</v>
      </c>
      <c r="J157" s="76" t="n">
        <f aca="false">IF(ISNUMBER('P03 KBSWarehouse Output'!$E$52),'P03 KBSWarehouse Output'!$E$52,"n/a")</f>
        <v>2032</v>
      </c>
      <c r="K157" s="73" t="s">
        <v>363</v>
      </c>
      <c r="L157" s="74" t="n">
        <f aca="false">'P03 KBSWarehouse Output'!$E$54</f>
        <v>6.02459</v>
      </c>
      <c r="M157" s="73" t="s">
        <v>364</v>
      </c>
      <c r="N157" s="74" t="n">
        <f aca="false">'P03 KBSWarehouse Output'!$E$55</f>
        <v>0</v>
      </c>
    </row>
    <row r="159" customFormat="false" ht="15" hidden="false" customHeight="false" outlineLevel="0" collapsed="false">
      <c r="B159" s="22" t="s">
        <v>371</v>
      </c>
      <c r="C159" s="23"/>
      <c r="D159" s="23"/>
      <c r="E159" s="23"/>
      <c r="F159" s="23"/>
      <c r="G159" s="23"/>
      <c r="H159" s="23"/>
      <c r="I159" s="23"/>
      <c r="J159" s="23"/>
      <c r="K159" s="23"/>
      <c r="L159" s="23"/>
      <c r="M159" s="23"/>
      <c r="N159" s="23"/>
      <c r="O159" s="23"/>
      <c r="P159" s="23"/>
      <c r="Q159" s="23"/>
      <c r="R159" s="23"/>
      <c r="S159" s="23"/>
    </row>
    <row r="160" customFormat="false" ht="15" hidden="false" customHeight="false" outlineLevel="0" collapsed="false">
      <c r="B160" s="5" t="s">
        <v>52</v>
      </c>
      <c r="C160" s="17" t="s">
        <v>27</v>
      </c>
      <c r="D160" s="17" t="s">
        <v>28</v>
      </c>
      <c r="E160" s="17" t="s">
        <v>29</v>
      </c>
      <c r="G160" s="5" t="str">
        <f aca="false">"In valuation: "&amp;'Global Inputs'!$E$96&amp;"  |  case: "&amp;'Global Inputs'!$F$96&amp;"  |  FSL interest: "&amp;TEXT('Global Inputs'!$G$96,"0%")</f>
        <v>In valuation: 1  |  case: 1  |  FSL interest: 100%</v>
      </c>
    </row>
    <row r="161" customFormat="false" ht="15" hidden="false" customHeight="false" outlineLevel="0" collapsed="false">
      <c r="B161" s="24" t="s">
        <v>345</v>
      </c>
      <c r="C161" s="25" t="s">
        <v>170</v>
      </c>
      <c r="E161" s="47" t="n">
        <f aca="false">SUM(F161:S161)</f>
        <v>132.6</v>
      </c>
      <c r="F161" s="58" t="n">
        <f aca="false">'P04 TTLSilo Output'!F11</f>
        <v>0</v>
      </c>
      <c r="G161" s="58" t="n">
        <f aca="false">'P04 TTLSilo Output'!G11</f>
        <v>0</v>
      </c>
      <c r="H161" s="58" t="n">
        <f aca="false">'P04 TTLSilo Output'!H11</f>
        <v>0</v>
      </c>
      <c r="I161" s="58" t="n">
        <f aca="false">'P04 TTLSilo Output'!I11</f>
        <v>0</v>
      </c>
      <c r="J161" s="58" t="n">
        <f aca="false">'P04 TTLSilo Output'!J11</f>
        <v>13.26</v>
      </c>
      <c r="K161" s="58" t="n">
        <f aca="false">'P04 TTLSilo Output'!K11</f>
        <v>13.26</v>
      </c>
      <c r="L161" s="58" t="n">
        <f aca="false">'P04 TTLSilo Output'!L11</f>
        <v>13.26</v>
      </c>
      <c r="M161" s="58" t="n">
        <f aca="false">'P04 TTLSilo Output'!M11</f>
        <v>13.26</v>
      </c>
      <c r="N161" s="58" t="n">
        <f aca="false">'P04 TTLSilo Output'!N11</f>
        <v>13.26</v>
      </c>
      <c r="O161" s="58" t="n">
        <f aca="false">'P04 TTLSilo Output'!O11</f>
        <v>13.26</v>
      </c>
      <c r="P161" s="58" t="n">
        <f aca="false">'P04 TTLSilo Output'!P11</f>
        <v>13.26</v>
      </c>
      <c r="Q161" s="58" t="n">
        <f aca="false">'P04 TTLSilo Output'!Q11</f>
        <v>13.26</v>
      </c>
      <c r="R161" s="58" t="n">
        <f aca="false">'P04 TTLSilo Output'!R11</f>
        <v>13.26</v>
      </c>
      <c r="S161" s="58" t="n">
        <f aca="false">'P04 TTLSilo Output'!S11</f>
        <v>13.26</v>
      </c>
    </row>
    <row r="162" customFormat="false" ht="15" hidden="false" customHeight="false" outlineLevel="0" collapsed="false">
      <c r="B162" s="24" t="s">
        <v>346</v>
      </c>
      <c r="C162" s="25" t="s">
        <v>170</v>
      </c>
      <c r="E162" s="47" t="n">
        <f aca="false">SUM(F162:S162)</f>
        <v>131.988</v>
      </c>
      <c r="F162" s="58" t="n">
        <f aca="false">'P04 TTLSilo Output'!F15</f>
        <v>0</v>
      </c>
      <c r="G162" s="58" t="n">
        <f aca="false">'P04 TTLSilo Output'!G15</f>
        <v>0</v>
      </c>
      <c r="H162" s="58" t="n">
        <f aca="false">'P04 TTLSilo Output'!H15</f>
        <v>0</v>
      </c>
      <c r="I162" s="58" t="n">
        <f aca="false">'P04 TTLSilo Output'!I15</f>
        <v>0</v>
      </c>
      <c r="J162" s="58" t="n">
        <f aca="false">'P04 TTLSilo Output'!J15</f>
        <v>13.1988</v>
      </c>
      <c r="K162" s="58" t="n">
        <f aca="false">'P04 TTLSilo Output'!K15</f>
        <v>13.1988</v>
      </c>
      <c r="L162" s="58" t="n">
        <f aca="false">'P04 TTLSilo Output'!L15</f>
        <v>13.1988</v>
      </c>
      <c r="M162" s="58" t="n">
        <f aca="false">'P04 TTLSilo Output'!M15</f>
        <v>13.1988</v>
      </c>
      <c r="N162" s="58" t="n">
        <f aca="false">'P04 TTLSilo Output'!N15</f>
        <v>13.1988</v>
      </c>
      <c r="O162" s="58" t="n">
        <f aca="false">'P04 TTLSilo Output'!O15</f>
        <v>13.1988</v>
      </c>
      <c r="P162" s="58" t="n">
        <f aca="false">'P04 TTLSilo Output'!P15</f>
        <v>13.1988</v>
      </c>
      <c r="Q162" s="58" t="n">
        <f aca="false">'P04 TTLSilo Output'!Q15</f>
        <v>13.1988</v>
      </c>
      <c r="R162" s="58" t="n">
        <f aca="false">'P04 TTLSilo Output'!R15</f>
        <v>13.1988</v>
      </c>
      <c r="S162" s="58" t="n">
        <f aca="false">'P04 TTLSilo Output'!S15</f>
        <v>13.1988</v>
      </c>
    </row>
    <row r="163" customFormat="false" ht="15" hidden="false" customHeight="false" outlineLevel="0" collapsed="false">
      <c r="B163" s="69" t="s">
        <v>347</v>
      </c>
      <c r="C163" s="25" t="s">
        <v>170</v>
      </c>
      <c r="E163" s="70" t="n">
        <f aca="false">SUM(F163:S163)</f>
        <v>90.0702404925</v>
      </c>
      <c r="F163" s="71" t="n">
        <f aca="false">'P04 TTLSilo Output'!F17</f>
        <v>0</v>
      </c>
      <c r="G163" s="71" t="n">
        <f aca="false">'P04 TTLSilo Output'!G17</f>
        <v>0</v>
      </c>
      <c r="H163" s="71" t="n">
        <f aca="false">'P04 TTLSilo Output'!H17</f>
        <v>0</v>
      </c>
      <c r="I163" s="71" t="n">
        <f aca="false">'P04 TTLSilo Output'!I17</f>
        <v>0</v>
      </c>
      <c r="J163" s="71" t="n">
        <f aca="false">'P04 TTLSilo Output'!J17</f>
        <v>9.00702404925</v>
      </c>
      <c r="K163" s="71" t="n">
        <f aca="false">'P04 TTLSilo Output'!K17</f>
        <v>9.00702404925</v>
      </c>
      <c r="L163" s="71" t="n">
        <f aca="false">'P04 TTLSilo Output'!L17</f>
        <v>9.00702404925</v>
      </c>
      <c r="M163" s="71" t="n">
        <f aca="false">'P04 TTLSilo Output'!M17</f>
        <v>9.00702404925</v>
      </c>
      <c r="N163" s="71" t="n">
        <f aca="false">'P04 TTLSilo Output'!N17</f>
        <v>9.00702404925</v>
      </c>
      <c r="O163" s="71" t="n">
        <f aca="false">'P04 TTLSilo Output'!O17</f>
        <v>9.00702404925</v>
      </c>
      <c r="P163" s="71" t="n">
        <f aca="false">'P04 TTLSilo Output'!P17</f>
        <v>9.00702404925</v>
      </c>
      <c r="Q163" s="71" t="n">
        <f aca="false">'P04 TTLSilo Output'!Q17</f>
        <v>9.00702404925</v>
      </c>
      <c r="R163" s="71" t="n">
        <f aca="false">'P04 TTLSilo Output'!R17</f>
        <v>9.00702404925</v>
      </c>
      <c r="S163" s="71" t="n">
        <f aca="false">'P04 TTLSilo Output'!S17</f>
        <v>9.00702404925</v>
      </c>
    </row>
    <row r="164" customFormat="false" ht="15" hidden="false" customHeight="false" outlineLevel="0" collapsed="false">
      <c r="B164" s="24" t="s">
        <v>348</v>
      </c>
      <c r="C164" s="25" t="s">
        <v>170</v>
      </c>
      <c r="E164" s="47" t="n">
        <f aca="false">SUM(F164:S164)</f>
        <v>70.25478758415</v>
      </c>
      <c r="F164" s="58" t="n">
        <f aca="false">'P04 TTLSilo Output'!F19</f>
        <v>0</v>
      </c>
      <c r="G164" s="58" t="n">
        <f aca="false">'P04 TTLSilo Output'!G19</f>
        <v>0</v>
      </c>
      <c r="H164" s="58" t="n">
        <f aca="false">'P04 TTLSilo Output'!H19</f>
        <v>0</v>
      </c>
      <c r="I164" s="58" t="n">
        <f aca="false">'P04 TTLSilo Output'!I19</f>
        <v>0</v>
      </c>
      <c r="J164" s="58" t="n">
        <f aca="false">'P04 TTLSilo Output'!J19</f>
        <v>7.025478758415</v>
      </c>
      <c r="K164" s="58" t="n">
        <f aca="false">'P04 TTLSilo Output'!K19</f>
        <v>7.025478758415</v>
      </c>
      <c r="L164" s="58" t="n">
        <f aca="false">'P04 TTLSilo Output'!L19</f>
        <v>7.025478758415</v>
      </c>
      <c r="M164" s="58" t="n">
        <f aca="false">'P04 TTLSilo Output'!M19</f>
        <v>7.025478758415</v>
      </c>
      <c r="N164" s="58" t="n">
        <f aca="false">'P04 TTLSilo Output'!N19</f>
        <v>7.025478758415</v>
      </c>
      <c r="O164" s="58" t="n">
        <f aca="false">'P04 TTLSilo Output'!O19</f>
        <v>7.025478758415</v>
      </c>
      <c r="P164" s="58" t="n">
        <f aca="false">'P04 TTLSilo Output'!P19</f>
        <v>7.025478758415</v>
      </c>
      <c r="Q164" s="58" t="n">
        <f aca="false">'P04 TTLSilo Output'!Q19</f>
        <v>7.025478758415</v>
      </c>
      <c r="R164" s="58" t="n">
        <f aca="false">'P04 TTLSilo Output'!R19</f>
        <v>7.025478758415</v>
      </c>
      <c r="S164" s="58" t="n">
        <f aca="false">'P04 TTLSilo Output'!S19</f>
        <v>7.025478758415</v>
      </c>
    </row>
    <row r="165" customFormat="false" ht="15" hidden="false" customHeight="false" outlineLevel="0" collapsed="false">
      <c r="B165" s="24" t="s">
        <v>349</v>
      </c>
      <c r="C165" s="25" t="s">
        <v>170</v>
      </c>
      <c r="E165" s="47" t="n">
        <f aca="false">SUM(F165:S165)</f>
        <v>-41.9177595075</v>
      </c>
      <c r="F165" s="58" t="n">
        <f aca="false">'P04 TTLSilo Output'!F16</f>
        <v>-0</v>
      </c>
      <c r="G165" s="58" t="n">
        <f aca="false">'P04 TTLSilo Output'!G16</f>
        <v>-0</v>
      </c>
      <c r="H165" s="58" t="n">
        <f aca="false">'P04 TTLSilo Output'!H16</f>
        <v>-0</v>
      </c>
      <c r="I165" s="58" t="n">
        <f aca="false">'P04 TTLSilo Output'!I16</f>
        <v>-0</v>
      </c>
      <c r="J165" s="58" t="n">
        <f aca="false">'P04 TTLSilo Output'!J16</f>
        <v>-4.19177595075</v>
      </c>
      <c r="K165" s="58" t="n">
        <f aca="false">'P04 TTLSilo Output'!K16</f>
        <v>-4.19177595075</v>
      </c>
      <c r="L165" s="58" t="n">
        <f aca="false">'P04 TTLSilo Output'!L16</f>
        <v>-4.19177595075</v>
      </c>
      <c r="M165" s="58" t="n">
        <f aca="false">'P04 TTLSilo Output'!M16</f>
        <v>-4.19177595075</v>
      </c>
      <c r="N165" s="58" t="n">
        <f aca="false">'P04 TTLSilo Output'!N16</f>
        <v>-4.19177595075</v>
      </c>
      <c r="O165" s="58" t="n">
        <f aca="false">'P04 TTLSilo Output'!O16</f>
        <v>-4.19177595075</v>
      </c>
      <c r="P165" s="58" t="n">
        <f aca="false">'P04 TTLSilo Output'!P16</f>
        <v>-4.19177595075</v>
      </c>
      <c r="Q165" s="58" t="n">
        <f aca="false">'P04 TTLSilo Output'!Q16</f>
        <v>-4.19177595075</v>
      </c>
      <c r="R165" s="58" t="n">
        <f aca="false">'P04 TTLSilo Output'!R16</f>
        <v>-4.19177595075</v>
      </c>
      <c r="S165" s="58" t="n">
        <f aca="false">'P04 TTLSilo Output'!S16</f>
        <v>-4.19177595075</v>
      </c>
    </row>
    <row r="166" customFormat="false" ht="15" hidden="false" customHeight="false" outlineLevel="0" collapsed="false">
      <c r="B166" s="24" t="s">
        <v>350</v>
      </c>
      <c r="C166" s="25" t="s">
        <v>240</v>
      </c>
      <c r="E166" s="44" t="n">
        <f aca="false">SUM(F166:S166)</f>
        <v>3.7623</v>
      </c>
      <c r="F166" s="72" t="n">
        <f aca="false">'P04 TTLSilo Output'!F34</f>
        <v>0</v>
      </c>
      <c r="G166" s="72" t="n">
        <f aca="false">'P04 TTLSilo Output'!G34</f>
        <v>0</v>
      </c>
      <c r="H166" s="72" t="n">
        <f aca="false">'P04 TTLSilo Output'!H34</f>
        <v>0</v>
      </c>
      <c r="I166" s="72" t="n">
        <f aca="false">'P04 TTLSilo Output'!I34</f>
        <v>3.7623</v>
      </c>
      <c r="J166" s="72" t="n">
        <f aca="false">'P04 TTLSilo Output'!J34</f>
        <v>0</v>
      </c>
      <c r="K166" s="72" t="n">
        <f aca="false">'P04 TTLSilo Output'!K34</f>
        <v>0</v>
      </c>
      <c r="L166" s="72" t="n">
        <f aca="false">'P04 TTLSilo Output'!L34</f>
        <v>0</v>
      </c>
      <c r="M166" s="72" t="n">
        <f aca="false">'P04 TTLSilo Output'!M34</f>
        <v>0</v>
      </c>
      <c r="N166" s="72" t="n">
        <f aca="false">'P04 TTLSilo Output'!N34</f>
        <v>0</v>
      </c>
      <c r="O166" s="72" t="n">
        <f aca="false">'P04 TTLSilo Output'!O34</f>
        <v>0</v>
      </c>
      <c r="P166" s="72" t="n">
        <f aca="false">'P04 TTLSilo Output'!P34</f>
        <v>0</v>
      </c>
      <c r="Q166" s="72" t="n">
        <f aca="false">'P04 TTLSilo Output'!Q34</f>
        <v>0</v>
      </c>
      <c r="R166" s="72" t="n">
        <f aca="false">'P04 TTLSilo Output'!R34</f>
        <v>0</v>
      </c>
      <c r="S166" s="72" t="n">
        <f aca="false">'P04 TTLSilo Output'!S34</f>
        <v>0</v>
      </c>
    </row>
    <row r="167" customFormat="false" ht="15" hidden="false" customHeight="false" outlineLevel="0" collapsed="false">
      <c r="B167" s="24" t="s">
        <v>351</v>
      </c>
      <c r="C167" s="25" t="s">
        <v>170</v>
      </c>
      <c r="E167" s="47" t="n">
        <f aca="false">SUM(F167:S167)</f>
        <v>61.1938095</v>
      </c>
      <c r="F167" s="58" t="n">
        <f aca="false">'P04 TTLSilo Output'!F35</f>
        <v>0</v>
      </c>
      <c r="G167" s="58" t="n">
        <f aca="false">'P04 TTLSilo Output'!G35</f>
        <v>0</v>
      </c>
      <c r="H167" s="58" t="n">
        <f aca="false">'P04 TTLSilo Output'!H35</f>
        <v>0</v>
      </c>
      <c r="I167" s="58" t="n">
        <f aca="false">'P04 TTLSilo Output'!I35</f>
        <v>61.1938095</v>
      </c>
      <c r="J167" s="58" t="n">
        <f aca="false">'P04 TTLSilo Output'!J35</f>
        <v>0</v>
      </c>
      <c r="K167" s="58" t="n">
        <f aca="false">'P04 TTLSilo Output'!K35</f>
        <v>0</v>
      </c>
      <c r="L167" s="58" t="n">
        <f aca="false">'P04 TTLSilo Output'!L35</f>
        <v>0</v>
      </c>
      <c r="M167" s="58" t="n">
        <f aca="false">'P04 TTLSilo Output'!M35</f>
        <v>0</v>
      </c>
      <c r="N167" s="58" t="n">
        <f aca="false">'P04 TTLSilo Output'!N35</f>
        <v>0</v>
      </c>
      <c r="O167" s="58" t="n">
        <f aca="false">'P04 TTLSilo Output'!O35</f>
        <v>0</v>
      </c>
      <c r="P167" s="58" t="n">
        <f aca="false">'P04 TTLSilo Output'!P35</f>
        <v>0</v>
      </c>
      <c r="Q167" s="58" t="n">
        <f aca="false">'P04 TTLSilo Output'!Q35</f>
        <v>0</v>
      </c>
      <c r="R167" s="58" t="n">
        <f aca="false">'P04 TTLSilo Output'!R35</f>
        <v>0</v>
      </c>
      <c r="S167" s="58" t="n">
        <f aca="false">'P04 TTLSilo Output'!S35</f>
        <v>0</v>
      </c>
    </row>
    <row r="168" customFormat="false" ht="15" hidden="false" customHeight="false" outlineLevel="0" collapsed="false">
      <c r="B168" s="24" t="s">
        <v>352</v>
      </c>
      <c r="C168" s="25" t="s">
        <v>170</v>
      </c>
      <c r="E168" s="47" t="n">
        <f aca="false">SUM(F168:S168)</f>
        <v>-1.63032786885246</v>
      </c>
      <c r="F168" s="58" t="n">
        <f aca="false">'P04 TTLSilo Output'!F27</f>
        <v>-0</v>
      </c>
      <c r="G168" s="58" t="n">
        <f aca="false">'P04 TTLSilo Output'!G27</f>
        <v>-0</v>
      </c>
      <c r="H168" s="58" t="n">
        <f aca="false">'P04 TTLSilo Output'!H27</f>
        <v>-0</v>
      </c>
      <c r="I168" s="58" t="n">
        <f aca="false">'P04 TTLSilo Output'!I27</f>
        <v>-0</v>
      </c>
      <c r="J168" s="58" t="n">
        <f aca="false">'P04 TTLSilo Output'!J27</f>
        <v>-1.63479452054795</v>
      </c>
      <c r="K168" s="58" t="n">
        <f aca="false">'P04 TTLSilo Output'!K27</f>
        <v>0.0044666516954861</v>
      </c>
      <c r="L168" s="58" t="n">
        <f aca="false">'P04 TTLSilo Output'!L27</f>
        <v>-0.0044666516954861</v>
      </c>
      <c r="M168" s="58" t="n">
        <f aca="false">'P04 TTLSilo Output'!M27</f>
        <v>-0</v>
      </c>
      <c r="N168" s="58" t="n">
        <f aca="false">'P04 TTLSilo Output'!N27</f>
        <v>-0</v>
      </c>
      <c r="O168" s="58" t="n">
        <f aca="false">'P04 TTLSilo Output'!O27</f>
        <v>0.0044666516954861</v>
      </c>
      <c r="P168" s="58" t="n">
        <f aca="false">'P04 TTLSilo Output'!P27</f>
        <v>-0.0044666516954861</v>
      </c>
      <c r="Q168" s="58" t="n">
        <f aca="false">'P04 TTLSilo Output'!Q27</f>
        <v>-0</v>
      </c>
      <c r="R168" s="58" t="n">
        <f aca="false">'P04 TTLSilo Output'!R27</f>
        <v>-0</v>
      </c>
      <c r="S168" s="58" t="n">
        <f aca="false">'P04 TTLSilo Output'!S27</f>
        <v>0.0044666516954861</v>
      </c>
    </row>
    <row r="169" customFormat="false" ht="15" hidden="false" customHeight="false" outlineLevel="0" collapsed="false">
      <c r="B169" s="69" t="s">
        <v>353</v>
      </c>
      <c r="C169" s="25" t="s">
        <v>170</v>
      </c>
      <c r="E169" s="70" t="n">
        <f aca="false">SUM(F169:S169)</f>
        <v>49.3484097227976</v>
      </c>
      <c r="F169" s="71" t="n">
        <f aca="false">'P04 TTLSilo Output'!F28</f>
        <v>0</v>
      </c>
      <c r="G169" s="71" t="n">
        <f aca="false">'P04 TTLSilo Output'!G28</f>
        <v>0</v>
      </c>
      <c r="H169" s="71" t="n">
        <f aca="false">'P04 TTLSilo Output'!H28</f>
        <v>0</v>
      </c>
      <c r="I169" s="71" t="n">
        <f aca="false">'P04 TTLSilo Output'!I28</f>
        <v>-61.1938095</v>
      </c>
      <c r="J169" s="71" t="n">
        <f aca="false">'P04 TTLSilo Output'!J28</f>
        <v>9.58246018861706</v>
      </c>
      <c r="K169" s="71" t="n">
        <f aca="false">'P04 TTLSilo Output'!K28</f>
        <v>11.2217213608605</v>
      </c>
      <c r="L169" s="71" t="n">
        <f aca="false">'P04 TTLSilo Output'!L28</f>
        <v>11.2127880574695</v>
      </c>
      <c r="M169" s="71" t="n">
        <f aca="false">'P04 TTLSilo Output'!M28</f>
        <v>11.217254709165</v>
      </c>
      <c r="N169" s="71" t="n">
        <f aca="false">'P04 TTLSilo Output'!N28</f>
        <v>11.217254709165</v>
      </c>
      <c r="O169" s="71" t="n">
        <f aca="false">'P04 TTLSilo Output'!O28</f>
        <v>11.2217213608605</v>
      </c>
      <c r="P169" s="71" t="n">
        <f aca="false">'P04 TTLSilo Output'!P28</f>
        <v>11.2127880574695</v>
      </c>
      <c r="Q169" s="71" t="n">
        <f aca="false">'P04 TTLSilo Output'!Q28</f>
        <v>11.217254709165</v>
      </c>
      <c r="R169" s="71" t="n">
        <f aca="false">'P04 TTLSilo Output'!R28</f>
        <v>11.217254709165</v>
      </c>
      <c r="S169" s="71" t="n">
        <f aca="false">'P04 TTLSilo Output'!S28</f>
        <v>11.2217213608605</v>
      </c>
    </row>
    <row r="170" customFormat="false" ht="15" hidden="false" customHeight="false" outlineLevel="0" collapsed="false">
      <c r="B170" s="24" t="s">
        <v>354</v>
      </c>
      <c r="C170" s="25" t="s">
        <v>170</v>
      </c>
      <c r="F170" s="58" t="n">
        <f aca="false">'P04 TTLSilo Output'!F29</f>
        <v>0</v>
      </c>
      <c r="G170" s="58" t="n">
        <f aca="false">'P04 TTLSilo Output'!G29</f>
        <v>0</v>
      </c>
      <c r="H170" s="58" t="n">
        <f aca="false">'P04 TTLSilo Output'!H29</f>
        <v>0</v>
      </c>
      <c r="I170" s="58" t="n">
        <f aca="false">'P04 TTLSilo Output'!I29</f>
        <v>-61.1938095</v>
      </c>
      <c r="J170" s="58" t="n">
        <f aca="false">'P04 TTLSilo Output'!J29</f>
        <v>-51.6113493113829</v>
      </c>
      <c r="K170" s="58" t="n">
        <f aca="false">'P04 TTLSilo Output'!K29</f>
        <v>-40.3896279505225</v>
      </c>
      <c r="L170" s="58" t="n">
        <f aca="false">'P04 TTLSilo Output'!L29</f>
        <v>-29.1768398930529</v>
      </c>
      <c r="M170" s="58" t="n">
        <f aca="false">'P04 TTLSilo Output'!M29</f>
        <v>-17.9595851838879</v>
      </c>
      <c r="N170" s="58" t="n">
        <f aca="false">'P04 TTLSilo Output'!N29</f>
        <v>-6.74233047472294</v>
      </c>
      <c r="O170" s="58" t="n">
        <f aca="false">'P04 TTLSilo Output'!O29</f>
        <v>4.47939088613755</v>
      </c>
      <c r="P170" s="58" t="n">
        <f aca="false">'P04 TTLSilo Output'!P29</f>
        <v>15.6921789436071</v>
      </c>
      <c r="Q170" s="58" t="n">
        <f aca="false">'P04 TTLSilo Output'!Q29</f>
        <v>26.9094336527721</v>
      </c>
      <c r="R170" s="58" t="n">
        <f aca="false">'P04 TTLSilo Output'!R29</f>
        <v>38.1266883619371</v>
      </c>
      <c r="S170" s="58" t="n">
        <f aca="false">'P04 TTLSilo Output'!S29</f>
        <v>49.3484097227976</v>
      </c>
    </row>
    <row r="171" customFormat="false" ht="15" hidden="false" customHeight="false" outlineLevel="0" collapsed="false">
      <c r="B171" s="24" t="s">
        <v>355</v>
      </c>
      <c r="C171" s="25" t="s">
        <v>170</v>
      </c>
      <c r="F171" s="58" t="n">
        <f aca="false">'P04 TTLSilo Output'!F39</f>
        <v>0</v>
      </c>
      <c r="G171" s="58" t="n">
        <f aca="false">'P04 TTLSilo Output'!G39</f>
        <v>0</v>
      </c>
      <c r="H171" s="58" t="n">
        <f aca="false">'P04 TTLSilo Output'!H39</f>
        <v>0</v>
      </c>
      <c r="I171" s="58" t="n">
        <f aca="false">'P04 TTLSilo Output'!I39</f>
        <v>61.1938095</v>
      </c>
      <c r="J171" s="58" t="n">
        <f aca="false">'P04 TTLSilo Output'!J39</f>
        <v>58.6368280697979</v>
      </c>
      <c r="K171" s="58" t="n">
        <f aca="false">'P04 TTLSilo Output'!K39</f>
        <v>54.4405854673525</v>
      </c>
      <c r="L171" s="58" t="n">
        <f aca="false">'P04 TTLSilo Output'!L39</f>
        <v>50.2532761682979</v>
      </c>
      <c r="M171" s="58" t="n">
        <f aca="false">'P04 TTLSilo Output'!M39</f>
        <v>46.0615002175479</v>
      </c>
      <c r="N171" s="58" t="n">
        <f aca="false">'P04 TTLSilo Output'!N39</f>
        <v>41.8697242667979</v>
      </c>
      <c r="O171" s="58" t="n">
        <f aca="false">'P04 TTLSilo Output'!O39</f>
        <v>37.6734816643525</v>
      </c>
      <c r="P171" s="58" t="n">
        <f aca="false">'P04 TTLSilo Output'!P39</f>
        <v>33.4861723652979</v>
      </c>
      <c r="Q171" s="58" t="n">
        <f aca="false">'P04 TTLSilo Output'!Q39</f>
        <v>29.294396414548</v>
      </c>
      <c r="R171" s="58" t="n">
        <f aca="false">'P04 TTLSilo Output'!R39</f>
        <v>25.102620463798</v>
      </c>
      <c r="S171" s="58" t="n">
        <f aca="false">'P04 TTLSilo Output'!S39</f>
        <v>20.9063778613525</v>
      </c>
    </row>
    <row r="172" customFormat="false" ht="15" hidden="false" customHeight="false" outlineLevel="0" collapsed="false">
      <c r="B172" s="24" t="s">
        <v>356</v>
      </c>
      <c r="C172" s="25" t="s">
        <v>170</v>
      </c>
      <c r="E172" s="47" t="n">
        <f aca="false">SUM(F172:S172)</f>
        <v>61.1938095</v>
      </c>
      <c r="F172" s="58" t="n">
        <f aca="false">'P04 TTLSilo Output'!F31</f>
        <v>-0</v>
      </c>
      <c r="G172" s="58" t="n">
        <f aca="false">'P04 TTLSilo Output'!G31</f>
        <v>-0</v>
      </c>
      <c r="H172" s="58" t="n">
        <f aca="false">'P04 TTLSilo Output'!H31</f>
        <v>-0</v>
      </c>
      <c r="I172" s="58" t="n">
        <f aca="false">'P04 TTLSilo Output'!I31</f>
        <v>61.1938095</v>
      </c>
      <c r="J172" s="58" t="n">
        <f aca="false">'P04 TTLSilo Output'!J31</f>
        <v>0</v>
      </c>
      <c r="K172" s="58" t="n">
        <f aca="false">'P04 TTLSilo Output'!K31</f>
        <v>0</v>
      </c>
      <c r="L172" s="58" t="n">
        <f aca="false">'P04 TTLSilo Output'!L31</f>
        <v>0</v>
      </c>
      <c r="M172" s="58" t="n">
        <f aca="false">'P04 TTLSilo Output'!M31</f>
        <v>0</v>
      </c>
      <c r="N172" s="58" t="n">
        <f aca="false">'P04 TTLSilo Output'!N31</f>
        <v>0</v>
      </c>
      <c r="O172" s="58" t="n">
        <f aca="false">'P04 TTLSilo Output'!O31</f>
        <v>0</v>
      </c>
      <c r="P172" s="58" t="n">
        <f aca="false">'P04 TTLSilo Output'!P31</f>
        <v>0</v>
      </c>
      <c r="Q172" s="58" t="n">
        <f aca="false">'P04 TTLSilo Output'!Q31</f>
        <v>0</v>
      </c>
      <c r="R172" s="58" t="n">
        <f aca="false">'P04 TTLSilo Output'!R31</f>
        <v>0</v>
      </c>
      <c r="S172" s="58" t="n">
        <f aca="false">'P04 TTLSilo Output'!S31</f>
        <v>0</v>
      </c>
    </row>
    <row r="173" customFormat="false" ht="15" hidden="false" customHeight="false" outlineLevel="0" collapsed="false">
      <c r="B173" s="24" t="s">
        <v>357</v>
      </c>
      <c r="C173" s="25" t="s">
        <v>170</v>
      </c>
      <c r="E173" s="47" t="n">
        <f aca="false">SUM(F173:S173)</f>
        <v>104.744450946781</v>
      </c>
      <c r="F173" s="58" t="n">
        <f aca="false">'P04 TTLSilo Output'!F46</f>
        <v>0</v>
      </c>
      <c r="G173" s="58" t="n">
        <f aca="false">'P04 TTLSilo Output'!G46</f>
        <v>0</v>
      </c>
      <c r="H173" s="58" t="n">
        <f aca="false">'P04 TTLSilo Output'!H46</f>
        <v>0</v>
      </c>
      <c r="I173" s="58" t="n">
        <f aca="false">'P04 TTLSilo Output'!I46</f>
        <v>-0</v>
      </c>
      <c r="J173" s="58" t="n">
        <f aca="false">'P04 TTLSilo Output'!J46</f>
        <v>8.56597744695665</v>
      </c>
      <c r="K173" s="58" t="n">
        <f aca="false">'P04 TTLSilo Output'!K46</f>
        <v>8.96725018865058</v>
      </c>
      <c r="L173" s="58" t="n">
        <f aca="false">'P04 TTLSilo Output'!L46</f>
        <v>8.00964600351898</v>
      </c>
      <c r="M173" s="58" t="n">
        <f aca="false">'P04 TTLSilo Output'!M46</f>
        <v>7.16285555845695</v>
      </c>
      <c r="N173" s="58" t="n">
        <f aca="false">'P04 TTLSilo Output'!N46</f>
        <v>6.40303825550309</v>
      </c>
      <c r="O173" s="58" t="n">
        <f aca="false">'P04 TTLSilo Output'!O46</f>
        <v>5.72609961378253</v>
      </c>
      <c r="P173" s="58" t="n">
        <f aca="false">'P04 TTLSilo Output'!P46</f>
        <v>5.11461483982378</v>
      </c>
      <c r="Q173" s="58" t="n">
        <f aca="false">'P04 TTLSilo Output'!Q46</f>
        <v>4.5738909458299</v>
      </c>
      <c r="R173" s="58" t="n">
        <f aca="false">'P04 TTLSilo Output'!R46</f>
        <v>4.08870435312214</v>
      </c>
      <c r="S173" s="58" t="n">
        <f aca="false">'P04 TTLSilo Output'!S46</f>
        <v>46.1323737411363</v>
      </c>
    </row>
    <row r="174" customFormat="false" ht="15" hidden="false" customHeight="false" outlineLevel="0" collapsed="false">
      <c r="B174" s="3" t="s">
        <v>358</v>
      </c>
      <c r="C174" s="73" t="s">
        <v>359</v>
      </c>
      <c r="D174" s="74" t="n">
        <f aca="false">'P04 TTLSilo Output'!$E$47</f>
        <v>104.744450946781</v>
      </c>
      <c r="E174" s="73" t="s">
        <v>360</v>
      </c>
      <c r="F174" s="75" t="n">
        <f aca="false">IF(ISNUMBER('P04 TTLSilo Output'!$E$49),'P04 TTLSilo Output'!$E$49,"n/a")</f>
        <v>0.122848661216462</v>
      </c>
      <c r="G174" s="73" t="s">
        <v>361</v>
      </c>
      <c r="H174" s="75" t="n">
        <f aca="false">IF(ISNUMBER('P04 TTLSilo Output'!$E$50),'P04 TTLSilo Output'!$E$50,"n/a")</f>
        <v>0.217662946755342</v>
      </c>
      <c r="I174" s="73" t="s">
        <v>362</v>
      </c>
      <c r="J174" s="76" t="n">
        <f aca="false">IF(ISNUMBER('P04 TTLSilo Output'!$E$52),'P04 TTLSilo Output'!$E$52,"n/a")</f>
        <v>2032</v>
      </c>
      <c r="K174" s="73" t="s">
        <v>363</v>
      </c>
      <c r="L174" s="74" t="n">
        <f aca="false">'P04 TTLSilo Output'!$E$54</f>
        <v>3.7623</v>
      </c>
      <c r="M174" s="73" t="s">
        <v>364</v>
      </c>
      <c r="N174" s="74" t="n">
        <f aca="false">'P04 TTLSilo Output'!$E$55</f>
        <v>0</v>
      </c>
    </row>
    <row r="176" customFormat="false" ht="15" hidden="false" customHeight="false" outlineLevel="0" collapsed="false">
      <c r="B176" s="22" t="s">
        <v>372</v>
      </c>
      <c r="C176" s="23"/>
      <c r="D176" s="23"/>
      <c r="E176" s="23"/>
      <c r="F176" s="23"/>
      <c r="G176" s="23"/>
      <c r="H176" s="23"/>
      <c r="I176" s="23"/>
      <c r="J176" s="23"/>
      <c r="K176" s="23"/>
      <c r="L176" s="23"/>
      <c r="M176" s="23"/>
      <c r="N176" s="23"/>
      <c r="O176" s="23"/>
      <c r="P176" s="23"/>
      <c r="Q176" s="23"/>
      <c r="R176" s="23"/>
      <c r="S176" s="23"/>
    </row>
    <row r="177" customFormat="false" ht="15" hidden="false" customHeight="false" outlineLevel="0" collapsed="false">
      <c r="B177" s="5" t="s">
        <v>55</v>
      </c>
      <c r="C177" s="17" t="s">
        <v>27</v>
      </c>
      <c r="D177" s="17" t="s">
        <v>28</v>
      </c>
      <c r="E177" s="17" t="s">
        <v>29</v>
      </c>
      <c r="G177" s="5" t="str">
        <f aca="false">"In valuation: "&amp;'Global Inputs'!$E$97&amp;"  |  case: "&amp;'Global Inputs'!$F$97&amp;"  |  FSL interest: "&amp;TEXT('Global Inputs'!$G$97,"0%")</f>
        <v>In valuation: 1  |  case: 1  |  FSL interest: 100%</v>
      </c>
    </row>
    <row r="178" customFormat="false" ht="15" hidden="false" customHeight="false" outlineLevel="0" collapsed="false">
      <c r="B178" s="24" t="s">
        <v>345</v>
      </c>
      <c r="C178" s="25" t="s">
        <v>170</v>
      </c>
      <c r="E178" s="47" t="n">
        <f aca="false">SUM(F178:S178)</f>
        <v>569.84319808</v>
      </c>
      <c r="F178" s="58" t="n">
        <f aca="false">'P05 Dumai Output'!F11</f>
        <v>0</v>
      </c>
      <c r="G178" s="58" t="n">
        <f aca="false">'P05 Dumai Output'!G11</f>
        <v>0</v>
      </c>
      <c r="H178" s="58" t="n">
        <f aca="false">'P05 Dumai Output'!H11</f>
        <v>0</v>
      </c>
      <c r="I178" s="58" t="n">
        <f aca="false">'P05 Dumai Output'!I11</f>
        <v>48.1</v>
      </c>
      <c r="J178" s="58" t="n">
        <f aca="false">'P05 Dumai Output'!J11</f>
        <v>48.1</v>
      </c>
      <c r="K178" s="58" t="n">
        <f aca="false">'P05 Dumai Output'!K11</f>
        <v>48.1</v>
      </c>
      <c r="L178" s="58" t="n">
        <f aca="false">'P05 Dumai Output'!L11</f>
        <v>51.4176</v>
      </c>
      <c r="M178" s="58" t="n">
        <f aca="false">'P05 Dumai Output'!M11</f>
        <v>51.4176</v>
      </c>
      <c r="N178" s="58" t="n">
        <f aca="false">'P05 Dumai Output'!N11</f>
        <v>51.4176</v>
      </c>
      <c r="O178" s="58" t="n">
        <f aca="false">'P05 Dumai Output'!O11</f>
        <v>51.4176</v>
      </c>
      <c r="P178" s="58" t="n">
        <f aca="false">'P05 Dumai Output'!P11</f>
        <v>54.96819952</v>
      </c>
      <c r="Q178" s="58" t="n">
        <f aca="false">'P05 Dumai Output'!Q11</f>
        <v>54.96819952</v>
      </c>
      <c r="R178" s="58" t="n">
        <f aca="false">'P05 Dumai Output'!R11</f>
        <v>54.96819952</v>
      </c>
      <c r="S178" s="58" t="n">
        <f aca="false">'P05 Dumai Output'!S11</f>
        <v>54.96819952</v>
      </c>
    </row>
    <row r="179" customFormat="false" ht="15" hidden="false" customHeight="false" outlineLevel="0" collapsed="false">
      <c r="B179" s="24" t="s">
        <v>346</v>
      </c>
      <c r="C179" s="25" t="s">
        <v>170</v>
      </c>
      <c r="E179" s="47" t="n">
        <f aca="false">SUM(F179:S179)</f>
        <v>285.511283382935</v>
      </c>
      <c r="F179" s="58" t="n">
        <f aca="false">'P05 Dumai Output'!F15</f>
        <v>0</v>
      </c>
      <c r="G179" s="58" t="n">
        <f aca="false">'P05 Dumai Output'!G15</f>
        <v>0</v>
      </c>
      <c r="H179" s="58" t="n">
        <f aca="false">'P05 Dumai Output'!H15</f>
        <v>0</v>
      </c>
      <c r="I179" s="58" t="n">
        <f aca="false">'P05 Dumai Output'!I15</f>
        <v>25.7508174318773</v>
      </c>
      <c r="J179" s="58" t="n">
        <f aca="false">'P05 Dumai Output'!J15</f>
        <v>25.2391434284198</v>
      </c>
      <c r="K179" s="58" t="n">
        <f aca="false">'P05 Dumai Output'!K15</f>
        <v>24.7146775748758</v>
      </c>
      <c r="L179" s="58" t="n">
        <f aca="false">'P05 Dumai Output'!L15</f>
        <v>27.0494228155675</v>
      </c>
      <c r="M179" s="58" t="n">
        <f aca="false">'P05 Dumai Output'!M15</f>
        <v>26.0513244076617</v>
      </c>
      <c r="N179" s="58" t="n">
        <f aca="false">'P05 Dumai Output'!N15</f>
        <v>25.6962646215951</v>
      </c>
      <c r="O179" s="58" t="n">
        <f aca="false">'P05 Dumai Output'!O15</f>
        <v>25.1078395346186</v>
      </c>
      <c r="P179" s="58" t="n">
        <f aca="false">'P05 Dumai Output'!P15</f>
        <v>27.5545235792837</v>
      </c>
      <c r="Q179" s="58" t="n">
        <f aca="false">'P05 Dumai Output'!Q15</f>
        <v>26.9260151284493</v>
      </c>
      <c r="R179" s="58" t="n">
        <f aca="false">'P05 Dumai Output'!R15</f>
        <v>25.8436063473037</v>
      </c>
      <c r="S179" s="58" t="n">
        <f aca="false">'P05 Dumai Output'!S15</f>
        <v>25.5776485132823</v>
      </c>
    </row>
    <row r="180" customFormat="false" ht="15" hidden="false" customHeight="false" outlineLevel="0" collapsed="false">
      <c r="B180" s="69" t="s">
        <v>347</v>
      </c>
      <c r="C180" s="25" t="s">
        <v>170</v>
      </c>
      <c r="E180" s="70" t="n">
        <f aca="false">SUM(F180:S180)</f>
        <v>204.817326656744</v>
      </c>
      <c r="F180" s="71" t="n">
        <f aca="false">'P05 Dumai Output'!F17</f>
        <v>0</v>
      </c>
      <c r="G180" s="71" t="n">
        <f aca="false">'P05 Dumai Output'!G17</f>
        <v>0</v>
      </c>
      <c r="H180" s="71" t="n">
        <f aca="false">'P05 Dumai Output'!H17</f>
        <v>0</v>
      </c>
      <c r="I180" s="71" t="n">
        <f aca="false">'P05 Dumai Output'!I17</f>
        <v>17.3131550509249</v>
      </c>
      <c r="J180" s="71" t="n">
        <f aca="false">'P05 Dumai Output'!J17</f>
        <v>16.3785910474674</v>
      </c>
      <c r="K180" s="71" t="n">
        <f aca="false">'P05 Dumai Output'!K17</f>
        <v>15.8541251939234</v>
      </c>
      <c r="L180" s="71" t="n">
        <f aca="false">'P05 Dumai Output'!L17</f>
        <v>18.1888704346151</v>
      </c>
      <c r="M180" s="71" t="n">
        <f aca="false">'P05 Dumai Output'!M17</f>
        <v>17.1907720267094</v>
      </c>
      <c r="N180" s="71" t="n">
        <f aca="false">'P05 Dumai Output'!N17</f>
        <v>16.8357122406427</v>
      </c>
      <c r="O180" s="71" t="n">
        <f aca="false">'P05 Dumai Output'!O17</f>
        <v>16.2472871536662</v>
      </c>
      <c r="P180" s="71" t="n">
        <f aca="false">'P05 Dumai Output'!P17</f>
        <v>18.6939711983313</v>
      </c>
      <c r="Q180" s="71" t="n">
        <f aca="false">'P05 Dumai Output'!Q17</f>
        <v>23.3390017355922</v>
      </c>
      <c r="R180" s="71" t="n">
        <f aca="false">'P05 Dumai Output'!R17</f>
        <v>22.5208992044465</v>
      </c>
      <c r="S180" s="71" t="n">
        <f aca="false">'P05 Dumai Output'!S17</f>
        <v>22.2549413704251</v>
      </c>
    </row>
    <row r="181" customFormat="false" ht="15" hidden="false" customHeight="false" outlineLevel="0" collapsed="false">
      <c r="B181" s="24" t="s">
        <v>348</v>
      </c>
      <c r="C181" s="25" t="s">
        <v>170</v>
      </c>
      <c r="E181" s="47" t="n">
        <f aca="false">SUM(F181:S181)</f>
        <v>159.75751479226</v>
      </c>
      <c r="F181" s="58" t="n">
        <f aca="false">'P05 Dumai Output'!F19</f>
        <v>0</v>
      </c>
      <c r="G181" s="58" t="n">
        <f aca="false">'P05 Dumai Output'!G19</f>
        <v>0</v>
      </c>
      <c r="H181" s="58" t="n">
        <f aca="false">'P05 Dumai Output'!H19</f>
        <v>0</v>
      </c>
      <c r="I181" s="58" t="n">
        <f aca="false">'P05 Dumai Output'!I19</f>
        <v>13.5042609397214</v>
      </c>
      <c r="J181" s="58" t="n">
        <f aca="false">'P05 Dumai Output'!J19</f>
        <v>12.7753010170246</v>
      </c>
      <c r="K181" s="58" t="n">
        <f aca="false">'P05 Dumai Output'!K19</f>
        <v>12.3662176512603</v>
      </c>
      <c r="L181" s="58" t="n">
        <f aca="false">'P05 Dumai Output'!L19</f>
        <v>14.1873189389998</v>
      </c>
      <c r="M181" s="58" t="n">
        <f aca="false">'P05 Dumai Output'!M19</f>
        <v>13.4088021808333</v>
      </c>
      <c r="N181" s="58" t="n">
        <f aca="false">'P05 Dumai Output'!N19</f>
        <v>13.1318555477013</v>
      </c>
      <c r="O181" s="58" t="n">
        <f aca="false">'P05 Dumai Output'!O19</f>
        <v>12.6728839798596</v>
      </c>
      <c r="P181" s="58" t="n">
        <f aca="false">'P05 Dumai Output'!P19</f>
        <v>14.5812975346984</v>
      </c>
      <c r="Q181" s="58" t="n">
        <f aca="false">'P05 Dumai Output'!Q19</f>
        <v>18.2044213537619</v>
      </c>
      <c r="R181" s="58" t="n">
        <f aca="false">'P05 Dumai Output'!R19</f>
        <v>17.5663013794683</v>
      </c>
      <c r="S181" s="58" t="n">
        <f aca="false">'P05 Dumai Output'!S19</f>
        <v>17.3588542689316</v>
      </c>
    </row>
    <row r="182" customFormat="false" ht="15" hidden="false" customHeight="false" outlineLevel="0" collapsed="false">
      <c r="B182" s="24" t="s">
        <v>349</v>
      </c>
      <c r="C182" s="25" t="s">
        <v>170</v>
      </c>
      <c r="E182" s="47" t="n">
        <f aca="false">SUM(F182:S182)</f>
        <v>-80.6939567261905</v>
      </c>
      <c r="F182" s="58" t="n">
        <f aca="false">'P05 Dumai Output'!F16</f>
        <v>-0</v>
      </c>
      <c r="G182" s="58" t="n">
        <f aca="false">'P05 Dumai Output'!G16</f>
        <v>-0</v>
      </c>
      <c r="H182" s="58" t="n">
        <f aca="false">'P05 Dumai Output'!H16</f>
        <v>-0</v>
      </c>
      <c r="I182" s="58" t="n">
        <f aca="false">'P05 Dumai Output'!I16</f>
        <v>-8.43766238095238</v>
      </c>
      <c r="J182" s="58" t="n">
        <f aca="false">'P05 Dumai Output'!J16</f>
        <v>-8.86055238095238</v>
      </c>
      <c r="K182" s="58" t="n">
        <f aca="false">'P05 Dumai Output'!K16</f>
        <v>-8.86055238095238</v>
      </c>
      <c r="L182" s="58" t="n">
        <f aca="false">'P05 Dumai Output'!L16</f>
        <v>-8.86055238095238</v>
      </c>
      <c r="M182" s="58" t="n">
        <f aca="false">'P05 Dumai Output'!M16</f>
        <v>-8.86055238095238</v>
      </c>
      <c r="N182" s="58" t="n">
        <f aca="false">'P05 Dumai Output'!N16</f>
        <v>-8.86055238095238</v>
      </c>
      <c r="O182" s="58" t="n">
        <f aca="false">'P05 Dumai Output'!O16</f>
        <v>-8.86055238095238</v>
      </c>
      <c r="P182" s="58" t="n">
        <f aca="false">'P05 Dumai Output'!P16</f>
        <v>-8.86055238095238</v>
      </c>
      <c r="Q182" s="58" t="n">
        <f aca="false">'P05 Dumai Output'!Q16</f>
        <v>-3.58701339285714</v>
      </c>
      <c r="R182" s="58" t="n">
        <f aca="false">'P05 Dumai Output'!R16</f>
        <v>-3.32270714285714</v>
      </c>
      <c r="S182" s="58" t="n">
        <f aca="false">'P05 Dumai Output'!S16</f>
        <v>-3.32270714285714</v>
      </c>
    </row>
    <row r="183" customFormat="false" ht="15" hidden="false" customHeight="false" outlineLevel="0" collapsed="false">
      <c r="B183" s="24" t="s">
        <v>350</v>
      </c>
      <c r="C183" s="25" t="s">
        <v>240</v>
      </c>
      <c r="E183" s="44" t="n">
        <f aca="false">SUM(F183:S183)</f>
        <v>6.80952380952381</v>
      </c>
      <c r="F183" s="72" t="n">
        <f aca="false">'P05 Dumai Output'!F34</f>
        <v>0</v>
      </c>
      <c r="G183" s="72" t="n">
        <f aca="false">'P05 Dumai Output'!G34</f>
        <v>0</v>
      </c>
      <c r="H183" s="72" t="n">
        <f aca="false">'P05 Dumai Output'!H34</f>
        <v>0</v>
      </c>
      <c r="I183" s="72" t="n">
        <f aca="false">'P05 Dumai Output'!I34</f>
        <v>6.48452380952381</v>
      </c>
      <c r="J183" s="72" t="n">
        <f aca="false">'P05 Dumai Output'!J34</f>
        <v>0.325</v>
      </c>
      <c r="K183" s="72" t="n">
        <f aca="false">'P05 Dumai Output'!K34</f>
        <v>0</v>
      </c>
      <c r="L183" s="72" t="n">
        <f aca="false">'P05 Dumai Output'!L34</f>
        <v>0</v>
      </c>
      <c r="M183" s="72" t="n">
        <f aca="false">'P05 Dumai Output'!M34</f>
        <v>0</v>
      </c>
      <c r="N183" s="72" t="n">
        <f aca="false">'P05 Dumai Output'!N34</f>
        <v>0</v>
      </c>
      <c r="O183" s="72" t="n">
        <f aca="false">'P05 Dumai Output'!O34</f>
        <v>0</v>
      </c>
      <c r="P183" s="72" t="n">
        <f aca="false">'P05 Dumai Output'!P34</f>
        <v>0</v>
      </c>
      <c r="Q183" s="72" t="n">
        <f aca="false">'P05 Dumai Output'!Q34</f>
        <v>0</v>
      </c>
      <c r="R183" s="72" t="n">
        <f aca="false">'P05 Dumai Output'!R34</f>
        <v>0</v>
      </c>
      <c r="S183" s="72" t="n">
        <f aca="false">'P05 Dumai Output'!S34</f>
        <v>0</v>
      </c>
    </row>
    <row r="184" customFormat="false" ht="15" hidden="false" customHeight="false" outlineLevel="0" collapsed="false">
      <c r="B184" s="24" t="s">
        <v>351</v>
      </c>
      <c r="C184" s="25" t="s">
        <v>170</v>
      </c>
      <c r="E184" s="47" t="n">
        <f aca="false">SUM(F184:S184)</f>
        <v>110.756904761905</v>
      </c>
      <c r="F184" s="58" t="n">
        <f aca="false">'P05 Dumai Output'!F35</f>
        <v>0</v>
      </c>
      <c r="G184" s="58" t="n">
        <f aca="false">'P05 Dumai Output'!G35</f>
        <v>0</v>
      </c>
      <c r="H184" s="58" t="n">
        <f aca="false">'P05 Dumai Output'!H35</f>
        <v>0</v>
      </c>
      <c r="I184" s="58" t="n">
        <f aca="false">'P05 Dumai Output'!I35</f>
        <v>105.470779761905</v>
      </c>
      <c r="J184" s="58" t="n">
        <f aca="false">'P05 Dumai Output'!J35</f>
        <v>5.286125</v>
      </c>
      <c r="K184" s="58" t="n">
        <f aca="false">'P05 Dumai Output'!K35</f>
        <v>0</v>
      </c>
      <c r="L184" s="58" t="n">
        <f aca="false">'P05 Dumai Output'!L35</f>
        <v>0</v>
      </c>
      <c r="M184" s="58" t="n">
        <f aca="false">'P05 Dumai Output'!M35</f>
        <v>0</v>
      </c>
      <c r="N184" s="58" t="n">
        <f aca="false">'P05 Dumai Output'!N35</f>
        <v>0</v>
      </c>
      <c r="O184" s="58" t="n">
        <f aca="false">'P05 Dumai Output'!O35</f>
        <v>0</v>
      </c>
      <c r="P184" s="58" t="n">
        <f aca="false">'P05 Dumai Output'!P35</f>
        <v>0</v>
      </c>
      <c r="Q184" s="58" t="n">
        <f aca="false">'P05 Dumai Output'!Q35</f>
        <v>0</v>
      </c>
      <c r="R184" s="58" t="n">
        <f aca="false">'P05 Dumai Output'!R35</f>
        <v>0</v>
      </c>
      <c r="S184" s="58" t="n">
        <f aca="false">'P05 Dumai Output'!S35</f>
        <v>0</v>
      </c>
    </row>
    <row r="185" customFormat="false" ht="15" hidden="false" customHeight="false" outlineLevel="0" collapsed="false">
      <c r="B185" s="24" t="s">
        <v>352</v>
      </c>
      <c r="C185" s="25" t="s">
        <v>170</v>
      </c>
      <c r="E185" s="47" t="n">
        <f aca="false">SUM(F185:S185)</f>
        <v>-6.75838518688525</v>
      </c>
      <c r="F185" s="58" t="n">
        <f aca="false">'P05 Dumai Output'!F27</f>
        <v>-0</v>
      </c>
      <c r="G185" s="58" t="n">
        <f aca="false">'P05 Dumai Output'!G27</f>
        <v>-0</v>
      </c>
      <c r="H185" s="58" t="n">
        <f aca="false">'P05 Dumai Output'!H27</f>
        <v>-0</v>
      </c>
      <c r="I185" s="58" t="n">
        <f aca="false">'P05 Dumai Output'!I27</f>
        <v>-5.93013698630137</v>
      </c>
      <c r="J185" s="58" t="n">
        <f aca="false">'P05 Dumai Output'!J27</f>
        <v>-0</v>
      </c>
      <c r="K185" s="58" t="n">
        <f aca="false">'P05 Dumai Output'!K27</f>
        <v>0.0162025600718616</v>
      </c>
      <c r="L185" s="58" t="n">
        <f aca="false">'P05 Dumai Output'!L27</f>
        <v>-0.425221738154053</v>
      </c>
      <c r="M185" s="58" t="n">
        <f aca="false">'P05 Dumai Output'!M27</f>
        <v>-0</v>
      </c>
      <c r="N185" s="58" t="n">
        <f aca="false">'P05 Dumai Output'!N27</f>
        <v>-0</v>
      </c>
      <c r="O185" s="58" t="n">
        <f aca="false">'P05 Dumai Output'!O27</f>
        <v>0.0173200988097904</v>
      </c>
      <c r="P185" s="58" t="n">
        <f aca="false">'P05 Dumai Output'!P27</f>
        <v>-0.455065245111161</v>
      </c>
      <c r="Q185" s="58" t="n">
        <f aca="false">'P05 Dumai Output'!Q27</f>
        <v>-0</v>
      </c>
      <c r="R185" s="58" t="n">
        <f aca="false">'P05 Dumai Output'!R27</f>
        <v>-0</v>
      </c>
      <c r="S185" s="58" t="n">
        <f aca="false">'P05 Dumai Output'!S27</f>
        <v>0.0185161237996851</v>
      </c>
    </row>
    <row r="186" customFormat="false" ht="15" hidden="false" customHeight="false" outlineLevel="0" collapsed="false">
      <c r="B186" s="69" t="s">
        <v>353</v>
      </c>
      <c r="C186" s="25" t="s">
        <v>170</v>
      </c>
      <c r="E186" s="70" t="n">
        <f aca="false">SUM(F186:S186)</f>
        <v>122.936181569661</v>
      </c>
      <c r="F186" s="71" t="n">
        <f aca="false">'P05 Dumai Output'!F28</f>
        <v>0</v>
      </c>
      <c r="G186" s="71" t="n">
        <f aca="false">'P05 Dumai Output'!G28</f>
        <v>0</v>
      </c>
      <c r="H186" s="71" t="n">
        <f aca="false">'P05 Dumai Output'!H28</f>
        <v>0</v>
      </c>
      <c r="I186" s="71" t="n">
        <f aca="false">'P05 Dumai Output'!I28</f>
        <v>-89.4589934275323</v>
      </c>
      <c r="J186" s="71" t="n">
        <f aca="false">'P05 Dumai Output'!J28</f>
        <v>16.3497283979769</v>
      </c>
      <c r="K186" s="71" t="n">
        <f aca="false">'P05 Dumai Output'!K28</f>
        <v>21.2429725922845</v>
      </c>
      <c r="L186" s="71" t="n">
        <f aca="false">'P05 Dumai Output'!L28</f>
        <v>22.6226495817981</v>
      </c>
      <c r="M186" s="71" t="n">
        <f aca="false">'P05 Dumai Output'!M28</f>
        <v>22.2693545617857</v>
      </c>
      <c r="N186" s="71" t="n">
        <f aca="false">'P05 Dumai Output'!N28</f>
        <v>21.9924079286537</v>
      </c>
      <c r="O186" s="71" t="n">
        <f aca="false">'P05 Dumai Output'!O28</f>
        <v>21.5507564596218</v>
      </c>
      <c r="P186" s="71" t="n">
        <f aca="false">'P05 Dumai Output'!P28</f>
        <v>22.9867846705396</v>
      </c>
      <c r="Q186" s="71" t="n">
        <f aca="false">'P05 Dumai Output'!Q28</f>
        <v>21.7914347466191</v>
      </c>
      <c r="R186" s="71" t="n">
        <f aca="false">'P05 Dumai Output'!R28</f>
        <v>20.8890085223254</v>
      </c>
      <c r="S186" s="71" t="n">
        <f aca="false">'P05 Dumai Output'!S28</f>
        <v>20.7000775355884</v>
      </c>
    </row>
    <row r="187" customFormat="false" ht="15" hidden="false" customHeight="false" outlineLevel="0" collapsed="false">
      <c r="B187" s="24" t="s">
        <v>354</v>
      </c>
      <c r="C187" s="25" t="s">
        <v>170</v>
      </c>
      <c r="F187" s="58" t="n">
        <f aca="false">'P05 Dumai Output'!F29</f>
        <v>0</v>
      </c>
      <c r="G187" s="58" t="n">
        <f aca="false">'P05 Dumai Output'!G29</f>
        <v>0</v>
      </c>
      <c r="H187" s="58" t="n">
        <f aca="false">'P05 Dumai Output'!H29</f>
        <v>0</v>
      </c>
      <c r="I187" s="58" t="n">
        <f aca="false">'P05 Dumai Output'!I29</f>
        <v>-89.4589934275323</v>
      </c>
      <c r="J187" s="58" t="n">
        <f aca="false">'P05 Dumai Output'!J29</f>
        <v>-73.1092650295554</v>
      </c>
      <c r="K187" s="58" t="n">
        <f aca="false">'P05 Dumai Output'!K29</f>
        <v>-51.8662924372709</v>
      </c>
      <c r="L187" s="58" t="n">
        <f aca="false">'P05 Dumai Output'!L29</f>
        <v>-29.2436428554728</v>
      </c>
      <c r="M187" s="58" t="n">
        <f aca="false">'P05 Dumai Output'!M29</f>
        <v>-6.9742882936871</v>
      </c>
      <c r="N187" s="58" t="n">
        <f aca="false">'P05 Dumai Output'!N29</f>
        <v>15.0181196349666</v>
      </c>
      <c r="O187" s="58" t="n">
        <f aca="false">'P05 Dumai Output'!O29</f>
        <v>36.5688760945884</v>
      </c>
      <c r="P187" s="58" t="n">
        <f aca="false">'P05 Dumai Output'!P29</f>
        <v>59.555660765128</v>
      </c>
      <c r="Q187" s="58" t="n">
        <f aca="false">'P05 Dumai Output'!Q29</f>
        <v>81.3470955117471</v>
      </c>
      <c r="R187" s="58" t="n">
        <f aca="false">'P05 Dumai Output'!R29</f>
        <v>102.236104034073</v>
      </c>
      <c r="S187" s="58" t="n">
        <f aca="false">'P05 Dumai Output'!S29</f>
        <v>122.936181569661</v>
      </c>
    </row>
    <row r="188" customFormat="false" ht="15" hidden="false" customHeight="false" outlineLevel="0" collapsed="false">
      <c r="B188" s="24" t="s">
        <v>355</v>
      </c>
      <c r="C188" s="25" t="s">
        <v>170</v>
      </c>
      <c r="F188" s="58" t="n">
        <f aca="false">'P05 Dumai Output'!F39</f>
        <v>0</v>
      </c>
      <c r="G188" s="58" t="n">
        <f aca="false">'P05 Dumai Output'!G39</f>
        <v>0</v>
      </c>
      <c r="H188" s="58" t="n">
        <f aca="false">'P05 Dumai Output'!H39</f>
        <v>0</v>
      </c>
      <c r="I188" s="58" t="n">
        <f aca="false">'P05 Dumai Output'!I39</f>
        <v>102.963254367254</v>
      </c>
      <c r="J188" s="58" t="n">
        <f aca="false">'P05 Dumai Output'!J39</f>
        <v>99.3888269863014</v>
      </c>
      <c r="K188" s="58" t="n">
        <f aca="false">'P05 Dumai Output'!K39</f>
        <v>90.5120720452771</v>
      </c>
      <c r="L188" s="58" t="n">
        <f aca="false">'P05 Dumai Output'!L39</f>
        <v>82.0767414024788</v>
      </c>
      <c r="M188" s="58" t="n">
        <f aca="false">'P05 Dumai Output'!M39</f>
        <v>73.2161890215264</v>
      </c>
      <c r="N188" s="58" t="n">
        <f aca="false">'P05 Dumai Output'!N39</f>
        <v>64.355636640574</v>
      </c>
      <c r="O188" s="58" t="n">
        <f aca="false">'P05 Dumai Output'!O39</f>
        <v>55.4777641608118</v>
      </c>
      <c r="P188" s="58" t="n">
        <f aca="false">'P05 Dumai Output'!P39</f>
        <v>47.0722770249706</v>
      </c>
      <c r="Q188" s="58" t="n">
        <f aca="false">'P05 Dumai Output'!Q39</f>
        <v>43.4852636321135</v>
      </c>
      <c r="R188" s="58" t="n">
        <f aca="false">'P05 Dumai Output'!R39</f>
        <v>40.1625564892563</v>
      </c>
      <c r="S188" s="58" t="n">
        <f aca="false">'P05 Dumai Output'!S39</f>
        <v>36.8213332225995</v>
      </c>
    </row>
    <row r="189" customFormat="false" ht="15" hidden="false" customHeight="false" outlineLevel="0" collapsed="false">
      <c r="B189" s="24" t="s">
        <v>356</v>
      </c>
      <c r="C189" s="25" t="s">
        <v>170</v>
      </c>
      <c r="E189" s="47" t="n">
        <f aca="false">SUM(F189:S189)</f>
        <v>89.4589934275323</v>
      </c>
      <c r="F189" s="58" t="n">
        <f aca="false">'P05 Dumai Output'!F31</f>
        <v>-0</v>
      </c>
      <c r="G189" s="58" t="n">
        <f aca="false">'P05 Dumai Output'!G31</f>
        <v>-0</v>
      </c>
      <c r="H189" s="58" t="n">
        <f aca="false">'P05 Dumai Output'!H31</f>
        <v>-0</v>
      </c>
      <c r="I189" s="58" t="n">
        <f aca="false">'P05 Dumai Output'!I31</f>
        <v>89.4589934275323</v>
      </c>
      <c r="J189" s="58" t="n">
        <f aca="false">'P05 Dumai Output'!J31</f>
        <v>0</v>
      </c>
      <c r="K189" s="58" t="n">
        <f aca="false">'P05 Dumai Output'!K31</f>
        <v>0</v>
      </c>
      <c r="L189" s="58" t="n">
        <f aca="false">'P05 Dumai Output'!L31</f>
        <v>0</v>
      </c>
      <c r="M189" s="58" t="n">
        <f aca="false">'P05 Dumai Output'!M31</f>
        <v>0</v>
      </c>
      <c r="N189" s="58" t="n">
        <f aca="false">'P05 Dumai Output'!N31</f>
        <v>0</v>
      </c>
      <c r="O189" s="58" t="n">
        <f aca="false">'P05 Dumai Output'!O31</f>
        <v>0</v>
      </c>
      <c r="P189" s="58" t="n">
        <f aca="false">'P05 Dumai Output'!P31</f>
        <v>0</v>
      </c>
      <c r="Q189" s="58" t="n">
        <f aca="false">'P05 Dumai Output'!Q31</f>
        <v>0</v>
      </c>
      <c r="R189" s="58" t="n">
        <f aca="false">'P05 Dumai Output'!R31</f>
        <v>0</v>
      </c>
      <c r="S189" s="58" t="n">
        <f aca="false">'P05 Dumai Output'!S31</f>
        <v>0</v>
      </c>
    </row>
    <row r="190" customFormat="false" ht="15" hidden="false" customHeight="false" outlineLevel="0" collapsed="false">
      <c r="B190" s="24" t="s">
        <v>357</v>
      </c>
      <c r="C190" s="25" t="s">
        <v>170</v>
      </c>
      <c r="E190" s="47" t="n">
        <f aca="false">SUM(F190:S190)</f>
        <v>197.603970664319</v>
      </c>
      <c r="F190" s="58" t="n">
        <f aca="false">'P05 Dumai Output'!F46</f>
        <v>0</v>
      </c>
      <c r="G190" s="58" t="n">
        <f aca="false">'P05 Dumai Output'!G46</f>
        <v>0</v>
      </c>
      <c r="H190" s="58" t="n">
        <f aca="false">'P05 Dumai Output'!H46</f>
        <v>0</v>
      </c>
      <c r="I190" s="58" t="n">
        <f aca="false">'P05 Dumai Output'!I46</f>
        <v>-0</v>
      </c>
      <c r="J190" s="58" t="n">
        <f aca="false">'P05 Dumai Output'!J46</f>
        <v>14.6153912423558</v>
      </c>
      <c r="K190" s="58" t="n">
        <f aca="false">'P05 Dumai Output'!K46</f>
        <v>16.9752076227863</v>
      </c>
      <c r="L190" s="58" t="n">
        <f aca="false">'P05 Dumai Output'!L46</f>
        <v>16.1600677621969</v>
      </c>
      <c r="M190" s="58" t="n">
        <f aca="false">'P05 Dumai Output'!M46</f>
        <v>14.2202503412717</v>
      </c>
      <c r="N190" s="58" t="n">
        <f aca="false">'P05 Dumai Output'!N46</f>
        <v>12.5537159446637</v>
      </c>
      <c r="O190" s="58" t="n">
        <f aca="false">'P05 Dumai Output'!O46</f>
        <v>10.9966888565391</v>
      </c>
      <c r="P190" s="58" t="n">
        <f aca="false">'P05 Dumai Output'!P46</f>
        <v>10.4852200356588</v>
      </c>
      <c r="Q190" s="58" t="n">
        <f aca="false">'P05 Dumai Output'!Q46</f>
        <v>8.8855650217845</v>
      </c>
      <c r="R190" s="58" t="n">
        <f aca="false">'P05 Dumai Output'!R46</f>
        <v>7.6140715613647</v>
      </c>
      <c r="S190" s="58" t="n">
        <f aca="false">'P05 Dumai Output'!S46</f>
        <v>85.0977922756976</v>
      </c>
    </row>
    <row r="191" customFormat="false" ht="15" hidden="false" customHeight="false" outlineLevel="0" collapsed="false">
      <c r="B191" s="3" t="s">
        <v>358</v>
      </c>
      <c r="C191" s="73" t="s">
        <v>359</v>
      </c>
      <c r="D191" s="74" t="n">
        <f aca="false">'P05 Dumai Output'!$E$47</f>
        <v>197.603970664319</v>
      </c>
      <c r="E191" s="73" t="s">
        <v>360</v>
      </c>
      <c r="F191" s="75" t="n">
        <f aca="false">IF(ISNUMBER('P05 Dumai Output'!$E$49),'P05 Dumai Output'!$E$49,"n/a")</f>
        <v>0.192595399550514</v>
      </c>
      <c r="G191" s="73" t="s">
        <v>361</v>
      </c>
      <c r="H191" s="75" t="n">
        <f aca="false">IF(ISNUMBER('P05 Dumai Output'!$E$50),'P05 Dumai Output'!$E$50,"n/a")</f>
        <v>0.274959407151836</v>
      </c>
      <c r="I191" s="73" t="s">
        <v>362</v>
      </c>
      <c r="J191" s="76" t="n">
        <f aca="false">IF(ISNUMBER('P05 Dumai Output'!$E$52),'P05 Dumai Output'!$E$52,"n/a")</f>
        <v>2031</v>
      </c>
      <c r="K191" s="73" t="s">
        <v>363</v>
      </c>
      <c r="L191" s="74" t="n">
        <f aca="false">'P05 Dumai Output'!$E$54</f>
        <v>6.80952380952381</v>
      </c>
      <c r="M191" s="73" t="s">
        <v>364</v>
      </c>
      <c r="N191" s="74" t="n">
        <f aca="false">'P05 Dumai Output'!$E$55</f>
        <v>0.325</v>
      </c>
    </row>
    <row r="193" customFormat="false" ht="15" hidden="false" customHeight="false" outlineLevel="0" collapsed="false">
      <c r="B193" s="22" t="s">
        <v>373</v>
      </c>
      <c r="C193" s="23"/>
      <c r="D193" s="23"/>
      <c r="E193" s="23"/>
      <c r="F193" s="23"/>
      <c r="G193" s="23"/>
      <c r="H193" s="23"/>
      <c r="I193" s="23"/>
      <c r="J193" s="23"/>
      <c r="K193" s="23"/>
      <c r="L193" s="23"/>
      <c r="M193" s="23"/>
      <c r="N193" s="23"/>
      <c r="O193" s="23"/>
      <c r="P193" s="23"/>
      <c r="Q193" s="23"/>
      <c r="R193" s="23"/>
      <c r="S193" s="23"/>
    </row>
    <row r="194" customFormat="false" ht="15" hidden="false" customHeight="false" outlineLevel="0" collapsed="false">
      <c r="B194" s="5" t="s">
        <v>58</v>
      </c>
      <c r="C194" s="17" t="s">
        <v>27</v>
      </c>
      <c r="D194" s="17" t="s">
        <v>28</v>
      </c>
      <c r="E194" s="17" t="s">
        <v>29</v>
      </c>
      <c r="G194" s="5" t="str">
        <f aca="false">"In valuation: "&amp;'Global Inputs'!$E$98&amp;"  |  case: "&amp;'Global Inputs'!$F$98&amp;"  |  FSL interest: "&amp;TEXT('Global Inputs'!$G$98,"0%")</f>
        <v>In valuation: 1  |  case: 1  |  FSL interest: 100%</v>
      </c>
    </row>
    <row r="195" customFormat="false" ht="15" hidden="false" customHeight="false" outlineLevel="0" collapsed="false">
      <c r="B195" s="24" t="s">
        <v>345</v>
      </c>
      <c r="C195" s="25" t="s">
        <v>170</v>
      </c>
      <c r="E195" s="47" t="n">
        <f aca="false">SUM(F195:S195)</f>
        <v>980.819009166883</v>
      </c>
      <c r="F195" s="58" t="n">
        <f aca="false">'P06 Ciwandan Output'!F11</f>
        <v>0</v>
      </c>
      <c r="G195" s="58" t="n">
        <f aca="false">'P06 Ciwandan Output'!G11</f>
        <v>0</v>
      </c>
      <c r="H195" s="58" t="n">
        <f aca="false">'P06 Ciwandan Output'!H11</f>
        <v>0</v>
      </c>
      <c r="I195" s="58" t="n">
        <f aca="false">'P06 Ciwandan Output'!I11</f>
        <v>0</v>
      </c>
      <c r="J195" s="58" t="n">
        <f aca="false">'P06 Ciwandan Output'!J11</f>
        <v>0</v>
      </c>
      <c r="K195" s="58" t="n">
        <f aca="false">'P06 Ciwandan Output'!K11</f>
        <v>58.2578395878345</v>
      </c>
      <c r="L195" s="58" t="n">
        <f aca="false">'P06 Ciwandan Output'!L11</f>
        <v>76.9003482559415</v>
      </c>
      <c r="M195" s="58" t="n">
        <f aca="false">'P06 Ciwandan Output'!M11</f>
        <v>84.5903830815357</v>
      </c>
      <c r="N195" s="58" t="n">
        <f aca="false">'P06 Ciwandan Output'!N11</f>
        <v>102.354363528658</v>
      </c>
      <c r="O195" s="58" t="n">
        <f aca="false">'P06 Ciwandan Output'!O11</f>
        <v>108.495625340378</v>
      </c>
      <c r="P195" s="58" t="n">
        <f aca="false">'P06 Ciwandan Output'!P11</f>
        <v>121.905684632448</v>
      </c>
      <c r="Q195" s="58" t="n">
        <f aca="false">'P06 Ciwandan Output'!Q11</f>
        <v>129.220025710395</v>
      </c>
      <c r="R195" s="58" t="n">
        <f aca="false">'P06 Ciwandan Output'!R11</f>
        <v>145.1916208882</v>
      </c>
      <c r="S195" s="58" t="n">
        <f aca="false">'P06 Ciwandan Output'!S11</f>
        <v>153.903118141492</v>
      </c>
    </row>
    <row r="196" customFormat="false" ht="15" hidden="false" customHeight="false" outlineLevel="0" collapsed="false">
      <c r="B196" s="24" t="s">
        <v>346</v>
      </c>
      <c r="C196" s="25" t="s">
        <v>170</v>
      </c>
      <c r="E196" s="47" t="n">
        <f aca="false">SUM(F196:S196)</f>
        <v>609.014258256759</v>
      </c>
      <c r="F196" s="58" t="n">
        <f aca="false">'P06 Ciwandan Output'!F15</f>
        <v>0</v>
      </c>
      <c r="G196" s="58" t="n">
        <f aca="false">'P06 Ciwandan Output'!G15</f>
        <v>0</v>
      </c>
      <c r="H196" s="58" t="n">
        <f aca="false">'P06 Ciwandan Output'!H15</f>
        <v>0</v>
      </c>
      <c r="I196" s="58" t="n">
        <f aca="false">'P06 Ciwandan Output'!I15</f>
        <v>0</v>
      </c>
      <c r="J196" s="58" t="n">
        <f aca="false">'P06 Ciwandan Output'!J15</f>
        <v>0</v>
      </c>
      <c r="K196" s="58" t="n">
        <f aca="false">'P06 Ciwandan Output'!K15</f>
        <v>33.1060232813347</v>
      </c>
      <c r="L196" s="58" t="n">
        <f aca="false">'P06 Ciwandan Output'!L15</f>
        <v>46.4711499317826</v>
      </c>
      <c r="M196" s="58" t="n">
        <f aca="false">'P06 Ciwandan Output'!M15</f>
        <v>50.880630431476</v>
      </c>
      <c r="N196" s="58" t="n">
        <f aca="false">'P06 Ciwandan Output'!N15</f>
        <v>63.5939947386772</v>
      </c>
      <c r="O196" s="58" t="n">
        <f aca="false">'P06 Ciwandan Output'!O15</f>
        <v>67.0575447511298</v>
      </c>
      <c r="P196" s="58" t="n">
        <f aca="false">'P06 Ciwandan Output'!P15</f>
        <v>77.646679990185</v>
      </c>
      <c r="Q196" s="58" t="n">
        <f aca="false">'P06 Ciwandan Output'!Q15</f>
        <v>81.939277477327</v>
      </c>
      <c r="R196" s="58" t="n">
        <f aca="false">'P06 Ciwandan Output'!R15</f>
        <v>91.6423574448939</v>
      </c>
      <c r="S196" s="58" t="n">
        <f aca="false">'P06 Ciwandan Output'!S15</f>
        <v>96.676600209953</v>
      </c>
    </row>
    <row r="197" customFormat="false" ht="15" hidden="false" customHeight="false" outlineLevel="0" collapsed="false">
      <c r="B197" s="69" t="s">
        <v>347</v>
      </c>
      <c r="C197" s="25" t="s">
        <v>170</v>
      </c>
      <c r="E197" s="70" t="n">
        <f aca="false">SUM(F197:S197)</f>
        <v>549.763633256759</v>
      </c>
      <c r="F197" s="71" t="n">
        <f aca="false">'P06 Ciwandan Output'!F17</f>
        <v>0</v>
      </c>
      <c r="G197" s="71" t="n">
        <f aca="false">'P06 Ciwandan Output'!G17</f>
        <v>0</v>
      </c>
      <c r="H197" s="71" t="n">
        <f aca="false">'P06 Ciwandan Output'!H17</f>
        <v>0</v>
      </c>
      <c r="I197" s="71" t="n">
        <f aca="false">'P06 Ciwandan Output'!I17</f>
        <v>0</v>
      </c>
      <c r="J197" s="71" t="n">
        <f aca="false">'P06 Ciwandan Output'!J17</f>
        <v>0</v>
      </c>
      <c r="K197" s="71" t="n">
        <f aca="false">'P06 Ciwandan Output'!K17</f>
        <v>25.9550857813347</v>
      </c>
      <c r="L197" s="71" t="n">
        <f aca="false">'P06 Ciwandan Output'!L17</f>
        <v>39.3202124317826</v>
      </c>
      <c r="M197" s="71" t="n">
        <f aca="false">'P06 Ciwandan Output'!M17</f>
        <v>43.729692931476</v>
      </c>
      <c r="N197" s="71" t="n">
        <f aca="false">'P06 Ciwandan Output'!N17</f>
        <v>56.4430572386772</v>
      </c>
      <c r="O197" s="71" t="n">
        <f aca="false">'P06 Ciwandan Output'!O17</f>
        <v>59.9066072511298</v>
      </c>
      <c r="P197" s="71" t="n">
        <f aca="false">'P06 Ciwandan Output'!P17</f>
        <v>70.495742490185</v>
      </c>
      <c r="Q197" s="71" t="n">
        <f aca="false">'P06 Ciwandan Output'!Q17</f>
        <v>74.788339977327</v>
      </c>
      <c r="R197" s="71" t="n">
        <f aca="false">'P06 Ciwandan Output'!R17</f>
        <v>84.4914199448939</v>
      </c>
      <c r="S197" s="71" t="n">
        <f aca="false">'P06 Ciwandan Output'!S17</f>
        <v>94.633475209953</v>
      </c>
    </row>
    <row r="198" customFormat="false" ht="15" hidden="false" customHeight="false" outlineLevel="0" collapsed="false">
      <c r="B198" s="24" t="s">
        <v>348</v>
      </c>
      <c r="C198" s="25" t="s">
        <v>170</v>
      </c>
      <c r="E198" s="47" t="n">
        <f aca="false">SUM(F198:S198)</f>
        <v>428.815633940272</v>
      </c>
      <c r="F198" s="58" t="n">
        <f aca="false">'P06 Ciwandan Output'!F19</f>
        <v>0</v>
      </c>
      <c r="G198" s="58" t="n">
        <f aca="false">'P06 Ciwandan Output'!G19</f>
        <v>0</v>
      </c>
      <c r="H198" s="58" t="n">
        <f aca="false">'P06 Ciwandan Output'!H19</f>
        <v>0</v>
      </c>
      <c r="I198" s="58" t="n">
        <f aca="false">'P06 Ciwandan Output'!I19</f>
        <v>0</v>
      </c>
      <c r="J198" s="58" t="n">
        <f aca="false">'P06 Ciwandan Output'!J19</f>
        <v>0</v>
      </c>
      <c r="K198" s="58" t="n">
        <f aca="false">'P06 Ciwandan Output'!K19</f>
        <v>20.244966909441</v>
      </c>
      <c r="L198" s="58" t="n">
        <f aca="false">'P06 Ciwandan Output'!L19</f>
        <v>30.6697656967904</v>
      </c>
      <c r="M198" s="58" t="n">
        <f aca="false">'P06 Ciwandan Output'!M19</f>
        <v>34.1091604865513</v>
      </c>
      <c r="N198" s="58" t="n">
        <f aca="false">'P06 Ciwandan Output'!N19</f>
        <v>44.0255846461682</v>
      </c>
      <c r="O198" s="58" t="n">
        <f aca="false">'P06 Ciwandan Output'!O19</f>
        <v>46.7271536558812</v>
      </c>
      <c r="P198" s="58" t="n">
        <f aca="false">'P06 Ciwandan Output'!P19</f>
        <v>54.9866791423443</v>
      </c>
      <c r="Q198" s="58" t="n">
        <f aca="false">'P06 Ciwandan Output'!Q19</f>
        <v>58.3349051823151</v>
      </c>
      <c r="R198" s="58" t="n">
        <f aca="false">'P06 Ciwandan Output'!R19</f>
        <v>65.9033075570172</v>
      </c>
      <c r="S198" s="58" t="n">
        <f aca="false">'P06 Ciwandan Output'!S19</f>
        <v>73.8141106637633</v>
      </c>
    </row>
    <row r="199" customFormat="false" ht="15" hidden="false" customHeight="false" outlineLevel="0" collapsed="false">
      <c r="B199" s="24" t="s">
        <v>349</v>
      </c>
      <c r="C199" s="25" t="s">
        <v>170</v>
      </c>
      <c r="E199" s="47" t="n">
        <f aca="false">SUM(F199:S199)</f>
        <v>-59.250625</v>
      </c>
      <c r="F199" s="58" t="n">
        <f aca="false">'P06 Ciwandan Output'!F16</f>
        <v>-0</v>
      </c>
      <c r="G199" s="58" t="n">
        <f aca="false">'P06 Ciwandan Output'!G16</f>
        <v>-0</v>
      </c>
      <c r="H199" s="58" t="n">
        <f aca="false">'P06 Ciwandan Output'!H16</f>
        <v>-0</v>
      </c>
      <c r="I199" s="58" t="n">
        <f aca="false">'P06 Ciwandan Output'!I16</f>
        <v>-0</v>
      </c>
      <c r="J199" s="58" t="n">
        <f aca="false">'P06 Ciwandan Output'!J16</f>
        <v>-0</v>
      </c>
      <c r="K199" s="58" t="n">
        <f aca="false">'P06 Ciwandan Output'!K16</f>
        <v>-7.1509375</v>
      </c>
      <c r="L199" s="58" t="n">
        <f aca="false">'P06 Ciwandan Output'!L16</f>
        <v>-7.1509375</v>
      </c>
      <c r="M199" s="58" t="n">
        <f aca="false">'P06 Ciwandan Output'!M16</f>
        <v>-7.1509375</v>
      </c>
      <c r="N199" s="58" t="n">
        <f aca="false">'P06 Ciwandan Output'!N16</f>
        <v>-7.1509375</v>
      </c>
      <c r="O199" s="58" t="n">
        <f aca="false">'P06 Ciwandan Output'!O16</f>
        <v>-7.1509375</v>
      </c>
      <c r="P199" s="58" t="n">
        <f aca="false">'P06 Ciwandan Output'!P16</f>
        <v>-7.1509375</v>
      </c>
      <c r="Q199" s="58" t="n">
        <f aca="false">'P06 Ciwandan Output'!Q16</f>
        <v>-7.1509375</v>
      </c>
      <c r="R199" s="58" t="n">
        <f aca="false">'P06 Ciwandan Output'!R16</f>
        <v>-7.1509375</v>
      </c>
      <c r="S199" s="58" t="n">
        <f aca="false">'P06 Ciwandan Output'!S16</f>
        <v>-2.043125</v>
      </c>
    </row>
    <row r="200" customFormat="false" ht="15" hidden="false" customHeight="false" outlineLevel="0" collapsed="false">
      <c r="B200" s="24" t="s">
        <v>350</v>
      </c>
      <c r="C200" s="25" t="s">
        <v>240</v>
      </c>
      <c r="E200" s="44" t="n">
        <f aca="false">SUM(F200:S200)</f>
        <v>5.02459268367661</v>
      </c>
      <c r="F200" s="72" t="n">
        <f aca="false">'P06 Ciwandan Output'!F34</f>
        <v>0</v>
      </c>
      <c r="G200" s="72" t="n">
        <f aca="false">'P06 Ciwandan Output'!G34</f>
        <v>0</v>
      </c>
      <c r="H200" s="72" t="n">
        <f aca="false">'P06 Ciwandan Output'!H34</f>
        <v>0</v>
      </c>
      <c r="I200" s="72" t="n">
        <f aca="false">'P06 Ciwandan Output'!I34</f>
        <v>2.5122963418383</v>
      </c>
      <c r="J200" s="72" t="n">
        <f aca="false">'P06 Ciwandan Output'!J34</f>
        <v>2.5122963418383</v>
      </c>
      <c r="K200" s="72" t="n">
        <f aca="false">'P06 Ciwandan Output'!K34</f>
        <v>0</v>
      </c>
      <c r="L200" s="72" t="n">
        <f aca="false">'P06 Ciwandan Output'!L34</f>
        <v>0</v>
      </c>
      <c r="M200" s="72" t="n">
        <f aca="false">'P06 Ciwandan Output'!M34</f>
        <v>0</v>
      </c>
      <c r="N200" s="72" t="n">
        <f aca="false">'P06 Ciwandan Output'!N34</f>
        <v>0</v>
      </c>
      <c r="O200" s="72" t="n">
        <f aca="false">'P06 Ciwandan Output'!O34</f>
        <v>0</v>
      </c>
      <c r="P200" s="72" t="n">
        <f aca="false">'P06 Ciwandan Output'!P34</f>
        <v>0</v>
      </c>
      <c r="Q200" s="72" t="n">
        <f aca="false">'P06 Ciwandan Output'!Q34</f>
        <v>0</v>
      </c>
      <c r="R200" s="72" t="n">
        <f aca="false">'P06 Ciwandan Output'!R34</f>
        <v>0</v>
      </c>
      <c r="S200" s="72" t="n">
        <f aca="false">'P06 Ciwandan Output'!S34</f>
        <v>0</v>
      </c>
    </row>
    <row r="201" customFormat="false" ht="15" hidden="false" customHeight="false" outlineLevel="0" collapsed="false">
      <c r="B201" s="24" t="s">
        <v>351</v>
      </c>
      <c r="C201" s="25" t="s">
        <v>170</v>
      </c>
      <c r="E201" s="47" t="n">
        <f aca="false">SUM(F201:S201)</f>
        <v>81.725</v>
      </c>
      <c r="F201" s="58" t="n">
        <f aca="false">'P06 Ciwandan Output'!F35</f>
        <v>0</v>
      </c>
      <c r="G201" s="58" t="n">
        <f aca="false">'P06 Ciwandan Output'!G35</f>
        <v>0</v>
      </c>
      <c r="H201" s="58" t="n">
        <f aca="false">'P06 Ciwandan Output'!H35</f>
        <v>0</v>
      </c>
      <c r="I201" s="58" t="n">
        <f aca="false">'P06 Ciwandan Output'!I35</f>
        <v>40.8625</v>
      </c>
      <c r="J201" s="58" t="n">
        <f aca="false">'P06 Ciwandan Output'!J35</f>
        <v>40.8625</v>
      </c>
      <c r="K201" s="58" t="n">
        <f aca="false">'P06 Ciwandan Output'!K35</f>
        <v>0</v>
      </c>
      <c r="L201" s="58" t="n">
        <f aca="false">'P06 Ciwandan Output'!L35</f>
        <v>0</v>
      </c>
      <c r="M201" s="58" t="n">
        <f aca="false">'P06 Ciwandan Output'!M35</f>
        <v>0</v>
      </c>
      <c r="N201" s="58" t="n">
        <f aca="false">'P06 Ciwandan Output'!N35</f>
        <v>0</v>
      </c>
      <c r="O201" s="58" t="n">
        <f aca="false">'P06 Ciwandan Output'!O35</f>
        <v>0</v>
      </c>
      <c r="P201" s="58" t="n">
        <f aca="false">'P06 Ciwandan Output'!P35</f>
        <v>0</v>
      </c>
      <c r="Q201" s="58" t="n">
        <f aca="false">'P06 Ciwandan Output'!Q35</f>
        <v>0</v>
      </c>
      <c r="R201" s="58" t="n">
        <f aca="false">'P06 Ciwandan Output'!R35</f>
        <v>0</v>
      </c>
      <c r="S201" s="58" t="n">
        <f aca="false">'P06 Ciwandan Output'!S35</f>
        <v>0</v>
      </c>
    </row>
    <row r="202" customFormat="false" ht="15" hidden="false" customHeight="false" outlineLevel="0" collapsed="false">
      <c r="B202" s="24" t="s">
        <v>352</v>
      </c>
      <c r="C202" s="25" t="s">
        <v>170</v>
      </c>
      <c r="E202" s="47" t="n">
        <f aca="false">SUM(F202:S202)</f>
        <v>-16.0309855256131</v>
      </c>
      <c r="F202" s="58" t="n">
        <f aca="false">'P06 Ciwandan Output'!F27</f>
        <v>-0</v>
      </c>
      <c r="G202" s="58" t="n">
        <f aca="false">'P06 Ciwandan Output'!G27</f>
        <v>-0</v>
      </c>
      <c r="H202" s="58" t="n">
        <f aca="false">'P06 Ciwandan Output'!H27</f>
        <v>-0</v>
      </c>
      <c r="I202" s="58" t="n">
        <f aca="false">'P06 Ciwandan Output'!I27</f>
        <v>-0</v>
      </c>
      <c r="J202" s="58" t="n">
        <f aca="false">'P06 Ciwandan Output'!J27</f>
        <v>-0</v>
      </c>
      <c r="K202" s="58" t="n">
        <f aca="false">'P06 Ciwandan Output'!K27</f>
        <v>-5.92839291223733</v>
      </c>
      <c r="L202" s="58" t="n">
        <f aca="false">'P06 Ciwandan Output'!L27</f>
        <v>-2.0489105112554</v>
      </c>
      <c r="M202" s="58" t="n">
        <f aca="false">'P06 Ciwandan Output'!M27</f>
        <v>-0.780575261325453</v>
      </c>
      <c r="N202" s="58" t="n">
        <f aca="false">'P06 Ciwandan Output'!N27</f>
        <v>-1.93329252968946</v>
      </c>
      <c r="O202" s="58" t="n">
        <f aca="false">'P06 Ciwandan Output'!O27</f>
        <v>-0.584549479072292</v>
      </c>
      <c r="P202" s="58" t="n">
        <f aca="false">'P06 Ciwandan Output'!P27</f>
        <v>-1.53561284300863</v>
      </c>
      <c r="Q202" s="58" t="n">
        <f aca="false">'P06 Ciwandan Output'!Q27</f>
        <v>-0.741890733445395</v>
      </c>
      <c r="R202" s="58" t="n">
        <f aca="false">'P06 Ciwandan Output'!R27</f>
        <v>-1.6440196182873</v>
      </c>
      <c r="S202" s="58" t="n">
        <f aca="false">'P06 Ciwandan Output'!S27</f>
        <v>-0.833741637291814</v>
      </c>
    </row>
    <row r="203" customFormat="false" ht="15" hidden="false" customHeight="false" outlineLevel="0" collapsed="false">
      <c r="B203" s="69" t="s">
        <v>353</v>
      </c>
      <c r="C203" s="25" t="s">
        <v>170</v>
      </c>
      <c r="E203" s="70" t="n">
        <f aca="false">SUM(F203:S203)</f>
        <v>390.310273414659</v>
      </c>
      <c r="F203" s="71" t="n">
        <f aca="false">'P06 Ciwandan Output'!F28</f>
        <v>0</v>
      </c>
      <c r="G203" s="71" t="n">
        <f aca="false">'P06 Ciwandan Output'!G28</f>
        <v>0</v>
      </c>
      <c r="H203" s="71" t="n">
        <f aca="false">'P06 Ciwandan Output'!H28</f>
        <v>0</v>
      </c>
      <c r="I203" s="71" t="n">
        <f aca="false">'P06 Ciwandan Output'!I28</f>
        <v>-40.8625</v>
      </c>
      <c r="J203" s="71" t="n">
        <f aca="false">'P06 Ciwandan Output'!J28</f>
        <v>-40.8625</v>
      </c>
      <c r="K203" s="71" t="n">
        <f aca="false">'P06 Ciwandan Output'!K28</f>
        <v>21.4675114972037</v>
      </c>
      <c r="L203" s="71" t="n">
        <f aca="false">'P06 Ciwandan Output'!L28</f>
        <v>35.771792685535</v>
      </c>
      <c r="M203" s="71" t="n">
        <f aca="false">'P06 Ciwandan Output'!M28</f>
        <v>40.4795227252258</v>
      </c>
      <c r="N203" s="71" t="n">
        <f aca="false">'P06 Ciwandan Output'!N28</f>
        <v>49.2432296164788</v>
      </c>
      <c r="O203" s="71" t="n">
        <f aca="false">'P06 Ciwandan Output'!O28</f>
        <v>53.2935416768089</v>
      </c>
      <c r="P203" s="71" t="n">
        <f aca="false">'P06 Ciwandan Output'!P28</f>
        <v>60.6020037993356</v>
      </c>
      <c r="Q203" s="71" t="n">
        <f aca="false">'P06 Ciwandan Output'!Q28</f>
        <v>64.7439519488697</v>
      </c>
      <c r="R203" s="71" t="n">
        <f aca="false">'P06 Ciwandan Output'!R28</f>
        <v>71.4102254387299</v>
      </c>
      <c r="S203" s="71" t="n">
        <f aca="false">'P06 Ciwandan Output'!S28</f>
        <v>75.0234940264715</v>
      </c>
    </row>
    <row r="204" customFormat="false" ht="15" hidden="false" customHeight="false" outlineLevel="0" collapsed="false">
      <c r="B204" s="24" t="s">
        <v>354</v>
      </c>
      <c r="C204" s="25" t="s">
        <v>170</v>
      </c>
      <c r="F204" s="58" t="n">
        <f aca="false">'P06 Ciwandan Output'!F29</f>
        <v>0</v>
      </c>
      <c r="G204" s="58" t="n">
        <f aca="false">'P06 Ciwandan Output'!G29</f>
        <v>0</v>
      </c>
      <c r="H204" s="58" t="n">
        <f aca="false">'P06 Ciwandan Output'!H29</f>
        <v>0</v>
      </c>
      <c r="I204" s="58" t="n">
        <f aca="false">'P06 Ciwandan Output'!I29</f>
        <v>-40.8625</v>
      </c>
      <c r="J204" s="58" t="n">
        <f aca="false">'P06 Ciwandan Output'!J29</f>
        <v>-81.725</v>
      </c>
      <c r="K204" s="58" t="n">
        <f aca="false">'P06 Ciwandan Output'!K29</f>
        <v>-60.2574885027963</v>
      </c>
      <c r="L204" s="58" t="n">
        <f aca="false">'P06 Ciwandan Output'!L29</f>
        <v>-24.4856958172612</v>
      </c>
      <c r="M204" s="58" t="n">
        <f aca="false">'P06 Ciwandan Output'!M29</f>
        <v>15.9938269079645</v>
      </c>
      <c r="N204" s="58" t="n">
        <f aca="false">'P06 Ciwandan Output'!N29</f>
        <v>65.2370565244433</v>
      </c>
      <c r="O204" s="58" t="n">
        <f aca="false">'P06 Ciwandan Output'!O29</f>
        <v>118.530598201252</v>
      </c>
      <c r="P204" s="58" t="n">
        <f aca="false">'P06 Ciwandan Output'!P29</f>
        <v>179.132602000588</v>
      </c>
      <c r="Q204" s="58" t="n">
        <f aca="false">'P06 Ciwandan Output'!Q29</f>
        <v>243.876553949458</v>
      </c>
      <c r="R204" s="58" t="n">
        <f aca="false">'P06 Ciwandan Output'!R29</f>
        <v>315.286779388188</v>
      </c>
      <c r="S204" s="58" t="n">
        <f aca="false">'P06 Ciwandan Output'!S29</f>
        <v>390.310273414659</v>
      </c>
    </row>
    <row r="205" customFormat="false" ht="15" hidden="false" customHeight="false" outlineLevel="0" collapsed="false">
      <c r="B205" s="24" t="s">
        <v>355</v>
      </c>
      <c r="C205" s="25" t="s">
        <v>170</v>
      </c>
      <c r="F205" s="58" t="n">
        <f aca="false">'P06 Ciwandan Output'!F39</f>
        <v>0</v>
      </c>
      <c r="G205" s="58" t="n">
        <f aca="false">'P06 Ciwandan Output'!G39</f>
        <v>0</v>
      </c>
      <c r="H205" s="58" t="n">
        <f aca="false">'P06 Ciwandan Output'!H39</f>
        <v>0</v>
      </c>
      <c r="I205" s="58" t="n">
        <f aca="false">'P06 Ciwandan Output'!I39</f>
        <v>40.8625</v>
      </c>
      <c r="J205" s="58" t="n">
        <f aca="false">'P06 Ciwandan Output'!J39</f>
        <v>81.725</v>
      </c>
      <c r="K205" s="58" t="n">
        <f aca="false">'P06 Ciwandan Output'!K39</f>
        <v>80.5024554122373</v>
      </c>
      <c r="L205" s="58" t="n">
        <f aca="false">'P06 Ciwandan Output'!L39</f>
        <v>75.4004284234927</v>
      </c>
      <c r="M205" s="58" t="n">
        <f aca="false">'P06 Ciwandan Output'!M39</f>
        <v>69.0300661848182</v>
      </c>
      <c r="N205" s="58" t="n">
        <f aca="false">'P06 Ciwandan Output'!N39</f>
        <v>63.8124212145077</v>
      </c>
      <c r="O205" s="58" t="n">
        <f aca="false">'P06 Ciwandan Output'!O39</f>
        <v>57.2460331935799</v>
      </c>
      <c r="P205" s="58" t="n">
        <f aca="false">'P06 Ciwandan Output'!P39</f>
        <v>51.6307085365886</v>
      </c>
      <c r="Q205" s="58" t="n">
        <f aca="false">'P06 Ciwandan Output'!Q39</f>
        <v>45.221661770034</v>
      </c>
      <c r="R205" s="58" t="n">
        <f aca="false">'P06 Ciwandan Output'!R39</f>
        <v>39.7147438883213</v>
      </c>
      <c r="S205" s="58" t="n">
        <f aca="false">'P06 Ciwandan Output'!S39</f>
        <v>38.5053605256131</v>
      </c>
    </row>
    <row r="206" customFormat="false" ht="15" hidden="false" customHeight="false" outlineLevel="0" collapsed="false">
      <c r="B206" s="24" t="s">
        <v>356</v>
      </c>
      <c r="C206" s="25" t="s">
        <v>170</v>
      </c>
      <c r="E206" s="47" t="n">
        <f aca="false">SUM(F206:S206)</f>
        <v>81.725</v>
      </c>
      <c r="F206" s="58" t="n">
        <f aca="false">'P06 Ciwandan Output'!F31</f>
        <v>-0</v>
      </c>
      <c r="G206" s="58" t="n">
        <f aca="false">'P06 Ciwandan Output'!G31</f>
        <v>-0</v>
      </c>
      <c r="H206" s="58" t="n">
        <f aca="false">'P06 Ciwandan Output'!H31</f>
        <v>-0</v>
      </c>
      <c r="I206" s="58" t="n">
        <f aca="false">'P06 Ciwandan Output'!I31</f>
        <v>40.8625</v>
      </c>
      <c r="J206" s="58" t="n">
        <f aca="false">'P06 Ciwandan Output'!J31</f>
        <v>40.8625</v>
      </c>
      <c r="K206" s="58" t="n">
        <f aca="false">'P06 Ciwandan Output'!K31</f>
        <v>0</v>
      </c>
      <c r="L206" s="58" t="n">
        <f aca="false">'P06 Ciwandan Output'!L31</f>
        <v>0</v>
      </c>
      <c r="M206" s="58" t="n">
        <f aca="false">'P06 Ciwandan Output'!M31</f>
        <v>0</v>
      </c>
      <c r="N206" s="58" t="n">
        <f aca="false">'P06 Ciwandan Output'!N31</f>
        <v>0</v>
      </c>
      <c r="O206" s="58" t="n">
        <f aca="false">'P06 Ciwandan Output'!O31</f>
        <v>0</v>
      </c>
      <c r="P206" s="58" t="n">
        <f aca="false">'P06 Ciwandan Output'!P31</f>
        <v>0</v>
      </c>
      <c r="Q206" s="58" t="n">
        <f aca="false">'P06 Ciwandan Output'!Q31</f>
        <v>0</v>
      </c>
      <c r="R206" s="58" t="n">
        <f aca="false">'P06 Ciwandan Output'!R31</f>
        <v>0</v>
      </c>
      <c r="S206" s="58" t="n">
        <f aca="false">'P06 Ciwandan Output'!S31</f>
        <v>0</v>
      </c>
    </row>
    <row r="207" customFormat="false" ht="15" hidden="false" customHeight="false" outlineLevel="0" collapsed="false">
      <c r="B207" s="24" t="s">
        <v>357</v>
      </c>
      <c r="C207" s="25" t="s">
        <v>170</v>
      </c>
      <c r="E207" s="47" t="n">
        <f aca="false">SUM(F207:S207)</f>
        <v>475.823839559765</v>
      </c>
      <c r="F207" s="58" t="n">
        <f aca="false">'P06 Ciwandan Output'!F46</f>
        <v>0</v>
      </c>
      <c r="G207" s="58" t="n">
        <f aca="false">'P06 Ciwandan Output'!G46</f>
        <v>0</v>
      </c>
      <c r="H207" s="58" t="n">
        <f aca="false">'P06 Ciwandan Output'!H46</f>
        <v>0</v>
      </c>
      <c r="I207" s="58" t="n">
        <f aca="false">'P06 Ciwandan Output'!I46</f>
        <v>-0</v>
      </c>
      <c r="J207" s="58" t="n">
        <f aca="false">'P06 Ciwandan Output'!J46</f>
        <v>-36.5279110517006</v>
      </c>
      <c r="K207" s="58" t="n">
        <f aca="false">'P06 Ciwandan Output'!K46</f>
        <v>17.1546361144363</v>
      </c>
      <c r="L207" s="58" t="n">
        <f aca="false">'P06 Ciwandan Output'!L46</f>
        <v>25.5529128753609</v>
      </c>
      <c r="M207" s="58" t="n">
        <f aca="false">'P06 Ciwandan Output'!M46</f>
        <v>25.848479139835</v>
      </c>
      <c r="N207" s="58" t="n">
        <f aca="false">'P06 Ciwandan Output'!N46</f>
        <v>28.1090419388638</v>
      </c>
      <c r="O207" s="58" t="n">
        <f aca="false">'P06 Ciwandan Output'!O46</f>
        <v>27.1940568295556</v>
      </c>
      <c r="P207" s="58" t="n">
        <f aca="false">'P06 Ciwandan Output'!P46</f>
        <v>27.643072032264</v>
      </c>
      <c r="Q207" s="58" t="n">
        <f aca="false">'P06 Ciwandan Output'!Q46</f>
        <v>26.3996658089816</v>
      </c>
      <c r="R207" s="58" t="n">
        <f aca="false">'P06 Ciwandan Output'!R46</f>
        <v>26.0291227380449</v>
      </c>
      <c r="S207" s="58" t="n">
        <f aca="false">'P06 Ciwandan Output'!S46</f>
        <v>308.420763134124</v>
      </c>
    </row>
    <row r="208" customFormat="false" ht="15" hidden="false" customHeight="false" outlineLevel="0" collapsed="false">
      <c r="B208" s="3" t="s">
        <v>358</v>
      </c>
      <c r="C208" s="73" t="s">
        <v>359</v>
      </c>
      <c r="D208" s="74" t="n">
        <f aca="false">'P06 Ciwandan Output'!$E$47</f>
        <v>475.823839559765</v>
      </c>
      <c r="E208" s="73" t="s">
        <v>360</v>
      </c>
      <c r="F208" s="75" t="n">
        <f aca="false">IF(ISNUMBER('P06 Ciwandan Output'!$E$49),'P06 Ciwandan Output'!$E$49,"n/a")</f>
        <v>0.385800250789068</v>
      </c>
      <c r="G208" s="73" t="s">
        <v>361</v>
      </c>
      <c r="H208" s="75" t="n">
        <f aca="false">IF(ISNUMBER('P06 Ciwandan Output'!$E$50),'P06 Ciwandan Output'!$E$50,"n/a")</f>
        <v>0.481499972778962</v>
      </c>
      <c r="I208" s="73" t="s">
        <v>362</v>
      </c>
      <c r="J208" s="76" t="n">
        <f aca="false">IF(ISNUMBER('P06 Ciwandan Output'!$E$52),'P06 Ciwandan Output'!$E$52,"n/a")</f>
        <v>2030</v>
      </c>
      <c r="K208" s="73" t="s">
        <v>363</v>
      </c>
      <c r="L208" s="74" t="n">
        <f aca="false">'P06 Ciwandan Output'!$E$54</f>
        <v>5.02459268367661</v>
      </c>
      <c r="M208" s="73" t="s">
        <v>364</v>
      </c>
      <c r="N208" s="74" t="n">
        <f aca="false">'P06 Ciwandan Output'!$E$55</f>
        <v>2.5122963418383</v>
      </c>
    </row>
    <row r="210" customFormat="false" ht="15" hidden="false" customHeight="false" outlineLevel="0" collapsed="false">
      <c r="B210" s="22" t="s">
        <v>374</v>
      </c>
      <c r="C210" s="23"/>
      <c r="D210" s="23"/>
      <c r="E210" s="23"/>
      <c r="F210" s="23"/>
      <c r="G210" s="23"/>
      <c r="H210" s="23"/>
      <c r="I210" s="23"/>
      <c r="J210" s="23"/>
      <c r="K210" s="23"/>
      <c r="L210" s="23"/>
      <c r="M210" s="23"/>
      <c r="N210" s="23"/>
      <c r="O210" s="23"/>
      <c r="P210" s="23"/>
      <c r="Q210" s="23"/>
      <c r="R210" s="23"/>
      <c r="S210" s="23"/>
    </row>
    <row r="211" customFormat="false" ht="15" hidden="false" customHeight="false" outlineLevel="0" collapsed="false">
      <c r="B211" s="5" t="s">
        <v>61</v>
      </c>
      <c r="C211" s="17" t="s">
        <v>27</v>
      </c>
      <c r="D211" s="17" t="s">
        <v>28</v>
      </c>
      <c r="E211" s="17" t="s">
        <v>29</v>
      </c>
      <c r="G211" s="5" t="str">
        <f aca="false">"In valuation: "&amp;'Global Inputs'!$E$99&amp;"  |  case: "&amp;'Global Inputs'!$F$99&amp;"  |  FSL interest: "&amp;TEXT('Global Inputs'!$G$99,"0%")</f>
        <v>In valuation: 1  |  case: 1  |  FSL interest: 100%</v>
      </c>
    </row>
    <row r="212" customFormat="false" ht="15" hidden="false" customHeight="false" outlineLevel="0" collapsed="false">
      <c r="B212" s="24" t="s">
        <v>345</v>
      </c>
      <c r="C212" s="25" t="s">
        <v>170</v>
      </c>
      <c r="E212" s="47" t="n">
        <f aca="false">SUM(F212:S212)</f>
        <v>37.4846942539146</v>
      </c>
      <c r="F212" s="58" t="n">
        <f aca="false">'P08 DMSTrucking Output'!F11</f>
        <v>0</v>
      </c>
      <c r="G212" s="58" t="n">
        <f aca="false">'P08 DMSTrucking Output'!G11</f>
        <v>0</v>
      </c>
      <c r="H212" s="58" t="n">
        <f aca="false">'P08 DMSTrucking Output'!H11</f>
        <v>0</v>
      </c>
      <c r="I212" s="58" t="n">
        <f aca="false">'P08 DMSTrucking Output'!I11</f>
        <v>0</v>
      </c>
      <c r="J212" s="58" t="n">
        <f aca="false">'P08 DMSTrucking Output'!J11</f>
        <v>2.752399559888</v>
      </c>
      <c r="K212" s="58" t="n">
        <f aca="false">'P08 DMSTrucking Output'!K11</f>
        <v>3.30077154668464</v>
      </c>
      <c r="L212" s="58" t="n">
        <f aca="false">'P08 DMSTrucking Output'!L11</f>
        <v>3.43407469308518</v>
      </c>
      <c r="M212" s="58" t="n">
        <f aca="false">'P08 DMSTrucking Output'!M11</f>
        <v>3.57462493387774</v>
      </c>
      <c r="N212" s="58" t="n">
        <f aca="false">'P08 DMSTrucking Output'!N11</f>
        <v>3.72296448189407</v>
      </c>
      <c r="O212" s="58" t="n">
        <f aca="false">'P08 DMSTrucking Output'!O11</f>
        <v>3.85498093635089</v>
      </c>
      <c r="P212" s="58" t="n">
        <f aca="false">'P08 DMSTrucking Output'!P11</f>
        <v>3.99206953564142</v>
      </c>
      <c r="Q212" s="58" t="n">
        <f aca="false">'P08 DMSTrucking Output'!Q11</f>
        <v>4.13444914318266</v>
      </c>
      <c r="R212" s="58" t="n">
        <f aca="false">'P08 DMSTrucking Output'!R11</f>
        <v>4.28234919023846</v>
      </c>
      <c r="S212" s="58" t="n">
        <f aca="false">'P08 DMSTrucking Output'!S11</f>
        <v>4.43601023307155</v>
      </c>
    </row>
    <row r="213" customFormat="false" ht="15" hidden="false" customHeight="false" outlineLevel="0" collapsed="false">
      <c r="B213" s="24" t="s">
        <v>346</v>
      </c>
      <c r="C213" s="25" t="s">
        <v>170</v>
      </c>
      <c r="E213" s="47" t="n">
        <f aca="false">SUM(F213:S213)</f>
        <v>29.9877554031317</v>
      </c>
      <c r="F213" s="58" t="n">
        <f aca="false">'P08 DMSTrucking Output'!F15</f>
        <v>0</v>
      </c>
      <c r="G213" s="58" t="n">
        <f aca="false">'P08 DMSTrucking Output'!G15</f>
        <v>0</v>
      </c>
      <c r="H213" s="58" t="n">
        <f aca="false">'P08 DMSTrucking Output'!H15</f>
        <v>0</v>
      </c>
      <c r="I213" s="58" t="n">
        <f aca="false">'P08 DMSTrucking Output'!I15</f>
        <v>0</v>
      </c>
      <c r="J213" s="58" t="n">
        <f aca="false">'P08 DMSTrucking Output'!J15</f>
        <v>2.2019196479104</v>
      </c>
      <c r="K213" s="58" t="n">
        <f aca="false">'P08 DMSTrucking Output'!K15</f>
        <v>2.64061723734771</v>
      </c>
      <c r="L213" s="58" t="n">
        <f aca="false">'P08 DMSTrucking Output'!L15</f>
        <v>2.74725975446814</v>
      </c>
      <c r="M213" s="58" t="n">
        <f aca="false">'P08 DMSTrucking Output'!M15</f>
        <v>2.85969994710219</v>
      </c>
      <c r="N213" s="58" t="n">
        <f aca="false">'P08 DMSTrucking Output'!N15</f>
        <v>2.97837158551525</v>
      </c>
      <c r="O213" s="58" t="n">
        <f aca="false">'P08 DMSTrucking Output'!O15</f>
        <v>3.08398474908071</v>
      </c>
      <c r="P213" s="58" t="n">
        <f aca="false">'P08 DMSTrucking Output'!P15</f>
        <v>3.19365562851313</v>
      </c>
      <c r="Q213" s="58" t="n">
        <f aca="false">'P08 DMSTrucking Output'!Q15</f>
        <v>3.30755931454613</v>
      </c>
      <c r="R213" s="58" t="n">
        <f aca="false">'P08 DMSTrucking Output'!R15</f>
        <v>3.42587935219077</v>
      </c>
      <c r="S213" s="58" t="n">
        <f aca="false">'P08 DMSTrucking Output'!S15</f>
        <v>3.54880818645724</v>
      </c>
    </row>
    <row r="214" customFormat="false" ht="15" hidden="false" customHeight="false" outlineLevel="0" collapsed="false">
      <c r="B214" s="69" t="s">
        <v>347</v>
      </c>
      <c r="C214" s="25" t="s">
        <v>170</v>
      </c>
      <c r="E214" s="70" t="n">
        <f aca="false">SUM(F214:S214)</f>
        <v>25.2058454031317</v>
      </c>
      <c r="F214" s="71" t="n">
        <f aca="false">'P08 DMSTrucking Output'!F17</f>
        <v>0</v>
      </c>
      <c r="G214" s="71" t="n">
        <f aca="false">'P08 DMSTrucking Output'!G17</f>
        <v>0</v>
      </c>
      <c r="H214" s="71" t="n">
        <f aca="false">'P08 DMSTrucking Output'!H17</f>
        <v>0</v>
      </c>
      <c r="I214" s="71" t="n">
        <f aca="false">'P08 DMSTrucking Output'!I17</f>
        <v>0</v>
      </c>
      <c r="J214" s="71" t="n">
        <f aca="false">'P08 DMSTrucking Output'!J17</f>
        <v>1.8115596479104</v>
      </c>
      <c r="K214" s="71" t="n">
        <f aca="false">'P08 DMSTrucking Output'!K17</f>
        <v>2.15266723734771</v>
      </c>
      <c r="L214" s="71" t="n">
        <f aca="false">'P08 DMSTrucking Output'!L17</f>
        <v>2.25930975446814</v>
      </c>
      <c r="M214" s="71" t="n">
        <f aca="false">'P08 DMSTrucking Output'!M17</f>
        <v>2.37174994710219</v>
      </c>
      <c r="N214" s="71" t="n">
        <f aca="false">'P08 DMSTrucking Output'!N17</f>
        <v>2.49042158551525</v>
      </c>
      <c r="O214" s="71" t="n">
        <f aca="false">'P08 DMSTrucking Output'!O17</f>
        <v>2.59603474908071</v>
      </c>
      <c r="P214" s="71" t="n">
        <f aca="false">'P08 DMSTrucking Output'!P17</f>
        <v>2.70570562851313</v>
      </c>
      <c r="Q214" s="71" t="n">
        <f aca="false">'P08 DMSTrucking Output'!Q17</f>
        <v>2.81960931454613</v>
      </c>
      <c r="R214" s="71" t="n">
        <f aca="false">'P08 DMSTrucking Output'!R17</f>
        <v>2.93792935219077</v>
      </c>
      <c r="S214" s="71" t="n">
        <f aca="false">'P08 DMSTrucking Output'!S17</f>
        <v>3.06085818645724</v>
      </c>
    </row>
    <row r="215" customFormat="false" ht="15" hidden="false" customHeight="false" outlineLevel="0" collapsed="false">
      <c r="B215" s="24" t="s">
        <v>348</v>
      </c>
      <c r="C215" s="25" t="s">
        <v>170</v>
      </c>
      <c r="E215" s="47" t="n">
        <f aca="false">SUM(F215:S215)</f>
        <v>19.6605594144427</v>
      </c>
      <c r="F215" s="58" t="n">
        <f aca="false">'P08 DMSTrucking Output'!F19</f>
        <v>0</v>
      </c>
      <c r="G215" s="58" t="n">
        <f aca="false">'P08 DMSTrucking Output'!G19</f>
        <v>0</v>
      </c>
      <c r="H215" s="58" t="n">
        <f aca="false">'P08 DMSTrucking Output'!H19</f>
        <v>0</v>
      </c>
      <c r="I215" s="58" t="n">
        <f aca="false">'P08 DMSTrucking Output'!I19</f>
        <v>0</v>
      </c>
      <c r="J215" s="58" t="n">
        <f aca="false">'P08 DMSTrucking Output'!J19</f>
        <v>1.41301652537011</v>
      </c>
      <c r="K215" s="58" t="n">
        <f aca="false">'P08 DMSTrucking Output'!K19</f>
        <v>1.67908044513122</v>
      </c>
      <c r="L215" s="58" t="n">
        <f aca="false">'P08 DMSTrucking Output'!L19</f>
        <v>1.76226160848515</v>
      </c>
      <c r="M215" s="58" t="n">
        <f aca="false">'P08 DMSTrucking Output'!M19</f>
        <v>1.84996495873971</v>
      </c>
      <c r="N215" s="58" t="n">
        <f aca="false">'P08 DMSTrucking Output'!N19</f>
        <v>1.9425288367019</v>
      </c>
      <c r="O215" s="58" t="n">
        <f aca="false">'P08 DMSTrucking Output'!O19</f>
        <v>2.02490710428296</v>
      </c>
      <c r="P215" s="58" t="n">
        <f aca="false">'P08 DMSTrucking Output'!P19</f>
        <v>2.11045039024024</v>
      </c>
      <c r="Q215" s="58" t="n">
        <f aca="false">'P08 DMSTrucking Output'!Q19</f>
        <v>2.19929526534598</v>
      </c>
      <c r="R215" s="58" t="n">
        <f aca="false">'P08 DMSTrucking Output'!R19</f>
        <v>2.2915848947088</v>
      </c>
      <c r="S215" s="58" t="n">
        <f aca="false">'P08 DMSTrucking Output'!S19</f>
        <v>2.38746938543665</v>
      </c>
    </row>
    <row r="216" customFormat="false" ht="15" hidden="false" customHeight="false" outlineLevel="0" collapsed="false">
      <c r="B216" s="24" t="s">
        <v>349</v>
      </c>
      <c r="C216" s="25" t="s">
        <v>170</v>
      </c>
      <c r="E216" s="47" t="n">
        <f aca="false">SUM(F216:S216)</f>
        <v>-4.78191</v>
      </c>
      <c r="F216" s="58" t="n">
        <f aca="false">'P08 DMSTrucking Output'!F16</f>
        <v>-0</v>
      </c>
      <c r="G216" s="58" t="n">
        <f aca="false">'P08 DMSTrucking Output'!G16</f>
        <v>-0</v>
      </c>
      <c r="H216" s="58" t="n">
        <f aca="false">'P08 DMSTrucking Output'!H16</f>
        <v>-0</v>
      </c>
      <c r="I216" s="58" t="n">
        <f aca="false">'P08 DMSTrucking Output'!I16</f>
        <v>-0</v>
      </c>
      <c r="J216" s="58" t="n">
        <f aca="false">'P08 DMSTrucking Output'!J16</f>
        <v>-0.39036</v>
      </c>
      <c r="K216" s="58" t="n">
        <f aca="false">'P08 DMSTrucking Output'!K16</f>
        <v>-0.48795</v>
      </c>
      <c r="L216" s="58" t="n">
        <f aca="false">'P08 DMSTrucking Output'!L16</f>
        <v>-0.48795</v>
      </c>
      <c r="M216" s="58" t="n">
        <f aca="false">'P08 DMSTrucking Output'!M16</f>
        <v>-0.48795</v>
      </c>
      <c r="N216" s="58" t="n">
        <f aca="false">'P08 DMSTrucking Output'!N16</f>
        <v>-0.48795</v>
      </c>
      <c r="O216" s="58" t="n">
        <f aca="false">'P08 DMSTrucking Output'!O16</f>
        <v>-0.48795</v>
      </c>
      <c r="P216" s="58" t="n">
        <f aca="false">'P08 DMSTrucking Output'!P16</f>
        <v>-0.48795</v>
      </c>
      <c r="Q216" s="58" t="n">
        <f aca="false">'P08 DMSTrucking Output'!Q16</f>
        <v>-0.48795</v>
      </c>
      <c r="R216" s="58" t="n">
        <f aca="false">'P08 DMSTrucking Output'!R16</f>
        <v>-0.48795</v>
      </c>
      <c r="S216" s="58" t="n">
        <f aca="false">'P08 DMSTrucking Output'!S16</f>
        <v>-0.48795</v>
      </c>
    </row>
    <row r="217" customFormat="false" ht="15" hidden="false" customHeight="false" outlineLevel="0" collapsed="false">
      <c r="B217" s="24" t="s">
        <v>350</v>
      </c>
      <c r="C217" s="25" t="s">
        <v>240</v>
      </c>
      <c r="E217" s="44" t="n">
        <f aca="false">SUM(F217:S217)</f>
        <v>0</v>
      </c>
      <c r="F217" s="72" t="n">
        <f aca="false">'P08 DMSTrucking Output'!F34</f>
        <v>0</v>
      </c>
      <c r="G217" s="72" t="n">
        <f aca="false">'P08 DMSTrucking Output'!G34</f>
        <v>0</v>
      </c>
      <c r="H217" s="72" t="n">
        <f aca="false">'P08 DMSTrucking Output'!H34</f>
        <v>0</v>
      </c>
      <c r="I217" s="72" t="n">
        <f aca="false">'P08 DMSTrucking Output'!I34</f>
        <v>0</v>
      </c>
      <c r="J217" s="72" t="n">
        <f aca="false">'P08 DMSTrucking Output'!J34</f>
        <v>0</v>
      </c>
      <c r="K217" s="72" t="n">
        <f aca="false">'P08 DMSTrucking Output'!K34</f>
        <v>0</v>
      </c>
      <c r="L217" s="72" t="n">
        <f aca="false">'P08 DMSTrucking Output'!L34</f>
        <v>0</v>
      </c>
      <c r="M217" s="72" t="n">
        <f aca="false">'P08 DMSTrucking Output'!M34</f>
        <v>0</v>
      </c>
      <c r="N217" s="72" t="n">
        <f aca="false">'P08 DMSTrucking Output'!N34</f>
        <v>0</v>
      </c>
      <c r="O217" s="72" t="n">
        <f aca="false">'P08 DMSTrucking Output'!O34</f>
        <v>0</v>
      </c>
      <c r="P217" s="72" t="n">
        <f aca="false">'P08 DMSTrucking Output'!P34</f>
        <v>0</v>
      </c>
      <c r="Q217" s="72" t="n">
        <f aca="false">'P08 DMSTrucking Output'!Q34</f>
        <v>0</v>
      </c>
      <c r="R217" s="72" t="n">
        <f aca="false">'P08 DMSTrucking Output'!R34</f>
        <v>0</v>
      </c>
      <c r="S217" s="72" t="n">
        <f aca="false">'P08 DMSTrucking Output'!S34</f>
        <v>0</v>
      </c>
    </row>
    <row r="218" customFormat="false" ht="15" hidden="false" customHeight="false" outlineLevel="0" collapsed="false">
      <c r="B218" s="24" t="s">
        <v>351</v>
      </c>
      <c r="C218" s="25" t="s">
        <v>170</v>
      </c>
      <c r="E218" s="47" t="n">
        <f aca="false">SUM(F218:S218)</f>
        <v>0</v>
      </c>
      <c r="F218" s="58" t="n">
        <f aca="false">'P08 DMSTrucking Output'!F35</f>
        <v>0</v>
      </c>
      <c r="G218" s="58" t="n">
        <f aca="false">'P08 DMSTrucking Output'!G35</f>
        <v>0</v>
      </c>
      <c r="H218" s="58" t="n">
        <f aca="false">'P08 DMSTrucking Output'!H35</f>
        <v>0</v>
      </c>
      <c r="I218" s="58" t="n">
        <f aca="false">'P08 DMSTrucking Output'!I35</f>
        <v>0</v>
      </c>
      <c r="J218" s="58" t="n">
        <f aca="false">'P08 DMSTrucking Output'!J35</f>
        <v>0</v>
      </c>
      <c r="K218" s="58" t="n">
        <f aca="false">'P08 DMSTrucking Output'!K35</f>
        <v>0</v>
      </c>
      <c r="L218" s="58" t="n">
        <f aca="false">'P08 DMSTrucking Output'!L35</f>
        <v>0</v>
      </c>
      <c r="M218" s="58" t="n">
        <f aca="false">'P08 DMSTrucking Output'!M35</f>
        <v>0</v>
      </c>
      <c r="N218" s="58" t="n">
        <f aca="false">'P08 DMSTrucking Output'!N35</f>
        <v>0</v>
      </c>
      <c r="O218" s="58" t="n">
        <f aca="false">'P08 DMSTrucking Output'!O35</f>
        <v>0</v>
      </c>
      <c r="P218" s="58" t="n">
        <f aca="false">'P08 DMSTrucking Output'!P35</f>
        <v>0</v>
      </c>
      <c r="Q218" s="58" t="n">
        <f aca="false">'P08 DMSTrucking Output'!Q35</f>
        <v>0</v>
      </c>
      <c r="R218" s="58" t="n">
        <f aca="false">'P08 DMSTrucking Output'!R35</f>
        <v>0</v>
      </c>
      <c r="S218" s="58" t="n">
        <f aca="false">'P08 DMSTrucking Output'!S35</f>
        <v>0</v>
      </c>
    </row>
    <row r="219" customFormat="false" ht="15" hidden="false" customHeight="false" outlineLevel="0" collapsed="false">
      <c r="B219" s="24" t="s">
        <v>352</v>
      </c>
      <c r="C219" s="25" t="s">
        <v>170</v>
      </c>
      <c r="E219" s="47" t="n">
        <f aca="false">SUM(F219:S219)</f>
        <v>-0.545411094230109</v>
      </c>
      <c r="F219" s="58" t="n">
        <f aca="false">'P08 DMSTrucking Output'!F27</f>
        <v>-0</v>
      </c>
      <c r="G219" s="58" t="n">
        <f aca="false">'P08 DMSTrucking Output'!G27</f>
        <v>-0</v>
      </c>
      <c r="H219" s="58" t="n">
        <f aca="false">'P08 DMSTrucking Output'!H27</f>
        <v>-0</v>
      </c>
      <c r="I219" s="58" t="n">
        <f aca="false">'P08 DMSTrucking Output'!I27</f>
        <v>-0</v>
      </c>
      <c r="J219" s="58" t="n">
        <f aca="false">'P08 DMSTrucking Output'!J27</f>
        <v>-0.339336932040986</v>
      </c>
      <c r="K219" s="58" t="n">
        <f aca="false">'P08 DMSTrucking Output'!K27</f>
        <v>-0.0664956351743384</v>
      </c>
      <c r="L219" s="58" t="n">
        <f aca="false">'P08 DMSTrucking Output'!L27</f>
        <v>-0.0175465045349029</v>
      </c>
      <c r="M219" s="58" t="n">
        <f aca="false">'P08 DMSTrucking Output'!M27</f>
        <v>-0.0173281118785343</v>
      </c>
      <c r="N219" s="58" t="n">
        <f aca="false">'P08 DMSTrucking Output'!N27</f>
        <v>-0.0182884374266711</v>
      </c>
      <c r="O219" s="58" t="n">
        <f aca="false">'P08 DMSTrucking Output'!O27</f>
        <v>-0.0149774448893486</v>
      </c>
      <c r="P219" s="58" t="n">
        <f aca="false">'P08 DMSTrucking Output'!P27</f>
        <v>-0.0181998905041603</v>
      </c>
      <c r="Q219" s="58" t="n">
        <f aca="false">'P08 DMSTrucking Output'!Q27</f>
        <v>-0.0175536502448107</v>
      </c>
      <c r="R219" s="58" t="n">
        <f aca="false">'P08 DMSTrucking Output'!R27</f>
        <v>-0.0182342523767426</v>
      </c>
      <c r="S219" s="58" t="n">
        <f aca="false">'P08 DMSTrucking Output'!S27</f>
        <v>-0.0174502351596137</v>
      </c>
    </row>
    <row r="220" customFormat="false" ht="15" hidden="false" customHeight="false" outlineLevel="0" collapsed="false">
      <c r="B220" s="69" t="s">
        <v>353</v>
      </c>
      <c r="C220" s="25" t="s">
        <v>170</v>
      </c>
      <c r="E220" s="70" t="n">
        <f aca="false">SUM(F220:S220)</f>
        <v>23.8970583202126</v>
      </c>
      <c r="F220" s="71" t="n">
        <f aca="false">'P08 DMSTrucking Output'!F28</f>
        <v>0</v>
      </c>
      <c r="G220" s="71" t="n">
        <f aca="false">'P08 DMSTrucking Output'!G28</f>
        <v>0</v>
      </c>
      <c r="H220" s="71" t="n">
        <f aca="false">'P08 DMSTrucking Output'!H28</f>
        <v>0</v>
      </c>
      <c r="I220" s="71" t="n">
        <f aca="false">'P08 DMSTrucking Output'!I28</f>
        <v>0</v>
      </c>
      <c r="J220" s="71" t="n">
        <f aca="false">'P08 DMSTrucking Output'!J28</f>
        <v>1.46403959332913</v>
      </c>
      <c r="K220" s="71" t="n">
        <f aca="false">'P08 DMSTrucking Output'!K28</f>
        <v>2.10053480995688</v>
      </c>
      <c r="L220" s="71" t="n">
        <f aca="false">'P08 DMSTrucking Output'!L28</f>
        <v>2.23266510395025</v>
      </c>
      <c r="M220" s="71" t="n">
        <f aca="false">'P08 DMSTrucking Output'!M28</f>
        <v>2.32058684686117</v>
      </c>
      <c r="N220" s="71" t="n">
        <f aca="false">'P08 DMSTrucking Output'!N28</f>
        <v>2.41219039927523</v>
      </c>
      <c r="O220" s="71" t="n">
        <f aca="false">'P08 DMSTrucking Output'!O28</f>
        <v>2.49787965939361</v>
      </c>
      <c r="P220" s="71" t="n">
        <f aca="false">'P08 DMSTrucking Output'!P28</f>
        <v>2.58020049973608</v>
      </c>
      <c r="Q220" s="71" t="n">
        <f aca="false">'P08 DMSTrucking Output'!Q28</f>
        <v>2.66969161510117</v>
      </c>
      <c r="R220" s="71" t="n">
        <f aca="false">'P08 DMSTrucking Output'!R28</f>
        <v>2.76130064233206</v>
      </c>
      <c r="S220" s="71" t="n">
        <f aca="false">'P08 DMSTrucking Output'!S28</f>
        <v>2.85796915027703</v>
      </c>
    </row>
    <row r="221" customFormat="false" ht="15" hidden="false" customHeight="false" outlineLevel="0" collapsed="false">
      <c r="B221" s="24" t="s">
        <v>354</v>
      </c>
      <c r="C221" s="25" t="s">
        <v>170</v>
      </c>
      <c r="F221" s="58" t="n">
        <f aca="false">'P08 DMSTrucking Output'!F29</f>
        <v>0</v>
      </c>
      <c r="G221" s="58" t="n">
        <f aca="false">'P08 DMSTrucking Output'!G29</f>
        <v>0</v>
      </c>
      <c r="H221" s="58" t="n">
        <f aca="false">'P08 DMSTrucking Output'!H29</f>
        <v>0</v>
      </c>
      <c r="I221" s="58" t="n">
        <f aca="false">'P08 DMSTrucking Output'!I29</f>
        <v>0</v>
      </c>
      <c r="J221" s="58" t="n">
        <f aca="false">'P08 DMSTrucking Output'!J29</f>
        <v>1.46403959332913</v>
      </c>
      <c r="K221" s="58" t="n">
        <f aca="false">'P08 DMSTrucking Output'!K29</f>
        <v>3.564574403286</v>
      </c>
      <c r="L221" s="58" t="n">
        <f aca="false">'P08 DMSTrucking Output'!L29</f>
        <v>5.79723950723625</v>
      </c>
      <c r="M221" s="58" t="n">
        <f aca="false">'P08 DMSTrucking Output'!M29</f>
        <v>8.11782635409742</v>
      </c>
      <c r="N221" s="58" t="n">
        <f aca="false">'P08 DMSTrucking Output'!N29</f>
        <v>10.5300167533727</v>
      </c>
      <c r="O221" s="58" t="n">
        <f aca="false">'P08 DMSTrucking Output'!O29</f>
        <v>13.0278964127663</v>
      </c>
      <c r="P221" s="58" t="n">
        <f aca="false">'P08 DMSTrucking Output'!P29</f>
        <v>15.6080969125023</v>
      </c>
      <c r="Q221" s="58" t="n">
        <f aca="false">'P08 DMSTrucking Output'!Q29</f>
        <v>18.2777885276035</v>
      </c>
      <c r="R221" s="58" t="n">
        <f aca="false">'P08 DMSTrucking Output'!R29</f>
        <v>21.0390891699356</v>
      </c>
      <c r="S221" s="58" t="n">
        <f aca="false">'P08 DMSTrucking Output'!S29</f>
        <v>23.8970583202126</v>
      </c>
    </row>
    <row r="222" customFormat="false" ht="15" hidden="false" customHeight="false" outlineLevel="0" collapsed="false">
      <c r="B222" s="24" t="s">
        <v>355</v>
      </c>
      <c r="C222" s="25" t="s">
        <v>170</v>
      </c>
      <c r="F222" s="58" t="n">
        <f aca="false">'P08 DMSTrucking Output'!F39</f>
        <v>0</v>
      </c>
      <c r="G222" s="58" t="n">
        <f aca="false">'P08 DMSTrucking Output'!G39</f>
        <v>0</v>
      </c>
      <c r="H222" s="58" t="n">
        <f aca="false">'P08 DMSTrucking Output'!H39</f>
        <v>0</v>
      </c>
      <c r="I222" s="58" t="n">
        <f aca="false">'P08 DMSTrucking Output'!I39</f>
        <v>0</v>
      </c>
      <c r="J222" s="58" t="n">
        <f aca="false">'P08 DMSTrucking Output'!J39</f>
        <v>0.339336932040986</v>
      </c>
      <c r="K222" s="58" t="n">
        <f aca="false">'P08 DMSTrucking Output'!K39</f>
        <v>0.405832567215325</v>
      </c>
      <c r="L222" s="58" t="n">
        <f aca="false">'P08 DMSTrucking Output'!L39</f>
        <v>0.423379071750228</v>
      </c>
      <c r="M222" s="58" t="n">
        <f aca="false">'P08 DMSTrucking Output'!M39</f>
        <v>0.440707183628762</v>
      </c>
      <c r="N222" s="58" t="n">
        <f aca="false">'P08 DMSTrucking Output'!N39</f>
        <v>0.458995621055433</v>
      </c>
      <c r="O222" s="58" t="n">
        <f aca="false">'P08 DMSTrucking Output'!O39</f>
        <v>0.473973065944782</v>
      </c>
      <c r="P222" s="58" t="n">
        <f aca="false">'P08 DMSTrucking Output'!P39</f>
        <v>0.492172956448942</v>
      </c>
      <c r="Q222" s="58" t="n">
        <f aca="false">'P08 DMSTrucking Output'!Q39</f>
        <v>0.509726606693753</v>
      </c>
      <c r="R222" s="58" t="n">
        <f aca="false">'P08 DMSTrucking Output'!R39</f>
        <v>0.527960859070495</v>
      </c>
      <c r="S222" s="58" t="n">
        <f aca="false">'P08 DMSTrucking Output'!S39</f>
        <v>0.545411094230109</v>
      </c>
    </row>
    <row r="223" customFormat="false" ht="15" hidden="false" customHeight="false" outlineLevel="0" collapsed="false">
      <c r="B223" s="24" t="s">
        <v>356</v>
      </c>
      <c r="C223" s="25" t="s">
        <v>170</v>
      </c>
      <c r="E223" s="47" t="n">
        <f aca="false">SUM(F223:S223)</f>
        <v>0</v>
      </c>
      <c r="F223" s="58" t="n">
        <f aca="false">'P08 DMSTrucking Output'!F31</f>
        <v>-0</v>
      </c>
      <c r="G223" s="58" t="n">
        <f aca="false">'P08 DMSTrucking Output'!G31</f>
        <v>-0</v>
      </c>
      <c r="H223" s="58" t="n">
        <f aca="false">'P08 DMSTrucking Output'!H31</f>
        <v>-0</v>
      </c>
      <c r="I223" s="58" t="n">
        <f aca="false">'P08 DMSTrucking Output'!I31</f>
        <v>-0</v>
      </c>
      <c r="J223" s="58" t="n">
        <f aca="false">'P08 DMSTrucking Output'!J31</f>
        <v>0</v>
      </c>
      <c r="K223" s="58" t="n">
        <f aca="false">'P08 DMSTrucking Output'!K31</f>
        <v>0</v>
      </c>
      <c r="L223" s="58" t="n">
        <f aca="false">'P08 DMSTrucking Output'!L31</f>
        <v>0</v>
      </c>
      <c r="M223" s="58" t="n">
        <f aca="false">'P08 DMSTrucking Output'!M31</f>
        <v>0</v>
      </c>
      <c r="N223" s="58" t="n">
        <f aca="false">'P08 DMSTrucking Output'!N31</f>
        <v>0</v>
      </c>
      <c r="O223" s="58" t="n">
        <f aca="false">'P08 DMSTrucking Output'!O31</f>
        <v>0</v>
      </c>
      <c r="P223" s="58" t="n">
        <f aca="false">'P08 DMSTrucking Output'!P31</f>
        <v>0</v>
      </c>
      <c r="Q223" s="58" t="n">
        <f aca="false">'P08 DMSTrucking Output'!Q31</f>
        <v>0</v>
      </c>
      <c r="R223" s="58" t="n">
        <f aca="false">'P08 DMSTrucking Output'!R31</f>
        <v>0</v>
      </c>
      <c r="S223" s="58" t="n">
        <f aca="false">'P08 DMSTrucking Output'!S31</f>
        <v>0</v>
      </c>
    </row>
    <row r="224" customFormat="false" ht="15" hidden="false" customHeight="false" outlineLevel="0" collapsed="false">
      <c r="B224" s="24" t="s">
        <v>357</v>
      </c>
      <c r="C224" s="25" t="s">
        <v>170</v>
      </c>
      <c r="E224" s="47" t="n">
        <f aca="false">SUM(F224:S224)</f>
        <v>23.7365719787679</v>
      </c>
      <c r="F224" s="58" t="n">
        <f aca="false">'P08 DMSTrucking Output'!F46</f>
        <v>0</v>
      </c>
      <c r="G224" s="58" t="n">
        <f aca="false">'P08 DMSTrucking Output'!G46</f>
        <v>0</v>
      </c>
      <c r="H224" s="58" t="n">
        <f aca="false">'P08 DMSTrucking Output'!H46</f>
        <v>0</v>
      </c>
      <c r="I224" s="58" t="n">
        <f aca="false">'P08 DMSTrucking Output'!I46</f>
        <v>0</v>
      </c>
      <c r="J224" s="58" t="n">
        <f aca="false">'P08 DMSTrucking Output'!J46</f>
        <v>1.30873803710723</v>
      </c>
      <c r="K224" s="58" t="n">
        <f aca="false">'P08 DMSTrucking Output'!K46</f>
        <v>1.67853224698217</v>
      </c>
      <c r="L224" s="58" t="n">
        <f aca="false">'P08 DMSTrucking Output'!L46</f>
        <v>1.59486267245893</v>
      </c>
      <c r="M224" s="58" t="n">
        <f aca="false">'P08 DMSTrucking Output'!M46</f>
        <v>1.48182677721856</v>
      </c>
      <c r="N224" s="58" t="n">
        <f aca="false">'P08 DMSTrucking Output'!N46</f>
        <v>1.37692758224497</v>
      </c>
      <c r="O224" s="58" t="n">
        <f aca="false">'P08 DMSTrucking Output'!O46</f>
        <v>1.2745912407713</v>
      </c>
      <c r="P224" s="58" t="n">
        <f aca="false">'P08 DMSTrucking Output'!P46</f>
        <v>1.17693580740427</v>
      </c>
      <c r="Q224" s="58" t="n">
        <f aca="false">'P08 DMSTrucking Output'!Q46</f>
        <v>1.08857992646743</v>
      </c>
      <c r="R224" s="58" t="n">
        <f aca="false">'P08 DMSTrucking Output'!R46</f>
        <v>1.00649777947518</v>
      </c>
      <c r="S224" s="58" t="n">
        <f aca="false">'P08 DMSTrucking Output'!S46</f>
        <v>11.7490799086378</v>
      </c>
    </row>
    <row r="225" customFormat="false" ht="15" hidden="false" customHeight="false" outlineLevel="0" collapsed="false">
      <c r="B225" s="3" t="s">
        <v>358</v>
      </c>
      <c r="C225" s="73" t="s">
        <v>359</v>
      </c>
      <c r="D225" s="74" t="n">
        <f aca="false">'P08 DMSTrucking Output'!$E$47</f>
        <v>23.7365719787679</v>
      </c>
      <c r="E225" s="73" t="s">
        <v>360</v>
      </c>
      <c r="F225" s="75" t="str">
        <f aca="false">IF(ISNUMBER('P08 DMSTrucking Output'!$E$49),'P08 DMSTrucking Output'!$E$49,"n/a")</f>
        <v>n/a</v>
      </c>
      <c r="G225" s="73" t="s">
        <v>361</v>
      </c>
      <c r="H225" s="75" t="str">
        <f aca="false">IF(ISNUMBER('P08 DMSTrucking Output'!$E$50),'P08 DMSTrucking Output'!$E$50,"n/a")</f>
        <v>n/a</v>
      </c>
      <c r="I225" s="73" t="s">
        <v>362</v>
      </c>
      <c r="J225" s="76" t="str">
        <f aca="false">IF(ISNUMBER('P08 DMSTrucking Output'!$E$52),'P08 DMSTrucking Output'!$E$52,"n/a")</f>
        <v>n/a</v>
      </c>
      <c r="K225" s="73" t="s">
        <v>363</v>
      </c>
      <c r="L225" s="74" t="n">
        <f aca="false">'P08 DMSTrucking Output'!$E$54</f>
        <v>0</v>
      </c>
      <c r="M225" s="73" t="s">
        <v>364</v>
      </c>
      <c r="N225" s="74" t="n">
        <f aca="false">'P08 DMSTrucking Output'!$E$55</f>
        <v>0</v>
      </c>
    </row>
    <row r="227" customFormat="false" ht="15" hidden="false" customHeight="false" outlineLevel="0" collapsed="false">
      <c r="B227" s="22" t="s">
        <v>375</v>
      </c>
      <c r="C227" s="23"/>
      <c r="D227" s="23"/>
      <c r="E227" s="23"/>
      <c r="F227" s="23"/>
      <c r="G227" s="23"/>
      <c r="H227" s="23"/>
      <c r="I227" s="23"/>
      <c r="J227" s="23"/>
      <c r="K227" s="23"/>
      <c r="L227" s="23"/>
      <c r="M227" s="23"/>
      <c r="N227" s="23"/>
      <c r="O227" s="23"/>
      <c r="P227" s="23"/>
      <c r="Q227" s="23"/>
      <c r="R227" s="23"/>
      <c r="S227" s="23"/>
    </row>
    <row r="228" customFormat="false" ht="15" hidden="false" customHeight="false" outlineLevel="0" collapsed="false">
      <c r="B228" s="5" t="s">
        <v>64</v>
      </c>
      <c r="C228" s="17" t="s">
        <v>27</v>
      </c>
      <c r="D228" s="17" t="s">
        <v>28</v>
      </c>
      <c r="E228" s="17" t="s">
        <v>29</v>
      </c>
      <c r="G228" s="5" t="str">
        <f aca="false">"In valuation: "&amp;'Global Inputs'!$E$100&amp;"  |  case: "&amp;'Global Inputs'!$F$100&amp;"  |  FSL interest: "&amp;TEXT('Global Inputs'!$G$100,"0%")</f>
        <v>In valuation: 1  |  case: 2  |  FSL interest: 100%</v>
      </c>
    </row>
    <row r="229" customFormat="false" ht="15" hidden="false" customHeight="false" outlineLevel="0" collapsed="false">
      <c r="B229" s="24" t="s">
        <v>345</v>
      </c>
      <c r="C229" s="25" t="s">
        <v>170</v>
      </c>
      <c r="E229" s="47" t="n">
        <f aca="false">SUM(F229:S229)</f>
        <v>1681.18125265162</v>
      </c>
      <c r="F229" s="58" t="n">
        <f aca="false">'P12 BUMNOps Output'!F11</f>
        <v>0</v>
      </c>
      <c r="G229" s="58" t="n">
        <f aca="false">'P12 BUMNOps Output'!G11</f>
        <v>0</v>
      </c>
      <c r="H229" s="58" t="n">
        <f aca="false">'P12 BUMNOps Output'!H11</f>
        <v>0</v>
      </c>
      <c r="I229" s="58" t="n">
        <f aca="false">'P12 BUMNOps Output'!I11</f>
        <v>127.493715469586</v>
      </c>
      <c r="J229" s="58" t="n">
        <f aca="false">'P12 BUMNOps Output'!J11</f>
        <v>134.536379803959</v>
      </c>
      <c r="K229" s="58" t="n">
        <f aca="false">'P12 BUMNOps Output'!K11</f>
        <v>139.280398829541</v>
      </c>
      <c r="L229" s="58" t="n">
        <f aca="false">'P12 BUMNOps Output'!L11</f>
        <v>144.142604529362</v>
      </c>
      <c r="M229" s="58" t="n">
        <f aca="false">'P12 BUMNOps Output'!M11</f>
        <v>149.126542503652</v>
      </c>
      <c r="N229" s="58" t="n">
        <f aca="false">'P12 BUMNOps Output'!N11</f>
        <v>154.235864720642</v>
      </c>
      <c r="O229" s="58" t="n">
        <f aca="false">'P12 BUMNOps Output'!O11</f>
        <v>159.474332707616</v>
      </c>
      <c r="P229" s="58" t="n">
        <f aca="false">'P12 BUMNOps Output'!P11</f>
        <v>164.845820837671</v>
      </c>
      <c r="Q229" s="58" t="n">
        <f aca="false">'P12 BUMNOps Output'!Q11</f>
        <v>170.354319715102</v>
      </c>
      <c r="R229" s="58" t="n">
        <f aca="false">'P12 BUMNOps Output'!R11</f>
        <v>166.350381051472</v>
      </c>
      <c r="S229" s="58" t="n">
        <f aca="false">'P12 BUMNOps Output'!S11</f>
        <v>171.340892483016</v>
      </c>
    </row>
    <row r="230" customFormat="false" ht="15" hidden="false" customHeight="false" outlineLevel="0" collapsed="false">
      <c r="B230" s="24" t="s">
        <v>346</v>
      </c>
      <c r="C230" s="25" t="s">
        <v>170</v>
      </c>
      <c r="E230" s="47" t="n">
        <f aca="false">SUM(F230:S230)</f>
        <v>767.68181988433</v>
      </c>
      <c r="F230" s="58" t="n">
        <f aca="false">'P12 BUMNOps Output'!F15</f>
        <v>0</v>
      </c>
      <c r="G230" s="58" t="n">
        <f aca="false">'P12 BUMNOps Output'!G15</f>
        <v>0</v>
      </c>
      <c r="H230" s="58" t="n">
        <f aca="false">'P12 BUMNOps Output'!H15</f>
        <v>0</v>
      </c>
      <c r="I230" s="58" t="n">
        <f aca="false">'P12 BUMNOps Output'!I15</f>
        <v>58.3181280293729</v>
      </c>
      <c r="J230" s="58" t="n">
        <f aca="false">'P12 BUMNOps Output'!J15</f>
        <v>61.4513486044767</v>
      </c>
      <c r="K230" s="58" t="n">
        <f aca="false">'P12 BUMNOps Output'!K15</f>
        <v>63.59929794414</v>
      </c>
      <c r="L230" s="58" t="n">
        <f aca="false">'P12 BUMNOps Output'!L15</f>
        <v>65.8013081884864</v>
      </c>
      <c r="M230" s="58" t="n">
        <f aca="false">'P12 BUMNOps Output'!M15</f>
        <v>68.0590011646567</v>
      </c>
      <c r="N230" s="58" t="n">
        <f aca="false">'P12 BUMNOps Output'!N15</f>
        <v>70.3740473546053</v>
      </c>
      <c r="O230" s="58" t="n">
        <f aca="false">'P12 BUMNOps Output'!O15</f>
        <v>72.7481673547458</v>
      </c>
      <c r="P230" s="58" t="n">
        <f aca="false">'P12 BUMNOps Output'!P15</f>
        <v>75.1831333793838</v>
      </c>
      <c r="Q230" s="58" t="n">
        <f aca="false">'P12 BUMNOps Output'!Q15</f>
        <v>77.6807708092543</v>
      </c>
      <c r="R230" s="58" t="n">
        <f aca="false">'P12 BUMNOps Output'!R15</f>
        <v>76.0919295838464</v>
      </c>
      <c r="S230" s="58" t="n">
        <f aca="false">'P12 BUMNOps Output'!S15</f>
        <v>78.3746874713618</v>
      </c>
    </row>
    <row r="231" customFormat="false" ht="15" hidden="false" customHeight="false" outlineLevel="0" collapsed="false">
      <c r="B231" s="69" t="s">
        <v>347</v>
      </c>
      <c r="C231" s="25" t="s">
        <v>170</v>
      </c>
      <c r="E231" s="70" t="n">
        <f aca="false">SUM(F231:S231)</f>
        <v>767.68181988433</v>
      </c>
      <c r="F231" s="71" t="n">
        <f aca="false">'P12 BUMNOps Output'!F17</f>
        <v>0</v>
      </c>
      <c r="G231" s="71" t="n">
        <f aca="false">'P12 BUMNOps Output'!G17</f>
        <v>0</v>
      </c>
      <c r="H231" s="71" t="n">
        <f aca="false">'P12 BUMNOps Output'!H17</f>
        <v>0</v>
      </c>
      <c r="I231" s="71" t="n">
        <f aca="false">'P12 BUMNOps Output'!I17</f>
        <v>58.3181280293729</v>
      </c>
      <c r="J231" s="71" t="n">
        <f aca="false">'P12 BUMNOps Output'!J17</f>
        <v>61.4513486044767</v>
      </c>
      <c r="K231" s="71" t="n">
        <f aca="false">'P12 BUMNOps Output'!K17</f>
        <v>63.59929794414</v>
      </c>
      <c r="L231" s="71" t="n">
        <f aca="false">'P12 BUMNOps Output'!L17</f>
        <v>65.8013081884864</v>
      </c>
      <c r="M231" s="71" t="n">
        <f aca="false">'P12 BUMNOps Output'!M17</f>
        <v>68.0590011646567</v>
      </c>
      <c r="N231" s="71" t="n">
        <f aca="false">'P12 BUMNOps Output'!N17</f>
        <v>70.3740473546053</v>
      </c>
      <c r="O231" s="71" t="n">
        <f aca="false">'P12 BUMNOps Output'!O17</f>
        <v>72.7481673547458</v>
      </c>
      <c r="P231" s="71" t="n">
        <f aca="false">'P12 BUMNOps Output'!P17</f>
        <v>75.1831333793838</v>
      </c>
      <c r="Q231" s="71" t="n">
        <f aca="false">'P12 BUMNOps Output'!Q17</f>
        <v>77.6807708092543</v>
      </c>
      <c r="R231" s="71" t="n">
        <f aca="false">'P12 BUMNOps Output'!R17</f>
        <v>76.0919295838464</v>
      </c>
      <c r="S231" s="71" t="n">
        <f aca="false">'P12 BUMNOps Output'!S17</f>
        <v>78.3746874713618</v>
      </c>
    </row>
    <row r="232" customFormat="false" ht="15" hidden="false" customHeight="false" outlineLevel="0" collapsed="false">
      <c r="B232" s="24" t="s">
        <v>348</v>
      </c>
      <c r="C232" s="25" t="s">
        <v>170</v>
      </c>
      <c r="E232" s="47" t="n">
        <f aca="false">SUM(F232:S232)</f>
        <v>598.791819509778</v>
      </c>
      <c r="F232" s="58" t="n">
        <f aca="false">'P12 BUMNOps Output'!F19</f>
        <v>0</v>
      </c>
      <c r="G232" s="58" t="n">
        <f aca="false">'P12 BUMNOps Output'!G19</f>
        <v>0</v>
      </c>
      <c r="H232" s="58" t="n">
        <f aca="false">'P12 BUMNOps Output'!H19</f>
        <v>0</v>
      </c>
      <c r="I232" s="58" t="n">
        <f aca="false">'P12 BUMNOps Output'!I19</f>
        <v>45.4881398629109</v>
      </c>
      <c r="J232" s="58" t="n">
        <f aca="false">'P12 BUMNOps Output'!J19</f>
        <v>47.9320519114918</v>
      </c>
      <c r="K232" s="58" t="n">
        <f aca="false">'P12 BUMNOps Output'!K19</f>
        <v>49.6074523964292</v>
      </c>
      <c r="L232" s="58" t="n">
        <f aca="false">'P12 BUMNOps Output'!L19</f>
        <v>51.3250203870194</v>
      </c>
      <c r="M232" s="58" t="n">
        <f aca="false">'P12 BUMNOps Output'!M19</f>
        <v>53.0860209084322</v>
      </c>
      <c r="N232" s="58" t="n">
        <f aca="false">'P12 BUMNOps Output'!N19</f>
        <v>54.8917569365922</v>
      </c>
      <c r="O232" s="58" t="n">
        <f aca="false">'P12 BUMNOps Output'!O19</f>
        <v>56.7435705367017</v>
      </c>
      <c r="P232" s="58" t="n">
        <f aca="false">'P12 BUMNOps Output'!P19</f>
        <v>58.6428440359194</v>
      </c>
      <c r="Q232" s="58" t="n">
        <f aca="false">'P12 BUMNOps Output'!Q19</f>
        <v>60.5910012312183</v>
      </c>
      <c r="R232" s="58" t="n">
        <f aca="false">'P12 BUMNOps Output'!R19</f>
        <v>59.3517050754002</v>
      </c>
      <c r="S232" s="58" t="n">
        <f aca="false">'P12 BUMNOps Output'!S19</f>
        <v>61.1322562276622</v>
      </c>
    </row>
    <row r="233" customFormat="false" ht="15" hidden="false" customHeight="false" outlineLevel="0" collapsed="false">
      <c r="B233" s="24" t="s">
        <v>349</v>
      </c>
      <c r="C233" s="25" t="s">
        <v>170</v>
      </c>
      <c r="E233" s="47" t="n">
        <f aca="false">SUM(F233:S233)</f>
        <v>0</v>
      </c>
      <c r="F233" s="58" t="n">
        <f aca="false">'P12 BUMNOps Output'!F16</f>
        <v>-0</v>
      </c>
      <c r="G233" s="58" t="n">
        <f aca="false">'P12 BUMNOps Output'!G16</f>
        <v>-0</v>
      </c>
      <c r="H233" s="58" t="n">
        <f aca="false">'P12 BUMNOps Output'!H16</f>
        <v>-0</v>
      </c>
      <c r="I233" s="58" t="n">
        <f aca="false">'P12 BUMNOps Output'!I16</f>
        <v>-0</v>
      </c>
      <c r="J233" s="58" t="n">
        <f aca="false">'P12 BUMNOps Output'!J16</f>
        <v>-0</v>
      </c>
      <c r="K233" s="58" t="n">
        <f aca="false">'P12 BUMNOps Output'!K16</f>
        <v>-0</v>
      </c>
      <c r="L233" s="58" t="n">
        <f aca="false">'P12 BUMNOps Output'!L16</f>
        <v>-0</v>
      </c>
      <c r="M233" s="58" t="n">
        <f aca="false">'P12 BUMNOps Output'!M16</f>
        <v>-0</v>
      </c>
      <c r="N233" s="58" t="n">
        <f aca="false">'P12 BUMNOps Output'!N16</f>
        <v>-0</v>
      </c>
      <c r="O233" s="58" t="n">
        <f aca="false">'P12 BUMNOps Output'!O16</f>
        <v>-0</v>
      </c>
      <c r="P233" s="58" t="n">
        <f aca="false">'P12 BUMNOps Output'!P16</f>
        <v>-0</v>
      </c>
      <c r="Q233" s="58" t="n">
        <f aca="false">'P12 BUMNOps Output'!Q16</f>
        <v>-0</v>
      </c>
      <c r="R233" s="58" t="n">
        <f aca="false">'P12 BUMNOps Output'!R16</f>
        <v>-0</v>
      </c>
      <c r="S233" s="58" t="n">
        <f aca="false">'P12 BUMNOps Output'!S16</f>
        <v>-0</v>
      </c>
    </row>
    <row r="234" customFormat="false" ht="15" hidden="false" customHeight="false" outlineLevel="0" collapsed="false">
      <c r="B234" s="24" t="s">
        <v>350</v>
      </c>
      <c r="C234" s="25" t="s">
        <v>240</v>
      </c>
      <c r="E234" s="44" t="n">
        <f aca="false">SUM(F234:S234)</f>
        <v>0</v>
      </c>
      <c r="F234" s="72" t="n">
        <f aca="false">'P12 BUMNOps Output'!F34</f>
        <v>0</v>
      </c>
      <c r="G234" s="72" t="n">
        <f aca="false">'P12 BUMNOps Output'!G34</f>
        <v>0</v>
      </c>
      <c r="H234" s="72" t="n">
        <f aca="false">'P12 BUMNOps Output'!H34</f>
        <v>0</v>
      </c>
      <c r="I234" s="72" t="n">
        <f aca="false">'P12 BUMNOps Output'!I34</f>
        <v>0</v>
      </c>
      <c r="J234" s="72" t="n">
        <f aca="false">'P12 BUMNOps Output'!J34</f>
        <v>0</v>
      </c>
      <c r="K234" s="72" t="n">
        <f aca="false">'P12 BUMNOps Output'!K34</f>
        <v>0</v>
      </c>
      <c r="L234" s="72" t="n">
        <f aca="false">'P12 BUMNOps Output'!L34</f>
        <v>0</v>
      </c>
      <c r="M234" s="72" t="n">
        <f aca="false">'P12 BUMNOps Output'!M34</f>
        <v>0</v>
      </c>
      <c r="N234" s="72" t="n">
        <f aca="false">'P12 BUMNOps Output'!N34</f>
        <v>0</v>
      </c>
      <c r="O234" s="72" t="n">
        <f aca="false">'P12 BUMNOps Output'!O34</f>
        <v>0</v>
      </c>
      <c r="P234" s="72" t="n">
        <f aca="false">'P12 BUMNOps Output'!P34</f>
        <v>0</v>
      </c>
      <c r="Q234" s="72" t="n">
        <f aca="false">'P12 BUMNOps Output'!Q34</f>
        <v>0</v>
      </c>
      <c r="R234" s="72" t="n">
        <f aca="false">'P12 BUMNOps Output'!R34</f>
        <v>0</v>
      </c>
      <c r="S234" s="72" t="n">
        <f aca="false">'P12 BUMNOps Output'!S34</f>
        <v>0</v>
      </c>
    </row>
    <row r="235" customFormat="false" ht="15" hidden="false" customHeight="false" outlineLevel="0" collapsed="false">
      <c r="B235" s="24" t="s">
        <v>351</v>
      </c>
      <c r="C235" s="25" t="s">
        <v>170</v>
      </c>
      <c r="E235" s="47" t="n">
        <f aca="false">SUM(F235:S235)</f>
        <v>0</v>
      </c>
      <c r="F235" s="58" t="n">
        <f aca="false">'P12 BUMNOps Output'!F35</f>
        <v>0</v>
      </c>
      <c r="G235" s="58" t="n">
        <f aca="false">'P12 BUMNOps Output'!G35</f>
        <v>0</v>
      </c>
      <c r="H235" s="58" t="n">
        <f aca="false">'P12 BUMNOps Output'!H35</f>
        <v>0</v>
      </c>
      <c r="I235" s="58" t="n">
        <f aca="false">'P12 BUMNOps Output'!I35</f>
        <v>0</v>
      </c>
      <c r="J235" s="58" t="n">
        <f aca="false">'P12 BUMNOps Output'!J35</f>
        <v>0</v>
      </c>
      <c r="K235" s="58" t="n">
        <f aca="false">'P12 BUMNOps Output'!K35</f>
        <v>0</v>
      </c>
      <c r="L235" s="58" t="n">
        <f aca="false">'P12 BUMNOps Output'!L35</f>
        <v>0</v>
      </c>
      <c r="M235" s="58" t="n">
        <f aca="false">'P12 BUMNOps Output'!M35</f>
        <v>0</v>
      </c>
      <c r="N235" s="58" t="n">
        <f aca="false">'P12 BUMNOps Output'!N35</f>
        <v>0</v>
      </c>
      <c r="O235" s="58" t="n">
        <f aca="false">'P12 BUMNOps Output'!O35</f>
        <v>0</v>
      </c>
      <c r="P235" s="58" t="n">
        <f aca="false">'P12 BUMNOps Output'!P35</f>
        <v>0</v>
      </c>
      <c r="Q235" s="58" t="n">
        <f aca="false">'P12 BUMNOps Output'!Q35</f>
        <v>0</v>
      </c>
      <c r="R235" s="58" t="n">
        <f aca="false">'P12 BUMNOps Output'!R35</f>
        <v>0</v>
      </c>
      <c r="S235" s="58" t="n">
        <f aca="false">'P12 BUMNOps Output'!S35</f>
        <v>0</v>
      </c>
    </row>
    <row r="236" customFormat="false" ht="15" hidden="false" customHeight="false" outlineLevel="0" collapsed="false">
      <c r="B236" s="24" t="s">
        <v>352</v>
      </c>
      <c r="C236" s="25" t="s">
        <v>170</v>
      </c>
      <c r="E236" s="47" t="n">
        <f aca="false">SUM(F236:S236)</f>
        <v>-21.0665031741413</v>
      </c>
      <c r="F236" s="58" t="n">
        <f aca="false">'P12 BUMNOps Output'!F27</f>
        <v>-0</v>
      </c>
      <c r="G236" s="58" t="n">
        <f aca="false">'P12 BUMNOps Output'!G27</f>
        <v>-0</v>
      </c>
      <c r="H236" s="58" t="n">
        <f aca="false">'P12 BUMNOps Output'!H27</f>
        <v>-0</v>
      </c>
      <c r="I236" s="58" t="n">
        <f aca="false">'P12 BUMNOps Output'!I27</f>
        <v>-15.7184032770723</v>
      </c>
      <c r="J236" s="58" t="n">
        <f aca="false">'P12 BUMNOps Output'!J27</f>
        <v>-0.868273685059654</v>
      </c>
      <c r="K236" s="58" t="n">
        <f aca="false">'P12 BUMNOps Output'!K27</f>
        <v>-0.537962238221407</v>
      </c>
      <c r="L236" s="58" t="n">
        <f aca="false">'P12 BUMNOps Output'!L27</f>
        <v>-0.646366837513245</v>
      </c>
      <c r="M236" s="58" t="n">
        <f aca="false">'P12 BUMNOps Output'!M27</f>
        <v>-0.614458106419232</v>
      </c>
      <c r="N236" s="58" t="n">
        <f aca="false">'P12 BUMNOps Output'!N27</f>
        <v>-0.629916437711202</v>
      </c>
      <c r="O236" s="58" t="n">
        <f aca="false">'P12 BUMNOps Output'!O27</f>
        <v>-0.592119341070514</v>
      </c>
      <c r="P236" s="58" t="n">
        <f aca="false">'P12 BUMNOps Output'!P27</f>
        <v>-0.715957440481002</v>
      </c>
      <c r="Q236" s="58" t="n">
        <f aca="false">'P12 BUMNOps Output'!Q27</f>
        <v>-0.679129998587268</v>
      </c>
      <c r="R236" s="58" t="n">
        <f aca="false">'P12 BUMNOps Output'!R27</f>
        <v>0.49363627359817</v>
      </c>
      <c r="S236" s="58" t="n">
        <f aca="false">'P12 BUMNOps Output'!S27</f>
        <v>-0.557552085603689</v>
      </c>
    </row>
    <row r="237" customFormat="false" ht="15" hidden="false" customHeight="false" outlineLevel="0" collapsed="false">
      <c r="B237" s="69" t="s">
        <v>353</v>
      </c>
      <c r="C237" s="25" t="s">
        <v>170</v>
      </c>
      <c r="E237" s="70" t="n">
        <f aca="false">SUM(F237:S237)</f>
        <v>577.725316335636</v>
      </c>
      <c r="F237" s="71" t="n">
        <f aca="false">'P12 BUMNOps Output'!F28</f>
        <v>0</v>
      </c>
      <c r="G237" s="71" t="n">
        <f aca="false">'P12 BUMNOps Output'!G28</f>
        <v>0</v>
      </c>
      <c r="H237" s="71" t="n">
        <f aca="false">'P12 BUMNOps Output'!H28</f>
        <v>0</v>
      </c>
      <c r="I237" s="71" t="n">
        <f aca="false">'P12 BUMNOps Output'!I28</f>
        <v>29.7697365858386</v>
      </c>
      <c r="J237" s="71" t="n">
        <f aca="false">'P12 BUMNOps Output'!J28</f>
        <v>47.0637782264322</v>
      </c>
      <c r="K237" s="71" t="n">
        <f aca="false">'P12 BUMNOps Output'!K28</f>
        <v>49.0694901582078</v>
      </c>
      <c r="L237" s="71" t="n">
        <f aca="false">'P12 BUMNOps Output'!L28</f>
        <v>50.6786535495062</v>
      </c>
      <c r="M237" s="71" t="n">
        <f aca="false">'P12 BUMNOps Output'!M28</f>
        <v>52.471562802013</v>
      </c>
      <c r="N237" s="71" t="n">
        <f aca="false">'P12 BUMNOps Output'!N28</f>
        <v>54.261840498881</v>
      </c>
      <c r="O237" s="71" t="n">
        <f aca="false">'P12 BUMNOps Output'!O28</f>
        <v>56.1514511956312</v>
      </c>
      <c r="P237" s="71" t="n">
        <f aca="false">'P12 BUMNOps Output'!P28</f>
        <v>57.9268865954384</v>
      </c>
      <c r="Q237" s="71" t="n">
        <f aca="false">'P12 BUMNOps Output'!Q28</f>
        <v>59.9118712326311</v>
      </c>
      <c r="R237" s="71" t="n">
        <f aca="false">'P12 BUMNOps Output'!R28</f>
        <v>59.8453413489983</v>
      </c>
      <c r="S237" s="71" t="n">
        <f aca="false">'P12 BUMNOps Output'!S28</f>
        <v>60.5747041420585</v>
      </c>
    </row>
    <row r="238" customFormat="false" ht="15" hidden="false" customHeight="false" outlineLevel="0" collapsed="false">
      <c r="B238" s="24" t="s">
        <v>354</v>
      </c>
      <c r="C238" s="25" t="s">
        <v>170</v>
      </c>
      <c r="F238" s="58" t="n">
        <f aca="false">'P12 BUMNOps Output'!F29</f>
        <v>0</v>
      </c>
      <c r="G238" s="58" t="n">
        <f aca="false">'P12 BUMNOps Output'!G29</f>
        <v>0</v>
      </c>
      <c r="H238" s="58" t="n">
        <f aca="false">'P12 BUMNOps Output'!H29</f>
        <v>0</v>
      </c>
      <c r="I238" s="58" t="n">
        <f aca="false">'P12 BUMNOps Output'!I29</f>
        <v>29.7697365858386</v>
      </c>
      <c r="J238" s="58" t="n">
        <f aca="false">'P12 BUMNOps Output'!J29</f>
        <v>76.8335148122707</v>
      </c>
      <c r="K238" s="58" t="n">
        <f aca="false">'P12 BUMNOps Output'!K29</f>
        <v>125.903004970479</v>
      </c>
      <c r="L238" s="58" t="n">
        <f aca="false">'P12 BUMNOps Output'!L29</f>
        <v>176.581658519985</v>
      </c>
      <c r="M238" s="58" t="n">
        <f aca="false">'P12 BUMNOps Output'!M29</f>
        <v>229.053221321998</v>
      </c>
      <c r="N238" s="58" t="n">
        <f aca="false">'P12 BUMNOps Output'!N29</f>
        <v>283.315061820879</v>
      </c>
      <c r="O238" s="58" t="n">
        <f aca="false">'P12 BUMNOps Output'!O29</f>
        <v>339.46651301651</v>
      </c>
      <c r="P238" s="58" t="n">
        <f aca="false">'P12 BUMNOps Output'!P29</f>
        <v>397.393399611948</v>
      </c>
      <c r="Q238" s="58" t="n">
        <f aca="false">'P12 BUMNOps Output'!Q29</f>
        <v>457.305270844579</v>
      </c>
      <c r="R238" s="58" t="n">
        <f aca="false">'P12 BUMNOps Output'!R29</f>
        <v>517.150612193578</v>
      </c>
      <c r="S238" s="58" t="n">
        <f aca="false">'P12 BUMNOps Output'!S29</f>
        <v>577.725316335636</v>
      </c>
    </row>
    <row r="239" customFormat="false" ht="15" hidden="false" customHeight="false" outlineLevel="0" collapsed="false">
      <c r="B239" s="24" t="s">
        <v>355</v>
      </c>
      <c r="C239" s="25" t="s">
        <v>170</v>
      </c>
      <c r="F239" s="58" t="n">
        <f aca="false">'P12 BUMNOps Output'!F39</f>
        <v>0</v>
      </c>
      <c r="G239" s="58" t="n">
        <f aca="false">'P12 BUMNOps Output'!G39</f>
        <v>0</v>
      </c>
      <c r="H239" s="58" t="n">
        <f aca="false">'P12 BUMNOps Output'!H39</f>
        <v>0</v>
      </c>
      <c r="I239" s="58" t="n">
        <f aca="false">'P12 BUMNOps Output'!I39</f>
        <v>15.7184032770723</v>
      </c>
      <c r="J239" s="58" t="n">
        <f aca="false">'P12 BUMNOps Output'!J39</f>
        <v>16.5866769621319</v>
      </c>
      <c r="K239" s="58" t="n">
        <f aca="false">'P12 BUMNOps Output'!K39</f>
        <v>17.1246392003533</v>
      </c>
      <c r="L239" s="58" t="n">
        <f aca="false">'P12 BUMNOps Output'!L39</f>
        <v>17.7710060378666</v>
      </c>
      <c r="M239" s="58" t="n">
        <f aca="false">'P12 BUMNOps Output'!M39</f>
        <v>18.3854641442858</v>
      </c>
      <c r="N239" s="58" t="n">
        <f aca="false">'P12 BUMNOps Output'!N39</f>
        <v>19.015380581997</v>
      </c>
      <c r="O239" s="58" t="n">
        <f aca="false">'P12 BUMNOps Output'!O39</f>
        <v>19.6074999230675</v>
      </c>
      <c r="P239" s="58" t="n">
        <f aca="false">'P12 BUMNOps Output'!P39</f>
        <v>20.3234573635485</v>
      </c>
      <c r="Q239" s="58" t="n">
        <f aca="false">'P12 BUMNOps Output'!Q39</f>
        <v>21.0025873621358</v>
      </c>
      <c r="R239" s="58" t="n">
        <f aca="false">'P12 BUMNOps Output'!R39</f>
        <v>20.5089510885376</v>
      </c>
      <c r="S239" s="58" t="n">
        <f aca="false">'P12 BUMNOps Output'!S39</f>
        <v>21.0665031741413</v>
      </c>
    </row>
    <row r="240" customFormat="false" ht="15" hidden="false" customHeight="false" outlineLevel="0" collapsed="false">
      <c r="B240" s="24" t="s">
        <v>356</v>
      </c>
      <c r="C240" s="25" t="s">
        <v>170</v>
      </c>
      <c r="E240" s="47" t="n">
        <f aca="false">SUM(F240:S240)</f>
        <v>0</v>
      </c>
      <c r="F240" s="58" t="n">
        <f aca="false">'P12 BUMNOps Output'!F31</f>
        <v>-0</v>
      </c>
      <c r="G240" s="58" t="n">
        <f aca="false">'P12 BUMNOps Output'!G31</f>
        <v>-0</v>
      </c>
      <c r="H240" s="58" t="n">
        <f aca="false">'P12 BUMNOps Output'!H31</f>
        <v>-0</v>
      </c>
      <c r="I240" s="58" t="n">
        <f aca="false">'P12 BUMNOps Output'!I31</f>
        <v>0</v>
      </c>
      <c r="J240" s="58" t="n">
        <f aca="false">'P12 BUMNOps Output'!J31</f>
        <v>0</v>
      </c>
      <c r="K240" s="58" t="n">
        <f aca="false">'P12 BUMNOps Output'!K31</f>
        <v>0</v>
      </c>
      <c r="L240" s="58" t="n">
        <f aca="false">'P12 BUMNOps Output'!L31</f>
        <v>0</v>
      </c>
      <c r="M240" s="58" t="n">
        <f aca="false">'P12 BUMNOps Output'!M31</f>
        <v>0</v>
      </c>
      <c r="N240" s="58" t="n">
        <f aca="false">'P12 BUMNOps Output'!N31</f>
        <v>0</v>
      </c>
      <c r="O240" s="58" t="n">
        <f aca="false">'P12 BUMNOps Output'!O31</f>
        <v>0</v>
      </c>
      <c r="P240" s="58" t="n">
        <f aca="false">'P12 BUMNOps Output'!P31</f>
        <v>0</v>
      </c>
      <c r="Q240" s="58" t="n">
        <f aca="false">'P12 BUMNOps Output'!Q31</f>
        <v>0</v>
      </c>
      <c r="R240" s="58" t="n">
        <f aca="false">'P12 BUMNOps Output'!R31</f>
        <v>0</v>
      </c>
      <c r="S240" s="58" t="n">
        <f aca="false">'P12 BUMNOps Output'!S31</f>
        <v>0</v>
      </c>
    </row>
    <row r="241" customFormat="false" ht="15" hidden="false" customHeight="false" outlineLevel="0" collapsed="false">
      <c r="B241" s="24" t="s">
        <v>357</v>
      </c>
      <c r="C241" s="25" t="s">
        <v>170</v>
      </c>
      <c r="E241" s="47" t="n">
        <f aca="false">SUM(F241:S241)</f>
        <v>532.304096473666</v>
      </c>
      <c r="F241" s="58" t="n">
        <f aca="false">'P12 BUMNOps Output'!F46</f>
        <v>0</v>
      </c>
      <c r="G241" s="58" t="n">
        <f aca="false">'P12 BUMNOps Output'!G46</f>
        <v>0</v>
      </c>
      <c r="H241" s="58" t="n">
        <f aca="false">'P12 BUMNOps Output'!H46</f>
        <v>0</v>
      </c>
      <c r="I241" s="58" t="n">
        <f aca="false">'P12 BUMNOps Output'!I46</f>
        <v>0</v>
      </c>
      <c r="J241" s="58" t="n">
        <f aca="false">'P12 BUMNOps Output'!J46</f>
        <v>42.071373626481</v>
      </c>
      <c r="K241" s="58" t="n">
        <f aca="false">'P12 BUMNOps Output'!K46</f>
        <v>39.2113099878676</v>
      </c>
      <c r="L241" s="58" t="n">
        <f aca="false">'P12 BUMNOps Output'!L46</f>
        <v>36.2013508849049</v>
      </c>
      <c r="M241" s="58" t="n">
        <f aca="false">'P12 BUMNOps Output'!M46</f>
        <v>33.5060792521934</v>
      </c>
      <c r="N241" s="58" t="n">
        <f aca="false">'P12 BUMNOps Output'!N46</f>
        <v>30.9737676050511</v>
      </c>
      <c r="O241" s="58" t="n">
        <f aca="false">'P12 BUMNOps Output'!O46</f>
        <v>28.6523602453784</v>
      </c>
      <c r="P241" s="58" t="n">
        <f aca="false">'P12 BUMNOps Output'!P46</f>
        <v>26.4228408034924</v>
      </c>
      <c r="Q241" s="58" t="n">
        <f aca="false">'P12 BUMNOps Output'!Q46</f>
        <v>24.4293610587948</v>
      </c>
      <c r="R241" s="58" t="n">
        <f aca="false">'P12 BUMNOps Output'!R46</f>
        <v>21.8137070104869</v>
      </c>
      <c r="S241" s="58" t="n">
        <f aca="false">'P12 BUMNOps Output'!S46</f>
        <v>249.021945999015</v>
      </c>
    </row>
    <row r="242" customFormat="false" ht="15" hidden="false" customHeight="false" outlineLevel="0" collapsed="false">
      <c r="B242" s="3" t="s">
        <v>358</v>
      </c>
      <c r="C242" s="73" t="s">
        <v>359</v>
      </c>
      <c r="D242" s="74" t="n">
        <f aca="false">'P12 BUMNOps Output'!$E$47</f>
        <v>532.304096473666</v>
      </c>
      <c r="E242" s="73" t="s">
        <v>360</v>
      </c>
      <c r="F242" s="75" t="str">
        <f aca="false">IF(ISNUMBER('P12 BUMNOps Output'!$E$49),'P12 BUMNOps Output'!$E$49,"n/a")</f>
        <v>n/a</v>
      </c>
      <c r="G242" s="73" t="s">
        <v>361</v>
      </c>
      <c r="H242" s="75" t="str">
        <f aca="false">IF(ISNUMBER('P12 BUMNOps Output'!$E$50),'P12 BUMNOps Output'!$E$50,"n/a")</f>
        <v>n/a</v>
      </c>
      <c r="I242" s="73" t="s">
        <v>362</v>
      </c>
      <c r="J242" s="76" t="str">
        <f aca="false">IF(ISNUMBER('P12 BUMNOps Output'!$E$52),'P12 BUMNOps Output'!$E$52,"n/a")</f>
        <v>n/a</v>
      </c>
      <c r="K242" s="73" t="s">
        <v>363</v>
      </c>
      <c r="L242" s="74" t="n">
        <f aca="false">'P12 BUMNOps Output'!$E$54</f>
        <v>0</v>
      </c>
      <c r="M242" s="73" t="s">
        <v>364</v>
      </c>
      <c r="N242" s="74" t="n">
        <f aca="false">'P12 BUMNOps Output'!$E$55</f>
        <v>0</v>
      </c>
    </row>
    <row r="244" customFormat="false" ht="15" hidden="false" customHeight="false" outlineLevel="0" collapsed="false">
      <c r="B244" s="22" t="s">
        <v>376</v>
      </c>
      <c r="C244" s="23"/>
      <c r="D244" s="23"/>
      <c r="E244" s="23"/>
      <c r="F244" s="23"/>
      <c r="G244" s="23"/>
      <c r="H244" s="23"/>
      <c r="I244" s="23"/>
      <c r="J244" s="23"/>
      <c r="K244" s="23"/>
      <c r="L244" s="23"/>
      <c r="M244" s="23"/>
      <c r="N244" s="23"/>
      <c r="O244" s="23"/>
      <c r="P244" s="23"/>
      <c r="Q244" s="23"/>
      <c r="R244" s="23"/>
      <c r="S244" s="23"/>
    </row>
    <row r="245" customFormat="false" ht="15" hidden="false" customHeight="false" outlineLevel="0" collapsed="false">
      <c r="B245" s="5" t="s">
        <v>67</v>
      </c>
      <c r="C245" s="17" t="s">
        <v>27</v>
      </c>
      <c r="D245" s="17" t="s">
        <v>28</v>
      </c>
      <c r="E245" s="17" t="s">
        <v>29</v>
      </c>
      <c r="G245" s="5" t="str">
        <f aca="false">"In valuation: "&amp;'Global Inputs'!$E$101&amp;"  |  case: "&amp;'Global Inputs'!$F$101&amp;"  |  FSL interest: "&amp;TEXT('Global Inputs'!$G$101,"0%")</f>
        <v>In valuation: 0  |  case: 1  |  FSL interest: 100%</v>
      </c>
    </row>
    <row r="246" customFormat="false" ht="15" hidden="false" customHeight="false" outlineLevel="0" collapsed="false">
      <c r="B246" s="24" t="s">
        <v>345</v>
      </c>
      <c r="C246" s="25" t="s">
        <v>170</v>
      </c>
      <c r="E246" s="47" t="n">
        <f aca="false">SUM(F246:S246)</f>
        <v>3054.42825939193</v>
      </c>
      <c r="F246" s="58" t="n">
        <f aca="false">'P15 TBM Output'!F11</f>
        <v>0</v>
      </c>
      <c r="G246" s="58" t="n">
        <f aca="false">'P15 TBM Output'!G11</f>
        <v>0</v>
      </c>
      <c r="H246" s="58" t="n">
        <f aca="false">'P15 TBM Output'!H11</f>
        <v>0</v>
      </c>
      <c r="I246" s="58" t="n">
        <f aca="false">'P15 TBM Output'!I11</f>
        <v>0</v>
      </c>
      <c r="J246" s="58" t="n">
        <f aca="false">'P15 TBM Output'!J11</f>
        <v>0</v>
      </c>
      <c r="K246" s="58" t="n">
        <f aca="false">'P15 TBM Output'!K11</f>
        <v>0</v>
      </c>
      <c r="L246" s="58" t="n">
        <f aca="false">'P15 TBM Output'!L11</f>
        <v>182.880712322918</v>
      </c>
      <c r="M246" s="58" t="n">
        <f aca="false">'P15 TBM Output'!M11</f>
        <v>374.7552</v>
      </c>
      <c r="N246" s="58" t="n">
        <f aca="false">'P15 TBM Output'!N11</f>
        <v>385.997856</v>
      </c>
      <c r="O246" s="58" t="n">
        <f aca="false">'P15 TBM Output'!O11</f>
        <v>397.57779168</v>
      </c>
      <c r="P246" s="58" t="n">
        <f aca="false">'P15 TBM Output'!P11</f>
        <v>409.5051254304</v>
      </c>
      <c r="Q246" s="58" t="n">
        <f aca="false">'P15 TBM Output'!Q11</f>
        <v>421.790279193312</v>
      </c>
      <c r="R246" s="58" t="n">
        <f aca="false">'P15 TBM Output'!R11</f>
        <v>434.443987569111</v>
      </c>
      <c r="S246" s="58" t="n">
        <f aca="false">'P15 TBM Output'!S11</f>
        <v>447.477307196185</v>
      </c>
    </row>
    <row r="247" customFormat="false" ht="15" hidden="false" customHeight="false" outlineLevel="0" collapsed="false">
      <c r="B247" s="24" t="s">
        <v>346</v>
      </c>
      <c r="C247" s="25" t="s">
        <v>170</v>
      </c>
      <c r="E247" s="47" t="n">
        <f aca="false">SUM(F247:S247)</f>
        <v>1620.88352002172</v>
      </c>
      <c r="F247" s="58" t="n">
        <f aca="false">'P15 TBM Output'!F15</f>
        <v>0</v>
      </c>
      <c r="G247" s="58" t="n">
        <f aca="false">'P15 TBM Output'!G15</f>
        <v>0</v>
      </c>
      <c r="H247" s="58" t="n">
        <f aca="false">'P15 TBM Output'!H15</f>
        <v>0</v>
      </c>
      <c r="I247" s="58" t="n">
        <f aca="false">'P15 TBM Output'!I15</f>
        <v>0</v>
      </c>
      <c r="J247" s="58" t="n">
        <f aca="false">'P15 TBM Output'!J15</f>
        <v>0</v>
      </c>
      <c r="K247" s="58" t="n">
        <f aca="false">'P15 TBM Output'!K15</f>
        <v>0</v>
      </c>
      <c r="L247" s="58" t="n">
        <f aca="false">'P15 TBM Output'!L15</f>
        <v>97.4652035857615</v>
      </c>
      <c r="M247" s="58" t="n">
        <f aca="false">'P15 TBM Output'!M15</f>
        <v>199.11267093317</v>
      </c>
      <c r="N247" s="58" t="n">
        <f aca="false">'P15 TBM Output'!N15</f>
        <v>204.928141734033</v>
      </c>
      <c r="O247" s="58" t="n">
        <f aca="false">'P15 TBM Output'!O15</f>
        <v>211.194807501961</v>
      </c>
      <c r="P247" s="58" t="n">
        <f aca="false">'P15 TBM Output'!P15</f>
        <v>217.358359747953</v>
      </c>
      <c r="Q247" s="58" t="n">
        <f aca="false">'P15 TBM Output'!Q15</f>
        <v>223.696390893625</v>
      </c>
      <c r="R247" s="58" t="n">
        <f aca="false">'P15 TBM Output'!R15</f>
        <v>230.213511804843</v>
      </c>
      <c r="S247" s="58" t="n">
        <f aca="false">'P15 TBM Output'!S15</f>
        <v>236.914433820369</v>
      </c>
    </row>
    <row r="248" customFormat="false" ht="15" hidden="false" customHeight="false" outlineLevel="0" collapsed="false">
      <c r="B248" s="69" t="s">
        <v>347</v>
      </c>
      <c r="C248" s="25" t="s">
        <v>170</v>
      </c>
      <c r="E248" s="70" t="n">
        <f aca="false">SUM(F248:S248)</f>
        <v>1262.83352002172</v>
      </c>
      <c r="F248" s="71" t="n">
        <f aca="false">'P15 TBM Output'!F17</f>
        <v>0</v>
      </c>
      <c r="G248" s="71" t="n">
        <f aca="false">'P15 TBM Output'!G17</f>
        <v>0</v>
      </c>
      <c r="H248" s="71" t="n">
        <f aca="false">'P15 TBM Output'!H17</f>
        <v>0</v>
      </c>
      <c r="I248" s="71" t="n">
        <f aca="false">'P15 TBM Output'!I17</f>
        <v>0</v>
      </c>
      <c r="J248" s="71" t="n">
        <f aca="false">'P15 TBM Output'!J17</f>
        <v>-37.4325</v>
      </c>
      <c r="K248" s="71" t="n">
        <f aca="false">'P15 TBM Output'!K17</f>
        <v>-37.4325</v>
      </c>
      <c r="L248" s="71" t="n">
        <f aca="false">'P15 TBM Output'!L17</f>
        <v>60.0327035857615</v>
      </c>
      <c r="M248" s="71" t="n">
        <f aca="false">'P15 TBM Output'!M17</f>
        <v>161.68017093317</v>
      </c>
      <c r="N248" s="71" t="n">
        <f aca="false">'P15 TBM Output'!N17</f>
        <v>167.495641734033</v>
      </c>
      <c r="O248" s="71" t="n">
        <f aca="false">'P15 TBM Output'!O17</f>
        <v>173.762307501961</v>
      </c>
      <c r="P248" s="71" t="n">
        <f aca="false">'P15 TBM Output'!P17</f>
        <v>179.925859747953</v>
      </c>
      <c r="Q248" s="71" t="n">
        <f aca="false">'P15 TBM Output'!Q17</f>
        <v>186.263890893625</v>
      </c>
      <c r="R248" s="71" t="n">
        <f aca="false">'P15 TBM Output'!R17</f>
        <v>200.918511804843</v>
      </c>
      <c r="S248" s="71" t="n">
        <f aca="false">'P15 TBM Output'!S17</f>
        <v>207.619433820369</v>
      </c>
    </row>
    <row r="249" customFormat="false" ht="15" hidden="false" customHeight="false" outlineLevel="0" collapsed="false">
      <c r="B249" s="24" t="s">
        <v>348</v>
      </c>
      <c r="C249" s="25" t="s">
        <v>170</v>
      </c>
      <c r="E249" s="47" t="n">
        <f aca="false">SUM(F249:S249)</f>
        <v>968.539845616939</v>
      </c>
      <c r="F249" s="58" t="n">
        <f aca="false">'P15 TBM Output'!F19</f>
        <v>0</v>
      </c>
      <c r="G249" s="58" t="n">
        <f aca="false">'P15 TBM Output'!G19</f>
        <v>0</v>
      </c>
      <c r="H249" s="58" t="n">
        <f aca="false">'P15 TBM Output'!H19</f>
        <v>0</v>
      </c>
      <c r="I249" s="58" t="n">
        <f aca="false">'P15 TBM Output'!I19</f>
        <v>0</v>
      </c>
      <c r="J249" s="58" t="n">
        <f aca="false">'P15 TBM Output'!J19</f>
        <v>-37.4325</v>
      </c>
      <c r="K249" s="58" t="n">
        <f aca="false">'P15 TBM Output'!K19</f>
        <v>-37.4325</v>
      </c>
      <c r="L249" s="58" t="n">
        <f aca="false">'P15 TBM Output'!L19</f>
        <v>46.825508796894</v>
      </c>
      <c r="M249" s="58" t="n">
        <f aca="false">'P15 TBM Output'!M19</f>
        <v>126.110533327873</v>
      </c>
      <c r="N249" s="58" t="n">
        <f aca="false">'P15 TBM Output'!N19</f>
        <v>130.646600552546</v>
      </c>
      <c r="O249" s="58" t="n">
        <f aca="false">'P15 TBM Output'!O19</f>
        <v>135.53459985153</v>
      </c>
      <c r="P249" s="58" t="n">
        <f aca="false">'P15 TBM Output'!P19</f>
        <v>140.342170603404</v>
      </c>
      <c r="Q249" s="58" t="n">
        <f aca="false">'P15 TBM Output'!Q19</f>
        <v>145.285834897027</v>
      </c>
      <c r="R249" s="58" t="n">
        <f aca="false">'P15 TBM Output'!R19</f>
        <v>156.716439207778</v>
      </c>
      <c r="S249" s="58" t="n">
        <f aca="false">'P15 TBM Output'!S19</f>
        <v>161.943158379888</v>
      </c>
    </row>
    <row r="250" customFormat="false" ht="15" hidden="false" customHeight="false" outlineLevel="0" collapsed="false">
      <c r="B250" s="24" t="s">
        <v>349</v>
      </c>
      <c r="C250" s="25" t="s">
        <v>170</v>
      </c>
      <c r="E250" s="47" t="n">
        <f aca="false">SUM(F250:S250)</f>
        <v>-358.05</v>
      </c>
      <c r="F250" s="58" t="n">
        <f aca="false">'P15 TBM Output'!F16</f>
        <v>-0</v>
      </c>
      <c r="G250" s="58" t="n">
        <f aca="false">'P15 TBM Output'!G16</f>
        <v>-0</v>
      </c>
      <c r="H250" s="58" t="n">
        <f aca="false">'P15 TBM Output'!H16</f>
        <v>-0</v>
      </c>
      <c r="I250" s="58" t="n">
        <f aca="false">'P15 TBM Output'!I16</f>
        <v>-0</v>
      </c>
      <c r="J250" s="58" t="n">
        <f aca="false">'P15 TBM Output'!J16</f>
        <v>-37.4325</v>
      </c>
      <c r="K250" s="58" t="n">
        <f aca="false">'P15 TBM Output'!K16</f>
        <v>-37.4325</v>
      </c>
      <c r="L250" s="58" t="n">
        <f aca="false">'P15 TBM Output'!L16</f>
        <v>-37.4325</v>
      </c>
      <c r="M250" s="58" t="n">
        <f aca="false">'P15 TBM Output'!M16</f>
        <v>-37.4325</v>
      </c>
      <c r="N250" s="58" t="n">
        <f aca="false">'P15 TBM Output'!N16</f>
        <v>-37.4325</v>
      </c>
      <c r="O250" s="58" t="n">
        <f aca="false">'P15 TBM Output'!O16</f>
        <v>-37.4325</v>
      </c>
      <c r="P250" s="58" t="n">
        <f aca="false">'P15 TBM Output'!P16</f>
        <v>-37.4325</v>
      </c>
      <c r="Q250" s="58" t="n">
        <f aca="false">'P15 TBM Output'!Q16</f>
        <v>-37.4325</v>
      </c>
      <c r="R250" s="58" t="n">
        <f aca="false">'P15 TBM Output'!R16</f>
        <v>-29.295</v>
      </c>
      <c r="S250" s="58" t="n">
        <f aca="false">'P15 TBM Output'!S16</f>
        <v>-29.295</v>
      </c>
    </row>
    <row r="251" customFormat="false" ht="15" hidden="false" customHeight="false" outlineLevel="0" collapsed="false">
      <c r="B251" s="24" t="s">
        <v>350</v>
      </c>
      <c r="C251" s="25" t="s">
        <v>240</v>
      </c>
      <c r="E251" s="44" t="n">
        <f aca="false">SUM(F251:S251)</f>
        <v>40.0245926836766</v>
      </c>
      <c r="F251" s="72" t="n">
        <f aca="false">'P15 TBM Output'!F34</f>
        <v>0</v>
      </c>
      <c r="G251" s="72" t="n">
        <f aca="false">'P15 TBM Output'!G34</f>
        <v>0</v>
      </c>
      <c r="H251" s="72" t="n">
        <f aca="false">'P15 TBM Output'!H34</f>
        <v>28.0172148785736</v>
      </c>
      <c r="I251" s="72" t="n">
        <f aca="false">'P15 TBM Output'!I34</f>
        <v>12.007377805103</v>
      </c>
      <c r="J251" s="72" t="n">
        <f aca="false">'P15 TBM Output'!J34</f>
        <v>0</v>
      </c>
      <c r="K251" s="72" t="n">
        <f aca="false">'P15 TBM Output'!K34</f>
        <v>0</v>
      </c>
      <c r="L251" s="72" t="n">
        <f aca="false">'P15 TBM Output'!L34</f>
        <v>0</v>
      </c>
      <c r="M251" s="72" t="n">
        <f aca="false">'P15 TBM Output'!M34</f>
        <v>0</v>
      </c>
      <c r="N251" s="72" t="n">
        <f aca="false">'P15 TBM Output'!N34</f>
        <v>0</v>
      </c>
      <c r="O251" s="72" t="n">
        <f aca="false">'P15 TBM Output'!O34</f>
        <v>0</v>
      </c>
      <c r="P251" s="72" t="n">
        <f aca="false">'P15 TBM Output'!P34</f>
        <v>0</v>
      </c>
      <c r="Q251" s="72" t="n">
        <f aca="false">'P15 TBM Output'!Q34</f>
        <v>0</v>
      </c>
      <c r="R251" s="72" t="n">
        <f aca="false">'P15 TBM Output'!R34</f>
        <v>0</v>
      </c>
      <c r="S251" s="72" t="n">
        <f aca="false">'P15 TBM Output'!S34</f>
        <v>0</v>
      </c>
    </row>
    <row r="252" customFormat="false" ht="15" hidden="false" customHeight="false" outlineLevel="0" collapsed="false">
      <c r="B252" s="24" t="s">
        <v>351</v>
      </c>
      <c r="C252" s="25" t="s">
        <v>170</v>
      </c>
      <c r="E252" s="47" t="n">
        <f aca="false">SUM(F252:S252)</f>
        <v>651</v>
      </c>
      <c r="F252" s="58" t="n">
        <f aca="false">'P15 TBM Output'!F35</f>
        <v>0</v>
      </c>
      <c r="G252" s="58" t="n">
        <f aca="false">'P15 TBM Output'!G35</f>
        <v>0</v>
      </c>
      <c r="H252" s="58" t="n">
        <f aca="false">'P15 TBM Output'!H35</f>
        <v>455.7</v>
      </c>
      <c r="I252" s="58" t="n">
        <f aca="false">'P15 TBM Output'!I35</f>
        <v>195.3</v>
      </c>
      <c r="J252" s="58" t="n">
        <f aca="false">'P15 TBM Output'!J35</f>
        <v>0</v>
      </c>
      <c r="K252" s="58" t="n">
        <f aca="false">'P15 TBM Output'!K35</f>
        <v>0</v>
      </c>
      <c r="L252" s="58" t="n">
        <f aca="false">'P15 TBM Output'!L35</f>
        <v>0</v>
      </c>
      <c r="M252" s="58" t="n">
        <f aca="false">'P15 TBM Output'!M35</f>
        <v>0</v>
      </c>
      <c r="N252" s="58" t="n">
        <f aca="false">'P15 TBM Output'!N35</f>
        <v>0</v>
      </c>
      <c r="O252" s="58" t="n">
        <f aca="false">'P15 TBM Output'!O35</f>
        <v>0</v>
      </c>
      <c r="P252" s="58" t="n">
        <f aca="false">'P15 TBM Output'!P35</f>
        <v>0</v>
      </c>
      <c r="Q252" s="58" t="n">
        <f aca="false">'P15 TBM Output'!Q35</f>
        <v>0</v>
      </c>
      <c r="R252" s="58" t="n">
        <f aca="false">'P15 TBM Output'!R35</f>
        <v>0</v>
      </c>
      <c r="S252" s="58" t="n">
        <f aca="false">'P15 TBM Output'!S35</f>
        <v>0</v>
      </c>
    </row>
    <row r="253" customFormat="false" ht="15" hidden="false" customHeight="false" outlineLevel="0" collapsed="false">
      <c r="B253" s="24" t="s">
        <v>352</v>
      </c>
      <c r="C253" s="25" t="s">
        <v>170</v>
      </c>
      <c r="E253" s="47" t="n">
        <f aca="false">SUM(F253:S253)</f>
        <v>-44.3605739929324</v>
      </c>
      <c r="F253" s="58" t="n">
        <f aca="false">'P15 TBM Output'!F27</f>
        <v>-0</v>
      </c>
      <c r="G253" s="58" t="n">
        <f aca="false">'P15 TBM Output'!G27</f>
        <v>-0</v>
      </c>
      <c r="H253" s="58" t="n">
        <f aca="false">'P15 TBM Output'!H27</f>
        <v>-0</v>
      </c>
      <c r="I253" s="58" t="n">
        <f aca="false">'P15 TBM Output'!I27</f>
        <v>-0</v>
      </c>
      <c r="J253" s="58" t="n">
        <f aca="false">'P15 TBM Output'!J27</f>
        <v>-0</v>
      </c>
      <c r="K253" s="58" t="n">
        <f aca="false">'P15 TBM Output'!K27</f>
        <v>-0</v>
      </c>
      <c r="L253" s="58" t="n">
        <f aca="false">'P15 TBM Output'!L27</f>
        <v>-18.2321168190695</v>
      </c>
      <c r="M253" s="58" t="n">
        <f aca="false">'P15 TBM Output'!M27</f>
        <v>-19.0785303261226</v>
      </c>
      <c r="N253" s="58" t="n">
        <f aca="false">'P15 TBM Output'!N27</f>
        <v>-1.10634056555038</v>
      </c>
      <c r="O253" s="58" t="n">
        <f aca="false">'P15 TBM Output'!O27</f>
        <v>-1.0541357191232</v>
      </c>
      <c r="P253" s="58" t="n">
        <f aca="false">'P15 TBM Output'!P27</f>
        <v>-1.28135698443231</v>
      </c>
      <c r="Q253" s="58" t="n">
        <f aca="false">'P15 TBM Output'!Q27</f>
        <v>-1.20755635926999</v>
      </c>
      <c r="R253" s="58" t="n">
        <f aca="false">'P15 TBM Output'!R27</f>
        <v>-1.24287473480238</v>
      </c>
      <c r="S253" s="58" t="n">
        <f aca="false">'P15 TBM Output'!S27</f>
        <v>-1.15766248456204</v>
      </c>
    </row>
    <row r="254" customFormat="false" ht="15" hidden="false" customHeight="false" outlineLevel="0" collapsed="false">
      <c r="B254" s="69" t="s">
        <v>353</v>
      </c>
      <c r="C254" s="25" t="s">
        <v>170</v>
      </c>
      <c r="E254" s="70" t="n">
        <f aca="false">SUM(F254:S254)</f>
        <v>631.229271624007</v>
      </c>
      <c r="F254" s="71" t="n">
        <f aca="false">'P15 TBM Output'!F28</f>
        <v>0</v>
      </c>
      <c r="G254" s="71" t="n">
        <f aca="false">'P15 TBM Output'!G28</f>
        <v>0</v>
      </c>
      <c r="H254" s="71" t="n">
        <f aca="false">'P15 TBM Output'!H28</f>
        <v>-455.7</v>
      </c>
      <c r="I254" s="71" t="n">
        <f aca="false">'P15 TBM Output'!I28</f>
        <v>-195.3</v>
      </c>
      <c r="J254" s="71" t="n">
        <f aca="false">'P15 TBM Output'!J28</f>
        <v>0</v>
      </c>
      <c r="K254" s="71" t="n">
        <f aca="false">'P15 TBM Output'!K28</f>
        <v>0</v>
      </c>
      <c r="L254" s="71" t="n">
        <f aca="false">'P15 TBM Output'!L28</f>
        <v>66.0258919778245</v>
      </c>
      <c r="M254" s="71" t="n">
        <f aca="false">'P15 TBM Output'!M28</f>
        <v>144.46450300175</v>
      </c>
      <c r="N254" s="71" t="n">
        <f aca="false">'P15 TBM Output'!N28</f>
        <v>166.972759986996</v>
      </c>
      <c r="O254" s="71" t="n">
        <f aca="false">'P15 TBM Output'!O28</f>
        <v>171.912964132406</v>
      </c>
      <c r="P254" s="71" t="n">
        <f aca="false">'P15 TBM Output'!P28</f>
        <v>176.493313618971</v>
      </c>
      <c r="Q254" s="71" t="n">
        <f aca="false">'P15 TBM Output'!Q28</f>
        <v>181.510778537757</v>
      </c>
      <c r="R254" s="71" t="n">
        <f aca="false">'P15 TBM Output'!R28</f>
        <v>184.768564472975</v>
      </c>
      <c r="S254" s="71" t="n">
        <f aca="false">'P15 TBM Output'!S28</f>
        <v>190.080495895326</v>
      </c>
    </row>
    <row r="255" customFormat="false" ht="15" hidden="false" customHeight="false" outlineLevel="0" collapsed="false">
      <c r="B255" s="24" t="s">
        <v>354</v>
      </c>
      <c r="C255" s="25" t="s">
        <v>170</v>
      </c>
      <c r="F255" s="58" t="n">
        <f aca="false">'P15 TBM Output'!F29</f>
        <v>0</v>
      </c>
      <c r="G255" s="58" t="n">
        <f aca="false">'P15 TBM Output'!G29</f>
        <v>0</v>
      </c>
      <c r="H255" s="58" t="n">
        <f aca="false">'P15 TBM Output'!H29</f>
        <v>-455.7</v>
      </c>
      <c r="I255" s="58" t="n">
        <f aca="false">'P15 TBM Output'!I29</f>
        <v>-651</v>
      </c>
      <c r="J255" s="58" t="n">
        <f aca="false">'P15 TBM Output'!J29</f>
        <v>-651</v>
      </c>
      <c r="K255" s="58" t="n">
        <f aca="false">'P15 TBM Output'!K29</f>
        <v>-651</v>
      </c>
      <c r="L255" s="58" t="n">
        <f aca="false">'P15 TBM Output'!L29</f>
        <v>-584.974108022176</v>
      </c>
      <c r="M255" s="58" t="n">
        <f aca="false">'P15 TBM Output'!M29</f>
        <v>-440.509605020425</v>
      </c>
      <c r="N255" s="58" t="n">
        <f aca="false">'P15 TBM Output'!N29</f>
        <v>-273.53684503343</v>
      </c>
      <c r="O255" s="58" t="n">
        <f aca="false">'P15 TBM Output'!O29</f>
        <v>-101.623880901023</v>
      </c>
      <c r="P255" s="58" t="n">
        <f aca="false">'P15 TBM Output'!P29</f>
        <v>74.8694327179482</v>
      </c>
      <c r="Q255" s="58" t="n">
        <f aca="false">'P15 TBM Output'!Q29</f>
        <v>256.380211255705</v>
      </c>
      <c r="R255" s="58" t="n">
        <f aca="false">'P15 TBM Output'!R29</f>
        <v>441.148775728681</v>
      </c>
      <c r="S255" s="58" t="n">
        <f aca="false">'P15 TBM Output'!S29</f>
        <v>631.229271624007</v>
      </c>
    </row>
    <row r="256" customFormat="false" ht="15" hidden="false" customHeight="false" outlineLevel="0" collapsed="false">
      <c r="B256" s="24" t="s">
        <v>355</v>
      </c>
      <c r="C256" s="25" t="s">
        <v>170</v>
      </c>
      <c r="F256" s="58" t="n">
        <f aca="false">'P15 TBM Output'!F39</f>
        <v>0</v>
      </c>
      <c r="G256" s="58" t="n">
        <f aca="false">'P15 TBM Output'!G39</f>
        <v>0</v>
      </c>
      <c r="H256" s="58" t="n">
        <f aca="false">'P15 TBM Output'!H39</f>
        <v>455.7</v>
      </c>
      <c r="I256" s="58" t="n">
        <f aca="false">'P15 TBM Output'!I39</f>
        <v>651</v>
      </c>
      <c r="J256" s="58" t="n">
        <f aca="false">'P15 TBM Output'!J39</f>
        <v>613.5675</v>
      </c>
      <c r="K256" s="58" t="n">
        <f aca="false">'P15 TBM Output'!K39</f>
        <v>576.135</v>
      </c>
      <c r="L256" s="58" t="n">
        <f aca="false">'P15 TBM Output'!L39</f>
        <v>556.93461681907</v>
      </c>
      <c r="M256" s="58" t="n">
        <f aca="false">'P15 TBM Output'!M39</f>
        <v>538.580647145192</v>
      </c>
      <c r="N256" s="58" t="n">
        <f aca="false">'P15 TBM Output'!N39</f>
        <v>502.254487710742</v>
      </c>
      <c r="O256" s="58" t="n">
        <f aca="false">'P15 TBM Output'!O39</f>
        <v>465.876123429866</v>
      </c>
      <c r="P256" s="58" t="n">
        <f aca="false">'P15 TBM Output'!P39</f>
        <v>429.724980414298</v>
      </c>
      <c r="Q256" s="58" t="n">
        <f aca="false">'P15 TBM Output'!Q39</f>
        <v>393.500036773568</v>
      </c>
      <c r="R256" s="58" t="n">
        <f aca="false">'P15 TBM Output'!R39</f>
        <v>365.44791150837</v>
      </c>
      <c r="S256" s="58" t="n">
        <f aca="false">'P15 TBM Output'!S39</f>
        <v>337.310573992932</v>
      </c>
    </row>
    <row r="257" customFormat="false" ht="15" hidden="false" customHeight="false" outlineLevel="0" collapsed="false">
      <c r="B257" s="24" t="s">
        <v>356</v>
      </c>
      <c r="C257" s="25" t="s">
        <v>170</v>
      </c>
      <c r="E257" s="47" t="n">
        <f aca="false">SUM(F257:S257)</f>
        <v>651</v>
      </c>
      <c r="F257" s="58" t="n">
        <f aca="false">'P15 TBM Output'!F31</f>
        <v>-0</v>
      </c>
      <c r="G257" s="58" t="n">
        <f aca="false">'P15 TBM Output'!G31</f>
        <v>-0</v>
      </c>
      <c r="H257" s="58" t="n">
        <f aca="false">'P15 TBM Output'!H31</f>
        <v>455.7</v>
      </c>
      <c r="I257" s="58" t="n">
        <f aca="false">'P15 TBM Output'!I31</f>
        <v>195.3</v>
      </c>
      <c r="J257" s="58" t="n">
        <f aca="false">'P15 TBM Output'!J31</f>
        <v>-0</v>
      </c>
      <c r="K257" s="58" t="n">
        <f aca="false">'P15 TBM Output'!K31</f>
        <v>-0</v>
      </c>
      <c r="L257" s="58" t="n">
        <f aca="false">'P15 TBM Output'!L31</f>
        <v>0</v>
      </c>
      <c r="M257" s="58" t="n">
        <f aca="false">'P15 TBM Output'!M31</f>
        <v>0</v>
      </c>
      <c r="N257" s="58" t="n">
        <f aca="false">'P15 TBM Output'!N31</f>
        <v>0</v>
      </c>
      <c r="O257" s="58" t="n">
        <f aca="false">'P15 TBM Output'!O31</f>
        <v>0</v>
      </c>
      <c r="P257" s="58" t="n">
        <f aca="false">'P15 TBM Output'!P31</f>
        <v>0</v>
      </c>
      <c r="Q257" s="58" t="n">
        <f aca="false">'P15 TBM Output'!Q31</f>
        <v>0</v>
      </c>
      <c r="R257" s="58" t="n">
        <f aca="false">'P15 TBM Output'!R31</f>
        <v>0</v>
      </c>
      <c r="S257" s="58" t="n">
        <f aca="false">'P15 TBM Output'!S31</f>
        <v>0</v>
      </c>
    </row>
    <row r="258" customFormat="false" ht="15" hidden="false" customHeight="false" outlineLevel="0" collapsed="false">
      <c r="B258" s="24" t="s">
        <v>357</v>
      </c>
      <c r="C258" s="25" t="s">
        <v>170</v>
      </c>
      <c r="E258" s="47" t="n">
        <f aca="false">SUM(F258:S258)</f>
        <v>1325.73155834362</v>
      </c>
      <c r="F258" s="58" t="n">
        <f aca="false">'P15 TBM Output'!F46</f>
        <v>0</v>
      </c>
      <c r="G258" s="58" t="n">
        <f aca="false">'P15 TBM Output'!G46</f>
        <v>0</v>
      </c>
      <c r="H258" s="58" t="n">
        <f aca="false">'P15 TBM Output'!H46</f>
        <v>-0</v>
      </c>
      <c r="I258" s="58" t="n">
        <f aca="false">'P15 TBM Output'!I46</f>
        <v>-0</v>
      </c>
      <c r="J258" s="58" t="n">
        <f aca="false">'P15 TBM Output'!J46</f>
        <v>0</v>
      </c>
      <c r="K258" s="58" t="n">
        <f aca="false">'P15 TBM Output'!K46</f>
        <v>0</v>
      </c>
      <c r="L258" s="58" t="n">
        <f aca="false">'P15 TBM Output'!L46</f>
        <v>47.1643643934448</v>
      </c>
      <c r="M258" s="58" t="n">
        <f aca="false">'P15 TBM Output'!M46</f>
        <v>92.248807320061</v>
      </c>
      <c r="N258" s="58" t="n">
        <f aca="false">'P15 TBM Output'!N46</f>
        <v>95.3114641276834</v>
      </c>
      <c r="O258" s="58" t="n">
        <f aca="false">'P15 TBM Output'!O46</f>
        <v>87.7219034288424</v>
      </c>
      <c r="P258" s="58" t="n">
        <f aca="false">'P15 TBM Output'!P46</f>
        <v>80.5058756429381</v>
      </c>
      <c r="Q258" s="58" t="n">
        <f aca="false">'P15 TBM Output'!Q46</f>
        <v>74.0119153972731</v>
      </c>
      <c r="R258" s="58" t="n">
        <f aca="false">'P15 TBM Output'!R46</f>
        <v>67.3483890192433</v>
      </c>
      <c r="S258" s="58" t="n">
        <f aca="false">'P15 TBM Output'!S46</f>
        <v>781.418839014133</v>
      </c>
    </row>
    <row r="259" customFormat="false" ht="15" hidden="false" customHeight="false" outlineLevel="0" collapsed="false">
      <c r="B259" s="3" t="s">
        <v>358</v>
      </c>
      <c r="C259" s="73" t="s">
        <v>359</v>
      </c>
      <c r="D259" s="74" t="n">
        <f aca="false">'P15 TBM Output'!$E$47</f>
        <v>1325.73155834362</v>
      </c>
      <c r="E259" s="73" t="s">
        <v>360</v>
      </c>
      <c r="F259" s="75" t="n">
        <f aca="false">IF(ISNUMBER('P15 TBM Output'!$E$49),'P15 TBM Output'!$E$49,"n/a")</f>
        <v>0.0954224247774238</v>
      </c>
      <c r="G259" s="73" t="s">
        <v>361</v>
      </c>
      <c r="H259" s="75" t="n">
        <f aca="false">IF(ISNUMBER('P15 TBM Output'!$E$50),'P15 TBM Output'!$E$50,"n/a")</f>
        <v>0.200929174795725</v>
      </c>
      <c r="I259" s="73" t="s">
        <v>362</v>
      </c>
      <c r="J259" s="76" t="n">
        <f aca="false">IF(ISNUMBER('P15 TBM Output'!$E$52),'P15 TBM Output'!$E$52,"n/a")</f>
        <v>2033</v>
      </c>
      <c r="K259" s="73" t="s">
        <v>363</v>
      </c>
      <c r="L259" s="74" t="n">
        <f aca="false">'P15 TBM Output'!$E$54</f>
        <v>40.0245926836766</v>
      </c>
      <c r="M259" s="73" t="s">
        <v>364</v>
      </c>
      <c r="N259" s="74" t="n">
        <f aca="false">'P15 TBM Output'!$E$55</f>
        <v>0</v>
      </c>
    </row>
    <row r="261" customFormat="false" ht="15" hidden="false" customHeight="false" outlineLevel="0" collapsed="false">
      <c r="B261" s="22" t="s">
        <v>377</v>
      </c>
      <c r="C261" s="23"/>
      <c r="D261" s="23"/>
      <c r="E261" s="23"/>
      <c r="F261" s="23"/>
      <c r="G261" s="23"/>
      <c r="H261" s="23"/>
      <c r="I261" s="23"/>
      <c r="J261" s="23"/>
      <c r="K261" s="23"/>
      <c r="L261" s="23"/>
      <c r="M261" s="23"/>
      <c r="N261" s="23"/>
      <c r="O261" s="23"/>
      <c r="P261" s="23"/>
      <c r="Q261" s="23"/>
      <c r="R261" s="23"/>
      <c r="S261" s="23"/>
    </row>
    <row r="262" customFormat="false" ht="15" hidden="false" customHeight="false" outlineLevel="0" collapsed="false">
      <c r="B262" s="5" t="s">
        <v>70</v>
      </c>
      <c r="C262" s="17" t="s">
        <v>27</v>
      </c>
      <c r="D262" s="17" t="s">
        <v>28</v>
      </c>
      <c r="E262" s="17" t="s">
        <v>29</v>
      </c>
      <c r="G262" s="5" t="str">
        <f aca="false">"In valuation: "&amp;'Global Inputs'!$E$102&amp;"  |  case: "&amp;'Global Inputs'!$F$102&amp;"  |  FSL interest: "&amp;TEXT('Global Inputs'!$G$102,"0%")</f>
        <v>In valuation: 0  |  case: 1  |  FSL interest: 100%</v>
      </c>
    </row>
    <row r="263" customFormat="false" ht="15" hidden="false" customHeight="false" outlineLevel="0" collapsed="false">
      <c r="B263" s="24" t="s">
        <v>345</v>
      </c>
      <c r="C263" s="25" t="s">
        <v>170</v>
      </c>
      <c r="E263" s="47" t="n">
        <f aca="false">SUM(F263:S263)</f>
        <v>377.41356154</v>
      </c>
      <c r="F263" s="58" t="n">
        <f aca="false">'P19 Badas Output'!F11</f>
        <v>0</v>
      </c>
      <c r="G263" s="58" t="n">
        <f aca="false">'P19 Badas Output'!G11</f>
        <v>0</v>
      </c>
      <c r="H263" s="58" t="n">
        <f aca="false">'P19 Badas Output'!H11</f>
        <v>0</v>
      </c>
      <c r="I263" s="58" t="n">
        <f aca="false">'P19 Badas Output'!I11</f>
        <v>0</v>
      </c>
      <c r="J263" s="58" t="n">
        <f aca="false">'P19 Badas Output'!J11</f>
        <v>0</v>
      </c>
      <c r="K263" s="58" t="n">
        <f aca="false">'P19 Badas Output'!K11</f>
        <v>0</v>
      </c>
      <c r="L263" s="58" t="n">
        <f aca="false">'P19 Badas Output'!L11</f>
        <v>31.185</v>
      </c>
      <c r="M263" s="58" t="n">
        <f aca="false">'P19 Badas Output'!M11</f>
        <v>37.96065</v>
      </c>
      <c r="N263" s="58" t="n">
        <f aca="false">'P19 Badas Output'!N11</f>
        <v>45.1147725</v>
      </c>
      <c r="O263" s="58" t="n">
        <f aca="false">'P19 Badas Output'!O11</f>
        <v>49.56609672</v>
      </c>
      <c r="P263" s="58" t="n">
        <f aca="false">'P19 Badas Output'!P11</f>
        <v>51.053079652</v>
      </c>
      <c r="Q263" s="58" t="n">
        <f aca="false">'P19 Badas Output'!Q11</f>
        <v>52.584671988</v>
      </c>
      <c r="R263" s="58" t="n">
        <f aca="false">'P19 Badas Output'!R11</f>
        <v>54.162212168</v>
      </c>
      <c r="S263" s="58" t="n">
        <f aca="false">'P19 Badas Output'!S11</f>
        <v>55.787078512</v>
      </c>
    </row>
    <row r="264" customFormat="false" ht="15" hidden="false" customHeight="false" outlineLevel="0" collapsed="false">
      <c r="B264" s="24" t="s">
        <v>346</v>
      </c>
      <c r="C264" s="25" t="s">
        <v>170</v>
      </c>
      <c r="E264" s="47" t="n">
        <f aca="false">SUM(F264:S264)</f>
        <v>194.914678843</v>
      </c>
      <c r="F264" s="58" t="n">
        <f aca="false">'P19 Badas Output'!F15</f>
        <v>0</v>
      </c>
      <c r="G264" s="58" t="n">
        <f aca="false">'P19 Badas Output'!G15</f>
        <v>0</v>
      </c>
      <c r="H264" s="58" t="n">
        <f aca="false">'P19 Badas Output'!H15</f>
        <v>0</v>
      </c>
      <c r="I264" s="58" t="n">
        <f aca="false">'P19 Badas Output'!I15</f>
        <v>0</v>
      </c>
      <c r="J264" s="58" t="n">
        <f aca="false">'P19 Badas Output'!J15</f>
        <v>0</v>
      </c>
      <c r="K264" s="58" t="n">
        <f aca="false">'P19 Badas Output'!K15</f>
        <v>-1.5</v>
      </c>
      <c r="L264" s="58" t="n">
        <f aca="false">'P19 Badas Output'!L15</f>
        <v>13.19775</v>
      </c>
      <c r="M264" s="58" t="n">
        <f aca="false">'P19 Badas Output'!M15</f>
        <v>18.2438675</v>
      </c>
      <c r="N264" s="58" t="n">
        <f aca="false">'P19 Badas Output'!N15</f>
        <v>23.575596375</v>
      </c>
      <c r="O264" s="58" t="n">
        <f aca="false">'P19 Badas Output'!O15</f>
        <v>26.726696284</v>
      </c>
      <c r="P264" s="58" t="n">
        <f aca="false">'P19 Badas Output'!P15</f>
        <v>27.4871297494</v>
      </c>
      <c r="Q264" s="58" t="n">
        <f aca="false">'P19 Badas Output'!Q15</f>
        <v>28.2634867086</v>
      </c>
      <c r="R264" s="58" t="n">
        <f aca="false">'P19 Badas Output'!R15</f>
        <v>29.0558739596</v>
      </c>
      <c r="S264" s="58" t="n">
        <f aca="false">'P19 Badas Output'!S15</f>
        <v>29.8642782664</v>
      </c>
    </row>
    <row r="265" customFormat="false" ht="15" hidden="false" customHeight="false" outlineLevel="0" collapsed="false">
      <c r="B265" s="69" t="s">
        <v>347</v>
      </c>
      <c r="C265" s="25" t="s">
        <v>170</v>
      </c>
      <c r="E265" s="70" t="n">
        <f aca="false">SUM(F265:S265)</f>
        <v>103.830678843</v>
      </c>
      <c r="F265" s="71" t="n">
        <f aca="false">'P19 Badas Output'!F17</f>
        <v>0</v>
      </c>
      <c r="G265" s="71" t="n">
        <f aca="false">'P19 Badas Output'!G17</f>
        <v>0</v>
      </c>
      <c r="H265" s="71" t="n">
        <f aca="false">'P19 Badas Output'!H17</f>
        <v>0</v>
      </c>
      <c r="I265" s="71" t="n">
        <f aca="false">'P19 Badas Output'!I17</f>
        <v>0</v>
      </c>
      <c r="J265" s="71" t="n">
        <f aca="false">'P19 Badas Output'!J17</f>
        <v>0</v>
      </c>
      <c r="K265" s="71" t="n">
        <f aca="false">'P19 Badas Output'!K17</f>
        <v>-1.5</v>
      </c>
      <c r="L265" s="71" t="n">
        <f aca="false">'P19 Badas Output'!L17</f>
        <v>1.81225</v>
      </c>
      <c r="M265" s="71" t="n">
        <f aca="false">'P19 Badas Output'!M17</f>
        <v>6.8583675</v>
      </c>
      <c r="N265" s="71" t="n">
        <f aca="false">'P19 Badas Output'!N17</f>
        <v>12.190096375</v>
      </c>
      <c r="O265" s="71" t="n">
        <f aca="false">'P19 Badas Output'!O17</f>
        <v>15.341196284</v>
      </c>
      <c r="P265" s="71" t="n">
        <f aca="false">'P19 Badas Output'!P17</f>
        <v>16.1016297494</v>
      </c>
      <c r="Q265" s="71" t="n">
        <f aca="false">'P19 Badas Output'!Q17</f>
        <v>16.8779867086</v>
      </c>
      <c r="R265" s="71" t="n">
        <f aca="false">'P19 Badas Output'!R17</f>
        <v>17.6703739596</v>
      </c>
      <c r="S265" s="71" t="n">
        <f aca="false">'P19 Badas Output'!S17</f>
        <v>18.4787782664</v>
      </c>
    </row>
    <row r="266" customFormat="false" ht="15" hidden="false" customHeight="false" outlineLevel="0" collapsed="false">
      <c r="B266" s="24" t="s">
        <v>348</v>
      </c>
      <c r="C266" s="25" t="s">
        <v>170</v>
      </c>
      <c r="E266" s="47" t="n">
        <f aca="false">SUM(F266:S266)</f>
        <v>80.65792949754</v>
      </c>
      <c r="F266" s="58" t="n">
        <f aca="false">'P19 Badas Output'!F19</f>
        <v>0</v>
      </c>
      <c r="G266" s="58" t="n">
        <f aca="false">'P19 Badas Output'!G19</f>
        <v>0</v>
      </c>
      <c r="H266" s="58" t="n">
        <f aca="false">'P19 Badas Output'!H19</f>
        <v>0</v>
      </c>
      <c r="I266" s="58" t="n">
        <f aca="false">'P19 Badas Output'!I19</f>
        <v>0</v>
      </c>
      <c r="J266" s="58" t="n">
        <f aca="false">'P19 Badas Output'!J19</f>
        <v>0</v>
      </c>
      <c r="K266" s="58" t="n">
        <f aca="false">'P19 Badas Output'!K19</f>
        <v>-1.5</v>
      </c>
      <c r="L266" s="58" t="n">
        <f aca="false">'P19 Badas Output'!L19</f>
        <v>1.413555</v>
      </c>
      <c r="M266" s="58" t="n">
        <f aca="false">'P19 Badas Output'!M19</f>
        <v>5.34952665</v>
      </c>
      <c r="N266" s="58" t="n">
        <f aca="false">'P19 Badas Output'!N19</f>
        <v>9.50827517249999</v>
      </c>
      <c r="O266" s="58" t="n">
        <f aca="false">'P19 Badas Output'!O19</f>
        <v>11.96613310152</v>
      </c>
      <c r="P266" s="58" t="n">
        <f aca="false">'P19 Badas Output'!P19</f>
        <v>12.559271204532</v>
      </c>
      <c r="Q266" s="58" t="n">
        <f aca="false">'P19 Badas Output'!Q19</f>
        <v>13.164829632708</v>
      </c>
      <c r="R266" s="58" t="n">
        <f aca="false">'P19 Badas Output'!R19</f>
        <v>13.782891688488</v>
      </c>
      <c r="S266" s="58" t="n">
        <f aca="false">'P19 Badas Output'!S19</f>
        <v>14.413447047792</v>
      </c>
    </row>
    <row r="267" customFormat="false" ht="15" hidden="false" customHeight="false" outlineLevel="0" collapsed="false">
      <c r="B267" s="24" t="s">
        <v>349</v>
      </c>
      <c r="C267" s="25" t="s">
        <v>170</v>
      </c>
      <c r="E267" s="47" t="n">
        <f aca="false">SUM(F267:S267)</f>
        <v>-91.084</v>
      </c>
      <c r="F267" s="58" t="n">
        <f aca="false">'P19 Badas Output'!F16</f>
        <v>-0</v>
      </c>
      <c r="G267" s="58" t="n">
        <f aca="false">'P19 Badas Output'!G16</f>
        <v>-0</v>
      </c>
      <c r="H267" s="58" t="n">
        <f aca="false">'P19 Badas Output'!H16</f>
        <v>-0</v>
      </c>
      <c r="I267" s="58" t="n">
        <f aca="false">'P19 Badas Output'!I16</f>
        <v>-0</v>
      </c>
      <c r="J267" s="58" t="n">
        <f aca="false">'P19 Badas Output'!J16</f>
        <v>-0</v>
      </c>
      <c r="K267" s="58" t="n">
        <f aca="false">'P19 Badas Output'!K16</f>
        <v>-0</v>
      </c>
      <c r="L267" s="58" t="n">
        <f aca="false">'P19 Badas Output'!L16</f>
        <v>-11.3855</v>
      </c>
      <c r="M267" s="58" t="n">
        <f aca="false">'P19 Badas Output'!M16</f>
        <v>-11.3855</v>
      </c>
      <c r="N267" s="58" t="n">
        <f aca="false">'P19 Badas Output'!N16</f>
        <v>-11.3855</v>
      </c>
      <c r="O267" s="58" t="n">
        <f aca="false">'P19 Badas Output'!O16</f>
        <v>-11.3855</v>
      </c>
      <c r="P267" s="58" t="n">
        <f aca="false">'P19 Badas Output'!P16</f>
        <v>-11.3855</v>
      </c>
      <c r="Q267" s="58" t="n">
        <f aca="false">'P19 Badas Output'!Q16</f>
        <v>-11.3855</v>
      </c>
      <c r="R267" s="58" t="n">
        <f aca="false">'P19 Badas Output'!R16</f>
        <v>-11.3855</v>
      </c>
      <c r="S267" s="58" t="n">
        <f aca="false">'P19 Badas Output'!S16</f>
        <v>-11.3855</v>
      </c>
    </row>
    <row r="268" customFormat="false" ht="15" hidden="false" customHeight="false" outlineLevel="0" collapsed="false">
      <c r="B268" s="24" t="s">
        <v>350</v>
      </c>
      <c r="C268" s="25" t="s">
        <v>240</v>
      </c>
      <c r="E268" s="44" t="n">
        <f aca="false">SUM(F268:S268)</f>
        <v>10</v>
      </c>
      <c r="F268" s="72" t="n">
        <f aca="false">'P19 Badas Output'!F34</f>
        <v>0</v>
      </c>
      <c r="G268" s="72" t="n">
        <f aca="false">'P19 Badas Output'!G34</f>
        <v>0</v>
      </c>
      <c r="H268" s="72" t="n">
        <f aca="false">'P19 Badas Output'!H34</f>
        <v>0</v>
      </c>
      <c r="I268" s="72" t="n">
        <f aca="false">'P19 Badas Output'!I34</f>
        <v>0</v>
      </c>
      <c r="J268" s="72" t="n">
        <f aca="false">'P19 Badas Output'!J34</f>
        <v>6</v>
      </c>
      <c r="K268" s="72" t="n">
        <f aca="false">'P19 Badas Output'!K34</f>
        <v>4</v>
      </c>
      <c r="L268" s="72" t="n">
        <f aca="false">'P19 Badas Output'!L34</f>
        <v>0</v>
      </c>
      <c r="M268" s="72" t="n">
        <f aca="false">'P19 Badas Output'!M34</f>
        <v>0</v>
      </c>
      <c r="N268" s="72" t="n">
        <f aca="false">'P19 Badas Output'!N34</f>
        <v>0</v>
      </c>
      <c r="O268" s="72" t="n">
        <f aca="false">'P19 Badas Output'!O34</f>
        <v>0</v>
      </c>
      <c r="P268" s="72" t="n">
        <f aca="false">'P19 Badas Output'!P34</f>
        <v>0</v>
      </c>
      <c r="Q268" s="72" t="n">
        <f aca="false">'P19 Badas Output'!Q34</f>
        <v>0</v>
      </c>
      <c r="R268" s="72" t="n">
        <f aca="false">'P19 Badas Output'!R34</f>
        <v>0</v>
      </c>
      <c r="S268" s="72" t="n">
        <f aca="false">'P19 Badas Output'!S34</f>
        <v>0</v>
      </c>
    </row>
    <row r="269" customFormat="false" ht="15" hidden="false" customHeight="false" outlineLevel="0" collapsed="false">
      <c r="B269" s="24" t="s">
        <v>351</v>
      </c>
      <c r="C269" s="25" t="s">
        <v>170</v>
      </c>
      <c r="E269" s="47" t="n">
        <f aca="false">SUM(F269:S269)</f>
        <v>162.65</v>
      </c>
      <c r="F269" s="58" t="n">
        <f aca="false">'P19 Badas Output'!F35</f>
        <v>0</v>
      </c>
      <c r="G269" s="58" t="n">
        <f aca="false">'P19 Badas Output'!G35</f>
        <v>0</v>
      </c>
      <c r="H269" s="58" t="n">
        <f aca="false">'P19 Badas Output'!H35</f>
        <v>0</v>
      </c>
      <c r="I269" s="58" t="n">
        <f aca="false">'P19 Badas Output'!I35</f>
        <v>0</v>
      </c>
      <c r="J269" s="58" t="n">
        <f aca="false">'P19 Badas Output'!J35</f>
        <v>97.59</v>
      </c>
      <c r="K269" s="58" t="n">
        <f aca="false">'P19 Badas Output'!K35</f>
        <v>65.06</v>
      </c>
      <c r="L269" s="58" t="n">
        <f aca="false">'P19 Badas Output'!L35</f>
        <v>0</v>
      </c>
      <c r="M269" s="58" t="n">
        <f aca="false">'P19 Badas Output'!M35</f>
        <v>0</v>
      </c>
      <c r="N269" s="58" t="n">
        <f aca="false">'P19 Badas Output'!N35</f>
        <v>0</v>
      </c>
      <c r="O269" s="58" t="n">
        <f aca="false">'P19 Badas Output'!O35</f>
        <v>0</v>
      </c>
      <c r="P269" s="58" t="n">
        <f aca="false">'P19 Badas Output'!P35</f>
        <v>0</v>
      </c>
      <c r="Q269" s="58" t="n">
        <f aca="false">'P19 Badas Output'!Q35</f>
        <v>0</v>
      </c>
      <c r="R269" s="58" t="n">
        <f aca="false">'P19 Badas Output'!R35</f>
        <v>0</v>
      </c>
      <c r="S269" s="58" t="n">
        <f aca="false">'P19 Badas Output'!S35</f>
        <v>0</v>
      </c>
    </row>
    <row r="270" customFormat="false" ht="15" hidden="false" customHeight="false" outlineLevel="0" collapsed="false">
      <c r="B270" s="24" t="s">
        <v>352</v>
      </c>
      <c r="C270" s="25" t="s">
        <v>170</v>
      </c>
      <c r="E270" s="47" t="n">
        <f aca="false">SUM(F270:S270)</f>
        <v>-5.67828864937705</v>
      </c>
      <c r="F270" s="58" t="n">
        <f aca="false">'P19 Badas Output'!F27</f>
        <v>-0</v>
      </c>
      <c r="G270" s="58" t="n">
        <f aca="false">'P19 Badas Output'!G27</f>
        <v>-0</v>
      </c>
      <c r="H270" s="58" t="n">
        <f aca="false">'P19 Badas Output'!H27</f>
        <v>-0</v>
      </c>
      <c r="I270" s="58" t="n">
        <f aca="false">'P19 Badas Output'!I27</f>
        <v>-0</v>
      </c>
      <c r="J270" s="58" t="n">
        <f aca="false">'P19 Badas Output'!J27</f>
        <v>-0</v>
      </c>
      <c r="K270" s="58" t="n">
        <f aca="false">'P19 Badas Output'!K27</f>
        <v>-0</v>
      </c>
      <c r="L270" s="58" t="n">
        <f aca="false">'P19 Badas Output'!L27</f>
        <v>-3.06495205479452</v>
      </c>
      <c r="M270" s="58" t="n">
        <f aca="false">'P19 Badas Output'!M27</f>
        <v>-0.724022671232877</v>
      </c>
      <c r="N270" s="58" t="n">
        <f aca="false">'P19 Badas Output'!N27</f>
        <v>-0.764464941780821</v>
      </c>
      <c r="O270" s="58" t="n">
        <f aca="false">'P19 Badas Output'!O27</f>
        <v>-0.461912516126208</v>
      </c>
      <c r="P270" s="58" t="n">
        <f aca="false">'P19 Badas Output'!P27</f>
        <v>-0.172634575687491</v>
      </c>
      <c r="Q270" s="58" t="n">
        <f aca="false">'P19 Badas Output'!Q27</f>
        <v>-0.163660695386302</v>
      </c>
      <c r="R270" s="58" t="n">
        <f aca="false">'P19 Badas Output'!R27</f>
        <v>-0.168570521178082</v>
      </c>
      <c r="S270" s="58" t="n">
        <f aca="false">'P19 Badas Output'!S27</f>
        <v>-0.158070673190749</v>
      </c>
    </row>
    <row r="271" customFormat="false" ht="15" hidden="false" customHeight="false" outlineLevel="0" collapsed="false">
      <c r="B271" s="69" t="s">
        <v>353</v>
      </c>
      <c r="C271" s="25" t="s">
        <v>170</v>
      </c>
      <c r="E271" s="70" t="n">
        <f aca="false">SUM(F271:S271)</f>
        <v>3.41364084816294</v>
      </c>
      <c r="F271" s="71" t="n">
        <f aca="false">'P19 Badas Output'!F28</f>
        <v>0</v>
      </c>
      <c r="G271" s="71" t="n">
        <f aca="false">'P19 Badas Output'!G28</f>
        <v>0</v>
      </c>
      <c r="H271" s="71" t="n">
        <f aca="false">'P19 Badas Output'!H28</f>
        <v>0</v>
      </c>
      <c r="I271" s="71" t="n">
        <f aca="false">'P19 Badas Output'!I28</f>
        <v>0</v>
      </c>
      <c r="J271" s="71" t="n">
        <f aca="false">'P19 Badas Output'!J28</f>
        <v>-97.59</v>
      </c>
      <c r="K271" s="71" t="n">
        <f aca="false">'P19 Badas Output'!K28</f>
        <v>-66.56</v>
      </c>
      <c r="L271" s="71" t="n">
        <f aca="false">'P19 Badas Output'!L28</f>
        <v>9.73410294520548</v>
      </c>
      <c r="M271" s="71" t="n">
        <f aca="false">'P19 Badas Output'!M28</f>
        <v>16.0110039787671</v>
      </c>
      <c r="N271" s="71" t="n">
        <f aca="false">'P19 Badas Output'!N28</f>
        <v>20.1293102307192</v>
      </c>
      <c r="O271" s="71" t="n">
        <f aca="false">'P19 Badas Output'!O28</f>
        <v>22.8897205853938</v>
      </c>
      <c r="P271" s="71" t="n">
        <f aca="false">'P19 Badas Output'!P28</f>
        <v>23.7721366288445</v>
      </c>
      <c r="Q271" s="71" t="n">
        <f aca="false">'P19 Badas Output'!Q28</f>
        <v>24.3866689373217</v>
      </c>
      <c r="R271" s="71" t="n">
        <f aca="false">'P19 Badas Output'!R28</f>
        <v>24.9998211673099</v>
      </c>
      <c r="S271" s="71" t="n">
        <f aca="false">'P19 Badas Output'!S28</f>
        <v>25.6408763746013</v>
      </c>
    </row>
    <row r="272" customFormat="false" ht="15" hidden="false" customHeight="false" outlineLevel="0" collapsed="false">
      <c r="B272" s="24" t="s">
        <v>354</v>
      </c>
      <c r="C272" s="25" t="s">
        <v>170</v>
      </c>
      <c r="F272" s="58" t="n">
        <f aca="false">'P19 Badas Output'!F29</f>
        <v>0</v>
      </c>
      <c r="G272" s="58" t="n">
        <f aca="false">'P19 Badas Output'!G29</f>
        <v>0</v>
      </c>
      <c r="H272" s="58" t="n">
        <f aca="false">'P19 Badas Output'!H29</f>
        <v>0</v>
      </c>
      <c r="I272" s="58" t="n">
        <f aca="false">'P19 Badas Output'!I29</f>
        <v>0</v>
      </c>
      <c r="J272" s="58" t="n">
        <f aca="false">'P19 Badas Output'!J29</f>
        <v>-97.59</v>
      </c>
      <c r="K272" s="58" t="n">
        <f aca="false">'P19 Badas Output'!K29</f>
        <v>-164.15</v>
      </c>
      <c r="L272" s="58" t="n">
        <f aca="false">'P19 Badas Output'!L29</f>
        <v>-154.415897054795</v>
      </c>
      <c r="M272" s="58" t="n">
        <f aca="false">'P19 Badas Output'!M29</f>
        <v>-138.404893076027</v>
      </c>
      <c r="N272" s="58" t="n">
        <f aca="false">'P19 Badas Output'!N29</f>
        <v>-118.275582845308</v>
      </c>
      <c r="O272" s="58" t="n">
        <f aca="false">'P19 Badas Output'!O29</f>
        <v>-95.3858622599145</v>
      </c>
      <c r="P272" s="58" t="n">
        <f aca="false">'P19 Badas Output'!P29</f>
        <v>-71.6137256310699</v>
      </c>
      <c r="Q272" s="58" t="n">
        <f aca="false">'P19 Badas Output'!Q29</f>
        <v>-47.2270566937482</v>
      </c>
      <c r="R272" s="58" t="n">
        <f aca="false">'P19 Badas Output'!R29</f>
        <v>-22.2272355264383</v>
      </c>
      <c r="S272" s="58" t="n">
        <f aca="false">'P19 Badas Output'!S29</f>
        <v>3.41364084816294</v>
      </c>
    </row>
    <row r="273" customFormat="false" ht="15" hidden="false" customHeight="false" outlineLevel="0" collapsed="false">
      <c r="B273" s="24" t="s">
        <v>355</v>
      </c>
      <c r="C273" s="25" t="s">
        <v>170</v>
      </c>
      <c r="F273" s="58" t="n">
        <f aca="false">'P19 Badas Output'!F39</f>
        <v>0</v>
      </c>
      <c r="G273" s="58" t="n">
        <f aca="false">'P19 Badas Output'!G39</f>
        <v>0</v>
      </c>
      <c r="H273" s="58" t="n">
        <f aca="false">'P19 Badas Output'!H39</f>
        <v>0</v>
      </c>
      <c r="I273" s="58" t="n">
        <f aca="false">'P19 Badas Output'!I39</f>
        <v>0</v>
      </c>
      <c r="J273" s="58" t="n">
        <f aca="false">'P19 Badas Output'!J39</f>
        <v>97.59</v>
      </c>
      <c r="K273" s="58" t="n">
        <f aca="false">'P19 Badas Output'!K39</f>
        <v>162.65</v>
      </c>
      <c r="L273" s="58" t="n">
        <f aca="false">'P19 Badas Output'!L39</f>
        <v>154.329452054795</v>
      </c>
      <c r="M273" s="58" t="n">
        <f aca="false">'P19 Badas Output'!M39</f>
        <v>143.667974726027</v>
      </c>
      <c r="N273" s="58" t="n">
        <f aca="false">'P19 Badas Output'!N39</f>
        <v>133.046939667808</v>
      </c>
      <c r="O273" s="58" t="n">
        <f aca="false">'P19 Badas Output'!O39</f>
        <v>122.123352183934</v>
      </c>
      <c r="P273" s="58" t="n">
        <f aca="false">'P19 Badas Output'!P39</f>
        <v>110.910486759622</v>
      </c>
      <c r="Q273" s="58" t="n">
        <f aca="false">'P19 Badas Output'!Q39</f>
        <v>99.6886474550082</v>
      </c>
      <c r="R273" s="58" t="n">
        <f aca="false">'P19 Badas Output'!R39</f>
        <v>88.4717179761863</v>
      </c>
      <c r="S273" s="58" t="n">
        <f aca="false">'P19 Badas Output'!S39</f>
        <v>77.244288649377</v>
      </c>
    </row>
    <row r="274" customFormat="false" ht="15" hidden="false" customHeight="false" outlineLevel="0" collapsed="false">
      <c r="B274" s="24" t="s">
        <v>356</v>
      </c>
      <c r="C274" s="25" t="s">
        <v>170</v>
      </c>
      <c r="E274" s="47" t="n">
        <f aca="false">SUM(F274:S274)</f>
        <v>164.15</v>
      </c>
      <c r="F274" s="58" t="n">
        <f aca="false">'P19 Badas Output'!F31</f>
        <v>-0</v>
      </c>
      <c r="G274" s="58" t="n">
        <f aca="false">'P19 Badas Output'!G31</f>
        <v>-0</v>
      </c>
      <c r="H274" s="58" t="n">
        <f aca="false">'P19 Badas Output'!H31</f>
        <v>-0</v>
      </c>
      <c r="I274" s="58" t="n">
        <f aca="false">'P19 Badas Output'!I31</f>
        <v>-0</v>
      </c>
      <c r="J274" s="58" t="n">
        <f aca="false">'P19 Badas Output'!J31</f>
        <v>97.59</v>
      </c>
      <c r="K274" s="58" t="n">
        <f aca="false">'P19 Badas Output'!K31</f>
        <v>66.56</v>
      </c>
      <c r="L274" s="58" t="n">
        <f aca="false">'P19 Badas Output'!L31</f>
        <v>0</v>
      </c>
      <c r="M274" s="58" t="n">
        <f aca="false">'P19 Badas Output'!M31</f>
        <v>0</v>
      </c>
      <c r="N274" s="58" t="n">
        <f aca="false">'P19 Badas Output'!N31</f>
        <v>0</v>
      </c>
      <c r="O274" s="58" t="n">
        <f aca="false">'P19 Badas Output'!O31</f>
        <v>0</v>
      </c>
      <c r="P274" s="58" t="n">
        <f aca="false">'P19 Badas Output'!P31</f>
        <v>0</v>
      </c>
      <c r="Q274" s="58" t="n">
        <f aca="false">'P19 Badas Output'!Q31</f>
        <v>0</v>
      </c>
      <c r="R274" s="58" t="n">
        <f aca="false">'P19 Badas Output'!R31</f>
        <v>0</v>
      </c>
      <c r="S274" s="58" t="n">
        <f aca="false">'P19 Badas Output'!S31</f>
        <v>0</v>
      </c>
    </row>
    <row r="275" customFormat="false" ht="15" hidden="false" customHeight="false" outlineLevel="0" collapsed="false">
      <c r="B275" s="24" t="s">
        <v>357</v>
      </c>
      <c r="C275" s="25" t="s">
        <v>170</v>
      </c>
      <c r="E275" s="47" t="n">
        <f aca="false">SUM(F275:S275)</f>
        <v>35.230684044276</v>
      </c>
      <c r="F275" s="58" t="n">
        <f aca="false">'P19 Badas Output'!F46</f>
        <v>0</v>
      </c>
      <c r="G275" s="58" t="n">
        <f aca="false">'P19 Badas Output'!G46</f>
        <v>0</v>
      </c>
      <c r="H275" s="58" t="n">
        <f aca="false">'P19 Badas Output'!H46</f>
        <v>0</v>
      </c>
      <c r="I275" s="58" t="n">
        <f aca="false">'P19 Badas Output'!I46</f>
        <v>0</v>
      </c>
      <c r="J275" s="58" t="n">
        <f aca="false">'P19 Badas Output'!J46</f>
        <v>-87.2379036900695</v>
      </c>
      <c r="K275" s="58" t="n">
        <f aca="false">'P19 Badas Output'!K46</f>
        <v>-53.1879337726503</v>
      </c>
      <c r="L275" s="58" t="n">
        <f aca="false">'P19 Badas Output'!L46</f>
        <v>6.95337487458965</v>
      </c>
      <c r="M275" s="58" t="n">
        <f aca="false">'P19 Badas Output'!M46</f>
        <v>10.223937301886</v>
      </c>
      <c r="N275" s="58" t="n">
        <f aca="false">'P19 Badas Output'!N46</f>
        <v>11.4902216991539</v>
      </c>
      <c r="O275" s="58" t="n">
        <f aca="false">'P19 Badas Output'!O46</f>
        <v>11.679921109141</v>
      </c>
      <c r="P275" s="58" t="n">
        <f aca="false">'P19 Badas Output'!P46</f>
        <v>10.8434514371482</v>
      </c>
      <c r="Q275" s="58" t="n">
        <f aca="false">'P19 Badas Output'!Q46</f>
        <v>9.94378456613205</v>
      </c>
      <c r="R275" s="58" t="n">
        <f aca="false">'P19 Badas Output'!R46</f>
        <v>9.11246827180801</v>
      </c>
      <c r="S275" s="58" t="n">
        <f aca="false">'P19 Badas Output'!S46</f>
        <v>105.409362247137</v>
      </c>
    </row>
    <row r="276" customFormat="false" ht="15" hidden="false" customHeight="false" outlineLevel="0" collapsed="false">
      <c r="B276" s="3" t="s">
        <v>358</v>
      </c>
      <c r="C276" s="73" t="s">
        <v>359</v>
      </c>
      <c r="D276" s="74" t="n">
        <f aca="false">'P19 Badas Output'!$E$47</f>
        <v>35.230684044276</v>
      </c>
      <c r="E276" s="73" t="s">
        <v>360</v>
      </c>
      <c r="F276" s="75" t="n">
        <f aca="false">IF(ISNUMBER('P19 Badas Output'!$E$49),'P19 Badas Output'!$E$49,"n/a")</f>
        <v>0.00368635332544859</v>
      </c>
      <c r="G276" s="73" t="s">
        <v>361</v>
      </c>
      <c r="H276" s="75" t="n">
        <f aca="false">IF(ISNUMBER('P19 Badas Output'!$E$50),'P19 Badas Output'!$E$50,"n/a")</f>
        <v>0.155169273700875</v>
      </c>
      <c r="I276" s="73" t="s">
        <v>362</v>
      </c>
      <c r="J276" s="76" t="n">
        <f aca="false">IF(ISNUMBER('P19 Badas Output'!$E$52),'P19 Badas Output'!$E$52,"n/a")</f>
        <v>2036</v>
      </c>
      <c r="K276" s="73" t="s">
        <v>363</v>
      </c>
      <c r="L276" s="74" t="n">
        <f aca="false">'P19 Badas Output'!$E$54</f>
        <v>10</v>
      </c>
      <c r="M276" s="73" t="s">
        <v>364</v>
      </c>
      <c r="N276" s="74" t="n">
        <f aca="false">'P19 Badas Output'!$E$55</f>
        <v>10</v>
      </c>
    </row>
  </sheetData>
  <hyperlinks>
    <hyperlink ref="C3" r:id="rId1" location="'Navigation'!A1" display="Navigation"/>
    <hyperlink ref="D3" r:id="rId2" location="'Global%20Inputs'!A1" display="Global Inputs"/>
    <hyperlink ref="E3" r:id="rId3" location="'Project%20Summary'!A1" display="Project Summary"/>
    <hyperlink ref="F3" r:id="rId4" location="'Funding%20Requirement'!A1" display="Funding"/>
    <hyperlink ref="G3" r:id="rId5" location="'FSL%20Financials%20—%20Without%20BUMN'!A1" display="FSL w/o BUMN"/>
    <hyperlink ref="H3" r:id="rId6" location="'FSL%20Financials%20—%20With%20BUMN'!A1" display="FSL w/ BUMN"/>
    <hyperlink ref="I3" r:id="rId7" location="'Valuation%20—%20Without%20BUMN'!A1" display="Val w/o BUMN"/>
    <hyperlink ref="J3" r:id="rId8" location="'Valuation%20—%20With%20BUMN'!A1" display="Val w/ BUMN"/>
    <hyperlink ref="K3" r:id="rId9" location="'Checks'!A1" display="Checks"/>
    <hyperlink ref="L3" r:id="rId10" location="'Model%20Flow'!A1" display="Model Flow"/>
    <hyperlink ref="P12" r:id="rId11" location="'E1%20TelukLamong%20Input'!A1" display="open"/>
    <hyperlink ref="Q12" r:id="rId12" location="'E1%20TelukLamong%20Calc'!A1" display="open"/>
    <hyperlink ref="R12" r:id="rId13" location="'E1%20TelukLamong%20Output'!A1" display="open"/>
    <hyperlink ref="P13" r:id="rId14" location="'E2%20CigadingExist%20Input'!A1" display="open"/>
    <hyperlink ref="Q13" r:id="rId15" location="'E2%20CigadingExist%20Calc'!A1" display="open"/>
    <hyperlink ref="R13" r:id="rId16" location="'E2%20CigadingExist%20Output'!A1" display="open"/>
    <hyperlink ref="P14" r:id="rId17" location="'E3%20Belawan%20Input'!A1" display="open"/>
    <hyperlink ref="Q14" r:id="rId18" location="'E3%20Belawan%20Calc'!A1" display="open"/>
    <hyperlink ref="R14" r:id="rId19" location="'E3%20Belawan%20Output'!A1" display="open"/>
    <hyperlink ref="P15" r:id="rId20" location="'E4%20WIN%20Input'!A1" display="open"/>
    <hyperlink ref="Q15" r:id="rId21" location="'E4%20WIN%20Calc'!A1" display="open"/>
    <hyperlink ref="R15" r:id="rId22" location="'E4%20WIN%20Output'!A1" display="open"/>
    <hyperlink ref="P16" r:id="rId23" location="'P01%20CigWharf2%20Input'!A1" display="open"/>
    <hyperlink ref="Q16" r:id="rId24" location="'P01%20CigWharf2%20Calc'!A1" display="open"/>
    <hyperlink ref="R16" r:id="rId25" location="'P01%20CigWharf2%20Output'!A1" display="open"/>
    <hyperlink ref="P17" r:id="rId26" location="'P02%20CigConveyor%20Input'!A1" display="open"/>
    <hyperlink ref="Q17" r:id="rId27" location="'P02%20CigConveyor%20Calc'!A1" display="open"/>
    <hyperlink ref="R17" r:id="rId28" location="'P02%20CigConveyor%20Output'!A1" display="open"/>
    <hyperlink ref="P18" r:id="rId29" location="'P03%20KBSWarehouse%20Input'!A1" display="open"/>
    <hyperlink ref="Q18" r:id="rId30" location="'P03%20KBSWarehouse%20Calc'!A1" display="open"/>
    <hyperlink ref="R18" r:id="rId31" location="'P03%20KBSWarehouse%20Output'!A1" display="open"/>
    <hyperlink ref="P19" r:id="rId32" location="'P04%20TTLSilo%20Input'!A1" display="open"/>
    <hyperlink ref="Q19" r:id="rId33" location="'P04%20TTLSilo%20Calc'!A1" display="open"/>
    <hyperlink ref="R19" r:id="rId34" location="'P04%20TTLSilo%20Output'!A1" display="open"/>
    <hyperlink ref="P20" r:id="rId35" location="'P05%20Dumai%20Input'!A1" display="open"/>
    <hyperlink ref="Q20" r:id="rId36" location="'P05%20Dumai%20Calc'!A1" display="open"/>
    <hyperlink ref="R20" r:id="rId37" location="'P05%20Dumai%20Output'!A1" display="open"/>
    <hyperlink ref="P21" r:id="rId38" location="'P06%20Ciwandan%20Input'!A1" display="open"/>
    <hyperlink ref="Q21" r:id="rId39" location="'P06%20Ciwandan%20Calc'!A1" display="open"/>
    <hyperlink ref="R21" r:id="rId40" location="'P06%20Ciwandan%20Output'!A1" display="open"/>
    <hyperlink ref="P22" r:id="rId41" location="'P08%20DMSTrucking%20Input'!A1" display="open"/>
    <hyperlink ref="Q22" r:id="rId42" location="'P08%20DMSTrucking%20Calc'!A1" display="open"/>
    <hyperlink ref="R22" r:id="rId43" location="'P08%20DMSTrucking%20Output'!A1" display="open"/>
    <hyperlink ref="P23" r:id="rId44" location="'P12%20BUMNOps%20Input'!A1" display="open"/>
    <hyperlink ref="Q23" r:id="rId45" location="'P12%20BUMNOps%20Calc'!A1" display="open"/>
    <hyperlink ref="R23" r:id="rId46" location="'P12%20BUMNOps%20Output'!A1" display="open"/>
    <hyperlink ref="P24" r:id="rId47" location="'P15%20TBM%20Input'!A1" display="open"/>
    <hyperlink ref="Q24" r:id="rId48" location="'P15%20TBM%20Calc'!A1" display="open"/>
    <hyperlink ref="R24" r:id="rId49" location="'P15%20TBM%20Output'!A1" display="open"/>
    <hyperlink ref="P25" r:id="rId50" location="'P19%20Badas%20FS%20Working%20Paper'!A1" display="open"/>
    <hyperlink ref="Q25" r:id="rId51" location="'P19%20Badas%20Calculation'!A1" display="open"/>
    <hyperlink ref="R25" r:id="rId52" location="'P19%20Badas%20Output'!A1" display="open"/>
    <hyperlink ref="C41" r:id="rId53" location="'E1%20TelukLamong%20Input'!A1" display="Input"/>
    <hyperlink ref="D41" r:id="rId54" location="'E1%20TelukLamong%20Calc'!A1" display="Calc"/>
    <hyperlink ref="E41" r:id="rId55" location="'E1%20TelukLamong%20Output'!A1" display="Output"/>
    <hyperlink ref="C58" r:id="rId56" location="'E2%20CigadingExist%20Input'!A1" display="Input"/>
    <hyperlink ref="D58" r:id="rId57" location="'E2%20CigadingExist%20Calc'!A1" display="Calc"/>
    <hyperlink ref="E58" r:id="rId58" location="'E2%20CigadingExist%20Output'!A1" display="Output"/>
    <hyperlink ref="C75" r:id="rId59" location="'E3%20Belawan%20Input'!A1" display="Input"/>
    <hyperlink ref="D75" r:id="rId60" location="'E3%20Belawan%20Calc'!A1" display="Calc"/>
    <hyperlink ref="E75" r:id="rId61" location="'E3%20Belawan%20Output'!A1" display="Output"/>
    <hyperlink ref="C92" r:id="rId62" location="'E4%20WIN%20Input'!A1" display="Input"/>
    <hyperlink ref="D92" r:id="rId63" location="'E4%20WIN%20Calc'!A1" display="Calc"/>
    <hyperlink ref="E92" r:id="rId64" location="'E4%20WIN%20Output'!A1" display="Output"/>
    <hyperlink ref="C109" r:id="rId65" location="'P01%20CigWharf2%20Input'!A1" display="Input"/>
    <hyperlink ref="D109" r:id="rId66" location="'P01%20CigWharf2%20Calc'!A1" display="Calc"/>
    <hyperlink ref="E109" r:id="rId67" location="'P01%20CigWharf2%20Output'!A1" display="Output"/>
    <hyperlink ref="C126" r:id="rId68" location="'P02%20CigConveyor%20Input'!A1" display="Input"/>
    <hyperlink ref="D126" r:id="rId69" location="'P02%20CigConveyor%20Calc'!A1" display="Calc"/>
    <hyperlink ref="E126" r:id="rId70" location="'P02%20CigConveyor%20Output'!A1" display="Output"/>
    <hyperlink ref="C143" r:id="rId71" location="'P03%20KBSWarehouse%20Input'!A1" display="Input"/>
    <hyperlink ref="D143" r:id="rId72" location="'P03%20KBSWarehouse%20Calc'!A1" display="Calc"/>
    <hyperlink ref="E143" r:id="rId73" location="'P03%20KBSWarehouse%20Output'!A1" display="Output"/>
    <hyperlink ref="C160" r:id="rId74" location="'P04%20TTLSilo%20Input'!A1" display="Input"/>
    <hyperlink ref="D160" r:id="rId75" location="'P04%20TTLSilo%20Calc'!A1" display="Calc"/>
    <hyperlink ref="E160" r:id="rId76" location="'P04%20TTLSilo%20Output'!A1" display="Output"/>
    <hyperlink ref="C177" r:id="rId77" location="'P05%20Dumai%20Input'!A1" display="Input"/>
    <hyperlink ref="D177" r:id="rId78" location="'P05%20Dumai%20Calc'!A1" display="Calc"/>
    <hyperlink ref="E177" r:id="rId79" location="'P05%20Dumai%20Output'!A1" display="Output"/>
    <hyperlink ref="C194" r:id="rId80" location="'P06%20Ciwandan%20Input'!A1" display="Input"/>
    <hyperlink ref="D194" r:id="rId81" location="'P06%20Ciwandan%20Calc'!A1" display="Calc"/>
    <hyperlink ref="E194" r:id="rId82" location="'P06%20Ciwandan%20Output'!A1" display="Output"/>
    <hyperlink ref="C211" r:id="rId83" location="'P08%20DMSTrucking%20Input'!A1" display="Input"/>
    <hyperlink ref="D211" r:id="rId84" location="'P08%20DMSTrucking%20Calc'!A1" display="Calc"/>
    <hyperlink ref="E211" r:id="rId85" location="'P08%20DMSTrucking%20Output'!A1" display="Output"/>
    <hyperlink ref="C228" r:id="rId86" location="'P12%20BUMNOps%20Input'!A1" display="Input"/>
    <hyperlink ref="D228" r:id="rId87" location="'P12%20BUMNOps%20Calc'!A1" display="Calc"/>
    <hyperlink ref="E228" r:id="rId88" location="'P12%20BUMNOps%20Output'!A1" display="Output"/>
    <hyperlink ref="C245" r:id="rId89" location="'P15%20TBM%20Input'!A1" display="Input"/>
    <hyperlink ref="D245" r:id="rId90" location="'P15%20TBM%20Calc'!A1" display="Calc"/>
    <hyperlink ref="E245" r:id="rId91" location="'P15%20TBM%20Output'!A1" display="Output"/>
    <hyperlink ref="C262" r:id="rId92" location="'P19%20Badas%20FS%20Working%20Paper'!A1" display="Input"/>
    <hyperlink ref="D262" r:id="rId93" location="'P19%20Badas%20Calculation'!A1" display="Calc"/>
    <hyperlink ref="E262" r:id="rId94" location="'P19%20Badas%20Output'!A1" display="Output"/>
  </hyperlink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B9BD5"/>
    <pageSetUpPr fitToPage="true"/>
  </sheetPr>
  <dimension ref="B1:U34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5" ySplit="9" topLeftCell="F10" activePane="bottomRight" state="frozen"/>
      <selection pane="topLeft" activeCell="A1" activeCellId="0" sqref="A1"/>
      <selection pane="topRight" activeCell="F1" activeCellId="0" sqref="F1"/>
      <selection pane="bottomLeft" activeCell="A10" activeCellId="0" sqref="A10"/>
      <selection pane="bottomRigh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66"/>
    <col collapsed="false" customWidth="true" hidden="false" outlineLevel="0" max="3" min="3" style="0" width="11"/>
    <col collapsed="false" customWidth="true" hidden="false" outlineLevel="0" max="4" min="4" style="0" width="12"/>
    <col collapsed="false" customWidth="true" hidden="false" outlineLevel="0" max="5" min="5" style="0" width="13"/>
    <col collapsed="false" customWidth="true" hidden="false" outlineLevel="0" max="19" min="6" style="0" width="11.5"/>
    <col collapsed="false" customWidth="true" hidden="false" outlineLevel="0" max="20" min="20" style="0" width="40"/>
    <col collapsed="false" customWidth="true" hidden="false" outlineLevel="0" max="21" min="21" style="0" width="48"/>
  </cols>
  <sheetData>
    <row r="1" customFormat="false" ht="21.75" hidden="false" customHeight="true" outlineLevel="0" collapsed="false">
      <c r="B1" s="1" t="s">
        <v>378</v>
      </c>
    </row>
    <row r="2" customFormat="false" ht="15" hidden="false" customHeight="false" outlineLevel="0" collapsed="false">
      <c r="B2" s="2" t="s">
        <v>379</v>
      </c>
    </row>
    <row r="3" customFormat="false" ht="15" hidden="false" customHeight="false" outlineLevel="0" collapsed="false">
      <c r="B3" s="5" t="s">
        <v>112</v>
      </c>
      <c r="C3" s="17" t="s">
        <v>113</v>
      </c>
      <c r="D3" s="17" t="s">
        <v>5</v>
      </c>
      <c r="E3" s="17" t="s">
        <v>7</v>
      </c>
      <c r="F3" s="17" t="s">
        <v>114</v>
      </c>
      <c r="G3" s="17" t="s">
        <v>115</v>
      </c>
      <c r="H3" s="17" t="s">
        <v>116</v>
      </c>
      <c r="I3" s="17" t="s">
        <v>117</v>
      </c>
      <c r="J3" s="17" t="s">
        <v>118</v>
      </c>
      <c r="K3" s="17" t="s">
        <v>21</v>
      </c>
      <c r="L3" s="17" t="s">
        <v>3</v>
      </c>
    </row>
    <row r="5" customFormat="false" ht="15" hidden="false" customHeight="false" outlineLevel="0" collapsed="false">
      <c r="B5" s="6" t="s">
        <v>119</v>
      </c>
      <c r="C5" s="6" t="s">
        <v>120</v>
      </c>
      <c r="D5" s="6" t="s">
        <v>121</v>
      </c>
      <c r="E5" s="6" t="s">
        <v>380</v>
      </c>
      <c r="F5" s="18" t="n">
        <f aca="false">'Global Inputs'!F$5</f>
        <v>2023</v>
      </c>
      <c r="G5" s="18" t="n">
        <f aca="false">'Global Inputs'!G$5</f>
        <v>2024</v>
      </c>
      <c r="H5" s="18" t="n">
        <f aca="false">'Global Inputs'!H$5</f>
        <v>2025</v>
      </c>
      <c r="I5" s="18" t="n">
        <f aca="false">'Global Inputs'!I$5</f>
        <v>2026</v>
      </c>
      <c r="J5" s="18" t="n">
        <f aca="false">'Global Inputs'!J$5</f>
        <v>2027</v>
      </c>
      <c r="K5" s="18" t="n">
        <f aca="false">'Global Inputs'!K$5</f>
        <v>2028</v>
      </c>
      <c r="L5" s="18" t="n">
        <f aca="false">'Global Inputs'!L$5</f>
        <v>2029</v>
      </c>
      <c r="M5" s="18" t="n">
        <f aca="false">'Global Inputs'!M$5</f>
        <v>2030</v>
      </c>
      <c r="N5" s="18" t="n">
        <f aca="false">'Global Inputs'!N$5</f>
        <v>2031</v>
      </c>
      <c r="O5" s="18" t="n">
        <f aca="false">'Global Inputs'!O$5</f>
        <v>2032</v>
      </c>
      <c r="P5" s="18" t="n">
        <f aca="false">'Global Inputs'!P$5</f>
        <v>2033</v>
      </c>
      <c r="Q5" s="18" t="n">
        <f aca="false">'Global Inputs'!Q$5</f>
        <v>2034</v>
      </c>
      <c r="R5" s="18" t="n">
        <f aca="false">'Global Inputs'!R$5</f>
        <v>2035</v>
      </c>
      <c r="S5" s="18" t="n">
        <f aca="false">'Global Inputs'!S$5</f>
        <v>2036</v>
      </c>
      <c r="T5" s="6" t="s">
        <v>123</v>
      </c>
      <c r="U5" s="6" t="s">
        <v>124</v>
      </c>
    </row>
    <row r="6" customFormat="false" ht="15" hidden="false" customHeight="false" outlineLevel="0" collapsed="false">
      <c r="B6" s="19" t="s">
        <v>125</v>
      </c>
      <c r="F6" s="20" t="n">
        <f aca="false">'Global Inputs'!F$6</f>
        <v>45291</v>
      </c>
      <c r="G6" s="20" t="n">
        <f aca="false">'Global Inputs'!G$6</f>
        <v>45657</v>
      </c>
      <c r="H6" s="20" t="n">
        <f aca="false">'Global Inputs'!H$6</f>
        <v>46022</v>
      </c>
      <c r="I6" s="20" t="n">
        <f aca="false">'Global Inputs'!I$6</f>
        <v>46387</v>
      </c>
      <c r="J6" s="20" t="n">
        <f aca="false">'Global Inputs'!J$6</f>
        <v>46752</v>
      </c>
      <c r="K6" s="20" t="n">
        <f aca="false">'Global Inputs'!K$6</f>
        <v>47118</v>
      </c>
      <c r="L6" s="20" t="n">
        <f aca="false">'Global Inputs'!L$6</f>
        <v>47483</v>
      </c>
      <c r="M6" s="20" t="n">
        <f aca="false">'Global Inputs'!M$6</f>
        <v>47848</v>
      </c>
      <c r="N6" s="20" t="n">
        <f aca="false">'Global Inputs'!N$6</f>
        <v>48213</v>
      </c>
      <c r="O6" s="20" t="n">
        <f aca="false">'Global Inputs'!O$6</f>
        <v>48579</v>
      </c>
      <c r="P6" s="20" t="n">
        <f aca="false">'Global Inputs'!P$6</f>
        <v>48944</v>
      </c>
      <c r="Q6" s="20" t="n">
        <f aca="false">'Global Inputs'!Q$6</f>
        <v>49309</v>
      </c>
      <c r="R6" s="20" t="n">
        <f aca="false">'Global Inputs'!R$6</f>
        <v>49674</v>
      </c>
      <c r="S6" s="20" t="n">
        <f aca="false">'Global Inputs'!S$6</f>
        <v>50040</v>
      </c>
    </row>
    <row r="7" customFormat="false" ht="15" hidden="false" customHeight="false" outlineLevel="0" collapsed="false">
      <c r="B7" s="19" t="s">
        <v>126</v>
      </c>
      <c r="F7" s="21" t="n">
        <f aca="false">'Global Inputs'!F$7</f>
        <v>365</v>
      </c>
      <c r="G7" s="21" t="n">
        <f aca="false">'Global Inputs'!G$7</f>
        <v>366</v>
      </c>
      <c r="H7" s="21" t="n">
        <f aca="false">'Global Inputs'!H$7</f>
        <v>365</v>
      </c>
      <c r="I7" s="21" t="n">
        <f aca="false">'Global Inputs'!I$7</f>
        <v>365</v>
      </c>
      <c r="J7" s="21" t="n">
        <f aca="false">'Global Inputs'!J$7</f>
        <v>365</v>
      </c>
      <c r="K7" s="21" t="n">
        <f aca="false">'Global Inputs'!K$7</f>
        <v>366</v>
      </c>
      <c r="L7" s="21" t="n">
        <f aca="false">'Global Inputs'!L$7</f>
        <v>365</v>
      </c>
      <c r="M7" s="21" t="n">
        <f aca="false">'Global Inputs'!M$7</f>
        <v>365</v>
      </c>
      <c r="N7" s="21" t="n">
        <f aca="false">'Global Inputs'!N$7</f>
        <v>365</v>
      </c>
      <c r="O7" s="21" t="n">
        <f aca="false">'Global Inputs'!O$7</f>
        <v>366</v>
      </c>
      <c r="P7" s="21" t="n">
        <f aca="false">'Global Inputs'!P$7</f>
        <v>365</v>
      </c>
      <c r="Q7" s="21" t="n">
        <f aca="false">'Global Inputs'!Q$7</f>
        <v>365</v>
      </c>
      <c r="R7" s="21" t="n">
        <f aca="false">'Global Inputs'!R$7</f>
        <v>365</v>
      </c>
      <c r="S7" s="21" t="n">
        <f aca="false">'Global Inputs'!S$7</f>
        <v>366</v>
      </c>
    </row>
    <row r="8" customFormat="false" ht="15" hidden="false" customHeight="false" outlineLevel="0" collapsed="false">
      <c r="B8" s="19" t="s">
        <v>127</v>
      </c>
      <c r="F8" s="21" t="n">
        <f aca="false">'Global Inputs'!F$8</f>
        <v>0</v>
      </c>
      <c r="G8" s="21" t="n">
        <f aca="false">'Global Inputs'!G$8</f>
        <v>1</v>
      </c>
      <c r="H8" s="21" t="n">
        <f aca="false">'Global Inputs'!H$8</f>
        <v>1</v>
      </c>
      <c r="I8" s="21" t="n">
        <f aca="false">'Global Inputs'!I$8</f>
        <v>1</v>
      </c>
      <c r="J8" s="21" t="n">
        <f aca="false">'Global Inputs'!J$8</f>
        <v>1</v>
      </c>
      <c r="K8" s="21" t="n">
        <f aca="false">'Global Inputs'!K$8</f>
        <v>1</v>
      </c>
      <c r="L8" s="21" t="n">
        <f aca="false">'Global Inputs'!L$8</f>
        <v>1</v>
      </c>
      <c r="M8" s="21" t="n">
        <f aca="false">'Global Inputs'!M$8</f>
        <v>1</v>
      </c>
      <c r="N8" s="21" t="n">
        <f aca="false">'Global Inputs'!N$8</f>
        <v>1</v>
      </c>
      <c r="O8" s="21" t="n">
        <f aca="false">'Global Inputs'!O$8</f>
        <v>1</v>
      </c>
      <c r="P8" s="21" t="n">
        <f aca="false">'Global Inputs'!P$8</f>
        <v>1</v>
      </c>
      <c r="Q8" s="21" t="n">
        <f aca="false">'Global Inputs'!Q$8</f>
        <v>1</v>
      </c>
      <c r="R8" s="21" t="n">
        <f aca="false">'Global Inputs'!R$8</f>
        <v>1</v>
      </c>
      <c r="S8" s="21" t="n">
        <f aca="false">'Global Inputs'!S$8</f>
        <v>1</v>
      </c>
    </row>
    <row r="10" customFormat="false" ht="15" hidden="false" customHeight="false" outlineLevel="0" collapsed="false">
      <c r="B10" s="22" t="s">
        <v>381</v>
      </c>
      <c r="C10" s="23"/>
      <c r="D10" s="23"/>
      <c r="E10" s="23"/>
      <c r="F10" s="23"/>
      <c r="G10" s="23"/>
      <c r="H10" s="23"/>
      <c r="I10" s="23"/>
      <c r="J10" s="23"/>
      <c r="K10" s="23"/>
      <c r="L10" s="23"/>
      <c r="M10" s="23"/>
      <c r="N10" s="23"/>
      <c r="O10" s="23"/>
      <c r="P10" s="23"/>
      <c r="Q10" s="23"/>
      <c r="R10" s="23"/>
      <c r="S10" s="23"/>
    </row>
    <row r="11" customFormat="false" ht="15" hidden="false" customHeight="false" outlineLevel="0" collapsed="false">
      <c r="B11" s="69" t="s">
        <v>382</v>
      </c>
      <c r="E11" s="24" t="s">
        <v>383</v>
      </c>
    </row>
    <row r="12" customFormat="false" ht="15" hidden="false" customHeight="false" outlineLevel="0" collapsed="false">
      <c r="B12" s="24" t="s">
        <v>384</v>
      </c>
      <c r="C12" s="25" t="s">
        <v>385</v>
      </c>
      <c r="E12" s="29" t="n">
        <f aca="false">'Global Inputs'!$K$89+'Global Inputs'!$K$90+'Global Inputs'!$K$91+'Global Inputs'!$K$92+'Global Inputs'!$K$93+'Global Inputs'!$K$94+'Global Inputs'!$K$95+'Global Inputs'!$K$96+'Global Inputs'!$K$97+'Global Inputs'!$K$98+'Global Inputs'!$K$99+'Global Inputs'!$K$100+'Global Inputs'!$K$101+'Global Inputs'!$K$102</f>
        <v>11</v>
      </c>
    </row>
    <row r="13" customFormat="false" ht="15" hidden="false" customHeight="false" outlineLevel="0" collapsed="false">
      <c r="B13" s="24" t="s">
        <v>386</v>
      </c>
      <c r="E13" s="24" t="s">
        <v>387</v>
      </c>
    </row>
    <row r="14" customFormat="false" ht="15" hidden="false" customHeight="false" outlineLevel="0" collapsed="false">
      <c r="B14" s="24" t="s">
        <v>388</v>
      </c>
      <c r="C14" s="25" t="s">
        <v>180</v>
      </c>
      <c r="E14" s="29" t="n">
        <f aca="false">IF('Global Inputs'!$E$36=1,1,0)</f>
        <v>1</v>
      </c>
    </row>
    <row r="15" customFormat="false" ht="15" hidden="false" customHeight="false" outlineLevel="0" collapsed="false">
      <c r="B15" s="5" t="s">
        <v>389</v>
      </c>
    </row>
    <row r="17" customFormat="false" ht="15" hidden="false" customHeight="false" outlineLevel="0" collapsed="false">
      <c r="B17" s="22" t="s">
        <v>390</v>
      </c>
      <c r="C17" s="23"/>
      <c r="D17" s="23"/>
      <c r="E17" s="23"/>
      <c r="F17" s="23"/>
      <c r="G17" s="23"/>
      <c r="H17" s="23"/>
      <c r="I17" s="23"/>
      <c r="J17" s="23"/>
      <c r="K17" s="23"/>
      <c r="L17" s="23"/>
      <c r="M17" s="23"/>
      <c r="N17" s="23"/>
      <c r="O17" s="23"/>
      <c r="P17" s="23"/>
      <c r="Q17" s="23"/>
      <c r="R17" s="23"/>
      <c r="S17" s="23"/>
    </row>
    <row r="18" customFormat="false" ht="15" hidden="false" customHeight="false" outlineLevel="0" collapsed="false">
      <c r="B18" s="24" t="s">
        <v>345</v>
      </c>
      <c r="C18" s="25" t="s">
        <v>170</v>
      </c>
      <c r="E18" s="47" t="n">
        <f aca="false">SUM(F18:S18)</f>
        <v>9917.54704092342</v>
      </c>
      <c r="F18" s="47" t="n">
        <f aca="false">F104</f>
        <v>0</v>
      </c>
      <c r="G18" s="47" t="n">
        <f aca="false">G104</f>
        <v>305.288412360754</v>
      </c>
      <c r="H18" s="47" t="n">
        <f aca="false">H104</f>
        <v>427.60263552932</v>
      </c>
      <c r="I18" s="47" t="n">
        <f aca="false">I104</f>
        <v>494.570841069113</v>
      </c>
      <c r="J18" s="47" t="n">
        <f aca="false">J104</f>
        <v>619.926112278324</v>
      </c>
      <c r="K18" s="47" t="n">
        <f aca="false">K104</f>
        <v>702.028827178926</v>
      </c>
      <c r="L18" s="47" t="n">
        <f aca="false">L104</f>
        <v>773.764063356243</v>
      </c>
      <c r="M18" s="47" t="n">
        <f aca="false">M104</f>
        <v>807.889956243013</v>
      </c>
      <c r="N18" s="47" t="n">
        <f aca="false">N104</f>
        <v>867.206853011173</v>
      </c>
      <c r="O18" s="47" t="n">
        <f aca="false">O104</f>
        <v>908.854372121655</v>
      </c>
      <c r="P18" s="47" t="n">
        <f aca="false">P104</f>
        <v>972.375691528293</v>
      </c>
      <c r="Q18" s="47" t="n">
        <f aca="false">Q104</f>
        <v>992.227365539461</v>
      </c>
      <c r="R18" s="47" t="n">
        <f aca="false">R104</f>
        <v>1004.86363756786</v>
      </c>
      <c r="S18" s="47" t="n">
        <f aca="false">S104</f>
        <v>1040.94827313929</v>
      </c>
    </row>
    <row r="19" customFormat="false" ht="15" hidden="false" customHeight="false" outlineLevel="0" collapsed="false">
      <c r="B19" s="24" t="s">
        <v>391</v>
      </c>
      <c r="C19" s="25" t="s">
        <v>170</v>
      </c>
      <c r="E19" s="47" t="n">
        <f aca="false">SUM(F19:S19)</f>
        <v>-2137.7465115345</v>
      </c>
      <c r="F19" s="47" t="n">
        <f aca="false">F120</f>
        <v>0</v>
      </c>
      <c r="G19" s="47" t="n">
        <f aca="false">G120</f>
        <v>-122.543038522037</v>
      </c>
      <c r="H19" s="47" t="n">
        <f aca="false">H120</f>
        <v>-114.658741724505</v>
      </c>
      <c r="I19" s="47" t="n">
        <f aca="false">I120</f>
        <v>-112.224944325471</v>
      </c>
      <c r="J19" s="47" t="n">
        <f aca="false">J120</f>
        <v>-124.581111752949</v>
      </c>
      <c r="K19" s="47" t="n">
        <f aca="false">K120</f>
        <v>-146.734901704974</v>
      </c>
      <c r="L19" s="47" t="n">
        <f aca="false">L120</f>
        <v>-157.564323537375</v>
      </c>
      <c r="M19" s="47" t="n">
        <f aca="false">M120</f>
        <v>-167.623099382131</v>
      </c>
      <c r="N19" s="47" t="n">
        <f aca="false">N120</f>
        <v>-179.279102068045</v>
      </c>
      <c r="O19" s="47" t="n">
        <f aca="false">O120</f>
        <v>-190.13496362309</v>
      </c>
      <c r="P19" s="47" t="n">
        <f aca="false">P120</f>
        <v>-201.602643771733</v>
      </c>
      <c r="Q19" s="47" t="n">
        <f aca="false">Q120</f>
        <v>-197.459104337975</v>
      </c>
      <c r="R19" s="47" t="n">
        <f aca="false">R120</f>
        <v>-206.409432070665</v>
      </c>
      <c r="S19" s="47" t="n">
        <f aca="false">S120</f>
        <v>-216.931104713551</v>
      </c>
    </row>
    <row r="20" customFormat="false" ht="15" hidden="false" customHeight="false" outlineLevel="0" collapsed="false">
      <c r="B20" s="69" t="s">
        <v>392</v>
      </c>
      <c r="C20" s="25" t="s">
        <v>170</v>
      </c>
      <c r="E20" s="70" t="n">
        <f aca="false">SUM(F20:S20)</f>
        <v>7779.80052938892</v>
      </c>
      <c r="F20" s="68" t="n">
        <f aca="false">F18+F19</f>
        <v>0</v>
      </c>
      <c r="G20" s="68" t="n">
        <f aca="false">G18+G19</f>
        <v>182.745373838717</v>
      </c>
      <c r="H20" s="68" t="n">
        <f aca="false">H18+H19</f>
        <v>312.943893804814</v>
      </c>
      <c r="I20" s="68" t="n">
        <f aca="false">I18+I19</f>
        <v>382.345896743641</v>
      </c>
      <c r="J20" s="68" t="n">
        <f aca="false">J18+J19</f>
        <v>495.345000525375</v>
      </c>
      <c r="K20" s="68" t="n">
        <f aca="false">K18+K19</f>
        <v>555.293925473952</v>
      </c>
      <c r="L20" s="68" t="n">
        <f aca="false">L18+L19</f>
        <v>616.199739818868</v>
      </c>
      <c r="M20" s="68" t="n">
        <f aca="false">M18+M19</f>
        <v>640.266856860883</v>
      </c>
      <c r="N20" s="68" t="n">
        <f aca="false">N18+N19</f>
        <v>687.927750943128</v>
      </c>
      <c r="O20" s="68" t="n">
        <f aca="false">O18+O19</f>
        <v>718.719408498565</v>
      </c>
      <c r="P20" s="68" t="n">
        <f aca="false">P18+P19</f>
        <v>770.773047756559</v>
      </c>
      <c r="Q20" s="68" t="n">
        <f aca="false">Q18+Q19</f>
        <v>794.768261201487</v>
      </c>
      <c r="R20" s="68" t="n">
        <f aca="false">R18+R19</f>
        <v>798.454205497196</v>
      </c>
      <c r="S20" s="68" t="n">
        <f aca="false">S18+S19</f>
        <v>824.017168425736</v>
      </c>
    </row>
    <row r="21" customFormat="false" ht="15" hidden="false" customHeight="false" outlineLevel="0" collapsed="false">
      <c r="B21" s="24" t="s">
        <v>393</v>
      </c>
      <c r="C21" s="25" t="s">
        <v>170</v>
      </c>
      <c r="E21" s="47" t="n">
        <f aca="false">SUM(F21:S21)</f>
        <v>-1562.16566039577</v>
      </c>
      <c r="F21" s="47" t="n">
        <f aca="false">F136</f>
        <v>0</v>
      </c>
      <c r="G21" s="47" t="n">
        <f aca="false">G136</f>
        <v>-28.5101006637158</v>
      </c>
      <c r="H21" s="47" t="n">
        <f aca="false">H136</f>
        <v>-49.3855677304474</v>
      </c>
      <c r="I21" s="47" t="n">
        <f aca="false">I136</f>
        <v>-73.1739950345172</v>
      </c>
      <c r="J21" s="47" t="n">
        <f aca="false">J136</f>
        <v>-106.54848209636</v>
      </c>
      <c r="K21" s="47" t="n">
        <f aca="false">K136</f>
        <v>-119.723987666147</v>
      </c>
      <c r="L21" s="47" t="n">
        <f aca="false">L136</f>
        <v>-128.010992011741</v>
      </c>
      <c r="M21" s="47" t="n">
        <f aca="false">M136</f>
        <v>-132.960133962359</v>
      </c>
      <c r="N21" s="47" t="n">
        <f aca="false">N136</f>
        <v>-139.929404182336</v>
      </c>
      <c r="O21" s="47" t="n">
        <f aca="false">O136</f>
        <v>-144.398622100411</v>
      </c>
      <c r="P21" s="47" t="n">
        <f aca="false">P136</f>
        <v>-151.66461887605</v>
      </c>
      <c r="Q21" s="47" t="n">
        <f aca="false">Q136</f>
        <v>-156.53971700047</v>
      </c>
      <c r="R21" s="47" t="n">
        <f aca="false">R136</f>
        <v>-163.200985224126</v>
      </c>
      <c r="S21" s="47" t="n">
        <f aca="false">S136</f>
        <v>-168.11905384709</v>
      </c>
    </row>
    <row r="22" customFormat="false" ht="15" hidden="false" customHeight="false" outlineLevel="0" collapsed="false">
      <c r="B22" s="69" t="s">
        <v>346</v>
      </c>
      <c r="C22" s="25" t="s">
        <v>170</v>
      </c>
      <c r="E22" s="70" t="n">
        <f aca="false">SUM(F22:S22)</f>
        <v>6217.63486899315</v>
      </c>
      <c r="F22" s="68" t="n">
        <f aca="false">F20+F21</f>
        <v>0</v>
      </c>
      <c r="G22" s="68" t="n">
        <f aca="false">G20+G21</f>
        <v>154.235273175001</v>
      </c>
      <c r="H22" s="68" t="n">
        <f aca="false">H20+H21</f>
        <v>263.558326074367</v>
      </c>
      <c r="I22" s="68" t="n">
        <f aca="false">I20+I21</f>
        <v>309.171901709124</v>
      </c>
      <c r="J22" s="68" t="n">
        <f aca="false">J20+J21</f>
        <v>388.796518429015</v>
      </c>
      <c r="K22" s="68" t="n">
        <f aca="false">K20+K21</f>
        <v>435.569937807805</v>
      </c>
      <c r="L22" s="68" t="n">
        <f aca="false">L20+L21</f>
        <v>488.188747807126</v>
      </c>
      <c r="M22" s="68" t="n">
        <f aca="false">M20+M21</f>
        <v>507.306722898523</v>
      </c>
      <c r="N22" s="68" t="n">
        <f aca="false">N20+N21</f>
        <v>547.998346760792</v>
      </c>
      <c r="O22" s="68" t="n">
        <f aca="false">O20+O21</f>
        <v>574.320786398154</v>
      </c>
      <c r="P22" s="68" t="n">
        <f aca="false">P20+P21</f>
        <v>619.10842888051</v>
      </c>
      <c r="Q22" s="68" t="n">
        <f aca="false">Q20+Q21</f>
        <v>638.228544201017</v>
      </c>
      <c r="R22" s="68" t="n">
        <f aca="false">R20+R21</f>
        <v>635.253220273071</v>
      </c>
      <c r="S22" s="68" t="n">
        <f aca="false">S20+S21</f>
        <v>655.898114578645</v>
      </c>
    </row>
    <row r="23" customFormat="false" ht="15" hidden="false" customHeight="false" outlineLevel="0" collapsed="false">
      <c r="B23" s="24" t="s">
        <v>349</v>
      </c>
      <c r="C23" s="25" t="s">
        <v>170</v>
      </c>
      <c r="E23" s="47" t="n">
        <f aca="false">SUM(F23:S23)</f>
        <v>-1756.08199836502</v>
      </c>
      <c r="F23" s="47" t="n">
        <f aca="false">F152</f>
        <v>-0</v>
      </c>
      <c r="G23" s="47" t="n">
        <f aca="false">G152</f>
        <v>-88.3730862512023</v>
      </c>
      <c r="H23" s="47" t="n">
        <f aca="false">H152</f>
        <v>-113.599709038291</v>
      </c>
      <c r="I23" s="47" t="n">
        <f aca="false">I152</f>
        <v>-127.998275273704</v>
      </c>
      <c r="J23" s="47" t="n">
        <f aca="false">J152</f>
        <v>-141.840867465638</v>
      </c>
      <c r="K23" s="47" t="n">
        <f aca="false">K152</f>
        <v>-149.097955856646</v>
      </c>
      <c r="L23" s="47" t="n">
        <f aca="false">L152</f>
        <v>-151.106687965474</v>
      </c>
      <c r="M23" s="47" t="n">
        <f aca="false">M152</f>
        <v>-151.115594716478</v>
      </c>
      <c r="N23" s="47" t="n">
        <f aca="false">N152</f>
        <v>-151.124679602502</v>
      </c>
      <c r="O23" s="47" t="n">
        <f aca="false">O152</f>
        <v>-153.133946186247</v>
      </c>
      <c r="P23" s="47" t="n">
        <f aca="false">P152</f>
        <v>-139.30513865452</v>
      </c>
      <c r="Q23" s="47" t="n">
        <f aca="false">Q152</f>
        <v>-132.613053120152</v>
      </c>
      <c r="R23" s="47" t="n">
        <f aca="false">R152</f>
        <v>-130.935393142955</v>
      </c>
      <c r="S23" s="47" t="n">
        <f aca="false">S152</f>
        <v>-125.837611091214</v>
      </c>
    </row>
    <row r="24" customFormat="false" ht="15" hidden="false" customHeight="false" outlineLevel="0" collapsed="false">
      <c r="B24" s="69" t="s">
        <v>347</v>
      </c>
      <c r="C24" s="25" t="s">
        <v>170</v>
      </c>
      <c r="E24" s="70" t="n">
        <f aca="false">SUM(F24:S24)</f>
        <v>4461.55287062813</v>
      </c>
      <c r="F24" s="68" t="n">
        <f aca="false">F22+F23</f>
        <v>0</v>
      </c>
      <c r="G24" s="68" t="n">
        <f aca="false">G22+G23</f>
        <v>65.862186923799</v>
      </c>
      <c r="H24" s="68" t="n">
        <f aca="false">H22+H23</f>
        <v>149.958617036076</v>
      </c>
      <c r="I24" s="68" t="n">
        <f aca="false">I22+I23</f>
        <v>181.17362643542</v>
      </c>
      <c r="J24" s="68" t="n">
        <f aca="false">J22+J23</f>
        <v>246.955650963376</v>
      </c>
      <c r="K24" s="68" t="n">
        <f aca="false">K22+K23</f>
        <v>286.471981951159</v>
      </c>
      <c r="L24" s="68" t="n">
        <f aca="false">L22+L23</f>
        <v>337.082059841653</v>
      </c>
      <c r="M24" s="68" t="n">
        <f aca="false">M22+M23</f>
        <v>356.191128182046</v>
      </c>
      <c r="N24" s="68" t="n">
        <f aca="false">N22+N23</f>
        <v>396.87366715829</v>
      </c>
      <c r="O24" s="68" t="n">
        <f aca="false">O22+O23</f>
        <v>421.186840211907</v>
      </c>
      <c r="P24" s="68" t="n">
        <f aca="false">P22+P23</f>
        <v>479.80329022599</v>
      </c>
      <c r="Q24" s="68" t="n">
        <f aca="false">Q22+Q23</f>
        <v>505.615491080864</v>
      </c>
      <c r="R24" s="68" t="n">
        <f aca="false">R22+R23</f>
        <v>504.317827130116</v>
      </c>
      <c r="S24" s="68" t="n">
        <f aca="false">S22+S23</f>
        <v>530.060503487431</v>
      </c>
    </row>
    <row r="25" customFormat="false" ht="15" hidden="false" customHeight="false" outlineLevel="0" collapsed="false">
      <c r="B25" s="24" t="s">
        <v>394</v>
      </c>
      <c r="C25" s="25" t="s">
        <v>170</v>
      </c>
      <c r="E25" s="47" t="n">
        <f aca="false">SUM(F25:S25)</f>
        <v>-43.5917916870468</v>
      </c>
      <c r="F25" s="58" t="n">
        <f aca="false">-Financing!F22</f>
        <v>-0</v>
      </c>
      <c r="G25" s="58" t="n">
        <f aca="false">-Financing!G22</f>
        <v>-5.470905517661</v>
      </c>
      <c r="H25" s="58" t="n">
        <f aca="false">-Financing!H22</f>
        <v>-15.2734615278</v>
      </c>
      <c r="I25" s="58" t="n">
        <f aca="false">-Financing!I22</f>
        <v>-15.2734615278</v>
      </c>
      <c r="J25" s="58" t="n">
        <f aca="false">-Financing!J22</f>
        <v>-7.57396311378575</v>
      </c>
      <c r="K25" s="58" t="n">
        <f aca="false">-Financing!K22</f>
        <v>-0</v>
      </c>
      <c r="L25" s="58" t="n">
        <f aca="false">-Financing!L22</f>
        <v>-0</v>
      </c>
      <c r="M25" s="58" t="n">
        <f aca="false">-Financing!M22</f>
        <v>-0</v>
      </c>
      <c r="N25" s="58" t="n">
        <f aca="false">-Financing!N22</f>
        <v>-0</v>
      </c>
      <c r="O25" s="58" t="n">
        <f aca="false">-Financing!O22</f>
        <v>-0</v>
      </c>
      <c r="P25" s="58" t="n">
        <f aca="false">-Financing!P22</f>
        <v>-0</v>
      </c>
      <c r="Q25" s="58" t="n">
        <f aca="false">-Financing!Q22</f>
        <v>-0</v>
      </c>
      <c r="R25" s="58" t="n">
        <f aca="false">-Financing!R22</f>
        <v>-0</v>
      </c>
      <c r="S25" s="58" t="n">
        <f aca="false">-Financing!S22</f>
        <v>-0</v>
      </c>
    </row>
    <row r="26" customFormat="false" ht="15" hidden="false" customHeight="false" outlineLevel="0" collapsed="false">
      <c r="B26" s="69" t="s">
        <v>395</v>
      </c>
      <c r="C26" s="25" t="s">
        <v>170</v>
      </c>
      <c r="E26" s="70" t="n">
        <f aca="false">SUM(F26:S26)</f>
        <v>4417.96107894108</v>
      </c>
      <c r="F26" s="68" t="n">
        <f aca="false">F24+F25</f>
        <v>0</v>
      </c>
      <c r="G26" s="68" t="n">
        <f aca="false">G24+G25</f>
        <v>60.391281406138</v>
      </c>
      <c r="H26" s="68" t="n">
        <f aca="false">H24+H25</f>
        <v>134.685155508276</v>
      </c>
      <c r="I26" s="68" t="n">
        <f aca="false">I24+I25</f>
        <v>165.90016490762</v>
      </c>
      <c r="J26" s="68" t="n">
        <f aca="false">J24+J25</f>
        <v>239.381687849591</v>
      </c>
      <c r="K26" s="68" t="n">
        <f aca="false">K24+K25</f>
        <v>286.471981951159</v>
      </c>
      <c r="L26" s="68" t="n">
        <f aca="false">L24+L25</f>
        <v>337.082059841653</v>
      </c>
      <c r="M26" s="68" t="n">
        <f aca="false">M24+M25</f>
        <v>356.191128182046</v>
      </c>
      <c r="N26" s="68" t="n">
        <f aca="false">N24+N25</f>
        <v>396.87366715829</v>
      </c>
      <c r="O26" s="68" t="n">
        <f aca="false">O24+O25</f>
        <v>421.186840211907</v>
      </c>
      <c r="P26" s="68" t="n">
        <f aca="false">P24+P25</f>
        <v>479.80329022599</v>
      </c>
      <c r="Q26" s="68" t="n">
        <f aca="false">Q24+Q25</f>
        <v>505.615491080864</v>
      </c>
      <c r="R26" s="68" t="n">
        <f aca="false">R24+R25</f>
        <v>504.317827130116</v>
      </c>
      <c r="S26" s="68" t="n">
        <f aca="false">S24+S25</f>
        <v>530.060503487431</v>
      </c>
    </row>
    <row r="27" customFormat="false" ht="15" hidden="false" customHeight="false" outlineLevel="0" collapsed="false">
      <c r="B27" s="77" t="s">
        <v>396</v>
      </c>
      <c r="C27" s="25" t="s">
        <v>170</v>
      </c>
      <c r="E27" s="47" t="n">
        <f aca="false">SUM(F27:S27)</f>
        <v>-998.699923381906</v>
      </c>
      <c r="F27" s="47" t="n">
        <f aca="false">F168</f>
        <v>-0</v>
      </c>
      <c r="G27" s="47" t="n">
        <f aca="false">G168</f>
        <v>-19.9622380784868</v>
      </c>
      <c r="H27" s="47" t="n">
        <f aca="false">H168</f>
        <v>-36.9445769942651</v>
      </c>
      <c r="I27" s="47" t="n">
        <f aca="false">I168</f>
        <v>-43.9227051513268</v>
      </c>
      <c r="J27" s="47" t="n">
        <f aca="false">J168</f>
        <v>-56.1116228732108</v>
      </c>
      <c r="K27" s="47" t="n">
        <f aca="false">K168</f>
        <v>-64.6214491166677</v>
      </c>
      <c r="L27" s="47" t="n">
        <f aca="false">L168</f>
        <v>-74.4178334001094</v>
      </c>
      <c r="M27" s="47" t="n">
        <f aca="false">M168</f>
        <v>-78.3908215230282</v>
      </c>
      <c r="N27" s="47" t="n">
        <f aca="false">N168</f>
        <v>-87.3122067748237</v>
      </c>
      <c r="O27" s="47" t="n">
        <f aca="false">O168</f>
        <v>-92.6611048466195</v>
      </c>
      <c r="P27" s="47" t="n">
        <f aca="false">P168</f>
        <v>-105.556723849718</v>
      </c>
      <c r="Q27" s="47" t="n">
        <f aca="false">Q168</f>
        <v>-111.23540803779</v>
      </c>
      <c r="R27" s="47" t="n">
        <f aca="false">R168</f>
        <v>-110.949921968626</v>
      </c>
      <c r="S27" s="47" t="n">
        <f aca="false">S168</f>
        <v>-116.613310767235</v>
      </c>
    </row>
    <row r="28" customFormat="false" ht="15" hidden="false" customHeight="false" outlineLevel="0" collapsed="false">
      <c r="B28" s="77" t="s">
        <v>397</v>
      </c>
      <c r="C28" s="25" t="s">
        <v>170</v>
      </c>
      <c r="E28" s="47" t="n">
        <f aca="false">SUM(F28:S28)</f>
        <v>9.59019417115029</v>
      </c>
      <c r="F28" s="58" t="n">
        <f aca="false">Financing!F23</f>
        <v>0</v>
      </c>
      <c r="G28" s="58" t="n">
        <f aca="false">Financing!G23</f>
        <v>1.20359921388542</v>
      </c>
      <c r="H28" s="58" t="n">
        <f aca="false">Financing!H23</f>
        <v>3.360161536116</v>
      </c>
      <c r="I28" s="58" t="n">
        <f aca="false">Financing!I23</f>
        <v>3.360161536116</v>
      </c>
      <c r="J28" s="58" t="n">
        <f aca="false">Financing!J23</f>
        <v>1.66627188503287</v>
      </c>
      <c r="K28" s="58" t="n">
        <f aca="false">Financing!K23</f>
        <v>0</v>
      </c>
      <c r="L28" s="58" t="n">
        <f aca="false">Financing!L23</f>
        <v>0</v>
      </c>
      <c r="M28" s="58" t="n">
        <f aca="false">Financing!M23</f>
        <v>0</v>
      </c>
      <c r="N28" s="58" t="n">
        <f aca="false">Financing!N23</f>
        <v>0</v>
      </c>
      <c r="O28" s="58" t="n">
        <f aca="false">Financing!O23</f>
        <v>0</v>
      </c>
      <c r="P28" s="58" t="n">
        <f aca="false">Financing!P23</f>
        <v>0</v>
      </c>
      <c r="Q28" s="58" t="n">
        <f aca="false">Financing!Q23</f>
        <v>0</v>
      </c>
      <c r="R28" s="58" t="n">
        <f aca="false">Financing!R23</f>
        <v>0</v>
      </c>
      <c r="S28" s="58" t="n">
        <f aca="false">Financing!S23</f>
        <v>0</v>
      </c>
    </row>
    <row r="29" customFormat="false" ht="15" hidden="false" customHeight="false" outlineLevel="0" collapsed="false">
      <c r="B29" s="24" t="s">
        <v>398</v>
      </c>
      <c r="C29" s="25" t="s">
        <v>170</v>
      </c>
      <c r="E29" s="47" t="n">
        <f aca="false">SUM(F29:S29)</f>
        <v>-989.109729210756</v>
      </c>
      <c r="F29" s="47" t="n">
        <f aca="false">F27+F28</f>
        <v>0</v>
      </c>
      <c r="G29" s="47" t="n">
        <f aca="false">G27+G28</f>
        <v>-18.7586388646014</v>
      </c>
      <c r="H29" s="47" t="n">
        <f aca="false">H27+H28</f>
        <v>-33.5844154581491</v>
      </c>
      <c r="I29" s="47" t="n">
        <f aca="false">I27+I28</f>
        <v>-40.5625436152108</v>
      </c>
      <c r="J29" s="47" t="n">
        <f aca="false">J27+J28</f>
        <v>-54.4453509881779</v>
      </c>
      <c r="K29" s="47" t="n">
        <f aca="false">K27+K28</f>
        <v>-64.6214491166677</v>
      </c>
      <c r="L29" s="47" t="n">
        <f aca="false">L27+L28</f>
        <v>-74.4178334001094</v>
      </c>
      <c r="M29" s="47" t="n">
        <f aca="false">M27+M28</f>
        <v>-78.3908215230282</v>
      </c>
      <c r="N29" s="47" t="n">
        <f aca="false">N27+N28</f>
        <v>-87.3122067748237</v>
      </c>
      <c r="O29" s="47" t="n">
        <f aca="false">O27+O28</f>
        <v>-92.6611048466195</v>
      </c>
      <c r="P29" s="47" t="n">
        <f aca="false">P27+P28</f>
        <v>-105.556723849718</v>
      </c>
      <c r="Q29" s="47" t="n">
        <f aca="false">Q27+Q28</f>
        <v>-111.23540803779</v>
      </c>
      <c r="R29" s="47" t="n">
        <f aca="false">R27+R28</f>
        <v>-110.949921968626</v>
      </c>
      <c r="S29" s="47" t="n">
        <f aca="false">S27+S28</f>
        <v>-116.613310767235</v>
      </c>
    </row>
    <row r="30" customFormat="false" ht="15" hidden="false" customHeight="false" outlineLevel="0" collapsed="false">
      <c r="B30" s="69" t="s">
        <v>399</v>
      </c>
      <c r="C30" s="25" t="s">
        <v>170</v>
      </c>
      <c r="E30" s="70" t="n">
        <f aca="false">SUM(F30:S30)</f>
        <v>3428.85134973033</v>
      </c>
      <c r="F30" s="68" t="n">
        <f aca="false">F26+F29</f>
        <v>0</v>
      </c>
      <c r="G30" s="68" t="n">
        <f aca="false">G26+G29</f>
        <v>41.6326425415366</v>
      </c>
      <c r="H30" s="68" t="n">
        <f aca="false">H26+H29</f>
        <v>101.100740050127</v>
      </c>
      <c r="I30" s="68" t="n">
        <f aca="false">I26+I29</f>
        <v>125.33762129241</v>
      </c>
      <c r="J30" s="68" t="n">
        <f aca="false">J26+J29</f>
        <v>184.936336861413</v>
      </c>
      <c r="K30" s="68" t="n">
        <f aca="false">K26+K29</f>
        <v>221.850532834491</v>
      </c>
      <c r="L30" s="68" t="n">
        <f aca="false">L26+L29</f>
        <v>262.664226441543</v>
      </c>
      <c r="M30" s="68" t="n">
        <f aca="false">M26+M29</f>
        <v>277.800306659018</v>
      </c>
      <c r="N30" s="68" t="n">
        <f aca="false">N26+N29</f>
        <v>309.561460383466</v>
      </c>
      <c r="O30" s="68" t="n">
        <f aca="false">O26+O29</f>
        <v>328.525735365287</v>
      </c>
      <c r="P30" s="68" t="n">
        <f aca="false">P26+P29</f>
        <v>374.246566376272</v>
      </c>
      <c r="Q30" s="68" t="n">
        <f aca="false">Q26+Q29</f>
        <v>394.380083043074</v>
      </c>
      <c r="R30" s="68" t="n">
        <f aca="false">R26+R29</f>
        <v>393.36790516149</v>
      </c>
      <c r="S30" s="68" t="n">
        <f aca="false">S26+S29</f>
        <v>413.447192720197</v>
      </c>
    </row>
    <row r="31" customFormat="false" ht="15" hidden="false" customHeight="false" outlineLevel="0" collapsed="false">
      <c r="B31" s="77" t="s">
        <v>400</v>
      </c>
      <c r="C31" s="25" t="s">
        <v>170</v>
      </c>
      <c r="E31" s="47" t="n">
        <f aca="false">SUM(F31:S31)</f>
        <v>332.862947530845</v>
      </c>
      <c r="F31" s="47" t="n">
        <f aca="false">F200</f>
        <v>0</v>
      </c>
      <c r="G31" s="47" t="n">
        <f aca="false">G200</f>
        <v>19.320159155041</v>
      </c>
      <c r="H31" s="47" t="n">
        <f aca="false">H200</f>
        <v>20.1125562482986</v>
      </c>
      <c r="I31" s="47" t="n">
        <f aca="false">I200</f>
        <v>20.6420142676228</v>
      </c>
      <c r="J31" s="47" t="n">
        <f aca="false">J200</f>
        <v>21.4661686345109</v>
      </c>
      <c r="K31" s="47" t="n">
        <f aca="false">K200</f>
        <v>22.3061797337796</v>
      </c>
      <c r="L31" s="47" t="n">
        <f aca="false">L200</f>
        <v>24.368473053569</v>
      </c>
      <c r="M31" s="47" t="n">
        <f aca="false">M200</f>
        <v>25.2845572350386</v>
      </c>
      <c r="N31" s="47" t="n">
        <f aca="false">N200</f>
        <v>26.2175649795056</v>
      </c>
      <c r="O31" s="47" t="n">
        <f aca="false">O200</f>
        <v>28.5602689399555</v>
      </c>
      <c r="P31" s="47" t="n">
        <f aca="false">P200</f>
        <v>29.5768557966095</v>
      </c>
      <c r="Q31" s="47" t="n">
        <f aca="false">Q200</f>
        <v>30.6113632230258</v>
      </c>
      <c r="R31" s="47" t="n">
        <f aca="false">R200</f>
        <v>31.663572778423</v>
      </c>
      <c r="S31" s="47" t="n">
        <f aca="false">S200</f>
        <v>32.733213485465</v>
      </c>
    </row>
    <row r="32" customFormat="false" ht="15" hidden="false" customHeight="false" outlineLevel="0" collapsed="false">
      <c r="B32" s="77" t="s">
        <v>401</v>
      </c>
      <c r="C32" s="25" t="s">
        <v>170</v>
      </c>
      <c r="E32" s="47" t="n">
        <f aca="false">SUM(F32:S32)</f>
        <v>3095.98840219948</v>
      </c>
      <c r="F32" s="47" t="n">
        <f aca="false">F30-F31</f>
        <v>0</v>
      </c>
      <c r="G32" s="47" t="n">
        <f aca="false">G30-G31</f>
        <v>22.3124833864956</v>
      </c>
      <c r="H32" s="47" t="n">
        <f aca="false">H30-H31</f>
        <v>80.9881838018287</v>
      </c>
      <c r="I32" s="47" t="n">
        <f aca="false">I30-I31</f>
        <v>104.695607024787</v>
      </c>
      <c r="J32" s="47" t="n">
        <f aca="false">J30-J31</f>
        <v>163.470168226902</v>
      </c>
      <c r="K32" s="47" t="n">
        <f aca="false">K30-K31</f>
        <v>199.544353100712</v>
      </c>
      <c r="L32" s="47" t="n">
        <f aca="false">L30-L31</f>
        <v>238.295753387975</v>
      </c>
      <c r="M32" s="47" t="n">
        <f aca="false">M30-M31</f>
        <v>252.515749423979</v>
      </c>
      <c r="N32" s="47" t="n">
        <f aca="false">N30-N31</f>
        <v>283.343895403961</v>
      </c>
      <c r="O32" s="47" t="n">
        <f aca="false">O30-O31</f>
        <v>299.965466425332</v>
      </c>
      <c r="P32" s="47" t="n">
        <f aca="false">P30-P31</f>
        <v>344.669710579663</v>
      </c>
      <c r="Q32" s="47" t="n">
        <f aca="false">Q30-Q31</f>
        <v>363.768719820048</v>
      </c>
      <c r="R32" s="47" t="n">
        <f aca="false">R30-R31</f>
        <v>361.704332383067</v>
      </c>
      <c r="S32" s="47" t="n">
        <f aca="false">S30-S31</f>
        <v>380.713979234732</v>
      </c>
    </row>
    <row r="33" customFormat="false" ht="15" hidden="false" customHeight="false" outlineLevel="0" collapsed="false">
      <c r="B33" s="24" t="s">
        <v>402</v>
      </c>
      <c r="C33" s="25" t="s">
        <v>160</v>
      </c>
      <c r="F33" s="49" t="n">
        <f aca="false">IF(F18=0,0,F22/F18)</f>
        <v>0</v>
      </c>
      <c r="G33" s="49" t="n">
        <f aca="false">IF(G18=0,0,G22/G18)</f>
        <v>0.505211684853417</v>
      </c>
      <c r="H33" s="49" t="n">
        <f aca="false">IF(H18=0,0,H22/H18)</f>
        <v>0.616362725987678</v>
      </c>
      <c r="I33" s="49" t="n">
        <f aca="false">IF(I18=0,0,I22/I18)</f>
        <v>0.625131681926067</v>
      </c>
      <c r="J33" s="49" t="n">
        <f aca="false">IF(J18=0,0,J22/J18)</f>
        <v>0.627165900465344</v>
      </c>
      <c r="K33" s="49" t="n">
        <f aca="false">IF(K18=0,0,K22/K18)</f>
        <v>0.620444518721724</v>
      </c>
      <c r="L33" s="49" t="n">
        <f aca="false">IF(L18=0,0,L22/L18)</f>
        <v>0.630927140360566</v>
      </c>
      <c r="M33" s="49" t="n">
        <f aca="false">IF(M18=0,0,M22/M18)</f>
        <v>0.627940376010722</v>
      </c>
      <c r="N33" s="49" t="n">
        <f aca="false">IF(N18=0,0,N22/N18)</f>
        <v>0.63191191912056</v>
      </c>
      <c r="O33" s="49" t="n">
        <f aca="false">IF(O18=0,0,O22/O18)</f>
        <v>0.631917284017068</v>
      </c>
      <c r="P33" s="49" t="n">
        <f aca="false">IF(P18=0,0,P22/P18)</f>
        <v>0.636696735916393</v>
      </c>
      <c r="Q33" s="49" t="n">
        <f aca="false">IF(Q18=0,0,Q22/Q18)</f>
        <v>0.643228121262328</v>
      </c>
      <c r="R33" s="49" t="n">
        <f aca="false">IF(R18=0,0,R22/R18)</f>
        <v>0.632178533010326</v>
      </c>
      <c r="S33" s="49" t="n">
        <f aca="false">IF(S18=0,0,S22/S18)</f>
        <v>0.630096741119125</v>
      </c>
    </row>
    <row r="34" customFormat="false" ht="15" hidden="false" customHeight="false" outlineLevel="0" collapsed="false">
      <c r="B34" s="24" t="s">
        <v>403</v>
      </c>
      <c r="C34" s="25" t="s">
        <v>160</v>
      </c>
      <c r="F34" s="49" t="n">
        <f aca="false">IF(F18=0,0,F30/F18)</f>
        <v>0</v>
      </c>
      <c r="G34" s="49" t="n">
        <f aca="false">IF(G18=0,0,G30/G18)</f>
        <v>0.136371512497304</v>
      </c>
      <c r="H34" s="49" t="n">
        <f aca="false">IF(H18=0,0,H30/H18)</f>
        <v>0.236436194844723</v>
      </c>
      <c r="I34" s="49" t="n">
        <f aca="false">IF(I18=0,0,I30/I18)</f>
        <v>0.253427033873383</v>
      </c>
      <c r="J34" s="49" t="n">
        <f aca="false">IF(J18=0,0,J30/J18)</f>
        <v>0.298319966200074</v>
      </c>
      <c r="K34" s="49" t="n">
        <f aca="false">IF(K18=0,0,K30/K18)</f>
        <v>0.316013423160967</v>
      </c>
      <c r="L34" s="49" t="n">
        <f aca="false">IF(L18=0,0,L30/L18)</f>
        <v>0.339462943396755</v>
      </c>
      <c r="M34" s="49" t="n">
        <f aca="false">IF(M18=0,0,M30/M18)</f>
        <v>0.343859091838314</v>
      </c>
      <c r="N34" s="49" t="n">
        <f aca="false">IF(N18=0,0,N30/N18)</f>
        <v>0.356963807779639</v>
      </c>
      <c r="O34" s="49" t="n">
        <f aca="false">IF(O18=0,0,O30/O18)</f>
        <v>0.361472360636135</v>
      </c>
      <c r="P34" s="49" t="n">
        <f aca="false">IF(P18=0,0,P30/P18)</f>
        <v>0.384878570738502</v>
      </c>
      <c r="Q34" s="49" t="n">
        <f aca="false">IF(Q18=0,0,Q30/Q18)</f>
        <v>0.397469467926491</v>
      </c>
      <c r="R34" s="49" t="n">
        <f aca="false">IF(R18=0,0,R30/R18)</f>
        <v>0.391463966308488</v>
      </c>
      <c r="S34" s="49" t="n">
        <f aca="false">IF(S18=0,0,S30/S18)</f>
        <v>0.397183225515447</v>
      </c>
    </row>
    <row r="36" customFormat="false" ht="15" hidden="false" customHeight="false" outlineLevel="0" collapsed="false">
      <c r="B36" s="22" t="s">
        <v>404</v>
      </c>
      <c r="C36" s="23"/>
      <c r="D36" s="23"/>
      <c r="E36" s="23"/>
      <c r="F36" s="23"/>
      <c r="G36" s="23"/>
      <c r="H36" s="23"/>
      <c r="I36" s="23"/>
      <c r="J36" s="23"/>
      <c r="K36" s="23"/>
      <c r="L36" s="23"/>
      <c r="M36" s="23"/>
      <c r="N36" s="23"/>
      <c r="O36" s="23"/>
      <c r="P36" s="23"/>
      <c r="Q36" s="23"/>
      <c r="R36" s="23"/>
      <c r="S36" s="23"/>
    </row>
    <row r="37" customFormat="false" ht="15" hidden="false" customHeight="false" outlineLevel="0" collapsed="false">
      <c r="B37" s="24" t="s">
        <v>214</v>
      </c>
      <c r="C37" s="25" t="s">
        <v>170</v>
      </c>
      <c r="F37" s="47" t="n">
        <f aca="false">F66</f>
        <v>60.6389</v>
      </c>
      <c r="G37" s="47" t="n">
        <f aca="false">G66</f>
        <v>32.2094486119924</v>
      </c>
      <c r="H37" s="47" t="n">
        <f aca="false">H66</f>
        <v>192.171764763442</v>
      </c>
      <c r="I37" s="47" t="n">
        <f aca="false">I66</f>
        <v>3</v>
      </c>
      <c r="J37" s="47" t="n">
        <f aca="false">J66</f>
        <v>155.3343952679</v>
      </c>
      <c r="K37" s="47" t="n">
        <f aca="false">K66</f>
        <v>458.32171254063</v>
      </c>
      <c r="L37" s="47" t="n">
        <f aca="false">L66</f>
        <v>792.446392597603</v>
      </c>
      <c r="M37" s="47" t="n">
        <f aca="false">M66</f>
        <v>1142.22701598272</v>
      </c>
      <c r="N37" s="47" t="n">
        <f aca="false">N66</f>
        <v>1511.55497289821</v>
      </c>
      <c r="O37" s="47" t="n">
        <f aca="false">O66</f>
        <v>1899.24610231286</v>
      </c>
      <c r="P37" s="47" t="n">
        <f aca="false">P66</f>
        <v>2302.24459683888</v>
      </c>
      <c r="Q37" s="47" t="n">
        <f aca="false">Q66</f>
        <v>2717.31908551221</v>
      </c>
      <c r="R37" s="47" t="n">
        <f aca="false">R66</f>
        <v>3132.28883092558</v>
      </c>
      <c r="S37" s="47" t="n">
        <f aca="false">S66</f>
        <v>3554.07737462109</v>
      </c>
    </row>
    <row r="38" customFormat="false" ht="15" hidden="false" customHeight="false" outlineLevel="0" collapsed="false">
      <c r="B38" s="24" t="s">
        <v>405</v>
      </c>
      <c r="C38" s="25" t="s">
        <v>170</v>
      </c>
      <c r="F38" s="72" t="n">
        <f aca="false">'Global Inputs'!$E$30</f>
        <v>0.519811</v>
      </c>
      <c r="G38" s="72" t="n">
        <f aca="false">'Global Inputs'!$E$30</f>
        <v>0.519811</v>
      </c>
      <c r="H38" s="72" t="n">
        <f aca="false">'Global Inputs'!$E$30</f>
        <v>0.519811</v>
      </c>
      <c r="I38" s="72" t="n">
        <f aca="false">'Global Inputs'!$E$30</f>
        <v>0.519811</v>
      </c>
      <c r="J38" s="72" t="n">
        <f aca="false">'Global Inputs'!$E$30</f>
        <v>0.519811</v>
      </c>
      <c r="K38" s="72" t="n">
        <f aca="false">'Global Inputs'!$E$30</f>
        <v>0.519811</v>
      </c>
      <c r="L38" s="72" t="n">
        <f aca="false">'Global Inputs'!$E$30</f>
        <v>0.519811</v>
      </c>
      <c r="M38" s="72" t="n">
        <f aca="false">'Global Inputs'!$E$30</f>
        <v>0.519811</v>
      </c>
      <c r="N38" s="72" t="n">
        <f aca="false">'Global Inputs'!$E$30</f>
        <v>0.519811</v>
      </c>
      <c r="O38" s="72" t="n">
        <f aca="false">'Global Inputs'!$E$30</f>
        <v>0.519811</v>
      </c>
      <c r="P38" s="72" t="n">
        <f aca="false">'Global Inputs'!$E$30</f>
        <v>0.519811</v>
      </c>
      <c r="Q38" s="72" t="n">
        <f aca="false">'Global Inputs'!$E$30</f>
        <v>0.519811</v>
      </c>
      <c r="R38" s="72" t="n">
        <f aca="false">'Global Inputs'!$E$30</f>
        <v>0.519811</v>
      </c>
      <c r="S38" s="72" t="n">
        <f aca="false">'Global Inputs'!$E$30</f>
        <v>0.519811</v>
      </c>
    </row>
    <row r="39" customFormat="false" ht="15" hidden="false" customHeight="false" outlineLevel="0" collapsed="false">
      <c r="B39" s="24" t="s">
        <v>406</v>
      </c>
      <c r="C39" s="25" t="s">
        <v>170</v>
      </c>
      <c r="F39" s="47" t="n">
        <f aca="false">F264</f>
        <v>45</v>
      </c>
      <c r="G39" s="47" t="n">
        <f aca="false">G264</f>
        <v>37.5354605361583</v>
      </c>
      <c r="H39" s="47" t="n">
        <f aca="false">H264</f>
        <v>52.7181331474504</v>
      </c>
      <c r="I39" s="47" t="n">
        <f aca="false">I264</f>
        <v>60.9744872550961</v>
      </c>
      <c r="J39" s="47" t="n">
        <f aca="false">J264</f>
        <v>76.4292467192454</v>
      </c>
      <c r="K39" s="47" t="n">
        <f aca="false">K264</f>
        <v>86.3150197351139</v>
      </c>
      <c r="L39" s="47" t="n">
        <f aca="false">L264</f>
        <v>95.3955694548793</v>
      </c>
      <c r="M39" s="47" t="n">
        <f aca="false">M264</f>
        <v>99.6028713176317</v>
      </c>
      <c r="N39" s="47" t="n">
        <f aca="false">N264</f>
        <v>106.915913384939</v>
      </c>
      <c r="O39" s="47" t="n">
        <f aca="false">O264</f>
        <v>111.744390014958</v>
      </c>
      <c r="P39" s="47" t="n">
        <f aca="false">P264</f>
        <v>119.881934571981</v>
      </c>
      <c r="Q39" s="47" t="n">
        <f aca="false">Q264</f>
        <v>122.329401230893</v>
      </c>
      <c r="R39" s="47" t="n">
        <f aca="false">R264</f>
        <v>123.887297782339</v>
      </c>
      <c r="S39" s="47" t="n">
        <f aca="false">S264</f>
        <v>127.985443418765</v>
      </c>
    </row>
    <row r="40" customFormat="false" ht="15" hidden="false" customHeight="false" outlineLevel="0" collapsed="false">
      <c r="B40" s="24" t="s">
        <v>407</v>
      </c>
      <c r="C40" s="25" t="s">
        <v>170</v>
      </c>
      <c r="F40" s="47" t="n">
        <f aca="false">'Global Inputs'!$E$61</f>
        <v>826.022</v>
      </c>
      <c r="G40" s="47" t="n">
        <f aca="false">F40-G312</f>
        <v>737.648913748798</v>
      </c>
      <c r="H40" s="47" t="n">
        <f aca="false">G40-H312</f>
        <v>649.267760378796</v>
      </c>
      <c r="I40" s="47" t="n">
        <f aca="false">H40-I312</f>
        <v>561.495365654332</v>
      </c>
      <c r="J40" s="47" t="n">
        <f aca="false">I40-J312</f>
        <v>475.941205006184</v>
      </c>
      <c r="K40" s="47" t="n">
        <f aca="false">J40-K312</f>
        <v>390.280893467029</v>
      </c>
      <c r="L40" s="47" t="n">
        <f aca="false">K40-L312</f>
        <v>302.611849819046</v>
      </c>
      <c r="M40" s="47" t="n">
        <f aca="false">L40-M312</f>
        <v>214.933899420059</v>
      </c>
      <c r="N40" s="47" t="n">
        <f aca="false">M40-N312</f>
        <v>127.246864135047</v>
      </c>
      <c r="O40" s="47" t="n">
        <f aca="false">N40-O312</f>
        <v>37.550562266291</v>
      </c>
      <c r="P40" s="47" t="n">
        <f aca="false">O40-P312</f>
        <v>-52.1551915178849</v>
      </c>
      <c r="Q40" s="47" t="n">
        <f aca="false">P40-Q312</f>
        <v>-141.870586255789</v>
      </c>
      <c r="R40" s="47" t="n">
        <f aca="false">Q40-R312</f>
        <v>-231.595814766496</v>
      </c>
      <c r="S40" s="47" t="n">
        <f aca="false">R40-S312</f>
        <v>-321.331073725461</v>
      </c>
    </row>
    <row r="41" customFormat="false" ht="15" hidden="false" customHeight="false" outlineLevel="0" collapsed="false">
      <c r="B41" s="24" t="s">
        <v>408</v>
      </c>
      <c r="C41" s="25" t="s">
        <v>170</v>
      </c>
      <c r="F41" s="47" t="n">
        <f aca="false">F296</f>
        <v>198.433</v>
      </c>
      <c r="G41" s="47" t="n">
        <f aca="false">G296</f>
        <v>323.6735</v>
      </c>
      <c r="H41" s="47" t="n">
        <f aca="false">H296</f>
        <v>313.093444331712</v>
      </c>
      <c r="I41" s="47" t="n">
        <f aca="false">I296</f>
        <v>692.639609394376</v>
      </c>
      <c r="J41" s="47" t="n">
        <f aca="false">J296</f>
        <v>796.356527576886</v>
      </c>
      <c r="K41" s="47" t="n">
        <f aca="false">K296</f>
        <v>732.918883259395</v>
      </c>
      <c r="L41" s="47" t="n">
        <f aca="false">L296</f>
        <v>669.481238941904</v>
      </c>
      <c r="M41" s="47" t="n">
        <f aca="false">M296</f>
        <v>606.043594624414</v>
      </c>
      <c r="N41" s="47" t="n">
        <f aca="false">N296</f>
        <v>542.605950306923</v>
      </c>
      <c r="O41" s="47" t="n">
        <f aca="false">O296</f>
        <v>479.168305989433</v>
      </c>
      <c r="P41" s="47" t="n">
        <f aca="false">P296</f>
        <v>429.568921119089</v>
      </c>
      <c r="Q41" s="47" t="n">
        <f aca="false">Q296</f>
        <v>386.671262736841</v>
      </c>
      <c r="R41" s="47" t="n">
        <f aca="false">R296</f>
        <v>345.461098104592</v>
      </c>
      <c r="S41" s="47" t="n">
        <f aca="false">S296</f>
        <v>309.358745972344</v>
      </c>
    </row>
    <row r="42" customFormat="false" ht="15" hidden="false" customHeight="false" outlineLevel="0" collapsed="false">
      <c r="B42" s="24" t="s">
        <v>409</v>
      </c>
      <c r="C42" s="25" t="s">
        <v>170</v>
      </c>
      <c r="F42" s="58" t="n">
        <f aca="false">'Global Inputs'!$E$109</f>
        <v>132.83</v>
      </c>
      <c r="G42" s="58" t="n">
        <f aca="false">'Global Inputs'!$E$109</f>
        <v>132.83</v>
      </c>
      <c r="H42" s="58" t="n">
        <f aca="false">'Global Inputs'!$E$109</f>
        <v>132.83</v>
      </c>
      <c r="I42" s="58" t="n">
        <f aca="false">'Global Inputs'!$E$109</f>
        <v>132.83</v>
      </c>
      <c r="J42" s="58" t="n">
        <f aca="false">'Global Inputs'!$E$109</f>
        <v>132.83</v>
      </c>
      <c r="K42" s="58" t="n">
        <f aca="false">'Global Inputs'!$E$109</f>
        <v>132.83</v>
      </c>
      <c r="L42" s="58" t="n">
        <f aca="false">'Global Inputs'!$E$109</f>
        <v>132.83</v>
      </c>
      <c r="M42" s="58" t="n">
        <f aca="false">'Global Inputs'!$E$109</f>
        <v>132.83</v>
      </c>
      <c r="N42" s="58" t="n">
        <f aca="false">'Global Inputs'!$E$109</f>
        <v>132.83</v>
      </c>
      <c r="O42" s="58" t="n">
        <f aca="false">'Global Inputs'!$E$109</f>
        <v>132.83</v>
      </c>
      <c r="P42" s="58" t="n">
        <f aca="false">'Global Inputs'!$E$109</f>
        <v>132.83</v>
      </c>
      <c r="Q42" s="58" t="n">
        <f aca="false">'Global Inputs'!$E$109</f>
        <v>132.83</v>
      </c>
      <c r="R42" s="58" t="n">
        <f aca="false">'Global Inputs'!$E$109</f>
        <v>132.83</v>
      </c>
      <c r="S42" s="58" t="n">
        <f aca="false">'Global Inputs'!$E$109</f>
        <v>132.83</v>
      </c>
    </row>
    <row r="43" customFormat="false" ht="15" hidden="false" customHeight="false" outlineLevel="0" collapsed="false">
      <c r="B43" s="69" t="s">
        <v>410</v>
      </c>
      <c r="C43" s="25" t="s">
        <v>170</v>
      </c>
      <c r="F43" s="68" t="n">
        <f aca="false">F37+F38+F39+F40+F41+F42</f>
        <v>1263.443711</v>
      </c>
      <c r="G43" s="68" t="n">
        <f aca="false">G37+G38+G39+G40+G41+G42</f>
        <v>1264.41713389695</v>
      </c>
      <c r="H43" s="68" t="n">
        <f aca="false">H37+H38+H39+H40+H41+H42</f>
        <v>1340.6009136214</v>
      </c>
      <c r="I43" s="68" t="n">
        <f aca="false">I37+I38+I39+I40+I41+I42</f>
        <v>1451.4592733038</v>
      </c>
      <c r="J43" s="68" t="n">
        <f aca="false">J37+J38+J39+J40+J41+J42</f>
        <v>1637.41118557022</v>
      </c>
      <c r="K43" s="68" t="n">
        <f aca="false">K37+K38+K39+K40+K41+K42</f>
        <v>1801.18632000217</v>
      </c>
      <c r="L43" s="68" t="n">
        <f aca="false">L37+L38+L39+L40+L41+L42</f>
        <v>1993.28486181343</v>
      </c>
      <c r="M43" s="68" t="n">
        <f aca="false">M37+M38+M39+M40+M41+M42</f>
        <v>2196.15719234483</v>
      </c>
      <c r="N43" s="68" t="n">
        <f aca="false">N37+N38+N39+N40+N41+N42</f>
        <v>2421.67351172512</v>
      </c>
      <c r="O43" s="68" t="n">
        <f aca="false">O37+O38+O39+O40+O41+O42</f>
        <v>2661.05917158354</v>
      </c>
      <c r="P43" s="68" t="n">
        <f aca="false">P37+P38+P39+P40+P41+P42</f>
        <v>2932.89007201206</v>
      </c>
      <c r="Q43" s="68" t="n">
        <f aca="false">Q37+Q38+Q39+Q40+Q41+Q42</f>
        <v>3217.79897422416</v>
      </c>
      <c r="R43" s="68" t="n">
        <f aca="false">R37+R38+R39+R40+R41+R42</f>
        <v>3503.39122304602</v>
      </c>
      <c r="S43" s="68" t="n">
        <f aca="false">S37+S38+S39+S40+S41+S42</f>
        <v>3803.44030128674</v>
      </c>
    </row>
    <row r="44" customFormat="false" ht="15" hidden="false" customHeight="false" outlineLevel="0" collapsed="false">
      <c r="B44" s="24" t="s">
        <v>411</v>
      </c>
      <c r="C44" s="25" t="s">
        <v>170</v>
      </c>
      <c r="F44" s="47" t="n">
        <f aca="false">-F280</f>
        <v>14.6719859829049</v>
      </c>
      <c r="G44" s="47" t="n">
        <f aca="false">-G280</f>
        <v>10.0445113542653</v>
      </c>
      <c r="H44" s="47" t="n">
        <f aca="false">-H280</f>
        <v>9.42400616913743</v>
      </c>
      <c r="I44" s="47" t="n">
        <f aca="false">-I280</f>
        <v>9.22396802675108</v>
      </c>
      <c r="J44" s="47" t="n">
        <f aca="false">-J280</f>
        <v>10.2395434317493</v>
      </c>
      <c r="K44" s="47" t="n">
        <f aca="false">-K280</f>
        <v>12.0274509594241</v>
      </c>
      <c r="L44" s="47" t="n">
        <f aca="false">-L280</f>
        <v>12.9504923455377</v>
      </c>
      <c r="M44" s="47" t="n">
        <f aca="false">-M280</f>
        <v>13.7772410451066</v>
      </c>
      <c r="N44" s="47" t="n">
        <f aca="false">-N280</f>
        <v>14.735268663127</v>
      </c>
      <c r="O44" s="47" t="n">
        <f aca="false">-O280</f>
        <v>15.5848330838599</v>
      </c>
      <c r="P44" s="47" t="n">
        <f aca="false">-P280</f>
        <v>16.5700803100055</v>
      </c>
      <c r="Q44" s="47" t="n">
        <f aca="false">-Q280</f>
        <v>16.229515425039</v>
      </c>
      <c r="R44" s="47" t="n">
        <f aca="false">-R280</f>
        <v>16.9651588003286</v>
      </c>
      <c r="S44" s="47" t="n">
        <f aca="false">-S280</f>
        <v>17.7812380912747</v>
      </c>
    </row>
    <row r="45" customFormat="false" ht="15" hidden="false" customHeight="false" outlineLevel="0" collapsed="false">
      <c r="B45" s="24" t="s">
        <v>412</v>
      </c>
      <c r="C45" s="25" t="s">
        <v>170</v>
      </c>
      <c r="F45" s="58" t="n">
        <f aca="false">Financing!F24</f>
        <v>224.518</v>
      </c>
      <c r="G45" s="58" t="n">
        <f aca="false">Financing!G24</f>
        <v>195.18</v>
      </c>
      <c r="H45" s="58" t="n">
        <f aca="false">Financing!H24</f>
        <v>195.18</v>
      </c>
      <c r="I45" s="58" t="n">
        <f aca="false">Financing!I24</f>
        <v>195.18</v>
      </c>
      <c r="J45" s="58" t="n">
        <f aca="false">Financing!J24</f>
        <v>0</v>
      </c>
      <c r="K45" s="58" t="n">
        <f aca="false">Financing!K24</f>
        <v>0</v>
      </c>
      <c r="L45" s="58" t="n">
        <f aca="false">Financing!L24</f>
        <v>0</v>
      </c>
      <c r="M45" s="58" t="n">
        <f aca="false">Financing!M24</f>
        <v>0</v>
      </c>
      <c r="N45" s="58" t="n">
        <f aca="false">Financing!N24</f>
        <v>0</v>
      </c>
      <c r="O45" s="58" t="n">
        <f aca="false">Financing!O24</f>
        <v>0</v>
      </c>
      <c r="P45" s="58" t="n">
        <f aca="false">Financing!P24</f>
        <v>0</v>
      </c>
      <c r="Q45" s="58" t="n">
        <f aca="false">Financing!Q24</f>
        <v>0</v>
      </c>
      <c r="R45" s="58" t="n">
        <f aca="false">Financing!R24</f>
        <v>0</v>
      </c>
      <c r="S45" s="58" t="n">
        <f aca="false">Financing!S24</f>
        <v>0</v>
      </c>
    </row>
    <row r="46" customFormat="false" ht="15" hidden="false" customHeight="false" outlineLevel="0" collapsed="false">
      <c r="B46" s="24" t="s">
        <v>413</v>
      </c>
      <c r="C46" s="25" t="s">
        <v>170</v>
      </c>
      <c r="F46" s="58" t="n">
        <f aca="false">'Global Inputs'!$E$65</f>
        <v>55.9245</v>
      </c>
      <c r="G46" s="58" t="n">
        <f aca="false">'Global Inputs'!$E$65</f>
        <v>55.9245</v>
      </c>
      <c r="H46" s="58" t="n">
        <f aca="false">'Global Inputs'!$E$65</f>
        <v>55.9245</v>
      </c>
      <c r="I46" s="58" t="n">
        <f aca="false">'Global Inputs'!$E$65</f>
        <v>55.9245</v>
      </c>
      <c r="J46" s="58" t="n">
        <f aca="false">'Global Inputs'!$E$65</f>
        <v>55.9245</v>
      </c>
      <c r="K46" s="58" t="n">
        <f aca="false">'Global Inputs'!$E$65</f>
        <v>55.9245</v>
      </c>
      <c r="L46" s="58" t="n">
        <f aca="false">'Global Inputs'!$E$65</f>
        <v>55.9245</v>
      </c>
      <c r="M46" s="58" t="n">
        <f aca="false">'Global Inputs'!$E$65</f>
        <v>55.9245</v>
      </c>
      <c r="N46" s="58" t="n">
        <f aca="false">'Global Inputs'!$E$65</f>
        <v>55.9245</v>
      </c>
      <c r="O46" s="58" t="n">
        <f aca="false">'Global Inputs'!$E$65</f>
        <v>55.9245</v>
      </c>
      <c r="P46" s="58" t="n">
        <f aca="false">'Global Inputs'!$E$65</f>
        <v>55.9245</v>
      </c>
      <c r="Q46" s="58" t="n">
        <f aca="false">'Global Inputs'!$E$65</f>
        <v>55.9245</v>
      </c>
      <c r="R46" s="58" t="n">
        <f aca="false">'Global Inputs'!$E$65</f>
        <v>55.9245</v>
      </c>
      <c r="S46" s="58" t="n">
        <f aca="false">'Global Inputs'!$E$65</f>
        <v>55.9245</v>
      </c>
    </row>
    <row r="47" customFormat="false" ht="15" hidden="false" customHeight="false" outlineLevel="0" collapsed="false">
      <c r="B47" s="69" t="s">
        <v>414</v>
      </c>
      <c r="C47" s="25" t="s">
        <v>170</v>
      </c>
      <c r="F47" s="68" t="n">
        <f aca="false">F44+F45+F46</f>
        <v>295.114485982905</v>
      </c>
      <c r="G47" s="68" t="n">
        <f aca="false">G44+G45+G46</f>
        <v>261.149011354265</v>
      </c>
      <c r="H47" s="68" t="n">
        <f aca="false">H44+H45+H46</f>
        <v>260.528506169138</v>
      </c>
      <c r="I47" s="68" t="n">
        <f aca="false">I44+I45+I46</f>
        <v>260.328468026751</v>
      </c>
      <c r="J47" s="68" t="n">
        <f aca="false">J44+J45+J46</f>
        <v>66.1640434317493</v>
      </c>
      <c r="K47" s="68" t="n">
        <f aca="false">K44+K45+K46</f>
        <v>67.9519509594241</v>
      </c>
      <c r="L47" s="68" t="n">
        <f aca="false">L44+L45+L46</f>
        <v>68.8749923455377</v>
      </c>
      <c r="M47" s="68" t="n">
        <f aca="false">M44+M45+M46</f>
        <v>69.7017410451066</v>
      </c>
      <c r="N47" s="68" t="n">
        <f aca="false">N44+N45+N46</f>
        <v>70.659768663127</v>
      </c>
      <c r="O47" s="68" t="n">
        <f aca="false">O44+O45+O46</f>
        <v>71.5093330838599</v>
      </c>
      <c r="P47" s="68" t="n">
        <f aca="false">P44+P45+P46</f>
        <v>72.4945803100055</v>
      </c>
      <c r="Q47" s="68" t="n">
        <f aca="false">Q44+Q45+Q46</f>
        <v>72.154015425039</v>
      </c>
      <c r="R47" s="68" t="n">
        <f aca="false">R44+R45+R46</f>
        <v>72.8896588003286</v>
      </c>
      <c r="S47" s="68" t="n">
        <f aca="false">S44+S45+S46</f>
        <v>73.7057380912747</v>
      </c>
    </row>
    <row r="48" customFormat="false" ht="15" hidden="false" customHeight="false" outlineLevel="0" collapsed="false">
      <c r="B48" s="24" t="s">
        <v>415</v>
      </c>
      <c r="C48" s="25" t="s">
        <v>170</v>
      </c>
      <c r="F48" s="58" t="n">
        <f aca="false">Financing!F36</f>
        <v>677.731</v>
      </c>
      <c r="G48" s="58" t="n">
        <f aca="false">Financing!G36</f>
        <v>677.731</v>
      </c>
      <c r="H48" s="58" t="n">
        <f aca="false">Financing!H36</f>
        <v>677.731</v>
      </c>
      <c r="I48" s="58" t="n">
        <f aca="false">Financing!I36</f>
        <v>677.731</v>
      </c>
      <c r="J48" s="58" t="n">
        <f aca="false">Financing!J36</f>
        <v>872.911</v>
      </c>
      <c r="K48" s="58" t="n">
        <f aca="false">Financing!K36</f>
        <v>872.911</v>
      </c>
      <c r="L48" s="58" t="n">
        <f aca="false">Financing!L36</f>
        <v>872.911</v>
      </c>
      <c r="M48" s="58" t="n">
        <f aca="false">Financing!M36</f>
        <v>872.911</v>
      </c>
      <c r="N48" s="58" t="n">
        <f aca="false">Financing!N36</f>
        <v>872.911</v>
      </c>
      <c r="O48" s="58" t="n">
        <f aca="false">Financing!O36</f>
        <v>872.911</v>
      </c>
      <c r="P48" s="58" t="n">
        <f aca="false">Financing!P36</f>
        <v>872.911</v>
      </c>
      <c r="Q48" s="58" t="n">
        <f aca="false">Financing!Q36</f>
        <v>872.911</v>
      </c>
      <c r="R48" s="58" t="n">
        <f aca="false">Financing!R36</f>
        <v>872.911</v>
      </c>
      <c r="S48" s="58" t="n">
        <f aca="false">Financing!S36</f>
        <v>872.911</v>
      </c>
    </row>
    <row r="49" customFormat="false" ht="15" hidden="false" customHeight="false" outlineLevel="0" collapsed="false">
      <c r="B49" s="24" t="s">
        <v>234</v>
      </c>
      <c r="C49" s="25" t="s">
        <v>170</v>
      </c>
      <c r="F49" s="47" t="n">
        <f aca="false">'Global Inputs'!$E$67</f>
        <v>290.592</v>
      </c>
      <c r="G49" s="47" t="n">
        <f aca="false">F49+G30+G79</f>
        <v>325.530897525588</v>
      </c>
      <c r="H49" s="47" t="n">
        <f aca="false">G49+H30+H79</f>
        <v>402.335182435167</v>
      </c>
      <c r="I49" s="47" t="n">
        <f aca="false">H49+I30+I79</f>
        <v>513.393580259958</v>
      </c>
      <c r="J49" s="47" t="n">
        <f aca="false">I49+J30+J79</f>
        <v>698.329917121371</v>
      </c>
      <c r="K49" s="47" t="n">
        <f aca="false">J49+K30+K79</f>
        <v>860.317144025649</v>
      </c>
      <c r="L49" s="47" t="n">
        <f aca="false">K49+L30+L79</f>
        <v>1051.4926444508</v>
      </c>
      <c r="M49" s="47" t="n">
        <f aca="false">L49+M30+M79</f>
        <v>1253.53822628262</v>
      </c>
      <c r="N49" s="47" t="n">
        <f aca="false">M49+N30+N79</f>
        <v>1478.0965180449</v>
      </c>
      <c r="O49" s="47" t="n">
        <f aca="false">N49+O30+O79</f>
        <v>1716.63261348259</v>
      </c>
      <c r="P49" s="47" t="n">
        <f aca="false">O49+P30+P79</f>
        <v>1987.47826668496</v>
      </c>
      <c r="Q49" s="47" t="n">
        <f aca="false">P49+Q30+Q79</f>
        <v>2272.72773378202</v>
      </c>
      <c r="R49" s="47" t="n">
        <f aca="false">Q49+R30+R79</f>
        <v>2557.58433922859</v>
      </c>
      <c r="S49" s="47" t="n">
        <f aca="false">R49+S30+S79</f>
        <v>2856.81733817837</v>
      </c>
    </row>
    <row r="50" customFormat="false" ht="15" hidden="false" customHeight="false" outlineLevel="0" collapsed="false">
      <c r="B50" s="69" t="s">
        <v>416</v>
      </c>
      <c r="C50" s="25" t="s">
        <v>170</v>
      </c>
      <c r="F50" s="68" t="n">
        <f aca="false">F48+F49</f>
        <v>968.323</v>
      </c>
      <c r="G50" s="68" t="n">
        <f aca="false">G48+G49</f>
        <v>1003.26189752559</v>
      </c>
      <c r="H50" s="68" t="n">
        <f aca="false">H48+H49</f>
        <v>1080.06618243517</v>
      </c>
      <c r="I50" s="68" t="n">
        <f aca="false">I48+I49</f>
        <v>1191.12458025996</v>
      </c>
      <c r="J50" s="68" t="n">
        <f aca="false">J48+J49</f>
        <v>1571.24091712137</v>
      </c>
      <c r="K50" s="68" t="n">
        <f aca="false">K48+K49</f>
        <v>1733.22814402565</v>
      </c>
      <c r="L50" s="68" t="n">
        <f aca="false">L48+L49</f>
        <v>1924.4036444508</v>
      </c>
      <c r="M50" s="68" t="n">
        <f aca="false">M48+M49</f>
        <v>2126.44922628262</v>
      </c>
      <c r="N50" s="68" t="n">
        <f aca="false">N48+N49</f>
        <v>2351.0075180449</v>
      </c>
      <c r="O50" s="68" t="n">
        <f aca="false">O48+O49</f>
        <v>2589.54361348259</v>
      </c>
      <c r="P50" s="68" t="n">
        <f aca="false">P48+P49</f>
        <v>2860.38926668496</v>
      </c>
      <c r="Q50" s="68" t="n">
        <f aca="false">Q48+Q49</f>
        <v>3145.63873378202</v>
      </c>
      <c r="R50" s="68" t="n">
        <f aca="false">R48+R49</f>
        <v>3430.49533922859</v>
      </c>
      <c r="S50" s="68" t="n">
        <f aca="false">S48+S49</f>
        <v>3729.72833817837</v>
      </c>
    </row>
    <row r="51" customFormat="false" ht="15" hidden="false" customHeight="false" outlineLevel="0" collapsed="false">
      <c r="B51" s="24" t="s">
        <v>417</v>
      </c>
      <c r="C51" s="25" t="s">
        <v>170</v>
      </c>
      <c r="F51" s="32" t="n">
        <f aca="false">F43-F47-F50</f>
        <v>0.00622501709506196</v>
      </c>
      <c r="G51" s="32" t="n">
        <f aca="false">G43-G47-G50</f>
        <v>0.00622501709517564</v>
      </c>
      <c r="H51" s="32" t="n">
        <f aca="false">H43-H47-H50</f>
        <v>0.00622501709540302</v>
      </c>
      <c r="I51" s="32" t="n">
        <f aca="false">I43-I47-I50</f>
        <v>0.00622501709517564</v>
      </c>
      <c r="J51" s="32" t="n">
        <f aca="false">J43-J47-J50</f>
        <v>0.00622501709540302</v>
      </c>
      <c r="K51" s="32" t="n">
        <f aca="false">K43-K47-K50</f>
        <v>0.00622501709517564</v>
      </c>
      <c r="L51" s="32" t="n">
        <f aca="false">L43-L47-L50</f>
        <v>0.00622501709494827</v>
      </c>
      <c r="M51" s="32" t="n">
        <f aca="false">M43-M47-M50</f>
        <v>0.00622501709540302</v>
      </c>
      <c r="N51" s="32" t="n">
        <f aca="false">N43-N47-N50</f>
        <v>0.00622501709494827</v>
      </c>
      <c r="O51" s="32" t="n">
        <f aca="false">O43-O47-O50</f>
        <v>0.00622501709494827</v>
      </c>
      <c r="P51" s="32" t="n">
        <f aca="false">P43-P47-P50</f>
        <v>0.00622501709494827</v>
      </c>
      <c r="Q51" s="32" t="n">
        <f aca="false">Q43-Q47-Q50</f>
        <v>0.00622501709540302</v>
      </c>
      <c r="R51" s="32" t="n">
        <f aca="false">R43-R47-R50</f>
        <v>0.00622501709540302</v>
      </c>
      <c r="S51" s="32" t="n">
        <f aca="false">S43-S47-S50</f>
        <v>0.00622501709540302</v>
      </c>
    </row>
    <row r="53" customFormat="false" ht="15" hidden="false" customHeight="false" outlineLevel="0" collapsed="false">
      <c r="B53" s="22" t="s">
        <v>418</v>
      </c>
      <c r="C53" s="23"/>
      <c r="D53" s="23"/>
      <c r="E53" s="23"/>
      <c r="F53" s="23"/>
      <c r="G53" s="23"/>
      <c r="H53" s="23"/>
      <c r="I53" s="23"/>
      <c r="J53" s="23"/>
      <c r="K53" s="23"/>
      <c r="L53" s="23"/>
      <c r="M53" s="23"/>
      <c r="N53" s="23"/>
      <c r="O53" s="23"/>
      <c r="P53" s="23"/>
      <c r="Q53" s="23"/>
      <c r="R53" s="23"/>
      <c r="S53" s="23"/>
    </row>
    <row r="54" customFormat="false" ht="15" hidden="false" customHeight="false" outlineLevel="0" collapsed="false">
      <c r="B54" s="24" t="s">
        <v>399</v>
      </c>
      <c r="C54" s="25" t="s">
        <v>170</v>
      </c>
      <c r="E54" s="47" t="n">
        <f aca="false">SUM(F54:S54)</f>
        <v>3428.85134973033</v>
      </c>
      <c r="F54" s="47" t="n">
        <f aca="false">F30</f>
        <v>0</v>
      </c>
      <c r="G54" s="47" t="n">
        <f aca="false">G30</f>
        <v>41.6326425415366</v>
      </c>
      <c r="H54" s="47" t="n">
        <f aca="false">H30</f>
        <v>101.100740050127</v>
      </c>
      <c r="I54" s="47" t="n">
        <f aca="false">I30</f>
        <v>125.33762129241</v>
      </c>
      <c r="J54" s="47" t="n">
        <f aca="false">J30</f>
        <v>184.936336861413</v>
      </c>
      <c r="K54" s="47" t="n">
        <f aca="false">K30</f>
        <v>221.850532834491</v>
      </c>
      <c r="L54" s="47" t="n">
        <f aca="false">L30</f>
        <v>262.664226441543</v>
      </c>
      <c r="M54" s="47" t="n">
        <f aca="false">M30</f>
        <v>277.800306659018</v>
      </c>
      <c r="N54" s="47" t="n">
        <f aca="false">N30</f>
        <v>309.561460383466</v>
      </c>
      <c r="O54" s="47" t="n">
        <f aca="false">O30</f>
        <v>328.525735365287</v>
      </c>
      <c r="P54" s="47" t="n">
        <f aca="false">P30</f>
        <v>374.246566376272</v>
      </c>
      <c r="Q54" s="47" t="n">
        <f aca="false">Q30</f>
        <v>394.380083043074</v>
      </c>
      <c r="R54" s="47" t="n">
        <f aca="false">R30</f>
        <v>393.36790516149</v>
      </c>
      <c r="S54" s="47" t="n">
        <f aca="false">S30</f>
        <v>413.447192720197</v>
      </c>
    </row>
    <row r="55" customFormat="false" ht="15" hidden="false" customHeight="false" outlineLevel="0" collapsed="false">
      <c r="B55" s="24" t="s">
        <v>419</v>
      </c>
      <c r="C55" s="25" t="s">
        <v>170</v>
      </c>
      <c r="E55" s="47" t="n">
        <f aca="false">SUM(F55:S55)</f>
        <v>1756.08199836502</v>
      </c>
      <c r="F55" s="47" t="n">
        <f aca="false">-F23</f>
        <v>0</v>
      </c>
      <c r="G55" s="47" t="n">
        <f aca="false">-G23</f>
        <v>88.3730862512023</v>
      </c>
      <c r="H55" s="47" t="n">
        <f aca="false">-H23</f>
        <v>113.599709038291</v>
      </c>
      <c r="I55" s="47" t="n">
        <f aca="false">-I23</f>
        <v>127.998275273704</v>
      </c>
      <c r="J55" s="47" t="n">
        <f aca="false">-J23</f>
        <v>141.840867465638</v>
      </c>
      <c r="K55" s="47" t="n">
        <f aca="false">-K23</f>
        <v>149.097955856646</v>
      </c>
      <c r="L55" s="47" t="n">
        <f aca="false">-L23</f>
        <v>151.106687965474</v>
      </c>
      <c r="M55" s="47" t="n">
        <f aca="false">-M23</f>
        <v>151.115594716478</v>
      </c>
      <c r="N55" s="47" t="n">
        <f aca="false">-N23</f>
        <v>151.124679602502</v>
      </c>
      <c r="O55" s="47" t="n">
        <f aca="false">-O23</f>
        <v>153.133946186247</v>
      </c>
      <c r="P55" s="47" t="n">
        <f aca="false">-P23</f>
        <v>139.30513865452</v>
      </c>
      <c r="Q55" s="47" t="n">
        <f aca="false">-Q23</f>
        <v>132.613053120152</v>
      </c>
      <c r="R55" s="47" t="n">
        <f aca="false">-R23</f>
        <v>130.935393142955</v>
      </c>
      <c r="S55" s="47" t="n">
        <f aca="false">-S23</f>
        <v>125.837611091214</v>
      </c>
    </row>
    <row r="56" customFormat="false" ht="15" hidden="false" customHeight="false" outlineLevel="0" collapsed="false">
      <c r="B56" s="24" t="s">
        <v>352</v>
      </c>
      <c r="C56" s="25" t="s">
        <v>170</v>
      </c>
      <c r="E56" s="47" t="n">
        <f aca="false">SUM(F56:S56)</f>
        <v>-79.876191310395</v>
      </c>
      <c r="F56" s="47" t="n">
        <f aca="false">-F248</f>
        <v>-0</v>
      </c>
      <c r="G56" s="47" t="n">
        <f aca="false">-G248</f>
        <v>2.83706483520217</v>
      </c>
      <c r="H56" s="47" t="n">
        <f aca="false">-H248</f>
        <v>-15.80317779642</v>
      </c>
      <c r="I56" s="47" t="n">
        <f aca="false">-I248</f>
        <v>-8.45639225003209</v>
      </c>
      <c r="J56" s="47" t="n">
        <f aca="false">-J248</f>
        <v>-14.4391840591511</v>
      </c>
      <c r="K56" s="47" t="n">
        <f aca="false">-K248</f>
        <v>-8.0978654881936</v>
      </c>
      <c r="L56" s="47" t="n">
        <f aca="false">-L248</f>
        <v>-8.15750833365183</v>
      </c>
      <c r="M56" s="47" t="n">
        <f aca="false">-M248</f>
        <v>-3.38055316318354</v>
      </c>
      <c r="N56" s="47" t="n">
        <f aca="false">-N248</f>
        <v>-6.35501444928702</v>
      </c>
      <c r="O56" s="47" t="n">
        <f aca="false">-O248</f>
        <v>-3.97891220928562</v>
      </c>
      <c r="P56" s="47" t="n">
        <f aca="false">-P248</f>
        <v>-7.15229733087807</v>
      </c>
      <c r="Q56" s="47" t="n">
        <f aca="false">-Q248</f>
        <v>-2.78803154387765</v>
      </c>
      <c r="R56" s="47" t="n">
        <f aca="false">-R248</f>
        <v>-0.822253176156988</v>
      </c>
      <c r="S56" s="47" t="n">
        <f aca="false">-S248</f>
        <v>-3.28206634547962</v>
      </c>
    </row>
    <row r="57" customFormat="false" ht="15" hidden="false" customHeight="false" outlineLevel="0" collapsed="false">
      <c r="B57" s="69" t="s">
        <v>420</v>
      </c>
      <c r="C57" s="25" t="s">
        <v>170</v>
      </c>
      <c r="E57" s="70" t="n">
        <f aca="false">SUM(F57:S57)</f>
        <v>5105.05715678495</v>
      </c>
      <c r="F57" s="68" t="n">
        <f aca="false">F54+F55+F56</f>
        <v>0</v>
      </c>
      <c r="G57" s="68" t="n">
        <f aca="false">G54+G55+G56</f>
        <v>132.842793627941</v>
      </c>
      <c r="H57" s="68" t="n">
        <f aca="false">H54+H55+H56</f>
        <v>198.897271291998</v>
      </c>
      <c r="I57" s="68" t="n">
        <f aca="false">I54+I55+I56</f>
        <v>244.879504316081</v>
      </c>
      <c r="J57" s="68" t="n">
        <f aca="false">J54+J55+J56</f>
        <v>312.3380202679</v>
      </c>
      <c r="K57" s="68" t="n">
        <f aca="false">K54+K55+K56</f>
        <v>362.850623202944</v>
      </c>
      <c r="L57" s="68" t="n">
        <f aca="false">L54+L55+L56</f>
        <v>405.613406073365</v>
      </c>
      <c r="M57" s="68" t="n">
        <f aca="false">M54+M55+M56</f>
        <v>425.535348212312</v>
      </c>
      <c r="N57" s="68" t="n">
        <f aca="false">N54+N55+N56</f>
        <v>454.331125536681</v>
      </c>
      <c r="O57" s="68" t="n">
        <f aca="false">O54+O55+O56</f>
        <v>477.680769342249</v>
      </c>
      <c r="P57" s="68" t="n">
        <f aca="false">P54+P55+P56</f>
        <v>506.399407699914</v>
      </c>
      <c r="Q57" s="68" t="n">
        <f aca="false">Q54+Q55+Q56</f>
        <v>524.205104619349</v>
      </c>
      <c r="R57" s="68" t="n">
        <f aca="false">R54+R55+R56</f>
        <v>523.481045128288</v>
      </c>
      <c r="S57" s="68" t="n">
        <f aca="false">S54+S55+S56</f>
        <v>536.002737465931</v>
      </c>
    </row>
    <row r="58" customFormat="false" ht="15" hidden="false" customHeight="false" outlineLevel="0" collapsed="false">
      <c r="B58" s="24" t="s">
        <v>421</v>
      </c>
      <c r="C58" s="25" t="s">
        <v>170</v>
      </c>
      <c r="E58" s="47" t="n">
        <f aca="false">SUM(F58:S58)</f>
        <v>-918.087670611905</v>
      </c>
      <c r="F58" s="47" t="n">
        <f aca="false">-F216</f>
        <v>-198.433</v>
      </c>
      <c r="G58" s="47" t="n">
        <f aca="false">-G216</f>
        <v>-125.2405</v>
      </c>
      <c r="H58" s="47" t="n">
        <f aca="false">-H216</f>
        <v>-14.6385</v>
      </c>
      <c r="I58" s="47" t="n">
        <f aca="false">-I216</f>
        <v>-419.772045611905</v>
      </c>
      <c r="J58" s="47" t="n">
        <f aca="false">-J216</f>
        <v>-160.003625</v>
      </c>
      <c r="K58" s="47" t="n">
        <f aca="false">-K216</f>
        <v>-0</v>
      </c>
      <c r="L58" s="47" t="n">
        <f aca="false">-L216</f>
        <v>-0</v>
      </c>
      <c r="M58" s="47" t="n">
        <f aca="false">-M216</f>
        <v>-0</v>
      </c>
      <c r="N58" s="47" t="n">
        <f aca="false">-N216</f>
        <v>-0</v>
      </c>
      <c r="O58" s="47" t="n">
        <f aca="false">-O216</f>
        <v>-0</v>
      </c>
      <c r="P58" s="47" t="n">
        <f aca="false">-P216</f>
        <v>-0</v>
      </c>
      <c r="Q58" s="47" t="n">
        <f aca="false">-Q216</f>
        <v>-0</v>
      </c>
      <c r="R58" s="47" t="n">
        <f aca="false">-R216</f>
        <v>-0</v>
      </c>
      <c r="S58" s="47" t="n">
        <f aca="false">-S216</f>
        <v>-0</v>
      </c>
    </row>
    <row r="59" customFormat="false" ht="15" hidden="false" customHeight="false" outlineLevel="0" collapsed="false">
      <c r="B59" s="69" t="s">
        <v>422</v>
      </c>
      <c r="C59" s="25" t="s">
        <v>170</v>
      </c>
      <c r="E59" s="70" t="n">
        <f aca="false">SUM(F59:S59)</f>
        <v>-918.087670611905</v>
      </c>
      <c r="F59" s="68" t="n">
        <f aca="false">F58</f>
        <v>-198.433</v>
      </c>
      <c r="G59" s="68" t="n">
        <f aca="false">G58</f>
        <v>-125.2405</v>
      </c>
      <c r="H59" s="68" t="n">
        <f aca="false">H58</f>
        <v>-14.6385</v>
      </c>
      <c r="I59" s="68" t="n">
        <f aca="false">I58</f>
        <v>-419.772045611905</v>
      </c>
      <c r="J59" s="68" t="n">
        <f aca="false">J58</f>
        <v>-160.003625</v>
      </c>
      <c r="K59" s="68" t="n">
        <f aca="false">K58</f>
        <v>-0</v>
      </c>
      <c r="L59" s="68" t="n">
        <f aca="false">L58</f>
        <v>-0</v>
      </c>
      <c r="M59" s="68" t="n">
        <f aca="false">M58</f>
        <v>-0</v>
      </c>
      <c r="N59" s="68" t="n">
        <f aca="false">N58</f>
        <v>-0</v>
      </c>
      <c r="O59" s="68" t="n">
        <f aca="false">O58</f>
        <v>-0</v>
      </c>
      <c r="P59" s="68" t="n">
        <f aca="false">P58</f>
        <v>-0</v>
      </c>
      <c r="Q59" s="68" t="n">
        <f aca="false">Q58</f>
        <v>-0</v>
      </c>
      <c r="R59" s="68" t="n">
        <f aca="false">R58</f>
        <v>-0</v>
      </c>
      <c r="S59" s="68" t="n">
        <f aca="false">S58</f>
        <v>-0</v>
      </c>
    </row>
    <row r="60" customFormat="false" ht="15" hidden="false" customHeight="false" outlineLevel="0" collapsed="false">
      <c r="B60" s="24" t="s">
        <v>423</v>
      </c>
      <c r="C60" s="25" t="s">
        <v>170</v>
      </c>
      <c r="E60" s="47" t="n">
        <f aca="false">SUM(F60:S60)</f>
        <v>195.18</v>
      </c>
      <c r="F60" s="58" t="n">
        <f aca="false">Financing!F33</f>
        <v>0</v>
      </c>
      <c r="G60" s="58" t="n">
        <f aca="false">Financing!G33</f>
        <v>0</v>
      </c>
      <c r="H60" s="58" t="n">
        <f aca="false">Financing!H33</f>
        <v>0</v>
      </c>
      <c r="I60" s="58" t="n">
        <f aca="false">Financing!I33</f>
        <v>0</v>
      </c>
      <c r="J60" s="58" t="n">
        <f aca="false">Financing!J33</f>
        <v>195.18</v>
      </c>
      <c r="K60" s="58" t="n">
        <f aca="false">Financing!K33</f>
        <v>0</v>
      </c>
      <c r="L60" s="58" t="n">
        <f aca="false">Financing!L33</f>
        <v>0</v>
      </c>
      <c r="M60" s="58" t="n">
        <f aca="false">Financing!M33</f>
        <v>0</v>
      </c>
      <c r="N60" s="58" t="n">
        <f aca="false">Financing!N33</f>
        <v>0</v>
      </c>
      <c r="O60" s="58" t="n">
        <f aca="false">Financing!O33</f>
        <v>0</v>
      </c>
      <c r="P60" s="58" t="n">
        <f aca="false">Financing!P33</f>
        <v>0</v>
      </c>
      <c r="Q60" s="58" t="n">
        <f aca="false">Financing!Q33</f>
        <v>0</v>
      </c>
      <c r="R60" s="58" t="n">
        <f aca="false">Financing!R33</f>
        <v>0</v>
      </c>
      <c r="S60" s="58" t="n">
        <f aca="false">Financing!S33</f>
        <v>0</v>
      </c>
    </row>
    <row r="61" customFormat="false" ht="15" hidden="false" customHeight="false" outlineLevel="0" collapsed="false">
      <c r="B61" s="24" t="s">
        <v>424</v>
      </c>
      <c r="C61" s="25" t="s">
        <v>170</v>
      </c>
      <c r="E61" s="47" t="n">
        <f aca="false">SUM(F61:S61)</f>
        <v>-224.518</v>
      </c>
      <c r="F61" s="58" t="n">
        <f aca="false">-Financing!F25</f>
        <v>-0</v>
      </c>
      <c r="G61" s="58" t="n">
        <f aca="false">-Financing!G25</f>
        <v>-29.338</v>
      </c>
      <c r="H61" s="58" t="n">
        <f aca="false">-Financing!H25</f>
        <v>-0</v>
      </c>
      <c r="I61" s="58" t="n">
        <f aca="false">-Financing!I25</f>
        <v>-0</v>
      </c>
      <c r="J61" s="58" t="n">
        <f aca="false">-Financing!J25</f>
        <v>-195.18</v>
      </c>
      <c r="K61" s="58" t="n">
        <f aca="false">-Financing!K25</f>
        <v>-0</v>
      </c>
      <c r="L61" s="58" t="n">
        <f aca="false">-Financing!L25</f>
        <v>-0</v>
      </c>
      <c r="M61" s="58" t="n">
        <f aca="false">-Financing!M25</f>
        <v>-0</v>
      </c>
      <c r="N61" s="58" t="n">
        <f aca="false">-Financing!N25</f>
        <v>-0</v>
      </c>
      <c r="O61" s="58" t="n">
        <f aca="false">-Financing!O25</f>
        <v>-0</v>
      </c>
      <c r="P61" s="58" t="n">
        <f aca="false">-Financing!P25</f>
        <v>-0</v>
      </c>
      <c r="Q61" s="58" t="n">
        <f aca="false">-Financing!Q25</f>
        <v>-0</v>
      </c>
      <c r="R61" s="58" t="n">
        <f aca="false">-Financing!R25</f>
        <v>-0</v>
      </c>
      <c r="S61" s="58" t="n">
        <f aca="false">-Financing!S25</f>
        <v>-0</v>
      </c>
    </row>
    <row r="62" customFormat="false" ht="15" hidden="false" customHeight="false" outlineLevel="0" collapsed="false">
      <c r="B62" s="24" t="s">
        <v>425</v>
      </c>
      <c r="C62" s="25" t="s">
        <v>170</v>
      </c>
      <c r="E62" s="47" t="n">
        <f aca="false">SUM(F62:S62)</f>
        <v>-862.626011551956</v>
      </c>
      <c r="F62" s="47" t="n">
        <f aca="false">F79</f>
        <v>0</v>
      </c>
      <c r="G62" s="47" t="n">
        <f aca="false">G79</f>
        <v>-6.69374501594868</v>
      </c>
      <c r="H62" s="47" t="n">
        <f aca="false">H79</f>
        <v>-24.2964551405486</v>
      </c>
      <c r="I62" s="47" t="n">
        <f aca="false">I79</f>
        <v>-14.279223467618</v>
      </c>
      <c r="J62" s="47" t="n">
        <f aca="false">J79</f>
        <v>-0</v>
      </c>
      <c r="K62" s="47" t="n">
        <f aca="false">K79</f>
        <v>-59.8633059302135</v>
      </c>
      <c r="L62" s="47" t="n">
        <f aca="false">L79</f>
        <v>-71.4887260163924</v>
      </c>
      <c r="M62" s="47" t="n">
        <f aca="false">M79</f>
        <v>-75.7547248271937</v>
      </c>
      <c r="N62" s="47" t="n">
        <f aca="false">N79</f>
        <v>-85.0031686211882</v>
      </c>
      <c r="O62" s="47" t="n">
        <f aca="false">O79</f>
        <v>-89.9896399275996</v>
      </c>
      <c r="P62" s="47" t="n">
        <f aca="false">P79</f>
        <v>-103.400913173899</v>
      </c>
      <c r="Q62" s="47" t="n">
        <f aca="false">Q79</f>
        <v>-109.130615946014</v>
      </c>
      <c r="R62" s="47" t="n">
        <f aca="false">R79</f>
        <v>-108.51129971492</v>
      </c>
      <c r="S62" s="47" t="n">
        <f aca="false">S79</f>
        <v>-114.214193770419</v>
      </c>
    </row>
    <row r="63" customFormat="false" ht="15" hidden="false" customHeight="false" outlineLevel="0" collapsed="false">
      <c r="B63" s="69" t="s">
        <v>426</v>
      </c>
      <c r="C63" s="25" t="s">
        <v>170</v>
      </c>
      <c r="E63" s="70" t="n">
        <f aca="false">SUM(F63:S63)</f>
        <v>-891.964011551955</v>
      </c>
      <c r="F63" s="68" t="n">
        <f aca="false">F60+F61+F62</f>
        <v>0</v>
      </c>
      <c r="G63" s="68" t="n">
        <f aca="false">G60+G61+G62</f>
        <v>-36.0317450159487</v>
      </c>
      <c r="H63" s="68" t="n">
        <f aca="false">H60+H61+H62</f>
        <v>-24.2964551405486</v>
      </c>
      <c r="I63" s="68" t="n">
        <f aca="false">I60+I61+I62</f>
        <v>-14.279223467618</v>
      </c>
      <c r="J63" s="68" t="n">
        <f aca="false">J60+J61+J62</f>
        <v>0</v>
      </c>
      <c r="K63" s="68" t="n">
        <f aca="false">K60+K61+K62</f>
        <v>-59.8633059302135</v>
      </c>
      <c r="L63" s="68" t="n">
        <f aca="false">L60+L61+L62</f>
        <v>-71.4887260163924</v>
      </c>
      <c r="M63" s="68" t="n">
        <f aca="false">M60+M61+M62</f>
        <v>-75.7547248271937</v>
      </c>
      <c r="N63" s="68" t="n">
        <f aca="false">N60+N61+N62</f>
        <v>-85.0031686211882</v>
      </c>
      <c r="O63" s="68" t="n">
        <f aca="false">O60+O61+O62</f>
        <v>-89.9896399275996</v>
      </c>
      <c r="P63" s="68" t="n">
        <f aca="false">P60+P61+P62</f>
        <v>-103.400913173899</v>
      </c>
      <c r="Q63" s="68" t="n">
        <f aca="false">Q60+Q61+Q62</f>
        <v>-109.130615946014</v>
      </c>
      <c r="R63" s="68" t="n">
        <f aca="false">R60+R61+R62</f>
        <v>-108.51129971492</v>
      </c>
      <c r="S63" s="68" t="n">
        <f aca="false">S60+S61+S62</f>
        <v>-114.214193770419</v>
      </c>
    </row>
    <row r="64" customFormat="false" ht="15" hidden="false" customHeight="false" outlineLevel="0" collapsed="false">
      <c r="B64" s="69" t="s">
        <v>427</v>
      </c>
      <c r="C64" s="25" t="s">
        <v>170</v>
      </c>
      <c r="E64" s="70" t="n">
        <f aca="false">SUM(F64:S64)</f>
        <v>3295.00547462109</v>
      </c>
      <c r="F64" s="68" t="n">
        <f aca="false">F57+F59+F63</f>
        <v>-198.433</v>
      </c>
      <c r="G64" s="68" t="n">
        <f aca="false">G57+G59+G63</f>
        <v>-28.4294513880076</v>
      </c>
      <c r="H64" s="68" t="n">
        <f aca="false">H57+H59+H63</f>
        <v>159.962316151449</v>
      </c>
      <c r="I64" s="68" t="n">
        <f aca="false">I57+I59+I63</f>
        <v>-189.171764763442</v>
      </c>
      <c r="J64" s="68" t="n">
        <f aca="false">J57+J59+J63</f>
        <v>152.3343952679</v>
      </c>
      <c r="K64" s="68" t="n">
        <f aca="false">K57+K59+K63</f>
        <v>302.98731727273</v>
      </c>
      <c r="L64" s="68" t="n">
        <f aca="false">L57+L59+L63</f>
        <v>334.124680056973</v>
      </c>
      <c r="M64" s="68" t="n">
        <f aca="false">M57+M59+M63</f>
        <v>349.780623385118</v>
      </c>
      <c r="N64" s="68" t="n">
        <f aca="false">N57+N59+N63</f>
        <v>369.327956915493</v>
      </c>
      <c r="O64" s="68" t="n">
        <f aca="false">O57+O59+O63</f>
        <v>387.691129414649</v>
      </c>
      <c r="P64" s="68" t="n">
        <f aca="false">P57+P59+P63</f>
        <v>402.998494526015</v>
      </c>
      <c r="Q64" s="68" t="n">
        <f aca="false">Q57+Q59+Q63</f>
        <v>415.074488673334</v>
      </c>
      <c r="R64" s="68" t="n">
        <f aca="false">R57+R59+R63</f>
        <v>414.969745413368</v>
      </c>
      <c r="S64" s="68" t="n">
        <f aca="false">S57+S59+S63</f>
        <v>421.788543695511</v>
      </c>
    </row>
    <row r="65" customFormat="false" ht="15" hidden="false" customHeight="false" outlineLevel="0" collapsed="false">
      <c r="B65" s="24" t="s">
        <v>428</v>
      </c>
      <c r="C65" s="25" t="s">
        <v>170</v>
      </c>
      <c r="F65" s="47" t="n">
        <f aca="false">E66</f>
        <v>0</v>
      </c>
      <c r="G65" s="47" t="n">
        <f aca="false">F66</f>
        <v>60.6389</v>
      </c>
      <c r="H65" s="47" t="n">
        <f aca="false">G66</f>
        <v>32.2094486119924</v>
      </c>
      <c r="I65" s="47" t="n">
        <f aca="false">H66</f>
        <v>192.171764763442</v>
      </c>
      <c r="J65" s="47" t="n">
        <f aca="false">I66</f>
        <v>3</v>
      </c>
      <c r="K65" s="47" t="n">
        <f aca="false">J66</f>
        <v>155.3343952679</v>
      </c>
      <c r="L65" s="47" t="n">
        <f aca="false">K66</f>
        <v>458.32171254063</v>
      </c>
      <c r="M65" s="47" t="n">
        <f aca="false">L66</f>
        <v>792.446392597603</v>
      </c>
      <c r="N65" s="47" t="n">
        <f aca="false">M66</f>
        <v>1142.22701598272</v>
      </c>
      <c r="O65" s="47" t="n">
        <f aca="false">N66</f>
        <v>1511.55497289821</v>
      </c>
      <c r="P65" s="47" t="n">
        <f aca="false">O66</f>
        <v>1899.24610231286</v>
      </c>
      <c r="Q65" s="47" t="n">
        <f aca="false">P66</f>
        <v>2302.24459683888</v>
      </c>
      <c r="R65" s="47" t="n">
        <f aca="false">Q66</f>
        <v>2717.31908551221</v>
      </c>
      <c r="S65" s="47" t="n">
        <f aca="false">R66</f>
        <v>3132.28883092558</v>
      </c>
    </row>
    <row r="66" customFormat="false" ht="15" hidden="false" customHeight="false" outlineLevel="0" collapsed="false">
      <c r="B66" s="69" t="s">
        <v>429</v>
      </c>
      <c r="C66" s="25" t="s">
        <v>170</v>
      </c>
      <c r="F66" s="68" t="n">
        <f aca="false">'Global Inputs'!$E$58</f>
        <v>60.6389</v>
      </c>
      <c r="G66" s="68" t="n">
        <f aca="false">G65+G64</f>
        <v>32.2094486119924</v>
      </c>
      <c r="H66" s="68" t="n">
        <f aca="false">H65+H64</f>
        <v>192.171764763442</v>
      </c>
      <c r="I66" s="68" t="n">
        <f aca="false">I65+I64</f>
        <v>3</v>
      </c>
      <c r="J66" s="68" t="n">
        <f aca="false">J65+J64</f>
        <v>155.3343952679</v>
      </c>
      <c r="K66" s="68" t="n">
        <f aca="false">K65+K64</f>
        <v>458.32171254063</v>
      </c>
      <c r="L66" s="68" t="n">
        <f aca="false">L65+L64</f>
        <v>792.446392597603</v>
      </c>
      <c r="M66" s="68" t="n">
        <f aca="false">M65+M64</f>
        <v>1142.22701598272</v>
      </c>
      <c r="N66" s="68" t="n">
        <f aca="false">N65+N64</f>
        <v>1511.55497289821</v>
      </c>
      <c r="O66" s="68" t="n">
        <f aca="false">O65+O64</f>
        <v>1899.24610231286</v>
      </c>
      <c r="P66" s="68" t="n">
        <f aca="false">P65+P64</f>
        <v>2302.24459683888</v>
      </c>
      <c r="Q66" s="68" t="n">
        <f aca="false">Q65+Q64</f>
        <v>2717.31908551221</v>
      </c>
      <c r="R66" s="68" t="n">
        <f aca="false">R65+R64</f>
        <v>3132.28883092558</v>
      </c>
      <c r="S66" s="68" t="n">
        <f aca="false">S65+S64</f>
        <v>3554.07737462109</v>
      </c>
    </row>
    <row r="67" customFormat="false" ht="15" hidden="false" customHeight="false" outlineLevel="0" collapsed="false">
      <c r="B67" s="24" t="s">
        <v>430</v>
      </c>
      <c r="C67" s="25" t="s">
        <v>170</v>
      </c>
      <c r="F67" s="32" t="n">
        <f aca="false">F66-(F80+Financing!F35)</f>
        <v>0</v>
      </c>
      <c r="G67" s="32" t="n">
        <f aca="false">G66-(G80+Financing!G35)</f>
        <v>0</v>
      </c>
      <c r="H67" s="32" t="n">
        <f aca="false">H66-(H80+Financing!H35)</f>
        <v>0</v>
      </c>
      <c r="I67" s="32" t="n">
        <f aca="false">I66-(I80+Financing!I35)</f>
        <v>0</v>
      </c>
      <c r="J67" s="32" t="n">
        <f aca="false">J66-(J80+Financing!J35)</f>
        <v>0</v>
      </c>
      <c r="K67" s="32" t="n">
        <f aca="false">K66-(K80+Financing!K35)</f>
        <v>0</v>
      </c>
      <c r="L67" s="32" t="n">
        <f aca="false">L66-(L80+Financing!L35)</f>
        <v>0</v>
      </c>
      <c r="M67" s="32" t="n">
        <f aca="false">M66-(M80+Financing!M35)</f>
        <v>0</v>
      </c>
      <c r="N67" s="32" t="n">
        <f aca="false">N66-(N80+Financing!N35)</f>
        <v>0</v>
      </c>
      <c r="O67" s="32" t="n">
        <f aca="false">O66-(O80+Financing!O35)</f>
        <v>0</v>
      </c>
      <c r="P67" s="32" t="n">
        <f aca="false">P66-(P80+Financing!P35)</f>
        <v>0</v>
      </c>
      <c r="Q67" s="32" t="n">
        <f aca="false">Q66-(Q80+Financing!Q35)</f>
        <v>0</v>
      </c>
      <c r="R67" s="32" t="n">
        <f aca="false">R66-(R80+Financing!R35)</f>
        <v>0</v>
      </c>
      <c r="S67" s="32" t="n">
        <f aca="false">S66-(S80+Financing!S35)</f>
        <v>0</v>
      </c>
    </row>
    <row r="69" customFormat="false" ht="15" hidden="false" customHeight="false" outlineLevel="0" collapsed="false">
      <c r="B69" s="22" t="s">
        <v>431</v>
      </c>
      <c r="C69" s="23"/>
      <c r="D69" s="23"/>
      <c r="E69" s="23"/>
      <c r="F69" s="23"/>
      <c r="G69" s="23"/>
      <c r="H69" s="23"/>
      <c r="I69" s="23"/>
      <c r="J69" s="23"/>
      <c r="K69" s="23"/>
      <c r="L69" s="23"/>
      <c r="M69" s="23"/>
      <c r="N69" s="23"/>
      <c r="O69" s="23"/>
      <c r="P69" s="23"/>
      <c r="Q69" s="23"/>
      <c r="R69" s="23"/>
      <c r="S69" s="23"/>
    </row>
    <row r="70" customFormat="false" ht="15" hidden="false" customHeight="false" outlineLevel="0" collapsed="false">
      <c r="B70" s="24" t="s">
        <v>432</v>
      </c>
      <c r="C70" s="25" t="s">
        <v>170</v>
      </c>
      <c r="F70" s="47" t="n">
        <f aca="false">E80</f>
        <v>0</v>
      </c>
      <c r="G70" s="47" t="n">
        <f aca="false">F80</f>
        <v>60.6389</v>
      </c>
      <c r="H70" s="47" t="n">
        <f aca="false">G80</f>
        <v>32.2094486119924</v>
      </c>
      <c r="I70" s="47" t="n">
        <f aca="false">H80</f>
        <v>192.171764763442</v>
      </c>
      <c r="J70" s="47" t="n">
        <f aca="false">I80</f>
        <v>3</v>
      </c>
      <c r="K70" s="47" t="n">
        <f aca="false">J80</f>
        <v>-39.8456047321</v>
      </c>
      <c r="L70" s="47" t="n">
        <f aca="false">K80</f>
        <v>263.14171254063</v>
      </c>
      <c r="M70" s="47" t="n">
        <f aca="false">L80</f>
        <v>597.266392597603</v>
      </c>
      <c r="N70" s="47" t="n">
        <f aca="false">M80</f>
        <v>947.047015982721</v>
      </c>
      <c r="O70" s="47" t="n">
        <f aca="false">N80</f>
        <v>1316.37497289821</v>
      </c>
      <c r="P70" s="47" t="n">
        <f aca="false">O80</f>
        <v>1704.06610231286</v>
      </c>
      <c r="Q70" s="47" t="n">
        <f aca="false">P80</f>
        <v>2107.06459683888</v>
      </c>
      <c r="R70" s="47" t="n">
        <f aca="false">Q80</f>
        <v>2522.13908551221</v>
      </c>
      <c r="S70" s="47" t="n">
        <f aca="false">R80</f>
        <v>2937.10883092558</v>
      </c>
    </row>
    <row r="71" customFormat="false" ht="15" hidden="false" customHeight="false" outlineLevel="0" collapsed="false">
      <c r="B71" s="24" t="s">
        <v>420</v>
      </c>
      <c r="C71" s="25" t="s">
        <v>170</v>
      </c>
      <c r="F71" s="47" t="n">
        <f aca="false">F57</f>
        <v>0</v>
      </c>
      <c r="G71" s="47" t="n">
        <f aca="false">G57</f>
        <v>132.842793627941</v>
      </c>
      <c r="H71" s="47" t="n">
        <f aca="false">H57</f>
        <v>198.897271291998</v>
      </c>
      <c r="I71" s="47" t="n">
        <f aca="false">I57</f>
        <v>244.879504316081</v>
      </c>
      <c r="J71" s="47" t="n">
        <f aca="false">J57</f>
        <v>312.3380202679</v>
      </c>
      <c r="K71" s="47" t="n">
        <f aca="false">K57</f>
        <v>362.850623202944</v>
      </c>
      <c r="L71" s="47" t="n">
        <f aca="false">L57</f>
        <v>405.613406073365</v>
      </c>
      <c r="M71" s="47" t="n">
        <f aca="false">M57</f>
        <v>425.535348212312</v>
      </c>
      <c r="N71" s="47" t="n">
        <f aca="false">N57</f>
        <v>454.331125536681</v>
      </c>
      <c r="O71" s="47" t="n">
        <f aca="false">O57</f>
        <v>477.680769342249</v>
      </c>
      <c r="P71" s="47" t="n">
        <f aca="false">P57</f>
        <v>506.399407699914</v>
      </c>
      <c r="Q71" s="47" t="n">
        <f aca="false">Q57</f>
        <v>524.205104619349</v>
      </c>
      <c r="R71" s="47" t="n">
        <f aca="false">R57</f>
        <v>523.481045128288</v>
      </c>
      <c r="S71" s="47" t="n">
        <f aca="false">S57</f>
        <v>536.002737465931</v>
      </c>
    </row>
    <row r="72" customFormat="false" ht="15" hidden="false" customHeight="false" outlineLevel="0" collapsed="false">
      <c r="B72" s="24" t="s">
        <v>433</v>
      </c>
      <c r="C72" s="25" t="s">
        <v>170</v>
      </c>
      <c r="F72" s="47" t="n">
        <f aca="false">F58</f>
        <v>-198.433</v>
      </c>
      <c r="G72" s="47" t="n">
        <f aca="false">G58</f>
        <v>-125.2405</v>
      </c>
      <c r="H72" s="47" t="n">
        <f aca="false">H58</f>
        <v>-14.6385</v>
      </c>
      <c r="I72" s="47" t="n">
        <f aca="false">I58</f>
        <v>-419.772045611905</v>
      </c>
      <c r="J72" s="47" t="n">
        <f aca="false">J58</f>
        <v>-160.003625</v>
      </c>
      <c r="K72" s="47" t="n">
        <f aca="false">K58</f>
        <v>-0</v>
      </c>
      <c r="L72" s="47" t="n">
        <f aca="false">L58</f>
        <v>-0</v>
      </c>
      <c r="M72" s="47" t="n">
        <f aca="false">M58</f>
        <v>-0</v>
      </c>
      <c r="N72" s="47" t="n">
        <f aca="false">N58</f>
        <v>-0</v>
      </c>
      <c r="O72" s="47" t="n">
        <f aca="false">O58</f>
        <v>-0</v>
      </c>
      <c r="P72" s="47" t="n">
        <f aca="false">P58</f>
        <v>-0</v>
      </c>
      <c r="Q72" s="47" t="n">
        <f aca="false">Q58</f>
        <v>-0</v>
      </c>
      <c r="R72" s="47" t="n">
        <f aca="false">R58</f>
        <v>-0</v>
      </c>
      <c r="S72" s="47" t="n">
        <f aca="false">S58</f>
        <v>-0</v>
      </c>
    </row>
    <row r="73" customFormat="false" ht="15" hidden="false" customHeight="false" outlineLevel="0" collapsed="false">
      <c r="B73" s="24" t="s">
        <v>434</v>
      </c>
      <c r="C73" s="25" t="s">
        <v>170</v>
      </c>
      <c r="F73" s="47" t="n">
        <f aca="false">F61</f>
        <v>-0</v>
      </c>
      <c r="G73" s="47" t="n">
        <f aca="false">G61</f>
        <v>-29.338</v>
      </c>
      <c r="H73" s="47" t="n">
        <f aca="false">H61</f>
        <v>-0</v>
      </c>
      <c r="I73" s="47" t="n">
        <f aca="false">I61</f>
        <v>-0</v>
      </c>
      <c r="J73" s="47" t="n">
        <f aca="false">J61</f>
        <v>-195.18</v>
      </c>
      <c r="K73" s="47" t="n">
        <f aca="false">K61</f>
        <v>-0</v>
      </c>
      <c r="L73" s="47" t="n">
        <f aca="false">L61</f>
        <v>-0</v>
      </c>
      <c r="M73" s="47" t="n">
        <f aca="false">M61</f>
        <v>-0</v>
      </c>
      <c r="N73" s="47" t="n">
        <f aca="false">N61</f>
        <v>-0</v>
      </c>
      <c r="O73" s="47" t="n">
        <f aca="false">O61</f>
        <v>-0</v>
      </c>
      <c r="P73" s="47" t="n">
        <f aca="false">P61</f>
        <v>-0</v>
      </c>
      <c r="Q73" s="47" t="n">
        <f aca="false">Q61</f>
        <v>-0</v>
      </c>
      <c r="R73" s="47" t="n">
        <f aca="false">R61</f>
        <v>-0</v>
      </c>
      <c r="S73" s="47" t="n">
        <f aca="false">S61</f>
        <v>-0</v>
      </c>
    </row>
    <row r="74" customFormat="false" ht="15" hidden="false" customHeight="false" outlineLevel="0" collapsed="false">
      <c r="B74" s="69" t="s">
        <v>435</v>
      </c>
      <c r="C74" s="25" t="s">
        <v>170</v>
      </c>
      <c r="F74" s="68" t="n">
        <f aca="false">F70+F71+F72+F73</f>
        <v>-198.433</v>
      </c>
      <c r="G74" s="68" t="n">
        <f aca="false">G70+G71+G72+G73</f>
        <v>38.9031936279411</v>
      </c>
      <c r="H74" s="68" t="n">
        <f aca="false">H70+H71+H72+H73</f>
        <v>216.46821990399</v>
      </c>
      <c r="I74" s="68" t="n">
        <f aca="false">I70+I71+I72+I73</f>
        <v>17.279223467618</v>
      </c>
      <c r="J74" s="68" t="n">
        <f aca="false">J70+J71+J72+J73</f>
        <v>-39.8456047321</v>
      </c>
      <c r="K74" s="68" t="n">
        <f aca="false">K70+K71+K72+K73</f>
        <v>323.005018470844</v>
      </c>
      <c r="L74" s="68" t="n">
        <f aca="false">L70+L71+L72+L73</f>
        <v>668.755118613995</v>
      </c>
      <c r="M74" s="68" t="n">
        <f aca="false">M70+M71+M72+M73</f>
        <v>1022.80174080991</v>
      </c>
      <c r="N74" s="68" t="n">
        <f aca="false">N70+N71+N72+N73</f>
        <v>1401.3781415194</v>
      </c>
      <c r="O74" s="68" t="n">
        <f aca="false">O70+O71+O72+O73</f>
        <v>1794.05574224046</v>
      </c>
      <c r="P74" s="68" t="n">
        <f aca="false">P70+P71+P72+P73</f>
        <v>2210.46551001278</v>
      </c>
      <c r="Q74" s="68" t="n">
        <f aca="false">Q70+Q71+Q72+Q73</f>
        <v>2631.26970145823</v>
      </c>
      <c r="R74" s="68" t="n">
        <f aca="false">R70+R71+R72+R73</f>
        <v>3045.6201306405</v>
      </c>
      <c r="S74" s="68" t="n">
        <f aca="false">S70+S71+S72+S73</f>
        <v>3473.11156839151</v>
      </c>
    </row>
    <row r="75" customFormat="false" ht="15" hidden="false" customHeight="false" outlineLevel="0" collapsed="false">
      <c r="B75" s="77" t="s">
        <v>436</v>
      </c>
      <c r="C75" s="25" t="s">
        <v>170</v>
      </c>
      <c r="F75" s="47" t="n">
        <f aca="false">MAX(0,F74-'Global Inputs'!$E$82)</f>
        <v>0</v>
      </c>
      <c r="G75" s="47" t="n">
        <f aca="false">MAX(0,G74-'Global Inputs'!$E$82)</f>
        <v>35.9031936279411</v>
      </c>
      <c r="H75" s="47" t="n">
        <f aca="false">MAX(0,H74-'Global Inputs'!$E$82)</f>
        <v>213.46821990399</v>
      </c>
      <c r="I75" s="47" t="n">
        <f aca="false">MAX(0,I74-'Global Inputs'!$E$82)</f>
        <v>14.279223467618</v>
      </c>
      <c r="J75" s="47" t="n">
        <f aca="false">MAX(0,J74-'Global Inputs'!$E$82)</f>
        <v>0</v>
      </c>
      <c r="K75" s="47" t="n">
        <f aca="false">MAX(0,K74-'Global Inputs'!$E$82)</f>
        <v>320.005018470844</v>
      </c>
      <c r="L75" s="47" t="n">
        <f aca="false">MAX(0,L74-'Global Inputs'!$E$82)</f>
        <v>665.755118613995</v>
      </c>
      <c r="M75" s="47" t="n">
        <f aca="false">MAX(0,M74-'Global Inputs'!$E$82)</f>
        <v>1019.80174080991</v>
      </c>
      <c r="N75" s="47" t="n">
        <f aca="false">MAX(0,N74-'Global Inputs'!$E$82)</f>
        <v>1398.3781415194</v>
      </c>
      <c r="O75" s="47" t="n">
        <f aca="false">MAX(0,O74-'Global Inputs'!$E$82)</f>
        <v>1791.05574224046</v>
      </c>
      <c r="P75" s="47" t="n">
        <f aca="false">MAX(0,P74-'Global Inputs'!$E$82)</f>
        <v>2207.46551001278</v>
      </c>
      <c r="Q75" s="47" t="n">
        <f aca="false">MAX(0,Q74-'Global Inputs'!$E$82)</f>
        <v>2628.26970145823</v>
      </c>
      <c r="R75" s="47" t="n">
        <f aca="false">MAX(0,R74-'Global Inputs'!$E$82)</f>
        <v>3042.6201306405</v>
      </c>
      <c r="S75" s="47" t="n">
        <f aca="false">MAX(0,S74-'Global Inputs'!$E$82)</f>
        <v>3470.11156839151</v>
      </c>
    </row>
    <row r="76" customFormat="false" ht="15" hidden="false" customHeight="false" outlineLevel="0" collapsed="false">
      <c r="B76" s="77" t="s">
        <v>437</v>
      </c>
      <c r="C76" s="25" t="s">
        <v>170</v>
      </c>
      <c r="F76" s="47" t="n">
        <f aca="false">F30-F31</f>
        <v>0</v>
      </c>
      <c r="G76" s="47" t="n">
        <f aca="false">G30-G31</f>
        <v>22.3124833864956</v>
      </c>
      <c r="H76" s="47" t="n">
        <f aca="false">H30-H31</f>
        <v>80.9881838018287</v>
      </c>
      <c r="I76" s="47" t="n">
        <f aca="false">I30-I31</f>
        <v>104.695607024787</v>
      </c>
      <c r="J76" s="47" t="n">
        <f aca="false">J30-J31</f>
        <v>163.470168226902</v>
      </c>
      <c r="K76" s="47" t="n">
        <f aca="false">K30-K31</f>
        <v>199.544353100712</v>
      </c>
      <c r="L76" s="47" t="n">
        <f aca="false">L30-L31</f>
        <v>238.295753387975</v>
      </c>
      <c r="M76" s="47" t="n">
        <f aca="false">M30-M31</f>
        <v>252.515749423979</v>
      </c>
      <c r="N76" s="47" t="n">
        <f aca="false">N30-N31</f>
        <v>283.343895403961</v>
      </c>
      <c r="O76" s="47" t="n">
        <f aca="false">O30-O31</f>
        <v>299.965466425332</v>
      </c>
      <c r="P76" s="47" t="n">
        <f aca="false">P30-P31</f>
        <v>344.669710579663</v>
      </c>
      <c r="Q76" s="47" t="n">
        <f aca="false">Q30-Q31</f>
        <v>363.768719820048</v>
      </c>
      <c r="R76" s="47" t="n">
        <f aca="false">R30-R31</f>
        <v>361.704332383067</v>
      </c>
      <c r="S76" s="47" t="n">
        <f aca="false">S30-S31</f>
        <v>380.713979234732</v>
      </c>
    </row>
    <row r="77" customFormat="false" ht="15" hidden="false" customHeight="false" outlineLevel="0" collapsed="false">
      <c r="B77" s="77" t="s">
        <v>438</v>
      </c>
      <c r="C77" s="25" t="s">
        <v>170</v>
      </c>
      <c r="F77" s="47" t="n">
        <f aca="false">MAX(0,'Global Inputs'!$E$83*F76)</f>
        <v>0</v>
      </c>
      <c r="G77" s="47" t="n">
        <f aca="false">MAX(0,'Global Inputs'!$E$83*G76)</f>
        <v>6.69374501594868</v>
      </c>
      <c r="H77" s="47" t="n">
        <f aca="false">MAX(0,'Global Inputs'!$E$83*H76)</f>
        <v>24.2964551405486</v>
      </c>
      <c r="I77" s="47" t="n">
        <f aca="false">MAX(0,'Global Inputs'!$E$83*I76)</f>
        <v>31.408682107436</v>
      </c>
      <c r="J77" s="47" t="n">
        <f aca="false">MAX(0,'Global Inputs'!$E$83*J76)</f>
        <v>49.0410504680706</v>
      </c>
      <c r="K77" s="47" t="n">
        <f aca="false">MAX(0,'Global Inputs'!$E$83*K76)</f>
        <v>59.8633059302135</v>
      </c>
      <c r="L77" s="47" t="n">
        <f aca="false">MAX(0,'Global Inputs'!$E$83*L76)</f>
        <v>71.4887260163924</v>
      </c>
      <c r="M77" s="47" t="n">
        <f aca="false">MAX(0,'Global Inputs'!$E$83*M76)</f>
        <v>75.7547248271937</v>
      </c>
      <c r="N77" s="47" t="n">
        <f aca="false">MAX(0,'Global Inputs'!$E$83*N76)</f>
        <v>85.0031686211882</v>
      </c>
      <c r="O77" s="47" t="n">
        <f aca="false">MAX(0,'Global Inputs'!$E$83*O76)</f>
        <v>89.9896399275996</v>
      </c>
      <c r="P77" s="47" t="n">
        <f aca="false">MAX(0,'Global Inputs'!$E$83*P76)</f>
        <v>103.400913173899</v>
      </c>
      <c r="Q77" s="47" t="n">
        <f aca="false">MAX(0,'Global Inputs'!$E$83*Q76)</f>
        <v>109.130615946014</v>
      </c>
      <c r="R77" s="47" t="n">
        <f aca="false">MAX(0,'Global Inputs'!$E$83*R76)</f>
        <v>108.51129971492</v>
      </c>
      <c r="S77" s="47" t="n">
        <f aca="false">MAX(0,'Global Inputs'!$E$83*S76)</f>
        <v>114.214193770419</v>
      </c>
    </row>
    <row r="78" customFormat="false" ht="15" hidden="false" customHeight="false" outlineLevel="0" collapsed="false">
      <c r="B78" s="77" t="s">
        <v>439</v>
      </c>
      <c r="C78" s="25" t="s">
        <v>170</v>
      </c>
      <c r="F78" s="47" t="n">
        <f aca="false">MAX(0,F30+E49-'Global Inputs'!$E$84*'Global Inputs'!$E$24/1000*'Global Inputs'!$E$85)</f>
        <v>0</v>
      </c>
      <c r="G78" s="47" t="n">
        <f aca="false">MAX(0,G30+F49-'Global Inputs'!$E$84*'Global Inputs'!$E$24/1000*'Global Inputs'!$E$85)</f>
        <v>273.670642541537</v>
      </c>
      <c r="H78" s="47" t="n">
        <f aca="false">MAX(0,H30+G49-'Global Inputs'!$E$84*'Global Inputs'!$E$24/1000*'Global Inputs'!$E$85)</f>
        <v>368.077637575715</v>
      </c>
      <c r="I78" s="47" t="n">
        <f aca="false">MAX(0,I30+H49-'Global Inputs'!$E$84*'Global Inputs'!$E$24/1000*'Global Inputs'!$E$85)</f>
        <v>469.118803727576</v>
      </c>
      <c r="J78" s="47" t="n">
        <f aca="false">MAX(0,J30+I49-'Global Inputs'!$E$84*'Global Inputs'!$E$24/1000*'Global Inputs'!$E$85)</f>
        <v>639.775917121371</v>
      </c>
      <c r="K78" s="47" t="n">
        <f aca="false">MAX(0,K30+J49-'Global Inputs'!$E$84*'Global Inputs'!$E$24/1000*'Global Inputs'!$E$85)</f>
        <v>861.626449955862</v>
      </c>
      <c r="L78" s="47" t="n">
        <f aca="false">MAX(0,L30+K49-'Global Inputs'!$E$84*'Global Inputs'!$E$24/1000*'Global Inputs'!$E$85)</f>
        <v>1064.42737046719</v>
      </c>
      <c r="M78" s="47" t="n">
        <f aca="false">MAX(0,M30+L49-'Global Inputs'!$E$84*'Global Inputs'!$E$24/1000*'Global Inputs'!$E$85)</f>
        <v>1270.73895110982</v>
      </c>
      <c r="N78" s="47" t="n">
        <f aca="false">MAX(0,N30+M49-'Global Inputs'!$E$84*'Global Inputs'!$E$24/1000*'Global Inputs'!$E$85)</f>
        <v>1504.54568666609</v>
      </c>
      <c r="O78" s="47" t="n">
        <f aca="false">MAX(0,O30+N49-'Global Inputs'!$E$84*'Global Inputs'!$E$24/1000*'Global Inputs'!$E$85)</f>
        <v>1748.06825341019</v>
      </c>
      <c r="P78" s="47" t="n">
        <f aca="false">MAX(0,P30+O49-'Global Inputs'!$E$84*'Global Inputs'!$E$24/1000*'Global Inputs'!$E$85)</f>
        <v>2032.32517985886</v>
      </c>
      <c r="Q78" s="47" t="n">
        <f aca="false">MAX(0,Q30+P49-'Global Inputs'!$E$84*'Global Inputs'!$E$24/1000*'Global Inputs'!$E$85)</f>
        <v>2323.30434972804</v>
      </c>
      <c r="R78" s="47" t="n">
        <f aca="false">MAX(0,R30+Q49-'Global Inputs'!$E$84*'Global Inputs'!$E$24/1000*'Global Inputs'!$E$85)</f>
        <v>2607.54163894351</v>
      </c>
      <c r="S78" s="47" t="n">
        <f aca="false">MAX(0,S30+R49-'Global Inputs'!$E$84*'Global Inputs'!$E$24/1000*'Global Inputs'!$E$85)</f>
        <v>2912.47753194879</v>
      </c>
    </row>
    <row r="79" customFormat="false" ht="15" hidden="false" customHeight="false" outlineLevel="0" collapsed="false">
      <c r="B79" s="24" t="s">
        <v>440</v>
      </c>
      <c r="C79" s="25" t="s">
        <v>170</v>
      </c>
      <c r="E79" s="47" t="n">
        <f aca="false">SUM(F79:S79)</f>
        <v>-862.626011551956</v>
      </c>
      <c r="F79" s="47" t="n">
        <f aca="false">0</f>
        <v>0</v>
      </c>
      <c r="G79" s="47" t="n">
        <f aca="false">-MIN(G77,G78,G75)*'Global Inputs'!$E$35*G$8</f>
        <v>-6.69374501594868</v>
      </c>
      <c r="H79" s="47" t="n">
        <f aca="false">-MIN(H77,H78,H75)*'Global Inputs'!$E$35*H$8</f>
        <v>-24.2964551405486</v>
      </c>
      <c r="I79" s="47" t="n">
        <f aca="false">-MIN(I77,I78,I75)*'Global Inputs'!$E$35*I$8</f>
        <v>-14.279223467618</v>
      </c>
      <c r="J79" s="47" t="n">
        <f aca="false">-MIN(J77,J78,J75)*'Global Inputs'!$E$35*J$8</f>
        <v>-0</v>
      </c>
      <c r="K79" s="47" t="n">
        <f aca="false">-MIN(K77,K78,K75)*'Global Inputs'!$E$35*K$8</f>
        <v>-59.8633059302135</v>
      </c>
      <c r="L79" s="47" t="n">
        <f aca="false">-MIN(L77,L78,L75)*'Global Inputs'!$E$35*L$8</f>
        <v>-71.4887260163924</v>
      </c>
      <c r="M79" s="47" t="n">
        <f aca="false">-MIN(M77,M78,M75)*'Global Inputs'!$E$35*M$8</f>
        <v>-75.7547248271937</v>
      </c>
      <c r="N79" s="47" t="n">
        <f aca="false">-MIN(N77,N78,N75)*'Global Inputs'!$E$35*N$8</f>
        <v>-85.0031686211882</v>
      </c>
      <c r="O79" s="47" t="n">
        <f aca="false">-MIN(O77,O78,O75)*'Global Inputs'!$E$35*O$8</f>
        <v>-89.9896399275996</v>
      </c>
      <c r="P79" s="47" t="n">
        <f aca="false">-MIN(P77,P78,P75)*'Global Inputs'!$E$35*P$8</f>
        <v>-103.400913173899</v>
      </c>
      <c r="Q79" s="47" t="n">
        <f aca="false">-MIN(Q77,Q78,Q75)*'Global Inputs'!$E$35*Q$8</f>
        <v>-109.130615946014</v>
      </c>
      <c r="R79" s="47" t="n">
        <f aca="false">-MIN(R77,R78,R75)*'Global Inputs'!$E$35*R$8</f>
        <v>-108.51129971492</v>
      </c>
      <c r="S79" s="47" t="n">
        <f aca="false">-MIN(S77,S78,S75)*'Global Inputs'!$E$35*S$8</f>
        <v>-114.214193770419</v>
      </c>
    </row>
    <row r="80" customFormat="false" ht="15" hidden="false" customHeight="false" outlineLevel="0" collapsed="false">
      <c r="B80" s="69" t="s">
        <v>441</v>
      </c>
      <c r="C80" s="25" t="s">
        <v>170</v>
      </c>
      <c r="F80" s="68" t="n">
        <f aca="false">'Global Inputs'!$E$58</f>
        <v>60.6389</v>
      </c>
      <c r="G80" s="68" t="n">
        <f aca="false">G74+G79</f>
        <v>32.2094486119924</v>
      </c>
      <c r="H80" s="68" t="n">
        <f aca="false">H74+H79</f>
        <v>192.171764763442</v>
      </c>
      <c r="I80" s="68" t="n">
        <f aca="false">I74+I79</f>
        <v>3</v>
      </c>
      <c r="J80" s="68" t="n">
        <f aca="false">J74+J79</f>
        <v>-39.8456047321</v>
      </c>
      <c r="K80" s="68" t="n">
        <f aca="false">K74+K79</f>
        <v>263.14171254063</v>
      </c>
      <c r="L80" s="68" t="n">
        <f aca="false">L74+L79</f>
        <v>597.266392597603</v>
      </c>
      <c r="M80" s="68" t="n">
        <f aca="false">M74+M79</f>
        <v>947.047015982721</v>
      </c>
      <c r="N80" s="68" t="n">
        <f aca="false">N74+N79</f>
        <v>1316.37497289821</v>
      </c>
      <c r="O80" s="68" t="n">
        <f aca="false">O74+O79</f>
        <v>1704.06610231286</v>
      </c>
      <c r="P80" s="68" t="n">
        <f aca="false">P74+P79</f>
        <v>2107.06459683888</v>
      </c>
      <c r="Q80" s="68" t="n">
        <f aca="false">Q74+Q79</f>
        <v>2522.13908551221</v>
      </c>
      <c r="R80" s="68" t="n">
        <f aca="false">R74+R79</f>
        <v>2937.10883092558</v>
      </c>
      <c r="S80" s="68" t="n">
        <f aca="false">S74+S79</f>
        <v>3358.89737462109</v>
      </c>
    </row>
    <row r="81" customFormat="false" ht="15" hidden="false" customHeight="false" outlineLevel="0" collapsed="false">
      <c r="B81" s="24" t="s">
        <v>442</v>
      </c>
      <c r="C81" s="25" t="s">
        <v>170</v>
      </c>
      <c r="F81" s="58" t="n">
        <f aca="false">'Global Inputs'!$E$82*F$8</f>
        <v>0</v>
      </c>
      <c r="G81" s="58" t="n">
        <f aca="false">'Global Inputs'!$E$82*G$8</f>
        <v>3</v>
      </c>
      <c r="H81" s="58" t="n">
        <f aca="false">'Global Inputs'!$E$82*H$8</f>
        <v>3</v>
      </c>
      <c r="I81" s="58" t="n">
        <f aca="false">'Global Inputs'!$E$82*I$8</f>
        <v>3</v>
      </c>
      <c r="J81" s="58" t="n">
        <f aca="false">'Global Inputs'!$E$82*J$8</f>
        <v>3</v>
      </c>
      <c r="K81" s="58" t="n">
        <f aca="false">'Global Inputs'!$E$82*K$8</f>
        <v>3</v>
      </c>
      <c r="L81" s="58" t="n">
        <f aca="false">'Global Inputs'!$E$82*L$8</f>
        <v>3</v>
      </c>
      <c r="M81" s="58" t="n">
        <f aca="false">'Global Inputs'!$E$82*M$8</f>
        <v>3</v>
      </c>
      <c r="N81" s="58" t="n">
        <f aca="false">'Global Inputs'!$E$82*N$8</f>
        <v>3</v>
      </c>
      <c r="O81" s="58" t="n">
        <f aca="false">'Global Inputs'!$E$82*O$8</f>
        <v>3</v>
      </c>
      <c r="P81" s="58" t="n">
        <f aca="false">'Global Inputs'!$E$82*P$8</f>
        <v>3</v>
      </c>
      <c r="Q81" s="58" t="n">
        <f aca="false">'Global Inputs'!$E$82*Q$8</f>
        <v>3</v>
      </c>
      <c r="R81" s="58" t="n">
        <f aca="false">'Global Inputs'!$E$82*R$8</f>
        <v>3</v>
      </c>
      <c r="S81" s="58" t="n">
        <f aca="false">'Global Inputs'!$E$82*S$8</f>
        <v>3</v>
      </c>
    </row>
    <row r="82" customFormat="false" ht="15" hidden="false" customHeight="false" outlineLevel="0" collapsed="false">
      <c r="B82" s="24" t="s">
        <v>443</v>
      </c>
      <c r="C82" s="25" t="s">
        <v>170</v>
      </c>
      <c r="F82" s="47" t="n">
        <f aca="false">MAX(0,F81-F80)</f>
        <v>0</v>
      </c>
      <c r="G82" s="47" t="n">
        <f aca="false">MAX(0,G81-G80)</f>
        <v>0</v>
      </c>
      <c r="H82" s="47" t="n">
        <f aca="false">MAX(0,H81-H80)</f>
        <v>0</v>
      </c>
      <c r="I82" s="47" t="n">
        <f aca="false">MAX(0,I81-I80)</f>
        <v>0</v>
      </c>
      <c r="J82" s="47" t="n">
        <f aca="false">MAX(0,J81-J80)</f>
        <v>42.8456047321</v>
      </c>
      <c r="K82" s="47" t="n">
        <f aca="false">MAX(0,K81-K80)</f>
        <v>0</v>
      </c>
      <c r="L82" s="47" t="n">
        <f aca="false">MAX(0,L81-L80)</f>
        <v>0</v>
      </c>
      <c r="M82" s="47" t="n">
        <f aca="false">MAX(0,M81-M80)</f>
        <v>0</v>
      </c>
      <c r="N82" s="47" t="n">
        <f aca="false">MAX(0,N81-N80)</f>
        <v>0</v>
      </c>
      <c r="O82" s="47" t="n">
        <f aca="false">MAX(0,O81-O80)</f>
        <v>0</v>
      </c>
      <c r="P82" s="47" t="n">
        <f aca="false">MAX(0,P81-P80)</f>
        <v>0</v>
      </c>
      <c r="Q82" s="47" t="n">
        <f aca="false">MAX(0,Q81-Q80)</f>
        <v>0</v>
      </c>
      <c r="R82" s="47" t="n">
        <f aca="false">MAX(0,R81-R80)</f>
        <v>0</v>
      </c>
      <c r="S82" s="47" t="n">
        <f aca="false">MAX(0,S81-S80)</f>
        <v>0</v>
      </c>
    </row>
    <row r="83" customFormat="false" ht="15" hidden="false" customHeight="false" outlineLevel="0" collapsed="false">
      <c r="B83" s="77" t="s">
        <v>444</v>
      </c>
      <c r="C83" s="25" t="s">
        <v>170</v>
      </c>
      <c r="F83" s="47" t="n">
        <f aca="false">IF(F$5&lt;'Global Inputs'!$E$77,F82,0)</f>
        <v>0</v>
      </c>
      <c r="G83" s="47" t="n">
        <f aca="false">IF(G$5&lt;'Global Inputs'!$E$77,G82,0)</f>
        <v>0</v>
      </c>
      <c r="H83" s="47" t="n">
        <f aca="false">IF(H$5&lt;'Global Inputs'!$E$77,H82,0)</f>
        <v>0</v>
      </c>
      <c r="I83" s="47" t="n">
        <f aca="false">IF(I$5&lt;'Global Inputs'!$E$77,I82,0)</f>
        <v>0</v>
      </c>
      <c r="J83" s="47" t="n">
        <f aca="false">IF(J$5&lt;'Global Inputs'!$E$77,J82,0)</f>
        <v>0</v>
      </c>
      <c r="K83" s="47" t="n">
        <f aca="false">IF(K$5&lt;'Global Inputs'!$E$77,K82,0)</f>
        <v>0</v>
      </c>
      <c r="L83" s="47" t="n">
        <f aca="false">IF(L$5&lt;'Global Inputs'!$E$77,L82,0)</f>
        <v>0</v>
      </c>
      <c r="M83" s="47" t="n">
        <f aca="false">IF(M$5&lt;'Global Inputs'!$E$77,M82,0)</f>
        <v>0</v>
      </c>
      <c r="N83" s="47" t="n">
        <f aca="false">IF(N$5&lt;'Global Inputs'!$E$77,N82,0)</f>
        <v>0</v>
      </c>
      <c r="O83" s="47" t="n">
        <f aca="false">IF(O$5&lt;'Global Inputs'!$E$77,O82,0)</f>
        <v>0</v>
      </c>
      <c r="P83" s="47" t="n">
        <f aca="false">IF(P$5&lt;'Global Inputs'!$E$77,P82,0)</f>
        <v>0</v>
      </c>
      <c r="Q83" s="47" t="n">
        <f aca="false">IF(Q$5&lt;'Global Inputs'!$E$77,Q82,0)</f>
        <v>0</v>
      </c>
      <c r="R83" s="47" t="n">
        <f aca="false">IF(R$5&lt;'Global Inputs'!$E$77,R82,0)</f>
        <v>0</v>
      </c>
      <c r="S83" s="47" t="n">
        <f aca="false">IF(S$5&lt;'Global Inputs'!$E$77,S82,0)</f>
        <v>0</v>
      </c>
    </row>
    <row r="84" customFormat="false" ht="15" hidden="false" customHeight="false" outlineLevel="0" collapsed="false">
      <c r="B84" s="77" t="s">
        <v>445</v>
      </c>
      <c r="C84" s="25" t="s">
        <v>170</v>
      </c>
      <c r="F84" s="47" t="n">
        <f aca="false">IF(F$5&gt;='Global Inputs'!$E$77,F82,0)</f>
        <v>0</v>
      </c>
      <c r="G84" s="47" t="n">
        <f aca="false">IF(G$5&gt;='Global Inputs'!$E$77,G82,0)</f>
        <v>0</v>
      </c>
      <c r="H84" s="47" t="n">
        <f aca="false">IF(H$5&gt;='Global Inputs'!$E$77,H82,0)</f>
        <v>0</v>
      </c>
      <c r="I84" s="47" t="n">
        <f aca="false">IF(I$5&gt;='Global Inputs'!$E$77,I82,0)</f>
        <v>0</v>
      </c>
      <c r="J84" s="47" t="n">
        <f aca="false">IF(J$5&gt;='Global Inputs'!$E$77,J82,0)</f>
        <v>42.8456047321</v>
      </c>
      <c r="K84" s="47" t="n">
        <f aca="false">IF(K$5&gt;='Global Inputs'!$E$77,K82,0)</f>
        <v>0</v>
      </c>
      <c r="L84" s="47" t="n">
        <f aca="false">IF(L$5&gt;='Global Inputs'!$E$77,L82,0)</f>
        <v>0</v>
      </c>
      <c r="M84" s="47" t="n">
        <f aca="false">IF(M$5&gt;='Global Inputs'!$E$77,M82,0)</f>
        <v>0</v>
      </c>
      <c r="N84" s="47" t="n">
        <f aca="false">IF(N$5&gt;='Global Inputs'!$E$77,N82,0)</f>
        <v>0</v>
      </c>
      <c r="O84" s="47" t="n">
        <f aca="false">IF(O$5&gt;='Global Inputs'!$E$77,O82,0)</f>
        <v>0</v>
      </c>
      <c r="P84" s="47" t="n">
        <f aca="false">IF(P$5&gt;='Global Inputs'!$E$77,P82,0)</f>
        <v>0</v>
      </c>
      <c r="Q84" s="47" t="n">
        <f aca="false">IF(Q$5&gt;='Global Inputs'!$E$77,Q82,0)</f>
        <v>0</v>
      </c>
      <c r="R84" s="47" t="n">
        <f aca="false">IF(R$5&gt;='Global Inputs'!$E$77,R82,0)</f>
        <v>0</v>
      </c>
      <c r="S84" s="47" t="n">
        <f aca="false">IF(S$5&gt;='Global Inputs'!$E$77,S82,0)</f>
        <v>0</v>
      </c>
    </row>
    <row r="85" customFormat="false" ht="15" hidden="false" customHeight="false" outlineLevel="0" collapsed="false">
      <c r="B85" s="69" t="s">
        <v>446</v>
      </c>
      <c r="C85" s="25" t="s">
        <v>170</v>
      </c>
      <c r="E85" s="70" t="n">
        <f aca="false">SUM(F85:S85)</f>
        <v>195.18</v>
      </c>
      <c r="F85" s="68" t="n">
        <f aca="false">IF(F$5='Global Inputs'!$E$77,MAX(MAX($F$84:$S$84),Financing!F16),0)</f>
        <v>0</v>
      </c>
      <c r="G85" s="68" t="n">
        <f aca="false">IF(G$5='Global Inputs'!$E$77,MAX(MAX($F$84:$S$84),Financing!G16),0)</f>
        <v>0</v>
      </c>
      <c r="H85" s="68" t="n">
        <f aca="false">IF(H$5='Global Inputs'!$E$77,MAX(MAX($F$84:$S$84),Financing!H16),0)</f>
        <v>0</v>
      </c>
      <c r="I85" s="68" t="n">
        <f aca="false">IF(I$5='Global Inputs'!$E$77,MAX(MAX($F$84:$S$84),Financing!I16),0)</f>
        <v>0</v>
      </c>
      <c r="J85" s="68" t="n">
        <f aca="false">IF(J$5='Global Inputs'!$E$77,MAX(MAX($F$84:$S$84),Financing!J16),0)</f>
        <v>195.18</v>
      </c>
      <c r="K85" s="68" t="n">
        <f aca="false">IF(K$5='Global Inputs'!$E$77,MAX(MAX($F$84:$S$84),Financing!K16),0)</f>
        <v>0</v>
      </c>
      <c r="L85" s="68" t="n">
        <f aca="false">IF(L$5='Global Inputs'!$E$77,MAX(MAX($F$84:$S$84),Financing!L16),0)</f>
        <v>0</v>
      </c>
      <c r="M85" s="68" t="n">
        <f aca="false">IF(M$5='Global Inputs'!$E$77,MAX(MAX($F$84:$S$84),Financing!M16),0)</f>
        <v>0</v>
      </c>
      <c r="N85" s="68" t="n">
        <f aca="false">IF(N$5='Global Inputs'!$E$77,MAX(MAX($F$84:$S$84),Financing!N16),0)</f>
        <v>0</v>
      </c>
      <c r="O85" s="68" t="n">
        <f aca="false">IF(O$5='Global Inputs'!$E$77,MAX(MAX($F$84:$S$84),Financing!O16),0)</f>
        <v>0</v>
      </c>
      <c r="P85" s="68" t="n">
        <f aca="false">IF(P$5='Global Inputs'!$E$77,MAX(MAX($F$84:$S$84),Financing!P16),0)</f>
        <v>0</v>
      </c>
      <c r="Q85" s="68" t="n">
        <f aca="false">IF(Q$5='Global Inputs'!$E$77,MAX(MAX($F$84:$S$84),Financing!Q16),0)</f>
        <v>0</v>
      </c>
      <c r="R85" s="68" t="n">
        <f aca="false">IF(R$5='Global Inputs'!$E$77,MAX(MAX($F$84:$S$84),Financing!R16),0)</f>
        <v>0</v>
      </c>
      <c r="S85" s="68" t="n">
        <f aca="false">IF(S$5='Global Inputs'!$E$77,MAX(MAX($F$84:$S$84),Financing!S16),0)</f>
        <v>0</v>
      </c>
      <c r="U85" s="5" t="s">
        <v>447</v>
      </c>
    </row>
    <row r="86" customFormat="false" ht="15" hidden="false" customHeight="false" outlineLevel="0" collapsed="false">
      <c r="B86" s="24" t="s">
        <v>448</v>
      </c>
      <c r="C86" s="25" t="s">
        <v>170</v>
      </c>
      <c r="E86" s="47" t="n">
        <f aca="false">SUM(F86:S86)</f>
        <v>0</v>
      </c>
      <c r="F86" s="47" t="n">
        <f aca="false">MAX(0,F81-F66)*F$8</f>
        <v>0</v>
      </c>
      <c r="G86" s="47" t="n">
        <f aca="false">MAX(0,G81-G66)*G$8</f>
        <v>0</v>
      </c>
      <c r="H86" s="47" t="n">
        <f aca="false">MAX(0,H81-H66)*H$8</f>
        <v>0</v>
      </c>
      <c r="I86" s="47" t="n">
        <f aca="false">MAX(0,I81-I66)*I$8</f>
        <v>0</v>
      </c>
      <c r="J86" s="47" t="n">
        <f aca="false">MAX(0,J81-J66)*J$8</f>
        <v>0</v>
      </c>
      <c r="K86" s="47" t="n">
        <f aca="false">MAX(0,K81-K66)*K$8</f>
        <v>0</v>
      </c>
      <c r="L86" s="47" t="n">
        <f aca="false">MAX(0,L81-L66)*L$8</f>
        <v>0</v>
      </c>
      <c r="M86" s="47" t="n">
        <f aca="false">MAX(0,M81-M66)*M$8</f>
        <v>0</v>
      </c>
      <c r="N86" s="47" t="n">
        <f aca="false">MAX(0,N81-N66)*N$8</f>
        <v>0</v>
      </c>
      <c r="O86" s="47" t="n">
        <f aca="false">MAX(0,O81-O66)*O$8</f>
        <v>0</v>
      </c>
      <c r="P86" s="47" t="n">
        <f aca="false">MAX(0,P81-P66)*P$8</f>
        <v>0</v>
      </c>
      <c r="Q86" s="47" t="n">
        <f aca="false">MAX(0,Q81-Q66)*Q$8</f>
        <v>0</v>
      </c>
      <c r="R86" s="47" t="n">
        <f aca="false">MAX(0,R81-R66)*R$8</f>
        <v>0</v>
      </c>
      <c r="S86" s="47" t="n">
        <f aca="false">MAX(0,S81-S66)*S$8</f>
        <v>0</v>
      </c>
    </row>
    <row r="88" customFormat="false" ht="15" hidden="false" customHeight="false" outlineLevel="0" collapsed="false">
      <c r="B88" s="22" t="s">
        <v>449</v>
      </c>
      <c r="C88" s="23"/>
      <c r="D88" s="23"/>
      <c r="E88" s="23"/>
      <c r="F88" s="23"/>
      <c r="G88" s="23"/>
      <c r="H88" s="23"/>
      <c r="I88" s="23"/>
      <c r="J88" s="23"/>
      <c r="K88" s="23"/>
      <c r="L88" s="23"/>
      <c r="M88" s="23"/>
      <c r="N88" s="23"/>
      <c r="O88" s="23"/>
      <c r="P88" s="23"/>
      <c r="Q88" s="23"/>
      <c r="R88" s="23"/>
      <c r="S88" s="23"/>
    </row>
    <row r="89" customFormat="false" ht="15" hidden="false" customHeight="false" outlineLevel="0" collapsed="false">
      <c r="B89" s="78" t="s">
        <v>345</v>
      </c>
      <c r="C89" s="79"/>
      <c r="D89" s="79"/>
      <c r="E89" s="79"/>
      <c r="F89" s="79"/>
      <c r="G89" s="79"/>
      <c r="H89" s="79"/>
      <c r="I89" s="79"/>
      <c r="J89" s="79"/>
      <c r="K89" s="79"/>
      <c r="L89" s="79"/>
      <c r="M89" s="79"/>
      <c r="N89" s="79"/>
      <c r="O89" s="79"/>
      <c r="P89" s="79"/>
      <c r="Q89" s="79"/>
      <c r="R89" s="79"/>
      <c r="S89" s="79"/>
    </row>
    <row r="90" customFormat="false" ht="15" hidden="false" customHeight="false" outlineLevel="0" collapsed="false">
      <c r="B90" s="77" t="s">
        <v>31</v>
      </c>
      <c r="C90" s="25" t="s">
        <v>170</v>
      </c>
      <c r="E90" s="55" t="n">
        <f aca="false">'Global Inputs'!$K$89</f>
        <v>1</v>
      </c>
      <c r="F90" s="58" t="n">
        <f aca="false">'E1 TelukLamong Output'!F11*$E$90</f>
        <v>0</v>
      </c>
      <c r="G90" s="58" t="n">
        <f aca="false">'E1 TelukLamong Output'!G11*$E$90</f>
        <v>156.43828</v>
      </c>
      <c r="H90" s="58" t="n">
        <f aca="false">'E1 TelukLamong Output'!H11*$E$90</f>
        <v>161.1314284</v>
      </c>
      <c r="I90" s="58" t="n">
        <f aca="false">'E1 TelukLamong Output'!I11*$E$90</f>
        <v>165.965371252</v>
      </c>
      <c r="J90" s="58" t="n">
        <f aca="false">'E1 TelukLamong Output'!J11*$E$90</f>
        <v>170.94433238956</v>
      </c>
      <c r="K90" s="58" t="n">
        <f aca="false">'E1 TelukLamong Output'!K11*$E$90</f>
        <v>176.072662361247</v>
      </c>
      <c r="L90" s="58" t="n">
        <f aca="false">'E1 TelukLamong Output'!L11*$E$90</f>
        <v>186.795487499047</v>
      </c>
      <c r="M90" s="58" t="n">
        <f aca="false">'E1 TelukLamong Output'!M11*$E$90</f>
        <v>192.399352124018</v>
      </c>
      <c r="N90" s="58" t="n">
        <f aca="false">'E1 TelukLamong Output'!N11*$E$90</f>
        <v>198.171332687739</v>
      </c>
      <c r="O90" s="58" t="n">
        <f aca="false">'E1 TelukLamong Output'!O11*$E$90</f>
        <v>210.239966848422</v>
      </c>
      <c r="P90" s="58" t="n">
        <f aca="false">'E1 TelukLamong Output'!P11*$E$90</f>
        <v>216.547165853875</v>
      </c>
      <c r="Q90" s="58" t="n">
        <f aca="false">'E1 TelukLamong Output'!Q11*$E$90</f>
        <v>223.043580829491</v>
      </c>
      <c r="R90" s="58" t="n">
        <f aca="false">'E1 TelukLamong Output'!R11*$E$90</f>
        <v>229.734888254376</v>
      </c>
      <c r="S90" s="58" t="n">
        <f aca="false">'E1 TelukLamong Output'!S11*$E$90</f>
        <v>236.626934902007</v>
      </c>
    </row>
    <row r="91" customFormat="false" ht="15" hidden="false" customHeight="false" outlineLevel="0" collapsed="false">
      <c r="B91" s="77" t="s">
        <v>34</v>
      </c>
      <c r="C91" s="25" t="s">
        <v>170</v>
      </c>
      <c r="E91" s="55" t="n">
        <f aca="false">'Global Inputs'!$K$90</f>
        <v>1</v>
      </c>
      <c r="F91" s="58" t="n">
        <f aca="false">'E2 CigadingExist Output'!F11*$E$91</f>
        <v>0</v>
      </c>
      <c r="G91" s="58" t="n">
        <f aca="false">'E2 CigadingExist Output'!G11*$E$91</f>
        <v>38.65796</v>
      </c>
      <c r="H91" s="58" t="n">
        <f aca="false">'E2 CigadingExist Output'!H11*$E$91</f>
        <v>46.389552</v>
      </c>
      <c r="I91" s="58" t="n">
        <f aca="false">'E2 CigadingExist Output'!I11*$E$91</f>
        <v>47.78123856</v>
      </c>
      <c r="J91" s="58" t="n">
        <f aca="false">'E2 CigadingExist Output'!J11*$E$91</f>
        <v>59.05761086016</v>
      </c>
      <c r="K91" s="58" t="n">
        <f aca="false">'E2 CigadingExist Output'!K11*$E$91</f>
        <v>60.8293391859648</v>
      </c>
      <c r="L91" s="58" t="n">
        <f aca="false">'E2 CigadingExist Output'!L11*$E$91</f>
        <v>68.9196412976981</v>
      </c>
      <c r="M91" s="58" t="n">
        <f aca="false">'E2 CigadingExist Output'!M11*$E$91</f>
        <v>70.9872305366291</v>
      </c>
      <c r="N91" s="58" t="n">
        <f aca="false">'E2 CigadingExist Output'!N11*$E$91</f>
        <v>77.5038582998916</v>
      </c>
      <c r="O91" s="58" t="n">
        <f aca="false">'E2 CigadingExist Output'!O11*$E$91</f>
        <v>79.8289740488884</v>
      </c>
      <c r="P91" s="58" t="n">
        <f aca="false">'E2 CigadingExist Output'!P11*$E$91</f>
        <v>87.1572738665763</v>
      </c>
      <c r="Q91" s="58" t="n">
        <f aca="false">'E2 CigadingExist Output'!Q11*$E$91</f>
        <v>89.7719920825736</v>
      </c>
      <c r="R91" s="58" t="n">
        <f aca="false">'E2 CigadingExist Output'!R11*$E$91</f>
        <v>92.4651518450508</v>
      </c>
      <c r="S91" s="58" t="n">
        <f aca="false">'E2 CigadingExist Output'!S11*$E$91</f>
        <v>95.2391064004024</v>
      </c>
    </row>
    <row r="92" customFormat="false" ht="15" hidden="false" customHeight="false" outlineLevel="0" collapsed="false">
      <c r="B92" s="77" t="s">
        <v>37</v>
      </c>
      <c r="C92" s="25" t="s">
        <v>170</v>
      </c>
      <c r="E92" s="55" t="n">
        <f aca="false">'Global Inputs'!$K$91</f>
        <v>1</v>
      </c>
      <c r="F92" s="58" t="n">
        <f aca="false">'E3 Belawan Output'!F11*$E$92</f>
        <v>0</v>
      </c>
      <c r="G92" s="58" t="n">
        <f aca="false">'E3 Belawan Output'!G11*$E$92</f>
        <v>22.2435</v>
      </c>
      <c r="H92" s="58" t="n">
        <f aca="false">'E3 Belawan Output'!H11*$E$92</f>
        <v>22.910805</v>
      </c>
      <c r="I92" s="58" t="n">
        <f aca="false">'E3 Belawan Output'!I11*$E$92</f>
        <v>34.9679270625</v>
      </c>
      <c r="J92" s="58" t="n">
        <f aca="false">'E3 Belawan Output'!J11*$E$92</f>
        <v>44.806464874375</v>
      </c>
      <c r="K92" s="58" t="n">
        <f aca="false">'E3 Belawan Output'!K11*$E$92</f>
        <v>49.5268792852244</v>
      </c>
      <c r="L92" s="58" t="n">
        <f aca="false">'E3 Belawan Output'!L11*$E$92</f>
        <v>54.5245821005696</v>
      </c>
      <c r="M92" s="58" t="n">
        <f aca="false">'E3 Belawan Output'!M11*$E$92</f>
        <v>59.8140565636268</v>
      </c>
      <c r="N92" s="58" t="n">
        <f aca="false">'E3 Belawan Output'!N11*$E$92</f>
        <v>65.4105328962369</v>
      </c>
      <c r="O92" s="58" t="n">
        <f aca="false">'E3 Belawan Output'!O11*$E$92</f>
        <v>71.3300278493691</v>
      </c>
      <c r="P92" s="58" t="n">
        <f aca="false">'E3 Belawan Output'!P11*$E$92</f>
        <v>77.5893864308892</v>
      </c>
      <c r="Q92" s="58" t="n">
        <f aca="false">'E3 Belawan Output'!Q11*$E$92</f>
        <v>84.2064817177669</v>
      </c>
      <c r="R92" s="58" t="n">
        <f aca="false">'E3 Belawan Output'!R11*$E$92</f>
        <v>57.7967623822037</v>
      </c>
      <c r="S92" s="58" t="n">
        <f aca="false">'E3 Belawan Output'!S11*$E$92</f>
        <v>61.3165852112799</v>
      </c>
    </row>
    <row r="93" customFormat="false" ht="15" hidden="false" customHeight="false" outlineLevel="0" collapsed="false">
      <c r="B93" s="77" t="s">
        <v>40</v>
      </c>
      <c r="C93" s="25" t="s">
        <v>170</v>
      </c>
      <c r="E93" s="55" t="n">
        <f aca="false">'Global Inputs'!$K$92</f>
        <v>1</v>
      </c>
      <c r="F93" s="58" t="n">
        <f aca="false">'E4 WIN Output'!F11*$E$93</f>
        <v>0</v>
      </c>
      <c r="G93" s="58" t="n">
        <f aca="false">'E4 WIN Output'!G11*$E$93</f>
        <v>87.9486723607539</v>
      </c>
      <c r="H93" s="58" t="n">
        <f aca="false">'E4 WIN Output'!H11*$E$93</f>
        <v>65.3586410331276</v>
      </c>
      <c r="I93" s="58" t="n">
        <f aca="false">'E4 WIN Output'!I11*$E$93</f>
        <v>61.9897288255351</v>
      </c>
      <c r="J93" s="58" t="n">
        <f aca="false">'E4 WIN Output'!J11*$E$93</f>
        <v>66.8577054381607</v>
      </c>
      <c r="K93" s="58" t="n">
        <f aca="false">'E4 WIN Output'!K11*$E$93</f>
        <v>72.1093080811055</v>
      </c>
      <c r="L93" s="58" t="n">
        <f aca="false">'E4 WIN Output'!L11*$E$93</f>
        <v>77.7748685545113</v>
      </c>
      <c r="M93" s="58" t="n">
        <f aca="false">'E4 WIN Output'!M11*$E$93</f>
        <v>83.8871242192732</v>
      </c>
      <c r="N93" s="58" t="n">
        <f aca="false">'E4 WIN Output'!N11*$E$93</f>
        <v>90.4814093167961</v>
      </c>
      <c r="O93" s="58" t="n">
        <f aca="false">'E4 WIN Output'!O11*$E$93</f>
        <v>97.5958615442911</v>
      </c>
      <c r="P93" s="58" t="n">
        <f aca="false">'E4 WIN Output'!P11*$E$93</f>
        <v>105.271645104941</v>
      </c>
      <c r="Q93" s="58" t="n">
        <f aca="false">'E4 WIN Output'!Q11*$E$93</f>
        <v>93.1878419546129</v>
      </c>
      <c r="R93" s="58" t="n">
        <f aca="false">'E4 WIN Output'!R11*$E$93</f>
        <v>97.7168270689103</v>
      </c>
      <c r="S93" s="58" t="n">
        <f aca="false">'E4 WIN Output'!S11*$E$93</f>
        <v>102.467045159585</v>
      </c>
    </row>
    <row r="94" customFormat="false" ht="15" hidden="false" customHeight="false" outlineLevel="0" collapsed="false">
      <c r="B94" s="77" t="s">
        <v>43</v>
      </c>
      <c r="C94" s="25" t="s">
        <v>170</v>
      </c>
      <c r="E94" s="55" t="n">
        <f aca="false">'Global Inputs'!$K$93</f>
        <v>1</v>
      </c>
      <c r="F94" s="58" t="n">
        <f aca="false">'P01 CigWharf2 Output'!F11*$E$94</f>
        <v>0</v>
      </c>
      <c r="G94" s="58" t="n">
        <f aca="false">'P01 CigWharf2 Output'!G11*$E$94</f>
        <v>0</v>
      </c>
      <c r="H94" s="58" t="n">
        <f aca="false">'P01 CigWharf2 Output'!H11*$E$94</f>
        <v>100.312209096192</v>
      </c>
      <c r="I94" s="58" t="n">
        <f aca="false">'P01 CigWharf2 Output'!I11*$E$94</f>
        <v>103.321575369078</v>
      </c>
      <c r="J94" s="58" t="n">
        <f aca="false">'P01 CigWharf2 Output'!J11*$E$94</f>
        <v>127.70546715618</v>
      </c>
      <c r="K94" s="58" t="n">
        <f aca="false">'P01 CigWharf2 Output'!K11*$E$94</f>
        <v>131.536631170866</v>
      </c>
      <c r="L94" s="58" t="n">
        <f aca="false">'P01 CigWharf2 Output'!L11*$E$94</f>
        <v>149.031003116591</v>
      </c>
      <c r="M94" s="58" t="n">
        <f aca="false">'P01 CigWharf2 Output'!M11*$E$94</f>
        <v>153.501933210088</v>
      </c>
      <c r="N94" s="58" t="n">
        <f aca="false">'P01 CigWharf2 Output'!N11*$E$94</f>
        <v>167.593410678774</v>
      </c>
      <c r="O94" s="58" t="n">
        <f aca="false">'P01 CigWharf2 Output'!O11*$E$94</f>
        <v>172.621212999138</v>
      </c>
      <c r="P94" s="58" t="n">
        <f aca="false">'P01 CigWharf2 Output'!P11*$E$94</f>
        <v>188.467840352459</v>
      </c>
      <c r="Q94" s="58" t="n">
        <f aca="false">'P01 CigWharf2 Output'!Q11*$E$94</f>
        <v>194.121875563032</v>
      </c>
      <c r="R94" s="58" t="n">
        <f aca="false">'P01 CigWharf2 Output'!R11*$E$94</f>
        <v>199.945531829923</v>
      </c>
      <c r="S94" s="58" t="n">
        <f aca="false">'P01 CigWharf2 Output'!S11*$E$94</f>
        <v>205.943897784821</v>
      </c>
    </row>
    <row r="95" customFormat="false" ht="15" hidden="false" customHeight="false" outlineLevel="0" collapsed="false">
      <c r="B95" s="77" t="s">
        <v>46</v>
      </c>
      <c r="C95" s="25" t="s">
        <v>170</v>
      </c>
      <c r="E95" s="55" t="n">
        <f aca="false">'Global Inputs'!$K$94</f>
        <v>1</v>
      </c>
      <c r="F95" s="58" t="n">
        <f aca="false">'P02 CigConveyor Output'!F11*$E$95</f>
        <v>0</v>
      </c>
      <c r="G95" s="58" t="n">
        <f aca="false">'P02 CigConveyor Output'!G11*$E$95</f>
        <v>0</v>
      </c>
      <c r="H95" s="58" t="n">
        <f aca="false">'P02 CigConveyor Output'!H11*$E$95</f>
        <v>31.5</v>
      </c>
      <c r="I95" s="58" t="n">
        <f aca="false">'P02 CigConveyor Output'!I11*$E$95</f>
        <v>32.445</v>
      </c>
      <c r="J95" s="58" t="n">
        <f aca="false">'P02 CigConveyor Output'!J11*$E$95</f>
        <v>33.41835</v>
      </c>
      <c r="K95" s="58" t="n">
        <f aca="false">'P02 CigConveyor Output'!K11*$E$95</f>
        <v>34.4209005</v>
      </c>
      <c r="L95" s="58" t="n">
        <f aca="false">'P02 CigConveyor Output'!L11*$E$95</f>
        <v>35.453527515</v>
      </c>
      <c r="M95" s="58" t="n">
        <f aca="false">'P02 CigConveyor Output'!M11*$E$95</f>
        <v>36.51713334045</v>
      </c>
      <c r="N95" s="58" t="n">
        <f aca="false">'P02 CigConveyor Output'!N11*$E$95</f>
        <v>37.6126473406635</v>
      </c>
      <c r="O95" s="58" t="n">
        <f aca="false">'P02 CigConveyor Output'!O11*$E$95</f>
        <v>38.7410267608834</v>
      </c>
      <c r="P95" s="58" t="n">
        <f aca="false">'P02 CigConveyor Output'!P11*$E$95</f>
        <v>39.9032575637099</v>
      </c>
      <c r="Q95" s="58" t="n">
        <f aca="false">'P02 CigConveyor Output'!Q11*$E$95</f>
        <v>41.1003552906212</v>
      </c>
      <c r="R95" s="58" t="n">
        <f aca="false">'P02 CigConveyor Output'!R11*$E$95</f>
        <v>42.3333659493399</v>
      </c>
      <c r="S95" s="58" t="n">
        <f aca="false">'P02 CigConveyor Output'!S11*$E$95</f>
        <v>43.6033669278201</v>
      </c>
    </row>
    <row r="96" customFormat="false" ht="15" hidden="false" customHeight="false" outlineLevel="0" collapsed="false">
      <c r="B96" s="77" t="s">
        <v>48</v>
      </c>
      <c r="C96" s="25" t="s">
        <v>170</v>
      </c>
      <c r="E96" s="55" t="n">
        <f aca="false">'Global Inputs'!$K$95</f>
        <v>1</v>
      </c>
      <c r="F96" s="58" t="n">
        <f aca="false">'P03 KBSWarehouse Output'!F11*$E$96</f>
        <v>0</v>
      </c>
      <c r="G96" s="58" t="n">
        <f aca="false">'P03 KBSWarehouse Output'!G11*$E$96</f>
        <v>0</v>
      </c>
      <c r="H96" s="58" t="n">
        <f aca="false">'P03 KBSWarehouse Output'!H11*$E$96</f>
        <v>0</v>
      </c>
      <c r="I96" s="58" t="n">
        <f aca="false">'P03 KBSWarehouse Output'!I11*$E$96</f>
        <v>0</v>
      </c>
      <c r="J96" s="58" t="n">
        <f aca="false">'P03 KBSWarehouse Output'!J11*$E$96</f>
        <v>53.023782</v>
      </c>
      <c r="K96" s="58" t="n">
        <f aca="false">'P03 KBSWarehouse Output'!K11*$E$96</f>
        <v>54.61449546</v>
      </c>
      <c r="L96" s="58" t="n">
        <f aca="false">'P03 KBSWarehouse Output'!L11*$E$96</f>
        <v>56.2529303238</v>
      </c>
      <c r="M96" s="58" t="n">
        <f aca="false">'P03 KBSWarehouse Output'!M11*$E$96</f>
        <v>57.940518233514</v>
      </c>
      <c r="N96" s="58" t="n">
        <f aca="false">'P03 KBSWarehouse Output'!N11*$E$96</f>
        <v>59.6787337805194</v>
      </c>
      <c r="O96" s="58" t="n">
        <f aca="false">'P03 KBSWarehouse Output'!O11*$E$96</f>
        <v>61.469095793935</v>
      </c>
      <c r="P96" s="58" t="n">
        <f aca="false">'P03 KBSWarehouse Output'!P11*$E$96</f>
        <v>63.3131686677531</v>
      </c>
      <c r="Q96" s="58" t="n">
        <f aca="false">'P03 KBSWarehouse Output'!Q11*$E$96</f>
        <v>65.2125637277857</v>
      </c>
      <c r="R96" s="58" t="n">
        <f aca="false">'P03 KBSWarehouse Output'!R11*$E$96</f>
        <v>67.1689406396192</v>
      </c>
      <c r="S96" s="58" t="n">
        <f aca="false">'P03 KBSWarehouse Output'!S11*$E$96</f>
        <v>69.1840088588078</v>
      </c>
    </row>
    <row r="97" customFormat="false" ht="15" hidden="false" customHeight="false" outlineLevel="0" collapsed="false">
      <c r="B97" s="77" t="s">
        <v>51</v>
      </c>
      <c r="C97" s="25" t="s">
        <v>170</v>
      </c>
      <c r="E97" s="55" t="n">
        <f aca="false">'Global Inputs'!$K$96</f>
        <v>1</v>
      </c>
      <c r="F97" s="58" t="n">
        <f aca="false">'P04 TTLSilo Output'!F11*$E$97</f>
        <v>0</v>
      </c>
      <c r="G97" s="58" t="n">
        <f aca="false">'P04 TTLSilo Output'!G11*$E$97</f>
        <v>0</v>
      </c>
      <c r="H97" s="58" t="n">
        <f aca="false">'P04 TTLSilo Output'!H11*$E$97</f>
        <v>0</v>
      </c>
      <c r="I97" s="58" t="n">
        <f aca="false">'P04 TTLSilo Output'!I11*$E$97</f>
        <v>0</v>
      </c>
      <c r="J97" s="58" t="n">
        <f aca="false">'P04 TTLSilo Output'!J11*$E$97</f>
        <v>13.26</v>
      </c>
      <c r="K97" s="58" t="n">
        <f aca="false">'P04 TTLSilo Output'!K11*$E$97</f>
        <v>13.26</v>
      </c>
      <c r="L97" s="58" t="n">
        <f aca="false">'P04 TTLSilo Output'!L11*$E$97</f>
        <v>13.26</v>
      </c>
      <c r="M97" s="58" t="n">
        <f aca="false">'P04 TTLSilo Output'!M11*$E$97</f>
        <v>13.26</v>
      </c>
      <c r="N97" s="58" t="n">
        <f aca="false">'P04 TTLSilo Output'!N11*$E$97</f>
        <v>13.26</v>
      </c>
      <c r="O97" s="58" t="n">
        <f aca="false">'P04 TTLSilo Output'!O11*$E$97</f>
        <v>13.26</v>
      </c>
      <c r="P97" s="58" t="n">
        <f aca="false">'P04 TTLSilo Output'!P11*$E$97</f>
        <v>13.26</v>
      </c>
      <c r="Q97" s="58" t="n">
        <f aca="false">'P04 TTLSilo Output'!Q11*$E$97</f>
        <v>13.26</v>
      </c>
      <c r="R97" s="58" t="n">
        <f aca="false">'P04 TTLSilo Output'!R11*$E$97</f>
        <v>13.26</v>
      </c>
      <c r="S97" s="58" t="n">
        <f aca="false">'P04 TTLSilo Output'!S11*$E$97</f>
        <v>13.26</v>
      </c>
    </row>
    <row r="98" customFormat="false" ht="15" hidden="false" customHeight="false" outlineLevel="0" collapsed="false">
      <c r="B98" s="77" t="s">
        <v>54</v>
      </c>
      <c r="C98" s="25" t="s">
        <v>170</v>
      </c>
      <c r="E98" s="55" t="n">
        <f aca="false">'Global Inputs'!$K$97</f>
        <v>1</v>
      </c>
      <c r="F98" s="58" t="n">
        <f aca="false">'P05 Dumai Output'!F11*$E$98</f>
        <v>0</v>
      </c>
      <c r="G98" s="58" t="n">
        <f aca="false">'P05 Dumai Output'!G11*$E$98</f>
        <v>0</v>
      </c>
      <c r="H98" s="58" t="n">
        <f aca="false">'P05 Dumai Output'!H11*$E$98</f>
        <v>0</v>
      </c>
      <c r="I98" s="58" t="n">
        <f aca="false">'P05 Dumai Output'!I11*$E$98</f>
        <v>48.1</v>
      </c>
      <c r="J98" s="58" t="n">
        <f aca="false">'P05 Dumai Output'!J11*$E$98</f>
        <v>48.1</v>
      </c>
      <c r="K98" s="58" t="n">
        <f aca="false">'P05 Dumai Output'!K11*$E$98</f>
        <v>48.1</v>
      </c>
      <c r="L98" s="58" t="n">
        <f aca="false">'P05 Dumai Output'!L11*$E$98</f>
        <v>51.4176</v>
      </c>
      <c r="M98" s="58" t="n">
        <f aca="false">'P05 Dumai Output'!M11*$E$98</f>
        <v>51.4176</v>
      </c>
      <c r="N98" s="58" t="n">
        <f aca="false">'P05 Dumai Output'!N11*$E$98</f>
        <v>51.4176</v>
      </c>
      <c r="O98" s="58" t="n">
        <f aca="false">'P05 Dumai Output'!O11*$E$98</f>
        <v>51.4176</v>
      </c>
      <c r="P98" s="58" t="n">
        <f aca="false">'P05 Dumai Output'!P11*$E$98</f>
        <v>54.96819952</v>
      </c>
      <c r="Q98" s="58" t="n">
        <f aca="false">'P05 Dumai Output'!Q11*$E$98</f>
        <v>54.96819952</v>
      </c>
      <c r="R98" s="58" t="n">
        <f aca="false">'P05 Dumai Output'!R11*$E$98</f>
        <v>54.96819952</v>
      </c>
      <c r="S98" s="58" t="n">
        <f aca="false">'P05 Dumai Output'!S11*$E$98</f>
        <v>54.96819952</v>
      </c>
    </row>
    <row r="99" customFormat="false" ht="15" hidden="false" customHeight="false" outlineLevel="0" collapsed="false">
      <c r="B99" s="77" t="s">
        <v>57</v>
      </c>
      <c r="C99" s="25" t="s">
        <v>170</v>
      </c>
      <c r="E99" s="55" t="n">
        <f aca="false">'Global Inputs'!$K$98</f>
        <v>1</v>
      </c>
      <c r="F99" s="58" t="n">
        <f aca="false">'P06 Ciwandan Output'!F11*$E$99</f>
        <v>0</v>
      </c>
      <c r="G99" s="58" t="n">
        <f aca="false">'P06 Ciwandan Output'!G11*$E$99</f>
        <v>0</v>
      </c>
      <c r="H99" s="58" t="n">
        <f aca="false">'P06 Ciwandan Output'!H11*$E$99</f>
        <v>0</v>
      </c>
      <c r="I99" s="58" t="n">
        <f aca="false">'P06 Ciwandan Output'!I11*$E$99</f>
        <v>0</v>
      </c>
      <c r="J99" s="58" t="n">
        <f aca="false">'P06 Ciwandan Output'!J11*$E$99</f>
        <v>0</v>
      </c>
      <c r="K99" s="58" t="n">
        <f aca="false">'P06 Ciwandan Output'!K11*$E$99</f>
        <v>58.2578395878345</v>
      </c>
      <c r="L99" s="58" t="n">
        <f aca="false">'P06 Ciwandan Output'!L11*$E$99</f>
        <v>76.9003482559415</v>
      </c>
      <c r="M99" s="58" t="n">
        <f aca="false">'P06 Ciwandan Output'!M11*$E$99</f>
        <v>84.5903830815357</v>
      </c>
      <c r="N99" s="58" t="n">
        <f aca="false">'P06 Ciwandan Output'!N11*$E$99</f>
        <v>102.354363528658</v>
      </c>
      <c r="O99" s="58" t="n">
        <f aca="false">'P06 Ciwandan Output'!O11*$E$99</f>
        <v>108.495625340378</v>
      </c>
      <c r="P99" s="58" t="n">
        <f aca="false">'P06 Ciwandan Output'!P11*$E$99</f>
        <v>121.905684632448</v>
      </c>
      <c r="Q99" s="58" t="n">
        <f aca="false">'P06 Ciwandan Output'!Q11*$E$99</f>
        <v>129.220025710395</v>
      </c>
      <c r="R99" s="58" t="n">
        <f aca="false">'P06 Ciwandan Output'!R11*$E$99</f>
        <v>145.1916208882</v>
      </c>
      <c r="S99" s="58" t="n">
        <f aca="false">'P06 Ciwandan Output'!S11*$E$99</f>
        <v>153.903118141492</v>
      </c>
    </row>
    <row r="100" customFormat="false" ht="15" hidden="false" customHeight="false" outlineLevel="0" collapsed="false">
      <c r="B100" s="77" t="s">
        <v>60</v>
      </c>
      <c r="C100" s="25" t="s">
        <v>170</v>
      </c>
      <c r="E100" s="55" t="n">
        <f aca="false">'Global Inputs'!$K$99</f>
        <v>1</v>
      </c>
      <c r="F100" s="58" t="n">
        <f aca="false">'P08 DMSTrucking Output'!F11*$E$100</f>
        <v>0</v>
      </c>
      <c r="G100" s="58" t="n">
        <f aca="false">'P08 DMSTrucking Output'!G11*$E$100</f>
        <v>0</v>
      </c>
      <c r="H100" s="58" t="n">
        <f aca="false">'P08 DMSTrucking Output'!H11*$E$100</f>
        <v>0</v>
      </c>
      <c r="I100" s="58" t="n">
        <f aca="false">'P08 DMSTrucking Output'!I11*$E$100</f>
        <v>0</v>
      </c>
      <c r="J100" s="58" t="n">
        <f aca="false">'P08 DMSTrucking Output'!J11*$E$100</f>
        <v>2.752399559888</v>
      </c>
      <c r="K100" s="58" t="n">
        <f aca="false">'P08 DMSTrucking Output'!K11*$E$100</f>
        <v>3.30077154668464</v>
      </c>
      <c r="L100" s="58" t="n">
        <f aca="false">'P08 DMSTrucking Output'!L11*$E$100</f>
        <v>3.43407469308518</v>
      </c>
      <c r="M100" s="58" t="n">
        <f aca="false">'P08 DMSTrucking Output'!M11*$E$100</f>
        <v>3.57462493387774</v>
      </c>
      <c r="N100" s="58" t="n">
        <f aca="false">'P08 DMSTrucking Output'!N11*$E$100</f>
        <v>3.72296448189407</v>
      </c>
      <c r="O100" s="58" t="n">
        <f aca="false">'P08 DMSTrucking Output'!O11*$E$100</f>
        <v>3.85498093635089</v>
      </c>
      <c r="P100" s="58" t="n">
        <f aca="false">'P08 DMSTrucking Output'!P11*$E$100</f>
        <v>3.99206953564142</v>
      </c>
      <c r="Q100" s="58" t="n">
        <f aca="false">'P08 DMSTrucking Output'!Q11*$E$100</f>
        <v>4.13444914318266</v>
      </c>
      <c r="R100" s="58" t="n">
        <f aca="false">'P08 DMSTrucking Output'!R11*$E$100</f>
        <v>4.28234919023846</v>
      </c>
      <c r="S100" s="58" t="n">
        <f aca="false">'P08 DMSTrucking Output'!S11*$E$100</f>
        <v>4.43601023307155</v>
      </c>
    </row>
    <row r="101" customFormat="false" ht="15" hidden="false" customHeight="false" outlineLevel="0" collapsed="false">
      <c r="B101" s="77" t="s">
        <v>63</v>
      </c>
      <c r="C101" s="25" t="s">
        <v>170</v>
      </c>
      <c r="E101" s="55" t="n">
        <f aca="false">'Global Inputs'!$K$100</f>
        <v>0</v>
      </c>
      <c r="F101" s="58" t="n">
        <f aca="false">'P12 BUMNOps Output'!F11*$E$101</f>
        <v>0</v>
      </c>
      <c r="G101" s="58" t="n">
        <f aca="false">'P12 BUMNOps Output'!G11*$E$101</f>
        <v>0</v>
      </c>
      <c r="H101" s="58" t="n">
        <f aca="false">'P12 BUMNOps Output'!H11*$E$101</f>
        <v>0</v>
      </c>
      <c r="I101" s="58" t="n">
        <f aca="false">'P12 BUMNOps Output'!I11*$E$101</f>
        <v>0</v>
      </c>
      <c r="J101" s="58" t="n">
        <f aca="false">'P12 BUMNOps Output'!J11*$E$101</f>
        <v>0</v>
      </c>
      <c r="K101" s="58" t="n">
        <f aca="false">'P12 BUMNOps Output'!K11*$E$101</f>
        <v>0</v>
      </c>
      <c r="L101" s="58" t="n">
        <f aca="false">'P12 BUMNOps Output'!L11*$E$101</f>
        <v>0</v>
      </c>
      <c r="M101" s="58" t="n">
        <f aca="false">'P12 BUMNOps Output'!M11*$E$101</f>
        <v>0</v>
      </c>
      <c r="N101" s="58" t="n">
        <f aca="false">'P12 BUMNOps Output'!N11*$E$101</f>
        <v>0</v>
      </c>
      <c r="O101" s="58" t="n">
        <f aca="false">'P12 BUMNOps Output'!O11*$E$101</f>
        <v>0</v>
      </c>
      <c r="P101" s="58" t="n">
        <f aca="false">'P12 BUMNOps Output'!P11*$E$101</f>
        <v>0</v>
      </c>
      <c r="Q101" s="58" t="n">
        <f aca="false">'P12 BUMNOps Output'!Q11*$E$101</f>
        <v>0</v>
      </c>
      <c r="R101" s="58" t="n">
        <f aca="false">'P12 BUMNOps Output'!R11*$E$101</f>
        <v>0</v>
      </c>
      <c r="S101" s="58" t="n">
        <f aca="false">'P12 BUMNOps Output'!S11*$E$101</f>
        <v>0</v>
      </c>
    </row>
    <row r="102" customFormat="false" ht="15" hidden="false" customHeight="false" outlineLevel="0" collapsed="false">
      <c r="B102" s="77" t="s">
        <v>66</v>
      </c>
      <c r="C102" s="25" t="s">
        <v>170</v>
      </c>
      <c r="E102" s="55" t="n">
        <f aca="false">'Global Inputs'!$K$101</f>
        <v>0</v>
      </c>
      <c r="F102" s="58" t="n">
        <f aca="false">'P15 TBM Output'!F11*$E$102</f>
        <v>0</v>
      </c>
      <c r="G102" s="58" t="n">
        <f aca="false">'P15 TBM Output'!G11*$E$102</f>
        <v>0</v>
      </c>
      <c r="H102" s="58" t="n">
        <f aca="false">'P15 TBM Output'!H11*$E$102</f>
        <v>0</v>
      </c>
      <c r="I102" s="58" t="n">
        <f aca="false">'P15 TBM Output'!I11*$E$102</f>
        <v>0</v>
      </c>
      <c r="J102" s="58" t="n">
        <f aca="false">'P15 TBM Output'!J11*$E$102</f>
        <v>0</v>
      </c>
      <c r="K102" s="58" t="n">
        <f aca="false">'P15 TBM Output'!K11*$E$102</f>
        <v>0</v>
      </c>
      <c r="L102" s="58" t="n">
        <f aca="false">'P15 TBM Output'!L11*$E$102</f>
        <v>0</v>
      </c>
      <c r="M102" s="58" t="n">
        <f aca="false">'P15 TBM Output'!M11*$E$102</f>
        <v>0</v>
      </c>
      <c r="N102" s="58" t="n">
        <f aca="false">'P15 TBM Output'!N11*$E$102</f>
        <v>0</v>
      </c>
      <c r="O102" s="58" t="n">
        <f aca="false">'P15 TBM Output'!O11*$E$102</f>
        <v>0</v>
      </c>
      <c r="P102" s="58" t="n">
        <f aca="false">'P15 TBM Output'!P11*$E$102</f>
        <v>0</v>
      </c>
      <c r="Q102" s="58" t="n">
        <f aca="false">'P15 TBM Output'!Q11*$E$102</f>
        <v>0</v>
      </c>
      <c r="R102" s="58" t="n">
        <f aca="false">'P15 TBM Output'!R11*$E$102</f>
        <v>0</v>
      </c>
      <c r="S102" s="58" t="n">
        <f aca="false">'P15 TBM Output'!S11*$E$102</f>
        <v>0</v>
      </c>
    </row>
    <row r="103" customFormat="false" ht="15" hidden="false" customHeight="false" outlineLevel="0" collapsed="false">
      <c r="B103" s="77" t="s">
        <v>69</v>
      </c>
      <c r="C103" s="25" t="s">
        <v>170</v>
      </c>
      <c r="E103" s="55" t="n">
        <f aca="false">'Global Inputs'!$K$102</f>
        <v>0</v>
      </c>
      <c r="F103" s="58" t="n">
        <f aca="false">'P19 Badas Output'!F11*$E$103</f>
        <v>0</v>
      </c>
      <c r="G103" s="58" t="n">
        <f aca="false">'P19 Badas Output'!G11*$E$103</f>
        <v>0</v>
      </c>
      <c r="H103" s="58" t="n">
        <f aca="false">'P19 Badas Output'!H11*$E$103</f>
        <v>0</v>
      </c>
      <c r="I103" s="58" t="n">
        <f aca="false">'P19 Badas Output'!I11*$E$103</f>
        <v>0</v>
      </c>
      <c r="J103" s="58" t="n">
        <f aca="false">'P19 Badas Output'!J11*$E$103</f>
        <v>0</v>
      </c>
      <c r="K103" s="58" t="n">
        <f aca="false">'P19 Badas Output'!K11*$E$103</f>
        <v>0</v>
      </c>
      <c r="L103" s="58" t="n">
        <f aca="false">'P19 Badas Output'!L11*$E$103</f>
        <v>0</v>
      </c>
      <c r="M103" s="58" t="n">
        <f aca="false">'P19 Badas Output'!M11*$E$103</f>
        <v>0</v>
      </c>
      <c r="N103" s="58" t="n">
        <f aca="false">'P19 Badas Output'!N11*$E$103</f>
        <v>0</v>
      </c>
      <c r="O103" s="58" t="n">
        <f aca="false">'P19 Badas Output'!O11*$E$103</f>
        <v>0</v>
      </c>
      <c r="P103" s="58" t="n">
        <f aca="false">'P19 Badas Output'!P11*$E$103</f>
        <v>0</v>
      </c>
      <c r="Q103" s="58" t="n">
        <f aca="false">'P19 Badas Output'!Q11*$E$103</f>
        <v>0</v>
      </c>
      <c r="R103" s="58" t="n">
        <f aca="false">'P19 Badas Output'!R11*$E$103</f>
        <v>0</v>
      </c>
      <c r="S103" s="58" t="n">
        <f aca="false">'P19 Badas Output'!S11*$E$103</f>
        <v>0</v>
      </c>
    </row>
    <row r="104" customFormat="false" ht="15" hidden="false" customHeight="false" outlineLevel="0" collapsed="false">
      <c r="B104" s="69" t="s">
        <v>450</v>
      </c>
      <c r="C104" s="25" t="s">
        <v>170</v>
      </c>
      <c r="E104" s="70" t="n">
        <f aca="false">SUM(F104:S104)</f>
        <v>9917.54704092342</v>
      </c>
      <c r="F104" s="68" t="n">
        <f aca="false">F90+F91+F92+F93+F94+F95+F96+F97+F98+F99+F100+F101+F102+F103</f>
        <v>0</v>
      </c>
      <c r="G104" s="68" t="n">
        <f aca="false">G90+G91+G92+G93+G94+G95+G96+G97+G98+G99+G100+G101+G102+G103</f>
        <v>305.288412360754</v>
      </c>
      <c r="H104" s="68" t="n">
        <f aca="false">H90+H91+H92+H93+H94+H95+H96+H97+H98+H99+H100+H101+H102+H103</f>
        <v>427.60263552932</v>
      </c>
      <c r="I104" s="68" t="n">
        <f aca="false">I90+I91+I92+I93+I94+I95+I96+I97+I98+I99+I100+I101+I102+I103</f>
        <v>494.570841069113</v>
      </c>
      <c r="J104" s="68" t="n">
        <f aca="false">J90+J91+J92+J93+J94+J95+J96+J97+J98+J99+J100+J101+J102+J103</f>
        <v>619.926112278324</v>
      </c>
      <c r="K104" s="68" t="n">
        <f aca="false">K90+K91+K92+K93+K94+K95+K96+K97+K98+K99+K100+K101+K102+K103</f>
        <v>702.028827178926</v>
      </c>
      <c r="L104" s="68" t="n">
        <f aca="false">L90+L91+L92+L93+L94+L95+L96+L97+L98+L99+L100+L101+L102+L103</f>
        <v>773.764063356243</v>
      </c>
      <c r="M104" s="68" t="n">
        <f aca="false">M90+M91+M92+M93+M94+M95+M96+M97+M98+M99+M100+M101+M102+M103</f>
        <v>807.889956243013</v>
      </c>
      <c r="N104" s="68" t="n">
        <f aca="false">N90+N91+N92+N93+N94+N95+N96+N97+N98+N99+N100+N101+N102+N103</f>
        <v>867.206853011173</v>
      </c>
      <c r="O104" s="68" t="n">
        <f aca="false">O90+O91+O92+O93+O94+O95+O96+O97+O98+O99+O100+O101+O102+O103</f>
        <v>908.854372121655</v>
      </c>
      <c r="P104" s="68" t="n">
        <f aca="false">P90+P91+P92+P93+P94+P95+P96+P97+P98+P99+P100+P101+P102+P103</f>
        <v>972.375691528293</v>
      </c>
      <c r="Q104" s="68" t="n">
        <f aca="false">Q90+Q91+Q92+Q93+Q94+Q95+Q96+Q97+Q98+Q99+Q100+Q101+Q102+Q103</f>
        <v>992.227365539461</v>
      </c>
      <c r="R104" s="68" t="n">
        <f aca="false">R90+R91+R92+R93+R94+R95+R96+R97+R98+R99+R100+R101+R102+R103</f>
        <v>1004.86363756786</v>
      </c>
      <c r="S104" s="68" t="n">
        <f aca="false">S90+S91+S92+S93+S94+S95+S96+S97+S98+S99+S100+S101+S102+S103</f>
        <v>1040.94827313929</v>
      </c>
    </row>
    <row r="105" customFormat="false" ht="15" hidden="false" customHeight="false" outlineLevel="0" collapsed="false">
      <c r="B105" s="78" t="s">
        <v>391</v>
      </c>
      <c r="C105" s="79"/>
      <c r="D105" s="79"/>
      <c r="E105" s="79"/>
      <c r="F105" s="79"/>
      <c r="G105" s="79"/>
      <c r="H105" s="79"/>
      <c r="I105" s="79"/>
      <c r="J105" s="79"/>
      <c r="K105" s="79"/>
      <c r="L105" s="79"/>
      <c r="M105" s="79"/>
      <c r="N105" s="79"/>
      <c r="O105" s="79"/>
      <c r="P105" s="79"/>
      <c r="Q105" s="79"/>
      <c r="R105" s="79"/>
      <c r="S105" s="79"/>
    </row>
    <row r="106" customFormat="false" ht="15" hidden="false" customHeight="false" outlineLevel="0" collapsed="false">
      <c r="B106" s="77" t="s">
        <v>31</v>
      </c>
      <c r="C106" s="25" t="s">
        <v>170</v>
      </c>
      <c r="E106" s="55" t="n">
        <f aca="false">'Global Inputs'!$K$89</f>
        <v>1</v>
      </c>
      <c r="F106" s="58" t="n">
        <f aca="false">'E1 TelukLamong Output'!F12*$E$106</f>
        <v>-0</v>
      </c>
      <c r="G106" s="58" t="n">
        <f aca="false">'E1 TelukLamong Output'!G12*$E$106</f>
        <v>-29.9337855786487</v>
      </c>
      <c r="H106" s="58" t="n">
        <f aca="false">'E1 TelukLamong Output'!H12*$E$106</f>
        <v>-31.3122211995089</v>
      </c>
      <c r="I106" s="58" t="n">
        <f aca="false">'E1 TelukLamong Output'!I12*$E$106</f>
        <v>-32.7825506601247</v>
      </c>
      <c r="J106" s="58" t="n">
        <f aca="false">'E1 TelukLamong Output'!J12*$E$106</f>
        <v>-34.3060221279257</v>
      </c>
      <c r="K106" s="58" t="n">
        <f aca="false">'E1 TelukLamong Output'!K12*$E$106</f>
        <v>-35.9080110834332</v>
      </c>
      <c r="L106" s="58" t="n">
        <f aca="false">'E1 TelukLamong Output'!L12*$E$106</f>
        <v>-37.6141264380765</v>
      </c>
      <c r="M106" s="58" t="n">
        <f aca="false">'E1 TelukLamong Output'!M12*$E$106</f>
        <v>-39.3863174367096</v>
      </c>
      <c r="N106" s="58" t="n">
        <f aca="false">'E1 TelukLamong Output'!N12*$E$106</f>
        <v>-41.2507020927348</v>
      </c>
      <c r="O106" s="58" t="n">
        <f aca="false">'E1 TelukLamong Output'!O12*$E$106</f>
        <v>-43.233675806691</v>
      </c>
      <c r="P106" s="58" t="n">
        <f aca="false">'E1 TelukLamong Output'!P12*$E$106</f>
        <v>-45.2980209222938</v>
      </c>
      <c r="Q106" s="58" t="n">
        <f aca="false">'E1 TelukLamong Output'!Q12*$E$106</f>
        <v>-47.4707379772393</v>
      </c>
      <c r="R106" s="58" t="n">
        <f aca="false">'E1 TelukLamong Output'!R12*$E$106</f>
        <v>-49.7578550096135</v>
      </c>
      <c r="S106" s="58" t="n">
        <f aca="false">'E1 TelukLamong Output'!S12*$E$106</f>
        <v>-52.1657494844997</v>
      </c>
    </row>
    <row r="107" customFormat="false" ht="15" hidden="false" customHeight="false" outlineLevel="0" collapsed="false">
      <c r="B107" s="77" t="s">
        <v>34</v>
      </c>
      <c r="C107" s="25" t="s">
        <v>170</v>
      </c>
      <c r="E107" s="55" t="n">
        <f aca="false">'Global Inputs'!$K$90</f>
        <v>1</v>
      </c>
      <c r="F107" s="58" t="n">
        <f aca="false">'E2 CigadingExist Output'!F12*$E$107</f>
        <v>-0</v>
      </c>
      <c r="G107" s="58" t="n">
        <f aca="false">'E2 CigadingExist Output'!G12*$E$107</f>
        <v>-13.4217053445047</v>
      </c>
      <c r="H107" s="58" t="n">
        <f aca="false">'E2 CigadingExist Output'!H12*$E$107</f>
        <v>-13.9505449429315</v>
      </c>
      <c r="I107" s="58" t="n">
        <f aca="false">'E2 CigadingExist Output'!I12*$E$107</f>
        <v>-14.5375136097626</v>
      </c>
      <c r="J107" s="58" t="n">
        <f aca="false">'E2 CigadingExist Output'!J12*$E$107</f>
        <v>-15.1175416690317</v>
      </c>
      <c r="K107" s="58" t="n">
        <f aca="false">'E2 CigadingExist Output'!K12*$E$107</f>
        <v>-15.7251300285961</v>
      </c>
      <c r="L107" s="58" t="n">
        <f aca="false">'E2 CigadingExist Output'!L12*$E$107</f>
        <v>-16.3948515285434</v>
      </c>
      <c r="M107" s="58" t="n">
        <f aca="false">'E2 CigadingExist Output'!M12*$E$107</f>
        <v>-17.0618525121731</v>
      </c>
      <c r="N107" s="58" t="n">
        <f aca="false">'E2 CigadingExist Output'!N12*$E$107</f>
        <v>-17.760862087737</v>
      </c>
      <c r="O107" s="58" t="n">
        <f aca="false">'E2 CigadingExist Output'!O12*$E$107</f>
        <v>-18.5266941849183</v>
      </c>
      <c r="P107" s="58" t="n">
        <f aca="false">'E2 CigadingExist Output'!P12*$E$107</f>
        <v>-19.2947498758668</v>
      </c>
      <c r="Q107" s="58" t="n">
        <f aca="false">'E2 CigadingExist Output'!Q12*$E$107</f>
        <v>-20.1000274314958</v>
      </c>
      <c r="R107" s="58" t="n">
        <f aca="false">'E2 CigadingExist Output'!R12*$E$107</f>
        <v>-20.9444577246937</v>
      </c>
      <c r="S107" s="58" t="n">
        <f aca="false">'E2 CigadingExist Output'!S12*$E$107</f>
        <v>-21.8300774231007</v>
      </c>
    </row>
    <row r="108" customFormat="false" ht="15" hidden="false" customHeight="false" outlineLevel="0" collapsed="false">
      <c r="B108" s="77" t="s">
        <v>37</v>
      </c>
      <c r="C108" s="25" t="s">
        <v>170</v>
      </c>
      <c r="E108" s="55" t="n">
        <f aca="false">'Global Inputs'!$K$91</f>
        <v>1</v>
      </c>
      <c r="F108" s="58" t="n">
        <f aca="false">'E3 Belawan Output'!F12*$E$108</f>
        <v>-0</v>
      </c>
      <c r="G108" s="58" t="n">
        <f aca="false">'E3 Belawan Output'!G12*$E$108</f>
        <v>-8.02614108268608</v>
      </c>
      <c r="H108" s="58" t="n">
        <f aca="false">'E3 Belawan Output'!H12*$E$108</f>
        <v>-8.3557264915943</v>
      </c>
      <c r="I108" s="58" t="n">
        <f aca="false">'E3 Belawan Output'!I12*$E$108</f>
        <v>-9.41194306368826</v>
      </c>
      <c r="J108" s="58" t="n">
        <f aca="false">'E3 Belawan Output'!J12*$E$108</f>
        <v>-10.5611769254179</v>
      </c>
      <c r="K108" s="58" t="n">
        <f aca="false">'E3 Belawan Output'!K12*$E$108</f>
        <v>-11.2069097488801</v>
      </c>
      <c r="L108" s="58" t="n">
        <f aca="false">'E3 Belawan Output'!L12*$E$108</f>
        <v>-11.8858660547838</v>
      </c>
      <c r="M108" s="58" t="n">
        <f aca="false">'E3 Belawan Output'!M12*$E$108</f>
        <v>-12.5996697179173</v>
      </c>
      <c r="N108" s="58" t="n">
        <f aca="false">'E3 Belawan Output'!N12*$E$108</f>
        <v>-13.3500248650965</v>
      </c>
      <c r="O108" s="58" t="n">
        <f aca="false">'E3 Belawan Output'!O12*$E$108</f>
        <v>-14.1387200008352</v>
      </c>
      <c r="P108" s="58" t="n">
        <f aca="false">'E3 Belawan Output'!P12*$E$108</f>
        <v>-14.9676323555666</v>
      </c>
      <c r="Q108" s="58" t="n">
        <f aca="false">'E3 Belawan Output'!Q12*$E$108</f>
        <v>-15.8387363635294</v>
      </c>
      <c r="R108" s="58" t="n">
        <f aca="false">'E3 Belawan Output'!R12*$E$108</f>
        <v>-13.6681559807911</v>
      </c>
      <c r="S108" s="58" t="n">
        <f aca="false">'E3 Belawan Output'!S12*$E$108</f>
        <v>-14.2711189698485</v>
      </c>
    </row>
    <row r="109" customFormat="false" ht="15" hidden="false" customHeight="false" outlineLevel="0" collapsed="false">
      <c r="B109" s="77" t="s">
        <v>40</v>
      </c>
      <c r="C109" s="25" t="s">
        <v>170</v>
      </c>
      <c r="E109" s="55" t="n">
        <f aca="false">'Global Inputs'!$K$92</f>
        <v>1</v>
      </c>
      <c r="F109" s="58" t="n">
        <f aca="false">'E4 WIN Output'!F12*$E$109</f>
        <v>-0</v>
      </c>
      <c r="G109" s="58" t="n">
        <f aca="false">'E4 WIN Output'!G12*$E$109</f>
        <v>-71.1614065161973</v>
      </c>
      <c r="H109" s="58" t="n">
        <f aca="false">'E4 WIN Output'!H12*$E$109</f>
        <v>-49.0981822234332</v>
      </c>
      <c r="I109" s="58" t="n">
        <f aca="false">'E4 WIN Output'!I12*$E$109</f>
        <v>-42.9266142566558</v>
      </c>
      <c r="J109" s="58" t="n">
        <f aca="false">'E4 WIN Output'!J12*$E$109</f>
        <v>-46.0653970447575</v>
      </c>
      <c r="K109" s="58" t="n">
        <f aca="false">'E4 WIN Output'!K12*$E$109</f>
        <v>-49.4418341804361</v>
      </c>
      <c r="L109" s="58" t="n">
        <f aca="false">'E4 WIN Output'!L12*$E$109</f>
        <v>-53.0742603339529</v>
      </c>
      <c r="M109" s="58" t="n">
        <f aca="false">'E4 WIN Output'!M12*$E$109</f>
        <v>-56.9824398597723</v>
      </c>
      <c r="N109" s="58" t="n">
        <f aca="false">'E4 WIN Output'!N12*$E$109</f>
        <v>-61.1876790332437</v>
      </c>
      <c r="O109" s="58" t="n">
        <f aca="false">'E4 WIN Output'!O12*$E$109</f>
        <v>-65.7129471407233</v>
      </c>
      <c r="P109" s="58" t="n">
        <f aca="false">'E4 WIN Output'!P12*$E$109</f>
        <v>-70.5830071241576</v>
      </c>
      <c r="Q109" s="58" t="n">
        <f aca="false">'E4 WIN Output'!Q12*$E$109</f>
        <v>-59.4535077945071</v>
      </c>
      <c r="R109" s="58" t="n">
        <f aca="false">'E4 WIN Output'!R12*$E$109</f>
        <v>-62.2293229869338</v>
      </c>
      <c r="S109" s="58" t="n">
        <f aca="false">'E4 WIN Output'!S12*$E$109</f>
        <v>-65.1365129999812</v>
      </c>
    </row>
    <row r="110" customFormat="false" ht="15" hidden="false" customHeight="false" outlineLevel="0" collapsed="false">
      <c r="B110" s="77" t="s">
        <v>43</v>
      </c>
      <c r="C110" s="25" t="s">
        <v>170</v>
      </c>
      <c r="E110" s="55" t="n">
        <f aca="false">'Global Inputs'!$K$93</f>
        <v>1</v>
      </c>
      <c r="F110" s="58" t="n">
        <f aca="false">'P01 CigWharf2 Output'!F12*$E$110</f>
        <v>-0</v>
      </c>
      <c r="G110" s="58" t="n">
        <f aca="false">'P01 CigWharf2 Output'!G12*$E$110</f>
        <v>-0</v>
      </c>
      <c r="H110" s="58" t="n">
        <f aca="false">'P01 CigWharf2 Output'!H12*$E$110</f>
        <v>-9.51494271638072</v>
      </c>
      <c r="I110" s="58" t="n">
        <f aca="false">'P01 CigWharf2 Output'!I12*$E$110</f>
        <v>-10.0310082638083</v>
      </c>
      <c r="J110" s="58" t="n">
        <f aca="false">'P01 CigWharf2 Output'!J12*$E$110</f>
        <v>-10.5785022030742</v>
      </c>
      <c r="K110" s="58" t="n">
        <f aca="false">'P01 CigWharf2 Output'!K12*$E$110</f>
        <v>-11.1593385232415</v>
      </c>
      <c r="L110" s="58" t="n">
        <f aca="false">'P01 CigWharf2 Output'!L12*$E$110</f>
        <v>-11.7755477753069</v>
      </c>
      <c r="M110" s="58" t="n">
        <f aca="false">'P01 CigWharf2 Output'!M12*$E$110</f>
        <v>-12.4292841708231</v>
      </c>
      <c r="N110" s="58" t="n">
        <f aca="false">'P01 CigWharf2 Output'!N12*$E$110</f>
        <v>-13.1228331128262</v>
      </c>
      <c r="O110" s="58" t="n">
        <f aca="false">'P01 CigWharf2 Output'!O12*$E$110</f>
        <v>-13.8586191853973</v>
      </c>
      <c r="P110" s="58" t="n">
        <f aca="false">'P01 CigWharf2 Output'!P12*$E$110</f>
        <v>-14.639214629788</v>
      </c>
      <c r="Q110" s="58" t="n">
        <f aca="false">'P01 CigWharf2 Output'!Q12*$E$110</f>
        <v>-15.4673483367421</v>
      </c>
      <c r="R110" s="58" t="n">
        <f aca="false">'P01 CigWharf2 Output'!R12*$E$110</f>
        <v>-16.3459153864497</v>
      </c>
      <c r="S110" s="58" t="n">
        <f aca="false">'P01 CigWharf2 Output'!S12*$E$110</f>
        <v>-17.2779871694845</v>
      </c>
    </row>
    <row r="111" customFormat="false" ht="15" hidden="false" customHeight="false" outlineLevel="0" collapsed="false">
      <c r="B111" s="77" t="s">
        <v>46</v>
      </c>
      <c r="C111" s="25" t="s">
        <v>170</v>
      </c>
      <c r="E111" s="55" t="n">
        <f aca="false">'Global Inputs'!$K$94</f>
        <v>1</v>
      </c>
      <c r="F111" s="58" t="n">
        <f aca="false">'P02 CigConveyor Output'!F12*$E$111</f>
        <v>-0</v>
      </c>
      <c r="G111" s="58" t="n">
        <f aca="false">'P02 CigConveyor Output'!G12*$E$111</f>
        <v>-0</v>
      </c>
      <c r="H111" s="58" t="n">
        <f aca="false">'P02 CigConveyor Output'!H12*$E$111</f>
        <v>-2.42712415065685</v>
      </c>
      <c r="I111" s="58" t="n">
        <f aca="false">'P02 CigConveyor Output'!I12*$E$111</f>
        <v>-2.53531447143186</v>
      </c>
      <c r="J111" s="58" t="n">
        <f aca="false">'P02 CigConveyor Output'!J12*$E$111</f>
        <v>-2.65009358274206</v>
      </c>
      <c r="K111" s="58" t="n">
        <f aca="false">'P02 CigConveyor Output'!K12*$E$111</f>
        <v>-2.77186274193105</v>
      </c>
      <c r="L111" s="58" t="n">
        <f aca="false">'P02 CigConveyor Output'!L12*$E$111</f>
        <v>-2.90104764291465</v>
      </c>
      <c r="M111" s="58" t="n">
        <f aca="false">'P02 CigConveyor Output'!M12*$E$111</f>
        <v>-3.03809990436815</v>
      </c>
      <c r="N111" s="58" t="n">
        <f aca="false">'P02 CigConveyor Output'!N12*$E$111</f>
        <v>-3.18349864854417</v>
      </c>
      <c r="O111" s="58" t="n">
        <f aca="false">'P02 CigConveyor Output'!O12*$E$111</f>
        <v>-3.33775217624051</v>
      </c>
      <c r="P111" s="58" t="n">
        <f aca="false">'P02 CigConveyor Output'!P12*$E$111</f>
        <v>-3.50139974377356</v>
      </c>
      <c r="Q111" s="58" t="n">
        <f aca="false">'P02 CigConveyor Output'!Q12*$E$111</f>
        <v>-3.67501344816937</v>
      </c>
      <c r="R111" s="58" t="n">
        <f aca="false">'P02 CigConveyor Output'!R12*$E$111</f>
        <v>-3.85920022716289</v>
      </c>
      <c r="S111" s="58" t="n">
        <f aca="false">'P02 CigConveyor Output'!S12*$E$111</f>
        <v>-4.05460398099711</v>
      </c>
    </row>
    <row r="112" customFormat="false" ht="15" hidden="false" customHeight="false" outlineLevel="0" collapsed="false">
      <c r="B112" s="77" t="s">
        <v>48</v>
      </c>
      <c r="C112" s="25" t="s">
        <v>170</v>
      </c>
      <c r="E112" s="55" t="n">
        <f aca="false">'Global Inputs'!$K$95</f>
        <v>1</v>
      </c>
      <c r="F112" s="58" t="n">
        <f aca="false">'P03 KBSWarehouse Output'!F12*$E$112</f>
        <v>-0</v>
      </c>
      <c r="G112" s="58" t="n">
        <f aca="false">'P03 KBSWarehouse Output'!G12*$E$112</f>
        <v>-0</v>
      </c>
      <c r="H112" s="58" t="n">
        <f aca="false">'P03 KBSWarehouse Output'!H12*$E$112</f>
        <v>-0</v>
      </c>
      <c r="I112" s="58" t="n">
        <f aca="false">'P03 KBSWarehouse Output'!I12*$E$112</f>
        <v>-0</v>
      </c>
      <c r="J112" s="58" t="n">
        <f aca="false">'P03 KBSWarehouse Output'!J12*$E$112</f>
        <v>-5.3023782</v>
      </c>
      <c r="K112" s="58" t="n">
        <f aca="false">'P03 KBSWarehouse Output'!K12*$E$112</f>
        <v>-5.461449546</v>
      </c>
      <c r="L112" s="58" t="n">
        <f aca="false">'P03 KBSWarehouse Output'!L12*$E$112</f>
        <v>-5.62529303238</v>
      </c>
      <c r="M112" s="58" t="n">
        <f aca="false">'P03 KBSWarehouse Output'!M12*$E$112</f>
        <v>-5.7940518233514</v>
      </c>
      <c r="N112" s="58" t="n">
        <f aca="false">'P03 KBSWarehouse Output'!N12*$E$112</f>
        <v>-5.96787337805194</v>
      </c>
      <c r="O112" s="58" t="n">
        <f aca="false">'P03 KBSWarehouse Output'!O12*$E$112</f>
        <v>-6.1469095793935</v>
      </c>
      <c r="P112" s="58" t="n">
        <f aca="false">'P03 KBSWarehouse Output'!P12*$E$112</f>
        <v>-6.33131686677531</v>
      </c>
      <c r="Q112" s="58" t="n">
        <f aca="false">'P03 KBSWarehouse Output'!Q12*$E$112</f>
        <v>-6.52125637277857</v>
      </c>
      <c r="R112" s="58" t="n">
        <f aca="false">'P03 KBSWarehouse Output'!R12*$E$112</f>
        <v>-6.71689406396192</v>
      </c>
      <c r="S112" s="58" t="n">
        <f aca="false">'P03 KBSWarehouse Output'!S12*$E$112</f>
        <v>-6.91840088588078</v>
      </c>
    </row>
    <row r="113" customFormat="false" ht="15" hidden="false" customHeight="false" outlineLevel="0" collapsed="false">
      <c r="B113" s="77" t="s">
        <v>51</v>
      </c>
      <c r="C113" s="25" t="s">
        <v>170</v>
      </c>
      <c r="E113" s="55" t="n">
        <f aca="false">'Global Inputs'!$K$96</f>
        <v>1</v>
      </c>
      <c r="F113" s="58" t="n">
        <f aca="false">'P04 TTLSilo Output'!F12*$E$113</f>
        <v>0</v>
      </c>
      <c r="G113" s="58" t="n">
        <f aca="false">'P04 TTLSilo Output'!G12*$E$113</f>
        <v>0</v>
      </c>
      <c r="H113" s="58" t="n">
        <f aca="false">'P04 TTLSilo Output'!H12*$E$113</f>
        <v>0</v>
      </c>
      <c r="I113" s="58" t="n">
        <f aca="false">'P04 TTLSilo Output'!I12*$E$113</f>
        <v>0</v>
      </c>
      <c r="J113" s="58" t="n">
        <f aca="false">'P04 TTLSilo Output'!J12*$E$113</f>
        <v>0</v>
      </c>
      <c r="K113" s="58" t="n">
        <f aca="false">'P04 TTLSilo Output'!K12*$E$113</f>
        <v>0</v>
      </c>
      <c r="L113" s="58" t="n">
        <f aca="false">'P04 TTLSilo Output'!L12*$E$113</f>
        <v>0</v>
      </c>
      <c r="M113" s="58" t="n">
        <f aca="false">'P04 TTLSilo Output'!M12*$E$113</f>
        <v>0</v>
      </c>
      <c r="N113" s="58" t="n">
        <f aca="false">'P04 TTLSilo Output'!N12*$E$113</f>
        <v>0</v>
      </c>
      <c r="O113" s="58" t="n">
        <f aca="false">'P04 TTLSilo Output'!O12*$E$113</f>
        <v>0</v>
      </c>
      <c r="P113" s="58" t="n">
        <f aca="false">'P04 TTLSilo Output'!P12*$E$113</f>
        <v>0</v>
      </c>
      <c r="Q113" s="58" t="n">
        <f aca="false">'P04 TTLSilo Output'!Q12*$E$113</f>
        <v>0</v>
      </c>
      <c r="R113" s="58" t="n">
        <f aca="false">'P04 TTLSilo Output'!R12*$E$113</f>
        <v>0</v>
      </c>
      <c r="S113" s="58" t="n">
        <f aca="false">'P04 TTLSilo Output'!S12*$E$113</f>
        <v>0</v>
      </c>
    </row>
    <row r="114" customFormat="false" ht="15" hidden="false" customHeight="false" outlineLevel="0" collapsed="false">
      <c r="B114" s="77" t="s">
        <v>54</v>
      </c>
      <c r="C114" s="25" t="s">
        <v>170</v>
      </c>
      <c r="E114" s="55" t="n">
        <f aca="false">'Global Inputs'!$K$97</f>
        <v>1</v>
      </c>
      <c r="F114" s="58" t="n">
        <f aca="false">'P05 Dumai Output'!F12*$E$114</f>
        <v>-0</v>
      </c>
      <c r="G114" s="58" t="n">
        <f aca="false">'P05 Dumai Output'!G12*$E$114</f>
        <v>-0</v>
      </c>
      <c r="H114" s="58" t="n">
        <f aca="false">'P05 Dumai Output'!H12*$E$114</f>
        <v>-0</v>
      </c>
      <c r="I114" s="58" t="n">
        <f aca="false">'P05 Dumai Output'!I12*$E$114</f>
        <v>-0</v>
      </c>
      <c r="J114" s="58" t="n">
        <f aca="false">'P05 Dumai Output'!J12*$E$114</f>
        <v>-0</v>
      </c>
      <c r="K114" s="58" t="n">
        <f aca="false">'P05 Dumai Output'!K12*$E$114</f>
        <v>-0</v>
      </c>
      <c r="L114" s="58" t="n">
        <f aca="false">'P05 Dumai Output'!L12*$E$114</f>
        <v>-0</v>
      </c>
      <c r="M114" s="58" t="n">
        <f aca="false">'P05 Dumai Output'!M12*$E$114</f>
        <v>-0</v>
      </c>
      <c r="N114" s="58" t="n">
        <f aca="false">'P05 Dumai Output'!N12*$E$114</f>
        <v>-0</v>
      </c>
      <c r="O114" s="58" t="n">
        <f aca="false">'P05 Dumai Output'!O12*$E$114</f>
        <v>-0</v>
      </c>
      <c r="P114" s="58" t="n">
        <f aca="false">'P05 Dumai Output'!P12*$E$114</f>
        <v>-0</v>
      </c>
      <c r="Q114" s="58" t="n">
        <f aca="false">'P05 Dumai Output'!Q12*$E$114</f>
        <v>-0</v>
      </c>
      <c r="R114" s="58" t="n">
        <f aca="false">'P05 Dumai Output'!R12*$E$114</f>
        <v>-0</v>
      </c>
      <c r="S114" s="58" t="n">
        <f aca="false">'P05 Dumai Output'!S12*$E$114</f>
        <v>-0</v>
      </c>
    </row>
    <row r="115" customFormat="false" ht="15" hidden="false" customHeight="false" outlineLevel="0" collapsed="false">
      <c r="B115" s="77" t="s">
        <v>57</v>
      </c>
      <c r="C115" s="25" t="s">
        <v>170</v>
      </c>
      <c r="E115" s="55" t="n">
        <f aca="false">'Global Inputs'!$K$98</f>
        <v>1</v>
      </c>
      <c r="F115" s="58" t="n">
        <f aca="false">'P06 Ciwandan Output'!F12*$E$115</f>
        <v>-0</v>
      </c>
      <c r="G115" s="58" t="n">
        <f aca="false">'P06 Ciwandan Output'!G12*$E$115</f>
        <v>-0</v>
      </c>
      <c r="H115" s="58" t="n">
        <f aca="false">'P06 Ciwandan Output'!H12*$E$115</f>
        <v>-0</v>
      </c>
      <c r="I115" s="58" t="n">
        <f aca="false">'P06 Ciwandan Output'!I12*$E$115</f>
        <v>-0</v>
      </c>
      <c r="J115" s="58" t="n">
        <f aca="false">'P06 Ciwandan Output'!J12*$E$115</f>
        <v>-0</v>
      </c>
      <c r="K115" s="58" t="n">
        <f aca="false">'P06 Ciwandan Output'!K12*$E$115</f>
        <v>-15.0603658524563</v>
      </c>
      <c r="L115" s="58" t="n">
        <f aca="false">'P06 Ciwandan Output'!L12*$E$115</f>
        <v>-18.2933307314174</v>
      </c>
      <c r="M115" s="58" t="n">
        <f aca="false">'P06 Ciwandan Output'!M12*$E$115</f>
        <v>-20.3313839570156</v>
      </c>
      <c r="N115" s="58" t="n">
        <f aca="false">'P06 Ciwandan Output'!N12*$E$115</f>
        <v>-23.4556288498109</v>
      </c>
      <c r="O115" s="58" t="n">
        <f aca="false">'P06 Ciwandan Output'!O12*$E$115</f>
        <v>-25.1796455488913</v>
      </c>
      <c r="P115" s="58" t="n">
        <f aca="false">'P06 Ciwandan Output'!P12*$E$115</f>
        <v>-26.9873022535117</v>
      </c>
      <c r="Q115" s="58" t="n">
        <f aca="false">'P06 Ciwandan Output'!Q12*$E$115</f>
        <v>-28.9324766135131</v>
      </c>
      <c r="R115" s="58" t="n">
        <f aca="false">'P06 Ciwandan Output'!R12*$E$115</f>
        <v>-32.8876306910583</v>
      </c>
      <c r="S115" s="58" t="n">
        <f aca="false">'P06 Ciwandan Output'!S12*$E$115</f>
        <v>-35.2766537997588</v>
      </c>
    </row>
    <row r="116" customFormat="false" ht="15" hidden="false" customHeight="false" outlineLevel="0" collapsed="false">
      <c r="B116" s="77" t="s">
        <v>60</v>
      </c>
      <c r="C116" s="25" t="s">
        <v>170</v>
      </c>
      <c r="E116" s="55" t="n">
        <f aca="false">'Global Inputs'!$K$99</f>
        <v>1</v>
      </c>
      <c r="F116" s="58" t="n">
        <f aca="false">'P08 DMSTrucking Output'!F12*$E$116</f>
        <v>0</v>
      </c>
      <c r="G116" s="58" t="n">
        <f aca="false">'P08 DMSTrucking Output'!G12*$E$116</f>
        <v>0</v>
      </c>
      <c r="H116" s="58" t="n">
        <f aca="false">'P08 DMSTrucking Output'!H12*$E$116</f>
        <v>0</v>
      </c>
      <c r="I116" s="58" t="n">
        <f aca="false">'P08 DMSTrucking Output'!I12*$E$116</f>
        <v>0</v>
      </c>
      <c r="J116" s="58" t="n">
        <f aca="false">'P08 DMSTrucking Output'!J12*$E$116</f>
        <v>0</v>
      </c>
      <c r="K116" s="58" t="n">
        <f aca="false">'P08 DMSTrucking Output'!K12*$E$116</f>
        <v>0</v>
      </c>
      <c r="L116" s="58" t="n">
        <f aca="false">'P08 DMSTrucking Output'!L12*$E$116</f>
        <v>0</v>
      </c>
      <c r="M116" s="58" t="n">
        <f aca="false">'P08 DMSTrucking Output'!M12*$E$116</f>
        <v>0</v>
      </c>
      <c r="N116" s="58" t="n">
        <f aca="false">'P08 DMSTrucking Output'!N12*$E$116</f>
        <v>0</v>
      </c>
      <c r="O116" s="58" t="n">
        <f aca="false">'P08 DMSTrucking Output'!O12*$E$116</f>
        <v>0</v>
      </c>
      <c r="P116" s="58" t="n">
        <f aca="false">'P08 DMSTrucking Output'!P12*$E$116</f>
        <v>0</v>
      </c>
      <c r="Q116" s="58" t="n">
        <f aca="false">'P08 DMSTrucking Output'!Q12*$E$116</f>
        <v>0</v>
      </c>
      <c r="R116" s="58" t="n">
        <f aca="false">'P08 DMSTrucking Output'!R12*$E$116</f>
        <v>0</v>
      </c>
      <c r="S116" s="58" t="n">
        <f aca="false">'P08 DMSTrucking Output'!S12*$E$116</f>
        <v>0</v>
      </c>
    </row>
    <row r="117" customFormat="false" ht="15" hidden="false" customHeight="false" outlineLevel="0" collapsed="false">
      <c r="B117" s="77" t="s">
        <v>63</v>
      </c>
      <c r="C117" s="25" t="s">
        <v>170</v>
      </c>
      <c r="E117" s="55" t="n">
        <f aca="false">'Global Inputs'!$K$100</f>
        <v>0</v>
      </c>
      <c r="F117" s="58" t="n">
        <f aca="false">'P12 BUMNOps Output'!F12*$E$117</f>
        <v>0</v>
      </c>
      <c r="G117" s="58" t="n">
        <f aca="false">'P12 BUMNOps Output'!G12*$E$117</f>
        <v>0</v>
      </c>
      <c r="H117" s="58" t="n">
        <f aca="false">'P12 BUMNOps Output'!H12*$E$117</f>
        <v>0</v>
      </c>
      <c r="I117" s="58" t="n">
        <f aca="false">'P12 BUMNOps Output'!I12*$E$117</f>
        <v>0</v>
      </c>
      <c r="J117" s="58" t="n">
        <f aca="false">'P12 BUMNOps Output'!J12*$E$117</f>
        <v>0</v>
      </c>
      <c r="K117" s="58" t="n">
        <f aca="false">'P12 BUMNOps Output'!K12*$E$117</f>
        <v>0</v>
      </c>
      <c r="L117" s="58" t="n">
        <f aca="false">'P12 BUMNOps Output'!L12*$E$117</f>
        <v>0</v>
      </c>
      <c r="M117" s="58" t="n">
        <f aca="false">'P12 BUMNOps Output'!M12*$E$117</f>
        <v>0</v>
      </c>
      <c r="N117" s="58" t="n">
        <f aca="false">'P12 BUMNOps Output'!N12*$E$117</f>
        <v>0</v>
      </c>
      <c r="O117" s="58" t="n">
        <f aca="false">'P12 BUMNOps Output'!O12*$E$117</f>
        <v>0</v>
      </c>
      <c r="P117" s="58" t="n">
        <f aca="false">'P12 BUMNOps Output'!P12*$E$117</f>
        <v>0</v>
      </c>
      <c r="Q117" s="58" t="n">
        <f aca="false">'P12 BUMNOps Output'!Q12*$E$117</f>
        <v>0</v>
      </c>
      <c r="R117" s="58" t="n">
        <f aca="false">'P12 BUMNOps Output'!R12*$E$117</f>
        <v>0</v>
      </c>
      <c r="S117" s="58" t="n">
        <f aca="false">'P12 BUMNOps Output'!S12*$E$117</f>
        <v>0</v>
      </c>
    </row>
    <row r="118" customFormat="false" ht="15" hidden="false" customHeight="false" outlineLevel="0" collapsed="false">
      <c r="B118" s="77" t="s">
        <v>66</v>
      </c>
      <c r="C118" s="25" t="s">
        <v>170</v>
      </c>
      <c r="E118" s="55" t="n">
        <f aca="false">'Global Inputs'!$K$101</f>
        <v>0</v>
      </c>
      <c r="F118" s="58" t="n">
        <f aca="false">'P15 TBM Output'!F12*$E$118</f>
        <v>-0</v>
      </c>
      <c r="G118" s="58" t="n">
        <f aca="false">'P15 TBM Output'!G12*$E$118</f>
        <v>-0</v>
      </c>
      <c r="H118" s="58" t="n">
        <f aca="false">'P15 TBM Output'!H12*$E$118</f>
        <v>-0</v>
      </c>
      <c r="I118" s="58" t="n">
        <f aca="false">'P15 TBM Output'!I12*$E$118</f>
        <v>-0</v>
      </c>
      <c r="J118" s="58" t="n">
        <f aca="false">'P15 TBM Output'!J12*$E$118</f>
        <v>-0</v>
      </c>
      <c r="K118" s="58" t="n">
        <f aca="false">'P15 TBM Output'!K12*$E$118</f>
        <v>-0</v>
      </c>
      <c r="L118" s="58" t="n">
        <f aca="false">'P15 TBM Output'!L12*$E$118</f>
        <v>-0</v>
      </c>
      <c r="M118" s="58" t="n">
        <f aca="false">'P15 TBM Output'!M12*$E$118</f>
        <v>-0</v>
      </c>
      <c r="N118" s="58" t="n">
        <f aca="false">'P15 TBM Output'!N12*$E$118</f>
        <v>-0</v>
      </c>
      <c r="O118" s="58" t="n">
        <f aca="false">'P15 TBM Output'!O12*$E$118</f>
        <v>-0</v>
      </c>
      <c r="P118" s="58" t="n">
        <f aca="false">'P15 TBM Output'!P12*$E$118</f>
        <v>-0</v>
      </c>
      <c r="Q118" s="58" t="n">
        <f aca="false">'P15 TBM Output'!Q12*$E$118</f>
        <v>-0</v>
      </c>
      <c r="R118" s="58" t="n">
        <f aca="false">'P15 TBM Output'!R12*$E$118</f>
        <v>-0</v>
      </c>
      <c r="S118" s="58" t="n">
        <f aca="false">'P15 TBM Output'!S12*$E$118</f>
        <v>-0</v>
      </c>
    </row>
    <row r="119" customFormat="false" ht="15" hidden="false" customHeight="false" outlineLevel="0" collapsed="false">
      <c r="B119" s="77" t="s">
        <v>69</v>
      </c>
      <c r="C119" s="25" t="s">
        <v>170</v>
      </c>
      <c r="E119" s="55" t="n">
        <f aca="false">'Global Inputs'!$K$102</f>
        <v>0</v>
      </c>
      <c r="F119" s="58" t="n">
        <f aca="false">'P19 Badas Output'!F12*$E$119</f>
        <v>-0</v>
      </c>
      <c r="G119" s="58" t="n">
        <f aca="false">'P19 Badas Output'!G12*$E$119</f>
        <v>-0</v>
      </c>
      <c r="H119" s="58" t="n">
        <f aca="false">'P19 Badas Output'!H12*$E$119</f>
        <v>-0</v>
      </c>
      <c r="I119" s="58" t="n">
        <f aca="false">'P19 Badas Output'!I12*$E$119</f>
        <v>-0</v>
      </c>
      <c r="J119" s="58" t="n">
        <f aca="false">'P19 Badas Output'!J12*$E$119</f>
        <v>-0</v>
      </c>
      <c r="K119" s="58" t="n">
        <f aca="false">'P19 Badas Output'!K12*$E$119</f>
        <v>-0</v>
      </c>
      <c r="L119" s="58" t="n">
        <f aca="false">'P19 Badas Output'!L12*$E$119</f>
        <v>-0</v>
      </c>
      <c r="M119" s="58" t="n">
        <f aca="false">'P19 Badas Output'!M12*$E$119</f>
        <v>-0</v>
      </c>
      <c r="N119" s="58" t="n">
        <f aca="false">'P19 Badas Output'!N12*$E$119</f>
        <v>-0</v>
      </c>
      <c r="O119" s="58" t="n">
        <f aca="false">'P19 Badas Output'!O12*$E$119</f>
        <v>-0</v>
      </c>
      <c r="P119" s="58" t="n">
        <f aca="false">'P19 Badas Output'!P12*$E$119</f>
        <v>-0</v>
      </c>
      <c r="Q119" s="58" t="n">
        <f aca="false">'P19 Badas Output'!Q12*$E$119</f>
        <v>-0</v>
      </c>
      <c r="R119" s="58" t="n">
        <f aca="false">'P19 Badas Output'!R12*$E$119</f>
        <v>-0</v>
      </c>
      <c r="S119" s="58" t="n">
        <f aca="false">'P19 Badas Output'!S12*$E$119</f>
        <v>-0</v>
      </c>
    </row>
    <row r="120" customFormat="false" ht="15" hidden="false" customHeight="false" outlineLevel="0" collapsed="false">
      <c r="B120" s="69" t="s">
        <v>451</v>
      </c>
      <c r="C120" s="25" t="s">
        <v>170</v>
      </c>
      <c r="E120" s="70" t="n">
        <f aca="false">SUM(F120:S120)</f>
        <v>-2137.7465115345</v>
      </c>
      <c r="F120" s="68" t="n">
        <f aca="false">F106+F107+F108+F109+F110+F111+F112+F113+F114+F115+F116+F117+F118+F119</f>
        <v>0</v>
      </c>
      <c r="G120" s="68" t="n">
        <f aca="false">G106+G107+G108+G109+G110+G111+G112+G113+G114+G115+G116+G117+G118+G119</f>
        <v>-122.543038522037</v>
      </c>
      <c r="H120" s="68" t="n">
        <f aca="false">H106+H107+H108+H109+H110+H111+H112+H113+H114+H115+H116+H117+H118+H119</f>
        <v>-114.658741724505</v>
      </c>
      <c r="I120" s="68" t="n">
        <f aca="false">I106+I107+I108+I109+I110+I111+I112+I113+I114+I115+I116+I117+I118+I119</f>
        <v>-112.224944325471</v>
      </c>
      <c r="J120" s="68" t="n">
        <f aca="false">J106+J107+J108+J109+J110+J111+J112+J113+J114+J115+J116+J117+J118+J119</f>
        <v>-124.581111752949</v>
      </c>
      <c r="K120" s="68" t="n">
        <f aca="false">K106+K107+K108+K109+K110+K111+K112+K113+K114+K115+K116+K117+K118+K119</f>
        <v>-146.734901704974</v>
      </c>
      <c r="L120" s="68" t="n">
        <f aca="false">L106+L107+L108+L109+L110+L111+L112+L113+L114+L115+L116+L117+L118+L119</f>
        <v>-157.564323537375</v>
      </c>
      <c r="M120" s="68" t="n">
        <f aca="false">M106+M107+M108+M109+M110+M111+M112+M113+M114+M115+M116+M117+M118+M119</f>
        <v>-167.623099382131</v>
      </c>
      <c r="N120" s="68" t="n">
        <f aca="false">N106+N107+N108+N109+N110+N111+N112+N113+N114+N115+N116+N117+N118+N119</f>
        <v>-179.279102068045</v>
      </c>
      <c r="O120" s="68" t="n">
        <f aca="false">O106+O107+O108+O109+O110+O111+O112+O113+O114+O115+O116+O117+O118+O119</f>
        <v>-190.13496362309</v>
      </c>
      <c r="P120" s="68" t="n">
        <f aca="false">P106+P107+P108+P109+P110+P111+P112+P113+P114+P115+P116+P117+P118+P119</f>
        <v>-201.602643771733</v>
      </c>
      <c r="Q120" s="68" t="n">
        <f aca="false">Q106+Q107+Q108+Q109+Q110+Q111+Q112+Q113+Q114+Q115+Q116+Q117+Q118+Q119</f>
        <v>-197.459104337975</v>
      </c>
      <c r="R120" s="68" t="n">
        <f aca="false">R106+R107+R108+R109+R110+R111+R112+R113+R114+R115+R116+R117+R118+R119</f>
        <v>-206.409432070665</v>
      </c>
      <c r="S120" s="68" t="n">
        <f aca="false">S106+S107+S108+S109+S110+S111+S112+S113+S114+S115+S116+S117+S118+S119</f>
        <v>-216.931104713551</v>
      </c>
    </row>
    <row r="121" customFormat="false" ht="15" hidden="false" customHeight="false" outlineLevel="0" collapsed="false">
      <c r="B121" s="78" t="s">
        <v>393</v>
      </c>
      <c r="C121" s="79"/>
      <c r="D121" s="79"/>
      <c r="E121" s="79"/>
      <c r="F121" s="79"/>
      <c r="G121" s="79"/>
      <c r="H121" s="79"/>
      <c r="I121" s="79"/>
      <c r="J121" s="79"/>
      <c r="K121" s="79"/>
      <c r="L121" s="79"/>
      <c r="M121" s="79"/>
      <c r="N121" s="79"/>
      <c r="O121" s="79"/>
      <c r="P121" s="79"/>
      <c r="Q121" s="79"/>
      <c r="R121" s="79"/>
      <c r="S121" s="79"/>
    </row>
    <row r="122" customFormat="false" ht="15" hidden="false" customHeight="false" outlineLevel="0" collapsed="false">
      <c r="B122" s="77" t="s">
        <v>31</v>
      </c>
      <c r="C122" s="25" t="s">
        <v>170</v>
      </c>
      <c r="E122" s="55" t="n">
        <f aca="false">'Global Inputs'!$K$89</f>
        <v>1</v>
      </c>
      <c r="F122" s="58" t="n">
        <f aca="false">'E1 TelukLamong Output'!F14*$E$122</f>
        <v>-0</v>
      </c>
      <c r="G122" s="58" t="n">
        <f aca="false">'E1 TelukLamong Output'!G14*$E$122</f>
        <v>-13.9938981842</v>
      </c>
      <c r="H122" s="58" t="n">
        <f aca="false">'E1 TelukLamong Output'!H14*$E$122</f>
        <v>-14.400583372184</v>
      </c>
      <c r="I122" s="58" t="n">
        <f aca="false">'E1 TelukLamong Output'!I14*$E$122</f>
        <v>-14.8192064806567</v>
      </c>
      <c r="J122" s="58" t="n">
        <f aca="false">'E1 TelukLamong Output'!J14*$E$122</f>
        <v>-15.2501203945297</v>
      </c>
      <c r="K122" s="58" t="n">
        <f aca="false">'E1 TelukLamong Output'!K14*$E$122</f>
        <v>-15.6936884802079</v>
      </c>
      <c r="L122" s="58" t="n">
        <f aca="false">'E1 TelukLamong Output'!L14*$E$122</f>
        <v>-16.1502848979334</v>
      </c>
      <c r="M122" s="58" t="n">
        <f aca="false">'E1 TelukLamong Output'!M14*$E$122</f>
        <v>-16.620294923457</v>
      </c>
      <c r="N122" s="58" t="n">
        <f aca="false">'E1 TelukLamong Output'!N14*$E$122</f>
        <v>-17.104115279318</v>
      </c>
      <c r="O122" s="58" t="n">
        <f aca="false">'E1 TelukLamong Output'!O14*$E$122</f>
        <v>-17.602154476018</v>
      </c>
      <c r="P122" s="58" t="n">
        <f aca="false">'E1 TelukLamong Output'!P14*$E$122</f>
        <v>-18.1148331633854</v>
      </c>
      <c r="Q122" s="58" t="n">
        <f aca="false">'E1 TelukLamong Output'!Q14*$E$122</f>
        <v>-18.6425844924356</v>
      </c>
      <c r="R122" s="58" t="n">
        <f aca="false">'E1 TelukLamong Output'!R14*$E$122</f>
        <v>-19.1858544880403</v>
      </c>
      <c r="S122" s="58" t="n">
        <f aca="false">'E1 TelukLamong Output'!S14*$E$122</f>
        <v>-19.7451024327297</v>
      </c>
    </row>
    <row r="123" customFormat="false" ht="15" hidden="false" customHeight="false" outlineLevel="0" collapsed="false">
      <c r="B123" s="77" t="s">
        <v>34</v>
      </c>
      <c r="C123" s="25" t="s">
        <v>170</v>
      </c>
      <c r="E123" s="55" t="n">
        <f aca="false">'Global Inputs'!$K$90</f>
        <v>1</v>
      </c>
      <c r="F123" s="58" t="n">
        <f aca="false">'E2 CigadingExist Output'!F14*$E$123</f>
        <v>-0</v>
      </c>
      <c r="G123" s="58" t="n">
        <f aca="false">'E2 CigadingExist Output'!G14*$E$123</f>
        <v>-9.152664403</v>
      </c>
      <c r="H123" s="58" t="n">
        <f aca="false">'E2 CigadingExist Output'!H14*$E$123</f>
        <v>-9.44884332667</v>
      </c>
      <c r="I123" s="58" t="n">
        <f aca="false">'E2 CigadingExist Output'!I14*$E$123</f>
        <v>-9.7546713283192</v>
      </c>
      <c r="J123" s="58" t="n">
        <f aca="false">'E2 CigadingExist Output'!J14*$E$123</f>
        <v>-10.0704647650577</v>
      </c>
      <c r="K123" s="58" t="n">
        <f aca="false">'E2 CigadingExist Output'!K14*$E$123</f>
        <v>-10.396550428774</v>
      </c>
      <c r="L123" s="58" t="n">
        <f aca="false">'E2 CigadingExist Output'!L14*$E$123</f>
        <v>-10.7332658922828</v>
      </c>
      <c r="M123" s="58" t="n">
        <f aca="false">'E2 CigadingExist Output'!M14*$E$123</f>
        <v>-11.0809598670169</v>
      </c>
      <c r="N123" s="58" t="n">
        <f aca="false">'E2 CigadingExist Output'!N14*$E$123</f>
        <v>-11.43999257265</v>
      </c>
      <c r="O123" s="58" t="n">
        <f aca="false">'E2 CigadingExist Output'!O14*$E$123</f>
        <v>-11.8107361190519</v>
      </c>
      <c r="P123" s="58" t="n">
        <f aca="false">'E2 CigadingExist Output'!P14*$E$123</f>
        <v>-12.1935749009866</v>
      </c>
      <c r="Q123" s="58" t="n">
        <f aca="false">'E2 CigadingExist Output'!Q14*$E$123</f>
        <v>-12.5889060059847</v>
      </c>
      <c r="R123" s="58" t="n">
        <f aca="false">'E2 CigadingExist Output'!R14*$E$123</f>
        <v>-12.9971396358273</v>
      </c>
      <c r="S123" s="58" t="n">
        <f aca="false">'E2 CigadingExist Output'!S14*$E$123</f>
        <v>-13.4186995421024</v>
      </c>
    </row>
    <row r="124" customFormat="false" ht="15" hidden="false" customHeight="false" outlineLevel="0" collapsed="false">
      <c r="B124" s="77" t="s">
        <v>37</v>
      </c>
      <c r="C124" s="25" t="s">
        <v>170</v>
      </c>
      <c r="E124" s="55" t="n">
        <f aca="false">'Global Inputs'!$K$91</f>
        <v>1</v>
      </c>
      <c r="F124" s="58" t="n">
        <f aca="false">'E3 Belawan Output'!F14*$E$124</f>
        <v>-0</v>
      </c>
      <c r="G124" s="58" t="n">
        <f aca="false">'E3 Belawan Output'!G14*$E$124</f>
        <v>-3.0717537533632</v>
      </c>
      <c r="H124" s="58" t="n">
        <f aca="false">'E3 Belawan Output'!H14*$E$124</f>
        <v>-3.15899704597087</v>
      </c>
      <c r="I124" s="58" t="n">
        <f aca="false">'E3 Belawan Output'!I14*$E$124</f>
        <v>-3.24877039555507</v>
      </c>
      <c r="J124" s="58" t="n">
        <f aca="false">'E3 Belawan Output'!J14*$E$124</f>
        <v>-3.34114834204999</v>
      </c>
      <c r="K124" s="58" t="n">
        <f aca="false">'E3 Belawan Output'!K14*$E$124</f>
        <v>-3.43620764775949</v>
      </c>
      <c r="L124" s="58" t="n">
        <f aca="false">'E3 Belawan Output'!L14*$E$124</f>
        <v>-3.53402736422084</v>
      </c>
      <c r="M124" s="58" t="n">
        <f aca="false">'E3 Belawan Output'!M14*$E$124</f>
        <v>-3.63468890109473</v>
      </c>
      <c r="N124" s="58" t="n">
        <f aca="false">'E3 Belawan Output'!N14*$E$124</f>
        <v>-3.73827609714313</v>
      </c>
      <c r="O124" s="58" t="n">
        <f aca="false">'E3 Belawan Output'!O14*$E$124</f>
        <v>-3.84487529335888</v>
      </c>
      <c r="P124" s="58" t="n">
        <f aca="false">'E3 Belawan Output'!P14*$E$124</f>
        <v>-3.95457540831241</v>
      </c>
      <c r="Q124" s="58" t="n">
        <f aca="false">'E3 Belawan Output'!Q14*$E$124</f>
        <v>-4.06746801578336</v>
      </c>
      <c r="R124" s="58" t="n">
        <f aca="false">'E3 Belawan Output'!R14*$E$124</f>
        <v>-4.18364742474673</v>
      </c>
      <c r="S124" s="58" t="n">
        <f aca="false">'E3 Belawan Output'!S14*$E$124</f>
        <v>-4.3032107617854</v>
      </c>
    </row>
    <row r="125" customFormat="false" ht="15" hidden="false" customHeight="false" outlineLevel="0" collapsed="false">
      <c r="B125" s="77" t="s">
        <v>40</v>
      </c>
      <c r="C125" s="25" t="s">
        <v>170</v>
      </c>
      <c r="E125" s="55" t="n">
        <f aca="false">'Global Inputs'!$K$92</f>
        <v>1</v>
      </c>
      <c r="F125" s="58" t="n">
        <f aca="false">'E4 WIN Output'!F14*$E$125</f>
        <v>-0</v>
      </c>
      <c r="G125" s="58" t="n">
        <f aca="false">'E4 WIN Output'!G14*$E$125</f>
        <v>-2.2917843231526</v>
      </c>
      <c r="H125" s="58" t="n">
        <f aca="false">'E4 WIN Output'!H14*$E$125</f>
        <v>-2.31470216638413</v>
      </c>
      <c r="I125" s="58" t="n">
        <f aca="false">'E4 WIN Output'!I14*$E$125</f>
        <v>-2.33784918804797</v>
      </c>
      <c r="J125" s="58" t="n">
        <f aca="false">'E4 WIN Output'!J14*$E$125</f>
        <v>-2.36122767992845</v>
      </c>
      <c r="K125" s="58" t="n">
        <f aca="false">'E4 WIN Output'!K14*$E$125</f>
        <v>-2.38483995672773</v>
      </c>
      <c r="L125" s="58" t="n">
        <f aca="false">'E4 WIN Output'!L14*$E$125</f>
        <v>-2.40868835629501</v>
      </c>
      <c r="M125" s="58" t="n">
        <f aca="false">'E4 WIN Output'!M14*$E$125</f>
        <v>-2.43277523985796</v>
      </c>
      <c r="N125" s="58" t="n">
        <f aca="false">'E4 WIN Output'!N14*$E$125</f>
        <v>-2.45710299225654</v>
      </c>
      <c r="O125" s="58" t="n">
        <f aca="false">'E4 WIN Output'!O14*$E$125</f>
        <v>-2.4816740221791</v>
      </c>
      <c r="P125" s="58" t="n">
        <f aca="false">'E4 WIN Output'!P14*$E$125</f>
        <v>-2.50649076240089</v>
      </c>
      <c r="Q125" s="58" t="n">
        <f aca="false">'E4 WIN Output'!Q14*$E$125</f>
        <v>-2.5315556700249</v>
      </c>
      <c r="R125" s="58" t="n">
        <f aca="false">'E4 WIN Output'!R14*$E$125</f>
        <v>-2.55687122672515</v>
      </c>
      <c r="S125" s="58" t="n">
        <f aca="false">'E4 WIN Output'!S14*$E$125</f>
        <v>-2.5824399389924</v>
      </c>
    </row>
    <row r="126" customFormat="false" ht="15" hidden="false" customHeight="false" outlineLevel="0" collapsed="false">
      <c r="B126" s="77" t="s">
        <v>43</v>
      </c>
      <c r="C126" s="25" t="s">
        <v>170</v>
      </c>
      <c r="E126" s="55" t="n">
        <f aca="false">'Global Inputs'!$K$93</f>
        <v>1</v>
      </c>
      <c r="F126" s="58" t="n">
        <f aca="false">'P01 CigWharf2 Output'!F14*$E$126</f>
        <v>-0</v>
      </c>
      <c r="G126" s="58" t="n">
        <f aca="false">'P01 CigWharf2 Output'!G14*$E$126</f>
        <v>-0</v>
      </c>
      <c r="H126" s="58" t="n">
        <f aca="false">'P01 CigWharf2 Output'!H14*$E$126</f>
        <v>-20.0624418192384</v>
      </c>
      <c r="I126" s="58" t="n">
        <f aca="false">'P01 CigWharf2 Output'!I14*$E$126</f>
        <v>-20.6643150738156</v>
      </c>
      <c r="J126" s="58" t="n">
        <f aca="false">'P01 CigWharf2 Output'!J14*$E$126</f>
        <v>-25.541093431236</v>
      </c>
      <c r="K126" s="58" t="n">
        <f aca="false">'P01 CigWharf2 Output'!K14*$E$126</f>
        <v>-26.3073262341731</v>
      </c>
      <c r="L126" s="58" t="n">
        <f aca="false">'P01 CigWharf2 Output'!L14*$E$126</f>
        <v>-29.8062006233181</v>
      </c>
      <c r="M126" s="58" t="n">
        <f aca="false">'P01 CigWharf2 Output'!M14*$E$126</f>
        <v>-30.7003866420177</v>
      </c>
      <c r="N126" s="58" t="n">
        <f aca="false">'P01 CigWharf2 Output'!N14*$E$126</f>
        <v>-33.5186821357549</v>
      </c>
      <c r="O126" s="58" t="n">
        <f aca="false">'P01 CigWharf2 Output'!O14*$E$126</f>
        <v>-34.5242425998275</v>
      </c>
      <c r="P126" s="58" t="n">
        <f aca="false">'P01 CigWharf2 Output'!P14*$E$126</f>
        <v>-37.6935680704917</v>
      </c>
      <c r="Q126" s="58" t="n">
        <f aca="false">'P01 CigWharf2 Output'!Q14*$E$126</f>
        <v>-38.8243751126065</v>
      </c>
      <c r="R126" s="58" t="n">
        <f aca="false">'P01 CigWharf2 Output'!R14*$E$126</f>
        <v>-39.9891063659847</v>
      </c>
      <c r="S126" s="58" t="n">
        <f aca="false">'P01 CigWharf2 Output'!S14*$E$126</f>
        <v>-41.1887795569642</v>
      </c>
    </row>
    <row r="127" customFormat="false" ht="15" hidden="false" customHeight="false" outlineLevel="0" collapsed="false">
      <c r="B127" s="77" t="s">
        <v>46</v>
      </c>
      <c r="C127" s="25" t="s">
        <v>170</v>
      </c>
      <c r="E127" s="55" t="n">
        <f aca="false">'Global Inputs'!$K$94</f>
        <v>1</v>
      </c>
      <c r="F127" s="58" t="n">
        <f aca="false">'P02 CigConveyor Output'!F14*$E$127</f>
        <v>0</v>
      </c>
      <c r="G127" s="58" t="n">
        <f aca="false">'P02 CigConveyor Output'!G14*$E$127</f>
        <v>0</v>
      </c>
      <c r="H127" s="58" t="n">
        <f aca="false">'P02 CigConveyor Output'!H14*$E$127</f>
        <v>0</v>
      </c>
      <c r="I127" s="58" t="n">
        <f aca="false">'P02 CigConveyor Output'!I14*$E$127</f>
        <v>0</v>
      </c>
      <c r="J127" s="58" t="n">
        <f aca="false">'P02 CigConveyor Output'!J14*$E$127</f>
        <v>0</v>
      </c>
      <c r="K127" s="58" t="n">
        <f aca="false">'P02 CigConveyor Output'!K14*$E$127</f>
        <v>0</v>
      </c>
      <c r="L127" s="58" t="n">
        <f aca="false">'P02 CigConveyor Output'!L14*$E$127</f>
        <v>0</v>
      </c>
      <c r="M127" s="58" t="n">
        <f aca="false">'P02 CigConveyor Output'!M14*$E$127</f>
        <v>0</v>
      </c>
      <c r="N127" s="58" t="n">
        <f aca="false">'P02 CigConveyor Output'!N14*$E$127</f>
        <v>0</v>
      </c>
      <c r="O127" s="58" t="n">
        <f aca="false">'P02 CigConveyor Output'!O14*$E$127</f>
        <v>0</v>
      </c>
      <c r="P127" s="58" t="n">
        <f aca="false">'P02 CigConveyor Output'!P14*$E$127</f>
        <v>0</v>
      </c>
      <c r="Q127" s="58" t="n">
        <f aca="false">'P02 CigConveyor Output'!Q14*$E$127</f>
        <v>0</v>
      </c>
      <c r="R127" s="58" t="n">
        <f aca="false">'P02 CigConveyor Output'!R14*$E$127</f>
        <v>0</v>
      </c>
      <c r="S127" s="58" t="n">
        <f aca="false">'P02 CigConveyor Output'!S14*$E$127</f>
        <v>0</v>
      </c>
    </row>
    <row r="128" customFormat="false" ht="15" hidden="false" customHeight="false" outlineLevel="0" collapsed="false">
      <c r="B128" s="77" t="s">
        <v>48</v>
      </c>
      <c r="C128" s="25" t="s">
        <v>170</v>
      </c>
      <c r="E128" s="55" t="n">
        <f aca="false">'Global Inputs'!$K$95</f>
        <v>1</v>
      </c>
      <c r="F128" s="58" t="n">
        <f aca="false">'P03 KBSWarehouse Output'!F14*$E$128</f>
        <v>-0</v>
      </c>
      <c r="G128" s="58" t="n">
        <f aca="false">'P03 KBSWarehouse Output'!G14*$E$128</f>
        <v>-0</v>
      </c>
      <c r="H128" s="58" t="n">
        <f aca="false">'P03 KBSWarehouse Output'!H14*$E$128</f>
        <v>-0</v>
      </c>
      <c r="I128" s="58" t="n">
        <f aca="false">'P03 KBSWarehouse Output'!I14*$E$128</f>
        <v>-0</v>
      </c>
      <c r="J128" s="58" t="n">
        <f aca="false">'P03 KBSWarehouse Output'!J14*$E$128</f>
        <v>-26.511891</v>
      </c>
      <c r="K128" s="58" t="n">
        <f aca="false">'P03 KBSWarehouse Output'!K14*$E$128</f>
        <v>-27.30724773</v>
      </c>
      <c r="L128" s="58" t="n">
        <f aca="false">'P03 KBSWarehouse Output'!L14*$E$128</f>
        <v>-28.1264651619</v>
      </c>
      <c r="M128" s="58" t="n">
        <f aca="false">'P03 KBSWarehouse Output'!M14*$E$128</f>
        <v>-28.970259116757</v>
      </c>
      <c r="N128" s="58" t="n">
        <f aca="false">'P03 KBSWarehouse Output'!N14*$E$128</f>
        <v>-29.8393668902597</v>
      </c>
      <c r="O128" s="58" t="n">
        <f aca="false">'P03 KBSWarehouse Output'!O14*$E$128</f>
        <v>-30.7345478969675</v>
      </c>
      <c r="P128" s="58" t="n">
        <f aca="false">'P03 KBSWarehouse Output'!P14*$E$128</f>
        <v>-31.6565843338765</v>
      </c>
      <c r="Q128" s="58" t="n">
        <f aca="false">'P03 KBSWarehouse Output'!Q14*$E$128</f>
        <v>-32.6062818638928</v>
      </c>
      <c r="R128" s="58" t="n">
        <f aca="false">'P03 KBSWarehouse Output'!R14*$E$128</f>
        <v>-33.5844703198096</v>
      </c>
      <c r="S128" s="58" t="n">
        <f aca="false">'P03 KBSWarehouse Output'!S14*$E$128</f>
        <v>-34.5920044294039</v>
      </c>
    </row>
    <row r="129" customFormat="false" ht="15" hidden="false" customHeight="false" outlineLevel="0" collapsed="false">
      <c r="B129" s="77" t="s">
        <v>51</v>
      </c>
      <c r="C129" s="25" t="s">
        <v>170</v>
      </c>
      <c r="E129" s="55" t="n">
        <f aca="false">'Global Inputs'!$K$96</f>
        <v>1</v>
      </c>
      <c r="F129" s="58" t="n">
        <f aca="false">'P04 TTLSilo Output'!F14*$E$129</f>
        <v>-0</v>
      </c>
      <c r="G129" s="58" t="n">
        <f aca="false">'P04 TTLSilo Output'!G14*$E$129</f>
        <v>-0</v>
      </c>
      <c r="H129" s="58" t="n">
        <f aca="false">'P04 TTLSilo Output'!H14*$E$129</f>
        <v>-0</v>
      </c>
      <c r="I129" s="58" t="n">
        <f aca="false">'P04 TTLSilo Output'!I14*$E$129</f>
        <v>-0</v>
      </c>
      <c r="J129" s="58" t="n">
        <f aca="false">'P04 TTLSilo Output'!J14*$E$129</f>
        <v>-0.0612</v>
      </c>
      <c r="K129" s="58" t="n">
        <f aca="false">'P04 TTLSilo Output'!K14*$E$129</f>
        <v>-0.0612</v>
      </c>
      <c r="L129" s="58" t="n">
        <f aca="false">'P04 TTLSilo Output'!L14*$E$129</f>
        <v>-0.0612</v>
      </c>
      <c r="M129" s="58" t="n">
        <f aca="false">'P04 TTLSilo Output'!M14*$E$129</f>
        <v>-0.0612</v>
      </c>
      <c r="N129" s="58" t="n">
        <f aca="false">'P04 TTLSilo Output'!N14*$E$129</f>
        <v>-0.0612</v>
      </c>
      <c r="O129" s="58" t="n">
        <f aca="false">'P04 TTLSilo Output'!O14*$E$129</f>
        <v>-0.0612</v>
      </c>
      <c r="P129" s="58" t="n">
        <f aca="false">'P04 TTLSilo Output'!P14*$E$129</f>
        <v>-0.0612</v>
      </c>
      <c r="Q129" s="58" t="n">
        <f aca="false">'P04 TTLSilo Output'!Q14*$E$129</f>
        <v>-0.0612</v>
      </c>
      <c r="R129" s="58" t="n">
        <f aca="false">'P04 TTLSilo Output'!R14*$E$129</f>
        <v>-0.0612</v>
      </c>
      <c r="S129" s="58" t="n">
        <f aca="false">'P04 TTLSilo Output'!S14*$E$129</f>
        <v>-0.0612</v>
      </c>
    </row>
    <row r="130" customFormat="false" ht="15" hidden="false" customHeight="false" outlineLevel="0" collapsed="false">
      <c r="B130" s="77" t="s">
        <v>54</v>
      </c>
      <c r="C130" s="25" t="s">
        <v>170</v>
      </c>
      <c r="E130" s="55" t="n">
        <f aca="false">'Global Inputs'!$K$97</f>
        <v>1</v>
      </c>
      <c r="F130" s="58" t="n">
        <f aca="false">'P05 Dumai Output'!F14*$E$130</f>
        <v>-0</v>
      </c>
      <c r="G130" s="58" t="n">
        <f aca="false">'P05 Dumai Output'!G14*$E$130</f>
        <v>-0</v>
      </c>
      <c r="H130" s="58" t="n">
        <f aca="false">'P05 Dumai Output'!H14*$E$130</f>
        <v>-0</v>
      </c>
      <c r="I130" s="58" t="n">
        <f aca="false">'P05 Dumai Output'!I14*$E$130</f>
        <v>-22.3491825681227</v>
      </c>
      <c r="J130" s="58" t="n">
        <f aca="false">'P05 Dumai Output'!J14*$E$130</f>
        <v>-22.8608565715802</v>
      </c>
      <c r="K130" s="58" t="n">
        <f aca="false">'P05 Dumai Output'!K14*$E$130</f>
        <v>-23.3853224251242</v>
      </c>
      <c r="L130" s="58" t="n">
        <f aca="false">'P05 Dumai Output'!L14*$E$130</f>
        <v>-24.3681771844325</v>
      </c>
      <c r="M130" s="58" t="n">
        <f aca="false">'P05 Dumai Output'!M14*$E$130</f>
        <v>-25.3662755923383</v>
      </c>
      <c r="N130" s="58" t="n">
        <f aca="false">'P05 Dumai Output'!N14*$E$130</f>
        <v>-25.7213353784049</v>
      </c>
      <c r="O130" s="58" t="n">
        <f aca="false">'P05 Dumai Output'!O14*$E$130</f>
        <v>-26.3097604653814</v>
      </c>
      <c r="P130" s="58" t="n">
        <f aca="false">'P05 Dumai Output'!P14*$E$130</f>
        <v>-27.4136759407163</v>
      </c>
      <c r="Q130" s="58" t="n">
        <f aca="false">'P05 Dumai Output'!Q14*$E$130</f>
        <v>-28.0421843915507</v>
      </c>
      <c r="R130" s="58" t="n">
        <f aca="false">'P05 Dumai Output'!R14*$E$130</f>
        <v>-29.1245931726963</v>
      </c>
      <c r="S130" s="58" t="n">
        <f aca="false">'P05 Dumai Output'!S14*$E$130</f>
        <v>-29.3905510067177</v>
      </c>
    </row>
    <row r="131" customFormat="false" ht="15" hidden="false" customHeight="false" outlineLevel="0" collapsed="false">
      <c r="B131" s="77" t="s">
        <v>57</v>
      </c>
      <c r="C131" s="25" t="s">
        <v>170</v>
      </c>
      <c r="E131" s="55" t="n">
        <f aca="false">'Global Inputs'!$K$98</f>
        <v>1</v>
      </c>
      <c r="F131" s="58" t="n">
        <f aca="false">'P06 Ciwandan Output'!F14*$E$131</f>
        <v>-0</v>
      </c>
      <c r="G131" s="58" t="n">
        <f aca="false">'P06 Ciwandan Output'!G14*$E$131</f>
        <v>-0</v>
      </c>
      <c r="H131" s="58" t="n">
        <f aca="false">'P06 Ciwandan Output'!H14*$E$131</f>
        <v>-0</v>
      </c>
      <c r="I131" s="58" t="n">
        <f aca="false">'P06 Ciwandan Output'!I14*$E$131</f>
        <v>-0</v>
      </c>
      <c r="J131" s="58" t="n">
        <f aca="false">'P06 Ciwandan Output'!J14*$E$131</f>
        <v>-0</v>
      </c>
      <c r="K131" s="58" t="n">
        <f aca="false">'P06 Ciwandan Output'!K14*$E$131</f>
        <v>-10.0914504540435</v>
      </c>
      <c r="L131" s="58" t="n">
        <f aca="false">'P06 Ciwandan Output'!L14*$E$131</f>
        <v>-12.1358675927415</v>
      </c>
      <c r="M131" s="58" t="n">
        <f aca="false">'P06 Ciwandan Output'!M14*$E$131</f>
        <v>-13.3783686930441</v>
      </c>
      <c r="N131" s="58" t="n">
        <f aca="false">'P06 Ciwandan Output'!N14*$E$131</f>
        <v>-15.3047399401701</v>
      </c>
      <c r="O131" s="58" t="n">
        <f aca="false">'P06 Ciwandan Output'!O14*$E$131</f>
        <v>-16.2584350403566</v>
      </c>
      <c r="P131" s="58" t="n">
        <f aca="false">'P06 Ciwandan Output'!P14*$E$131</f>
        <v>-17.2717023887517</v>
      </c>
      <c r="Q131" s="58" t="n">
        <f aca="false">'P06 Ciwandan Output'!Q14*$E$131</f>
        <v>-18.3482716195551</v>
      </c>
      <c r="R131" s="58" t="n">
        <f aca="false">'P06 Ciwandan Output'!R14*$E$131</f>
        <v>-20.661632752248</v>
      </c>
      <c r="S131" s="58" t="n">
        <f aca="false">'P06 Ciwandan Output'!S14*$E$131</f>
        <v>-21.9498641317804</v>
      </c>
    </row>
    <row r="132" customFormat="false" ht="15" hidden="false" customHeight="false" outlineLevel="0" collapsed="false">
      <c r="B132" s="77" t="s">
        <v>60</v>
      </c>
      <c r="C132" s="25" t="s">
        <v>170</v>
      </c>
      <c r="E132" s="55" t="n">
        <f aca="false">'Global Inputs'!$K$99</f>
        <v>1</v>
      </c>
      <c r="F132" s="58" t="n">
        <f aca="false">'P08 DMSTrucking Output'!F14*$E$132</f>
        <v>-0</v>
      </c>
      <c r="G132" s="58" t="n">
        <f aca="false">'P08 DMSTrucking Output'!G14*$E$132</f>
        <v>-0</v>
      </c>
      <c r="H132" s="58" t="n">
        <f aca="false">'P08 DMSTrucking Output'!H14*$E$132</f>
        <v>-0</v>
      </c>
      <c r="I132" s="58" t="n">
        <f aca="false">'P08 DMSTrucking Output'!I14*$E$132</f>
        <v>-0</v>
      </c>
      <c r="J132" s="58" t="n">
        <f aca="false">'P08 DMSTrucking Output'!J14*$E$132</f>
        <v>-0.5504799119776</v>
      </c>
      <c r="K132" s="58" t="n">
        <f aca="false">'P08 DMSTrucking Output'!K14*$E$132</f>
        <v>-0.660154309336928</v>
      </c>
      <c r="L132" s="58" t="n">
        <f aca="false">'P08 DMSTrucking Output'!L14*$E$132</f>
        <v>-0.686814938617036</v>
      </c>
      <c r="M132" s="58" t="n">
        <f aca="false">'P08 DMSTrucking Output'!M14*$E$132</f>
        <v>-0.714924986775547</v>
      </c>
      <c r="N132" s="58" t="n">
        <f aca="false">'P08 DMSTrucking Output'!N14*$E$132</f>
        <v>-0.744592896378814</v>
      </c>
      <c r="O132" s="58" t="n">
        <f aca="false">'P08 DMSTrucking Output'!O14*$E$132</f>
        <v>-0.770996187270178</v>
      </c>
      <c r="P132" s="58" t="n">
        <f aca="false">'P08 DMSTrucking Output'!P14*$E$132</f>
        <v>-0.798413907128283</v>
      </c>
      <c r="Q132" s="58" t="n">
        <f aca="false">'P08 DMSTrucking Output'!Q14*$E$132</f>
        <v>-0.826889828636532</v>
      </c>
      <c r="R132" s="58" t="n">
        <f aca="false">'P08 DMSTrucking Output'!R14*$E$132</f>
        <v>-0.856469838047692</v>
      </c>
      <c r="S132" s="58" t="n">
        <f aca="false">'P08 DMSTrucking Output'!S14*$E$132</f>
        <v>-0.887202046614311</v>
      </c>
    </row>
    <row r="133" customFormat="false" ht="15" hidden="false" customHeight="false" outlineLevel="0" collapsed="false">
      <c r="B133" s="77" t="s">
        <v>63</v>
      </c>
      <c r="C133" s="25" t="s">
        <v>170</v>
      </c>
      <c r="E133" s="55" t="n">
        <f aca="false">'Global Inputs'!$K$100</f>
        <v>0</v>
      </c>
      <c r="F133" s="58" t="n">
        <f aca="false">'P12 BUMNOps Output'!F14*$E$133</f>
        <v>-0</v>
      </c>
      <c r="G133" s="58" t="n">
        <f aca="false">'P12 BUMNOps Output'!G14*$E$133</f>
        <v>-0</v>
      </c>
      <c r="H133" s="58" t="n">
        <f aca="false">'P12 BUMNOps Output'!H14*$E$133</f>
        <v>-0</v>
      </c>
      <c r="I133" s="58" t="n">
        <f aca="false">'P12 BUMNOps Output'!I14*$E$133</f>
        <v>-0</v>
      </c>
      <c r="J133" s="58" t="n">
        <f aca="false">'P12 BUMNOps Output'!J14*$E$133</f>
        <v>-0</v>
      </c>
      <c r="K133" s="58" t="n">
        <f aca="false">'P12 BUMNOps Output'!K14*$E$133</f>
        <v>-0</v>
      </c>
      <c r="L133" s="58" t="n">
        <f aca="false">'P12 BUMNOps Output'!L14*$E$133</f>
        <v>-0</v>
      </c>
      <c r="M133" s="58" t="n">
        <f aca="false">'P12 BUMNOps Output'!M14*$E$133</f>
        <v>-0</v>
      </c>
      <c r="N133" s="58" t="n">
        <f aca="false">'P12 BUMNOps Output'!N14*$E$133</f>
        <v>-0</v>
      </c>
      <c r="O133" s="58" t="n">
        <f aca="false">'P12 BUMNOps Output'!O14*$E$133</f>
        <v>-0</v>
      </c>
      <c r="P133" s="58" t="n">
        <f aca="false">'P12 BUMNOps Output'!P14*$E$133</f>
        <v>-0</v>
      </c>
      <c r="Q133" s="58" t="n">
        <f aca="false">'P12 BUMNOps Output'!Q14*$E$133</f>
        <v>-0</v>
      </c>
      <c r="R133" s="58" t="n">
        <f aca="false">'P12 BUMNOps Output'!R14*$E$133</f>
        <v>-0</v>
      </c>
      <c r="S133" s="58" t="n">
        <f aca="false">'P12 BUMNOps Output'!S14*$E$133</f>
        <v>-0</v>
      </c>
    </row>
    <row r="134" customFormat="false" ht="15" hidden="false" customHeight="false" outlineLevel="0" collapsed="false">
      <c r="B134" s="77" t="s">
        <v>66</v>
      </c>
      <c r="C134" s="25" t="s">
        <v>170</v>
      </c>
      <c r="E134" s="55" t="n">
        <f aca="false">'Global Inputs'!$K$101</f>
        <v>0</v>
      </c>
      <c r="F134" s="58" t="n">
        <f aca="false">'P15 TBM Output'!F14*$E$134</f>
        <v>-0</v>
      </c>
      <c r="G134" s="58" t="n">
        <f aca="false">'P15 TBM Output'!G14*$E$134</f>
        <v>-0</v>
      </c>
      <c r="H134" s="58" t="n">
        <f aca="false">'P15 TBM Output'!H14*$E$134</f>
        <v>-0</v>
      </c>
      <c r="I134" s="58" t="n">
        <f aca="false">'P15 TBM Output'!I14*$E$134</f>
        <v>-0</v>
      </c>
      <c r="J134" s="58" t="n">
        <f aca="false">'P15 TBM Output'!J14*$E$134</f>
        <v>-0</v>
      </c>
      <c r="K134" s="58" t="n">
        <f aca="false">'P15 TBM Output'!K14*$E$134</f>
        <v>-0</v>
      </c>
      <c r="L134" s="58" t="n">
        <f aca="false">'P15 TBM Output'!L14*$E$134</f>
        <v>-0</v>
      </c>
      <c r="M134" s="58" t="n">
        <f aca="false">'P15 TBM Output'!M14*$E$134</f>
        <v>-0</v>
      </c>
      <c r="N134" s="58" t="n">
        <f aca="false">'P15 TBM Output'!N14*$E$134</f>
        <v>-0</v>
      </c>
      <c r="O134" s="58" t="n">
        <f aca="false">'P15 TBM Output'!O14*$E$134</f>
        <v>-0</v>
      </c>
      <c r="P134" s="58" t="n">
        <f aca="false">'P15 TBM Output'!P14*$E$134</f>
        <v>-0</v>
      </c>
      <c r="Q134" s="58" t="n">
        <f aca="false">'P15 TBM Output'!Q14*$E$134</f>
        <v>-0</v>
      </c>
      <c r="R134" s="58" t="n">
        <f aca="false">'P15 TBM Output'!R14*$E$134</f>
        <v>-0</v>
      </c>
      <c r="S134" s="58" t="n">
        <f aca="false">'P15 TBM Output'!S14*$E$134</f>
        <v>-0</v>
      </c>
    </row>
    <row r="135" customFormat="false" ht="15" hidden="false" customHeight="false" outlineLevel="0" collapsed="false">
      <c r="B135" s="77" t="s">
        <v>69</v>
      </c>
      <c r="C135" s="25" t="s">
        <v>170</v>
      </c>
      <c r="E135" s="55" t="n">
        <f aca="false">'Global Inputs'!$K$102</f>
        <v>0</v>
      </c>
      <c r="F135" s="58" t="n">
        <f aca="false">'P19 Badas Output'!F14*$E$135</f>
        <v>-0</v>
      </c>
      <c r="G135" s="58" t="n">
        <f aca="false">'P19 Badas Output'!G14*$E$135</f>
        <v>-0</v>
      </c>
      <c r="H135" s="58" t="n">
        <f aca="false">'P19 Badas Output'!H14*$E$135</f>
        <v>-0</v>
      </c>
      <c r="I135" s="58" t="n">
        <f aca="false">'P19 Badas Output'!I14*$E$135</f>
        <v>-0</v>
      </c>
      <c r="J135" s="58" t="n">
        <f aca="false">'P19 Badas Output'!J14*$E$135</f>
        <v>-0</v>
      </c>
      <c r="K135" s="58" t="n">
        <f aca="false">'P19 Badas Output'!K14*$E$135</f>
        <v>-0</v>
      </c>
      <c r="L135" s="58" t="n">
        <f aca="false">'P19 Badas Output'!L14*$E$135</f>
        <v>-0</v>
      </c>
      <c r="M135" s="58" t="n">
        <f aca="false">'P19 Badas Output'!M14*$E$135</f>
        <v>-0</v>
      </c>
      <c r="N135" s="58" t="n">
        <f aca="false">'P19 Badas Output'!N14*$E$135</f>
        <v>-0</v>
      </c>
      <c r="O135" s="58" t="n">
        <f aca="false">'P19 Badas Output'!O14*$E$135</f>
        <v>-0</v>
      </c>
      <c r="P135" s="58" t="n">
        <f aca="false">'P19 Badas Output'!P14*$E$135</f>
        <v>-0</v>
      </c>
      <c r="Q135" s="58" t="n">
        <f aca="false">'P19 Badas Output'!Q14*$E$135</f>
        <v>-0</v>
      </c>
      <c r="R135" s="58" t="n">
        <f aca="false">'P19 Badas Output'!R14*$E$135</f>
        <v>-0</v>
      </c>
      <c r="S135" s="58" t="n">
        <f aca="false">'P19 Badas Output'!S14*$E$135</f>
        <v>-0</v>
      </c>
    </row>
    <row r="136" customFormat="false" ht="15" hidden="false" customHeight="false" outlineLevel="0" collapsed="false">
      <c r="B136" s="69" t="s">
        <v>452</v>
      </c>
      <c r="C136" s="25" t="s">
        <v>170</v>
      </c>
      <c r="E136" s="70" t="n">
        <f aca="false">SUM(F136:S136)</f>
        <v>-1562.16566039577</v>
      </c>
      <c r="F136" s="68" t="n">
        <f aca="false">F122+F123+F124+F125+F126+F127+F128+F129+F130+F131+F132+F133+F134+F135</f>
        <v>0</v>
      </c>
      <c r="G136" s="68" t="n">
        <f aca="false">G122+G123+G124+G125+G126+G127+G128+G129+G130+G131+G132+G133+G134+G135</f>
        <v>-28.5101006637158</v>
      </c>
      <c r="H136" s="68" t="n">
        <f aca="false">H122+H123+H124+H125+H126+H127+H128+H129+H130+H131+H132+H133+H134+H135</f>
        <v>-49.3855677304474</v>
      </c>
      <c r="I136" s="68" t="n">
        <f aca="false">I122+I123+I124+I125+I126+I127+I128+I129+I130+I131+I132+I133+I134+I135</f>
        <v>-73.1739950345172</v>
      </c>
      <c r="J136" s="68" t="n">
        <f aca="false">J122+J123+J124+J125+J126+J127+J128+J129+J130+J131+J132+J133+J134+J135</f>
        <v>-106.54848209636</v>
      </c>
      <c r="K136" s="68" t="n">
        <f aca="false">K122+K123+K124+K125+K126+K127+K128+K129+K130+K131+K132+K133+K134+K135</f>
        <v>-119.723987666147</v>
      </c>
      <c r="L136" s="68" t="n">
        <f aca="false">L122+L123+L124+L125+L126+L127+L128+L129+L130+L131+L132+L133+L134+L135</f>
        <v>-128.010992011741</v>
      </c>
      <c r="M136" s="68" t="n">
        <f aca="false">M122+M123+M124+M125+M126+M127+M128+M129+M130+M131+M132+M133+M134+M135</f>
        <v>-132.960133962359</v>
      </c>
      <c r="N136" s="68" t="n">
        <f aca="false">N122+N123+N124+N125+N126+N127+N128+N129+N130+N131+N132+N133+N134+N135</f>
        <v>-139.929404182336</v>
      </c>
      <c r="O136" s="68" t="n">
        <f aca="false">O122+O123+O124+O125+O126+O127+O128+O129+O130+O131+O132+O133+O134+O135</f>
        <v>-144.398622100411</v>
      </c>
      <c r="P136" s="68" t="n">
        <f aca="false">P122+P123+P124+P125+P126+P127+P128+P129+P130+P131+P132+P133+P134+P135</f>
        <v>-151.66461887605</v>
      </c>
      <c r="Q136" s="68" t="n">
        <f aca="false">Q122+Q123+Q124+Q125+Q126+Q127+Q128+Q129+Q130+Q131+Q132+Q133+Q134+Q135</f>
        <v>-156.53971700047</v>
      </c>
      <c r="R136" s="68" t="n">
        <f aca="false">R122+R123+R124+R125+R126+R127+R128+R129+R130+R131+R132+R133+R134+R135</f>
        <v>-163.200985224126</v>
      </c>
      <c r="S136" s="68" t="n">
        <f aca="false">S122+S123+S124+S125+S126+S127+S128+S129+S130+S131+S132+S133+S134+S135</f>
        <v>-168.11905384709</v>
      </c>
    </row>
    <row r="137" customFormat="false" ht="15" hidden="false" customHeight="false" outlineLevel="0" collapsed="false">
      <c r="B137" s="78" t="s">
        <v>349</v>
      </c>
      <c r="C137" s="79"/>
      <c r="D137" s="79"/>
      <c r="E137" s="79"/>
      <c r="F137" s="79"/>
      <c r="G137" s="79"/>
      <c r="H137" s="79"/>
      <c r="I137" s="79"/>
      <c r="J137" s="79"/>
      <c r="K137" s="79"/>
      <c r="L137" s="79"/>
      <c r="M137" s="79"/>
      <c r="N137" s="79"/>
      <c r="O137" s="79"/>
      <c r="P137" s="79"/>
      <c r="Q137" s="79"/>
      <c r="R137" s="79"/>
      <c r="S137" s="79"/>
    </row>
    <row r="138" customFormat="false" ht="15" hidden="false" customHeight="false" outlineLevel="0" collapsed="false">
      <c r="B138" s="77" t="s">
        <v>31</v>
      </c>
      <c r="C138" s="25" t="s">
        <v>170</v>
      </c>
      <c r="E138" s="55" t="n">
        <f aca="false">'Global Inputs'!$K$89</f>
        <v>1</v>
      </c>
      <c r="F138" s="58" t="n">
        <f aca="false">'E1 TelukLamong Output'!F16*$E$138</f>
        <v>-0</v>
      </c>
      <c r="G138" s="58" t="n">
        <f aca="false">'E1 TelukLamong Output'!G16*$E$138</f>
        <v>-41.7407824824223</v>
      </c>
      <c r="H138" s="58" t="n">
        <f aca="false">'E1 TelukLamong Output'!H16*$E$138</f>
        <v>-41.7462566184223</v>
      </c>
      <c r="I138" s="58" t="n">
        <f aca="false">'E1 TelukLamong Output'!I16*$E$138</f>
        <v>-42.7518402371423</v>
      </c>
      <c r="J138" s="58" t="n">
        <f aca="false">'E1 TelukLamong Output'!J16*$E$138</f>
        <v>-42.7575355282367</v>
      </c>
      <c r="K138" s="58" t="n">
        <f aca="false">'E1 TelukLamong Output'!K16*$E$138</f>
        <v>-42.763344725153</v>
      </c>
      <c r="L138" s="58" t="n">
        <f aca="false">'E1 TelukLamong Output'!L16*$E$138</f>
        <v>-43.7692701060076</v>
      </c>
      <c r="M138" s="58" t="n">
        <f aca="false">'E1 TelukLamong Output'!M16*$E$138</f>
        <v>-43.7753139944793</v>
      </c>
      <c r="N138" s="58" t="n">
        <f aca="false">'E1 TelukLamong Output'!N16*$E$138</f>
        <v>-43.7814787607205</v>
      </c>
      <c r="O138" s="58" t="n">
        <f aca="false">'E1 TelukLamong Output'!O16*$E$138</f>
        <v>-44.7877668222864</v>
      </c>
      <c r="P138" s="58" t="n">
        <f aca="false">'E1 TelukLamong Output'!P16*$E$138</f>
        <v>-44.7941806450837</v>
      </c>
      <c r="Q138" s="58" t="n">
        <f aca="false">'E1 TelukLamong Output'!Q16*$E$138</f>
        <v>-44.8007227443369</v>
      </c>
      <c r="R138" s="58" t="n">
        <f aca="false">'E1 TelukLamong Output'!R16*$E$138</f>
        <v>-44.8073956855752</v>
      </c>
      <c r="S138" s="58" t="n">
        <f aca="false">'E1 TelukLamong Output'!S16*$E$138</f>
        <v>-44.8142020856383</v>
      </c>
    </row>
    <row r="139" customFormat="false" ht="15" hidden="false" customHeight="false" outlineLevel="0" collapsed="false">
      <c r="B139" s="77" t="s">
        <v>34</v>
      </c>
      <c r="C139" s="25" t="s">
        <v>170</v>
      </c>
      <c r="E139" s="55" t="n">
        <f aca="false">'Global Inputs'!$K$90</f>
        <v>1</v>
      </c>
      <c r="F139" s="58" t="n">
        <f aca="false">'E2 CigadingExist Output'!F16*$E$139</f>
        <v>-0</v>
      </c>
      <c r="G139" s="58" t="n">
        <f aca="false">'E2 CigadingExist Output'!G16*$E$139</f>
        <v>-40.95884914</v>
      </c>
      <c r="H139" s="58" t="n">
        <f aca="false">'E2 CigadingExist Output'!H16*$E$139</f>
        <v>-40.9614421228</v>
      </c>
      <c r="I139" s="58" t="n">
        <f aca="false">'E2 CigadingExist Output'!I16*$E$139</f>
        <v>-41.964086965256</v>
      </c>
      <c r="J139" s="58" t="n">
        <f aca="false">'E2 CigadingExist Output'!J16*$E$139</f>
        <v>-41.9667847045611</v>
      </c>
      <c r="K139" s="58" t="n">
        <f aca="false">'E2 CigadingExist Output'!K16*$E$139</f>
        <v>-41.9695363986523</v>
      </c>
      <c r="L139" s="58" t="n">
        <f aca="false">'E2 CigadingExist Output'!L16*$E$139</f>
        <v>-42.9723431266254</v>
      </c>
      <c r="M139" s="58" t="n">
        <f aca="false">'E2 CigadingExist Output'!M16*$E$139</f>
        <v>-42.9752059891579</v>
      </c>
      <c r="N139" s="58" t="n">
        <f aca="false">'E2 CigadingExist Output'!N16*$E$139</f>
        <v>-42.9781261089411</v>
      </c>
      <c r="O139" s="58" t="n">
        <f aca="false">'E2 CigadingExist Output'!O16*$E$139</f>
        <v>-43.9811046311199</v>
      </c>
      <c r="P139" s="58" t="n">
        <f aca="false">'E2 CigadingExist Output'!P16*$E$139</f>
        <v>-43.9841427237423</v>
      </c>
      <c r="Q139" s="58" t="n">
        <f aca="false">'E2 CigadingExist Output'!Q16*$E$139</f>
        <v>-43.9872415782171</v>
      </c>
      <c r="R139" s="58" t="n">
        <f aca="false">'E2 CigadingExist Output'!R16*$E$139</f>
        <v>-43.9904024097815</v>
      </c>
      <c r="S139" s="58" t="n">
        <f aca="false">'E2 CigadingExist Output'!S16*$E$139</f>
        <v>-43.9936264579771</v>
      </c>
    </row>
    <row r="140" customFormat="false" ht="15" hidden="false" customHeight="false" outlineLevel="0" collapsed="false">
      <c r="B140" s="77" t="s">
        <v>37</v>
      </c>
      <c r="C140" s="25" t="s">
        <v>170</v>
      </c>
      <c r="E140" s="55" t="n">
        <f aca="false">'Global Inputs'!$K$91</f>
        <v>1</v>
      </c>
      <c r="F140" s="58" t="n">
        <f aca="false">'E3 Belawan Output'!F16*$E$140</f>
        <v>-0</v>
      </c>
      <c r="G140" s="58" t="n">
        <f aca="false">'E3 Belawan Output'!G16*$E$140</f>
        <v>-5.23397421343</v>
      </c>
      <c r="H140" s="58" t="n">
        <f aca="false">'E3 Belawan Output'!H16*$E$140</f>
        <v>-5.23397421343</v>
      </c>
      <c r="I140" s="58" t="n">
        <f aca="false">'E3 Belawan Output'!I16*$E$140</f>
        <v>-9.186649606715</v>
      </c>
      <c r="J140" s="58" t="n">
        <f aca="false">'E3 Belawan Output'!J16*$E$140</f>
        <v>-13.116325</v>
      </c>
      <c r="K140" s="58" t="n">
        <f aca="false">'E3 Belawan Output'!K16*$E$140</f>
        <v>-13.116325</v>
      </c>
      <c r="L140" s="58" t="n">
        <f aca="false">'E3 Belawan Output'!L16*$E$140</f>
        <v>-13.116325</v>
      </c>
      <c r="M140" s="58" t="n">
        <f aca="false">'E3 Belawan Output'!M16*$E$140</f>
        <v>-13.116325</v>
      </c>
      <c r="N140" s="58" t="n">
        <f aca="false">'E3 Belawan Output'!N16*$E$140</f>
        <v>-13.116325</v>
      </c>
      <c r="O140" s="58" t="n">
        <f aca="false">'E3 Belawan Output'!O16*$E$140</f>
        <v>-13.116325</v>
      </c>
      <c r="P140" s="58" t="n">
        <f aca="false">'E3 Belawan Output'!P16*$E$140</f>
        <v>-13.116325</v>
      </c>
      <c r="Q140" s="58" t="n">
        <f aca="false">'E3 Belawan Output'!Q16*$E$140</f>
        <v>-11.6881375</v>
      </c>
      <c r="R140" s="58" t="n">
        <f aca="false">'E3 Belawan Output'!R16*$E$140</f>
        <v>-10.26495</v>
      </c>
      <c r="S140" s="58" t="n">
        <f aca="false">'E3 Belawan Output'!S16*$E$140</f>
        <v>-10.26495</v>
      </c>
    </row>
    <row r="141" customFormat="false" ht="15" hidden="false" customHeight="false" outlineLevel="0" collapsed="false">
      <c r="B141" s="77" t="s">
        <v>40</v>
      </c>
      <c r="C141" s="25" t="s">
        <v>170</v>
      </c>
      <c r="E141" s="55" t="n">
        <f aca="false">'Global Inputs'!$K$92</f>
        <v>1</v>
      </c>
      <c r="F141" s="58" t="n">
        <f aca="false">'E4 WIN Output'!F16*$E$141</f>
        <v>-0</v>
      </c>
      <c r="G141" s="58" t="n">
        <f aca="false">'E4 WIN Output'!G16*$E$141</f>
        <v>-0.43948041535</v>
      </c>
      <c r="H141" s="58" t="n">
        <f aca="false">'E4 WIN Output'!H16*$E$141</f>
        <v>-0.43948041535</v>
      </c>
      <c r="I141" s="58" t="n">
        <f aca="false">'E4 WIN Output'!I16*$E$141</f>
        <v>-0.43948041535</v>
      </c>
      <c r="J141" s="58" t="n">
        <f aca="false">'E4 WIN Output'!J16*$E$141</f>
        <v>-0.43948041535</v>
      </c>
      <c r="K141" s="58" t="n">
        <f aca="false">'E4 WIN Output'!K16*$E$141</f>
        <v>-0.43948041535</v>
      </c>
      <c r="L141" s="58" t="n">
        <f aca="false">'E4 WIN Output'!L16*$E$141</f>
        <v>-0.43948041535</v>
      </c>
      <c r="M141" s="58" t="n">
        <f aca="false">'E4 WIN Output'!M16*$E$141</f>
        <v>-0.43948041535</v>
      </c>
      <c r="N141" s="58" t="n">
        <f aca="false">'E4 WIN Output'!N16*$E$141</f>
        <v>-0.43948041535</v>
      </c>
      <c r="O141" s="58" t="n">
        <f aca="false">'E4 WIN Output'!O16*$E$141</f>
        <v>-0.43948041535</v>
      </c>
      <c r="P141" s="58" t="n">
        <f aca="false">'E4 WIN Output'!P16*$E$141</f>
        <v>-0.43948041535</v>
      </c>
      <c r="Q141" s="58" t="n">
        <f aca="false">'E4 WIN Output'!Q16*$E$141</f>
        <v>-0.43948041535</v>
      </c>
      <c r="R141" s="58" t="n">
        <f aca="false">'E4 WIN Output'!R16*$E$141</f>
        <v>-0.43948041535</v>
      </c>
      <c r="S141" s="58" t="n">
        <f aca="false">'E4 WIN Output'!S16*$E$141</f>
        <v>-0.43948041535</v>
      </c>
    </row>
    <row r="142" customFormat="false" ht="15" hidden="false" customHeight="false" outlineLevel="0" collapsed="false">
      <c r="B142" s="77" t="s">
        <v>43</v>
      </c>
      <c r="C142" s="25" t="s">
        <v>170</v>
      </c>
      <c r="E142" s="55" t="n">
        <f aca="false">'Global Inputs'!$K$93</f>
        <v>1</v>
      </c>
      <c r="F142" s="58" t="n">
        <f aca="false">'P01 CigWharf2 Output'!F16*$E$142</f>
        <v>-0</v>
      </c>
      <c r="G142" s="58" t="n">
        <f aca="false">'P01 CigWharf2 Output'!G16*$E$142</f>
        <v>-0</v>
      </c>
      <c r="H142" s="58" t="n">
        <f aca="false">'P01 CigWharf2 Output'!H16*$E$142</f>
        <v>-17.798535863122</v>
      </c>
      <c r="I142" s="58" t="n">
        <f aca="false">'P01 CigWharf2 Output'!I16*$E$142</f>
        <v>-17.798535863122</v>
      </c>
      <c r="J142" s="58" t="n">
        <f aca="false">'P01 CigWharf2 Output'!J16*$E$142</f>
        <v>-17.798535863122</v>
      </c>
      <c r="K142" s="58" t="n">
        <f aca="false">'P01 CigWharf2 Output'!K16*$E$142</f>
        <v>-17.798535863122</v>
      </c>
      <c r="L142" s="58" t="n">
        <f aca="false">'P01 CigWharf2 Output'!L16*$E$142</f>
        <v>-17.798535863122</v>
      </c>
      <c r="M142" s="58" t="n">
        <f aca="false">'P01 CigWharf2 Output'!M16*$E$142</f>
        <v>-17.798535863122</v>
      </c>
      <c r="N142" s="58" t="n">
        <f aca="false">'P01 CigWharf2 Output'!N16*$E$142</f>
        <v>-17.798535863122</v>
      </c>
      <c r="O142" s="58" t="n">
        <f aca="false">'P01 CigWharf2 Output'!O16*$E$142</f>
        <v>-17.798535863122</v>
      </c>
      <c r="P142" s="58" t="n">
        <f aca="false">'P01 CigWharf2 Output'!P16*$E$142</f>
        <v>-5.48364275791868</v>
      </c>
      <c r="Q142" s="58" t="n">
        <f aca="false">'P01 CigWharf2 Output'!Q16*$E$142</f>
        <v>-5.48364275791868</v>
      </c>
      <c r="R142" s="58" t="n">
        <f aca="false">'P01 CigWharf2 Output'!R16*$E$142</f>
        <v>-5.48364275791868</v>
      </c>
      <c r="S142" s="58" t="n">
        <f aca="false">'P01 CigWharf2 Output'!S16*$E$142</f>
        <v>-5.48364275791868</v>
      </c>
    </row>
    <row r="143" customFormat="false" ht="15" hidden="false" customHeight="false" outlineLevel="0" collapsed="false">
      <c r="B143" s="77" t="s">
        <v>46</v>
      </c>
      <c r="C143" s="25" t="s">
        <v>170</v>
      </c>
      <c r="E143" s="55" t="n">
        <f aca="false">'Global Inputs'!$K$94</f>
        <v>1</v>
      </c>
      <c r="F143" s="58" t="n">
        <f aca="false">'P02 CigConveyor Output'!F16*$E$143</f>
        <v>-0</v>
      </c>
      <c r="G143" s="58" t="n">
        <f aca="false">'P02 CigConveyor Output'!G16*$E$143</f>
        <v>-0</v>
      </c>
      <c r="H143" s="58" t="n">
        <f aca="false">'P02 CigConveyor Output'!H16*$E$143</f>
        <v>-7.4200198051662</v>
      </c>
      <c r="I143" s="58" t="n">
        <f aca="false">'P02 CigConveyor Output'!I16*$E$143</f>
        <v>-7.4200198051662</v>
      </c>
      <c r="J143" s="58" t="n">
        <f aca="false">'P02 CigConveyor Output'!J16*$E$143</f>
        <v>-7.4200198051662</v>
      </c>
      <c r="K143" s="58" t="n">
        <f aca="false">'P02 CigConveyor Output'!K16*$E$143</f>
        <v>-7.4200198051662</v>
      </c>
      <c r="L143" s="58" t="n">
        <f aca="false">'P02 CigConveyor Output'!L16*$E$143</f>
        <v>-7.4200198051662</v>
      </c>
      <c r="M143" s="58" t="n">
        <f aca="false">'P02 CigConveyor Output'!M16*$E$143</f>
        <v>-7.4200198051662</v>
      </c>
      <c r="N143" s="58" t="n">
        <f aca="false">'P02 CigConveyor Output'!N16*$E$143</f>
        <v>-7.4200198051662</v>
      </c>
      <c r="O143" s="58" t="n">
        <f aca="false">'P02 CigConveyor Output'!O16*$E$143</f>
        <v>-7.4200198051662</v>
      </c>
      <c r="P143" s="58" t="n">
        <f aca="false">'P02 CigConveyor Output'!P16*$E$143</f>
        <v>-5.89665346322253</v>
      </c>
      <c r="Q143" s="58" t="n">
        <f aca="false">'P02 CigConveyor Output'!Q16*$E$143</f>
        <v>-5.89665346322253</v>
      </c>
      <c r="R143" s="58" t="n">
        <f aca="false">'P02 CigConveyor Output'!R16*$E$143</f>
        <v>-5.89665346322253</v>
      </c>
      <c r="S143" s="58" t="n">
        <f aca="false">'P02 CigConveyor Output'!S16*$E$143</f>
        <v>-5.89665346322253</v>
      </c>
    </row>
    <row r="144" customFormat="false" ht="15" hidden="false" customHeight="false" outlineLevel="0" collapsed="false">
      <c r="B144" s="77" t="s">
        <v>48</v>
      </c>
      <c r="C144" s="25" t="s">
        <v>170</v>
      </c>
      <c r="E144" s="55" t="n">
        <f aca="false">'Global Inputs'!$K$95</f>
        <v>1</v>
      </c>
      <c r="F144" s="58" t="n">
        <f aca="false">'P03 KBSWarehouse Output'!F16*$E$144</f>
        <v>-0</v>
      </c>
      <c r="G144" s="58" t="n">
        <f aca="false">'P03 KBSWarehouse Output'!G16*$E$144</f>
        <v>-0</v>
      </c>
      <c r="H144" s="58" t="n">
        <f aca="false">'P03 KBSWarehouse Output'!H16*$E$144</f>
        <v>-0</v>
      </c>
      <c r="I144" s="58" t="n">
        <f aca="false">'P03 KBSWarehouse Output'!I16*$E$144</f>
        <v>-0</v>
      </c>
      <c r="J144" s="58" t="n">
        <f aca="false">'P03 KBSWarehouse Output'!J16*$E$144</f>
        <v>-4.8994978175</v>
      </c>
      <c r="K144" s="58" t="n">
        <f aca="false">'P03 KBSWarehouse Output'!K16*$E$144</f>
        <v>-4.8994978175</v>
      </c>
      <c r="L144" s="58" t="n">
        <f aca="false">'P03 KBSWarehouse Output'!L16*$E$144</f>
        <v>-4.8994978175</v>
      </c>
      <c r="M144" s="58" t="n">
        <f aca="false">'P03 KBSWarehouse Output'!M16*$E$144</f>
        <v>-4.8994978175</v>
      </c>
      <c r="N144" s="58" t="n">
        <f aca="false">'P03 KBSWarehouse Output'!N16*$E$144</f>
        <v>-4.8994978175</v>
      </c>
      <c r="O144" s="58" t="n">
        <f aca="false">'P03 KBSWarehouse Output'!O16*$E$144</f>
        <v>-4.8994978175</v>
      </c>
      <c r="P144" s="58" t="n">
        <f aca="false">'P03 KBSWarehouse Output'!P16*$E$144</f>
        <v>-4.8994978175</v>
      </c>
      <c r="Q144" s="58" t="n">
        <f aca="false">'P03 KBSWarehouse Output'!Q16*$E$144</f>
        <v>-4.8994978175</v>
      </c>
      <c r="R144" s="58" t="n">
        <f aca="false">'P03 KBSWarehouse Output'!R16*$E$144</f>
        <v>-4.8994978175</v>
      </c>
      <c r="S144" s="58" t="n">
        <f aca="false">'P03 KBSWarehouse Output'!S16*$E$144</f>
        <v>-4.8994978175</v>
      </c>
    </row>
    <row r="145" customFormat="false" ht="15" hidden="false" customHeight="false" outlineLevel="0" collapsed="false">
      <c r="B145" s="77" t="s">
        <v>51</v>
      </c>
      <c r="C145" s="25" t="s">
        <v>170</v>
      </c>
      <c r="E145" s="55" t="n">
        <f aca="false">'Global Inputs'!$K$96</f>
        <v>1</v>
      </c>
      <c r="F145" s="58" t="n">
        <f aca="false">'P04 TTLSilo Output'!F16*$E$145</f>
        <v>-0</v>
      </c>
      <c r="G145" s="58" t="n">
        <f aca="false">'P04 TTLSilo Output'!G16*$E$145</f>
        <v>-0</v>
      </c>
      <c r="H145" s="58" t="n">
        <f aca="false">'P04 TTLSilo Output'!H16*$E$145</f>
        <v>-0</v>
      </c>
      <c r="I145" s="58" t="n">
        <f aca="false">'P04 TTLSilo Output'!I16*$E$145</f>
        <v>-0</v>
      </c>
      <c r="J145" s="58" t="n">
        <f aca="false">'P04 TTLSilo Output'!J16*$E$145</f>
        <v>-4.19177595075</v>
      </c>
      <c r="K145" s="58" t="n">
        <f aca="false">'P04 TTLSilo Output'!K16*$E$145</f>
        <v>-4.19177595075</v>
      </c>
      <c r="L145" s="58" t="n">
        <f aca="false">'P04 TTLSilo Output'!L16*$E$145</f>
        <v>-4.19177595075</v>
      </c>
      <c r="M145" s="58" t="n">
        <f aca="false">'P04 TTLSilo Output'!M16*$E$145</f>
        <v>-4.19177595075</v>
      </c>
      <c r="N145" s="58" t="n">
        <f aca="false">'P04 TTLSilo Output'!N16*$E$145</f>
        <v>-4.19177595075</v>
      </c>
      <c r="O145" s="58" t="n">
        <f aca="false">'P04 TTLSilo Output'!O16*$E$145</f>
        <v>-4.19177595075</v>
      </c>
      <c r="P145" s="58" t="n">
        <f aca="false">'P04 TTLSilo Output'!P16*$E$145</f>
        <v>-4.19177595075</v>
      </c>
      <c r="Q145" s="58" t="n">
        <f aca="false">'P04 TTLSilo Output'!Q16*$E$145</f>
        <v>-4.19177595075</v>
      </c>
      <c r="R145" s="58" t="n">
        <f aca="false">'P04 TTLSilo Output'!R16*$E$145</f>
        <v>-4.19177595075</v>
      </c>
      <c r="S145" s="58" t="n">
        <f aca="false">'P04 TTLSilo Output'!S16*$E$145</f>
        <v>-4.19177595075</v>
      </c>
    </row>
    <row r="146" customFormat="false" ht="15" hidden="false" customHeight="false" outlineLevel="0" collapsed="false">
      <c r="B146" s="77" t="s">
        <v>54</v>
      </c>
      <c r="C146" s="25" t="s">
        <v>170</v>
      </c>
      <c r="E146" s="55" t="n">
        <f aca="false">'Global Inputs'!$K$97</f>
        <v>1</v>
      </c>
      <c r="F146" s="58" t="n">
        <f aca="false">'P05 Dumai Output'!F16*$E$146</f>
        <v>-0</v>
      </c>
      <c r="G146" s="58" t="n">
        <f aca="false">'P05 Dumai Output'!G16*$E$146</f>
        <v>-0</v>
      </c>
      <c r="H146" s="58" t="n">
        <f aca="false">'P05 Dumai Output'!H16*$E$146</f>
        <v>-0</v>
      </c>
      <c r="I146" s="58" t="n">
        <f aca="false">'P05 Dumai Output'!I16*$E$146</f>
        <v>-8.43766238095238</v>
      </c>
      <c r="J146" s="58" t="n">
        <f aca="false">'P05 Dumai Output'!J16*$E$146</f>
        <v>-8.86055238095238</v>
      </c>
      <c r="K146" s="58" t="n">
        <f aca="false">'P05 Dumai Output'!K16*$E$146</f>
        <v>-8.86055238095238</v>
      </c>
      <c r="L146" s="58" t="n">
        <f aca="false">'P05 Dumai Output'!L16*$E$146</f>
        <v>-8.86055238095238</v>
      </c>
      <c r="M146" s="58" t="n">
        <f aca="false">'P05 Dumai Output'!M16*$E$146</f>
        <v>-8.86055238095238</v>
      </c>
      <c r="N146" s="58" t="n">
        <f aca="false">'P05 Dumai Output'!N16*$E$146</f>
        <v>-8.86055238095238</v>
      </c>
      <c r="O146" s="58" t="n">
        <f aca="false">'P05 Dumai Output'!O16*$E$146</f>
        <v>-8.86055238095238</v>
      </c>
      <c r="P146" s="58" t="n">
        <f aca="false">'P05 Dumai Output'!P16*$E$146</f>
        <v>-8.86055238095238</v>
      </c>
      <c r="Q146" s="58" t="n">
        <f aca="false">'P05 Dumai Output'!Q16*$E$146</f>
        <v>-3.58701339285714</v>
      </c>
      <c r="R146" s="58" t="n">
        <f aca="false">'P05 Dumai Output'!R16*$E$146</f>
        <v>-3.32270714285714</v>
      </c>
      <c r="S146" s="58" t="n">
        <f aca="false">'P05 Dumai Output'!S16*$E$146</f>
        <v>-3.32270714285714</v>
      </c>
    </row>
    <row r="147" customFormat="false" ht="15" hidden="false" customHeight="false" outlineLevel="0" collapsed="false">
      <c r="B147" s="77" t="s">
        <v>57</v>
      </c>
      <c r="C147" s="25" t="s">
        <v>170</v>
      </c>
      <c r="E147" s="55" t="n">
        <f aca="false">'Global Inputs'!$K$98</f>
        <v>1</v>
      </c>
      <c r="F147" s="58" t="n">
        <f aca="false">'P06 Ciwandan Output'!F16*$E$147</f>
        <v>-0</v>
      </c>
      <c r="G147" s="58" t="n">
        <f aca="false">'P06 Ciwandan Output'!G16*$E$147</f>
        <v>-0</v>
      </c>
      <c r="H147" s="58" t="n">
        <f aca="false">'P06 Ciwandan Output'!H16*$E$147</f>
        <v>-0</v>
      </c>
      <c r="I147" s="58" t="n">
        <f aca="false">'P06 Ciwandan Output'!I16*$E$147</f>
        <v>-0</v>
      </c>
      <c r="J147" s="58" t="n">
        <f aca="false">'P06 Ciwandan Output'!J16*$E$147</f>
        <v>-0</v>
      </c>
      <c r="K147" s="58" t="n">
        <f aca="false">'P06 Ciwandan Output'!K16*$E$147</f>
        <v>-7.1509375</v>
      </c>
      <c r="L147" s="58" t="n">
        <f aca="false">'P06 Ciwandan Output'!L16*$E$147</f>
        <v>-7.1509375</v>
      </c>
      <c r="M147" s="58" t="n">
        <f aca="false">'P06 Ciwandan Output'!M16*$E$147</f>
        <v>-7.1509375</v>
      </c>
      <c r="N147" s="58" t="n">
        <f aca="false">'P06 Ciwandan Output'!N16*$E$147</f>
        <v>-7.1509375</v>
      </c>
      <c r="O147" s="58" t="n">
        <f aca="false">'P06 Ciwandan Output'!O16*$E$147</f>
        <v>-7.1509375</v>
      </c>
      <c r="P147" s="58" t="n">
        <f aca="false">'P06 Ciwandan Output'!P16*$E$147</f>
        <v>-7.1509375</v>
      </c>
      <c r="Q147" s="58" t="n">
        <f aca="false">'P06 Ciwandan Output'!Q16*$E$147</f>
        <v>-7.1509375</v>
      </c>
      <c r="R147" s="58" t="n">
        <f aca="false">'P06 Ciwandan Output'!R16*$E$147</f>
        <v>-7.1509375</v>
      </c>
      <c r="S147" s="58" t="n">
        <f aca="false">'P06 Ciwandan Output'!S16*$E$147</f>
        <v>-2.043125</v>
      </c>
    </row>
    <row r="148" customFormat="false" ht="15" hidden="false" customHeight="false" outlineLevel="0" collapsed="false">
      <c r="B148" s="77" t="s">
        <v>60</v>
      </c>
      <c r="C148" s="25" t="s">
        <v>170</v>
      </c>
      <c r="E148" s="55" t="n">
        <f aca="false">'Global Inputs'!$K$99</f>
        <v>1</v>
      </c>
      <c r="F148" s="58" t="n">
        <f aca="false">'P08 DMSTrucking Output'!F16*$E$148</f>
        <v>-0</v>
      </c>
      <c r="G148" s="58" t="n">
        <f aca="false">'P08 DMSTrucking Output'!G16*$E$148</f>
        <v>-0</v>
      </c>
      <c r="H148" s="58" t="n">
        <f aca="false">'P08 DMSTrucking Output'!H16*$E$148</f>
        <v>-0</v>
      </c>
      <c r="I148" s="58" t="n">
        <f aca="false">'P08 DMSTrucking Output'!I16*$E$148</f>
        <v>-0</v>
      </c>
      <c r="J148" s="58" t="n">
        <f aca="false">'P08 DMSTrucking Output'!J16*$E$148</f>
        <v>-0.39036</v>
      </c>
      <c r="K148" s="58" t="n">
        <f aca="false">'P08 DMSTrucking Output'!K16*$E$148</f>
        <v>-0.48795</v>
      </c>
      <c r="L148" s="58" t="n">
        <f aca="false">'P08 DMSTrucking Output'!L16*$E$148</f>
        <v>-0.48795</v>
      </c>
      <c r="M148" s="58" t="n">
        <f aca="false">'P08 DMSTrucking Output'!M16*$E$148</f>
        <v>-0.48795</v>
      </c>
      <c r="N148" s="58" t="n">
        <f aca="false">'P08 DMSTrucking Output'!N16*$E$148</f>
        <v>-0.48795</v>
      </c>
      <c r="O148" s="58" t="n">
        <f aca="false">'P08 DMSTrucking Output'!O16*$E$148</f>
        <v>-0.48795</v>
      </c>
      <c r="P148" s="58" t="n">
        <f aca="false">'P08 DMSTrucking Output'!P16*$E$148</f>
        <v>-0.48795</v>
      </c>
      <c r="Q148" s="58" t="n">
        <f aca="false">'P08 DMSTrucking Output'!Q16*$E$148</f>
        <v>-0.48795</v>
      </c>
      <c r="R148" s="58" t="n">
        <f aca="false">'P08 DMSTrucking Output'!R16*$E$148</f>
        <v>-0.48795</v>
      </c>
      <c r="S148" s="58" t="n">
        <f aca="false">'P08 DMSTrucking Output'!S16*$E$148</f>
        <v>-0.48795</v>
      </c>
    </row>
    <row r="149" customFormat="false" ht="15" hidden="false" customHeight="false" outlineLevel="0" collapsed="false">
      <c r="B149" s="77" t="s">
        <v>63</v>
      </c>
      <c r="C149" s="25" t="s">
        <v>170</v>
      </c>
      <c r="E149" s="55" t="n">
        <f aca="false">'Global Inputs'!$K$100</f>
        <v>0</v>
      </c>
      <c r="F149" s="58" t="n">
        <f aca="false">'P12 BUMNOps Output'!F16*$E$149</f>
        <v>-0</v>
      </c>
      <c r="G149" s="58" t="n">
        <f aca="false">'P12 BUMNOps Output'!G16*$E$149</f>
        <v>-0</v>
      </c>
      <c r="H149" s="58" t="n">
        <f aca="false">'P12 BUMNOps Output'!H16*$E$149</f>
        <v>-0</v>
      </c>
      <c r="I149" s="58" t="n">
        <f aca="false">'P12 BUMNOps Output'!I16*$E$149</f>
        <v>-0</v>
      </c>
      <c r="J149" s="58" t="n">
        <f aca="false">'P12 BUMNOps Output'!J16*$E$149</f>
        <v>-0</v>
      </c>
      <c r="K149" s="58" t="n">
        <f aca="false">'P12 BUMNOps Output'!K16*$E$149</f>
        <v>-0</v>
      </c>
      <c r="L149" s="58" t="n">
        <f aca="false">'P12 BUMNOps Output'!L16*$E$149</f>
        <v>-0</v>
      </c>
      <c r="M149" s="58" t="n">
        <f aca="false">'P12 BUMNOps Output'!M16*$E$149</f>
        <v>-0</v>
      </c>
      <c r="N149" s="58" t="n">
        <f aca="false">'P12 BUMNOps Output'!N16*$E$149</f>
        <v>-0</v>
      </c>
      <c r="O149" s="58" t="n">
        <f aca="false">'P12 BUMNOps Output'!O16*$E$149</f>
        <v>-0</v>
      </c>
      <c r="P149" s="58" t="n">
        <f aca="false">'P12 BUMNOps Output'!P16*$E$149</f>
        <v>-0</v>
      </c>
      <c r="Q149" s="58" t="n">
        <f aca="false">'P12 BUMNOps Output'!Q16*$E$149</f>
        <v>-0</v>
      </c>
      <c r="R149" s="58" t="n">
        <f aca="false">'P12 BUMNOps Output'!R16*$E$149</f>
        <v>-0</v>
      </c>
      <c r="S149" s="58" t="n">
        <f aca="false">'P12 BUMNOps Output'!S16*$E$149</f>
        <v>-0</v>
      </c>
    </row>
    <row r="150" customFormat="false" ht="15" hidden="false" customHeight="false" outlineLevel="0" collapsed="false">
      <c r="B150" s="77" t="s">
        <v>66</v>
      </c>
      <c r="C150" s="25" t="s">
        <v>170</v>
      </c>
      <c r="E150" s="55" t="n">
        <f aca="false">'Global Inputs'!$K$101</f>
        <v>0</v>
      </c>
      <c r="F150" s="58" t="n">
        <f aca="false">'P15 TBM Output'!F16*$E$150</f>
        <v>-0</v>
      </c>
      <c r="G150" s="58" t="n">
        <f aca="false">'P15 TBM Output'!G16*$E$150</f>
        <v>-0</v>
      </c>
      <c r="H150" s="58" t="n">
        <f aca="false">'P15 TBM Output'!H16*$E$150</f>
        <v>-0</v>
      </c>
      <c r="I150" s="58" t="n">
        <f aca="false">'P15 TBM Output'!I16*$E$150</f>
        <v>-0</v>
      </c>
      <c r="J150" s="58" t="n">
        <f aca="false">'P15 TBM Output'!J16*$E$150</f>
        <v>-0</v>
      </c>
      <c r="K150" s="58" t="n">
        <f aca="false">'P15 TBM Output'!K16*$E$150</f>
        <v>-0</v>
      </c>
      <c r="L150" s="58" t="n">
        <f aca="false">'P15 TBM Output'!L16*$E$150</f>
        <v>-0</v>
      </c>
      <c r="M150" s="58" t="n">
        <f aca="false">'P15 TBM Output'!M16*$E$150</f>
        <v>-0</v>
      </c>
      <c r="N150" s="58" t="n">
        <f aca="false">'P15 TBM Output'!N16*$E$150</f>
        <v>-0</v>
      </c>
      <c r="O150" s="58" t="n">
        <f aca="false">'P15 TBM Output'!O16*$E$150</f>
        <v>-0</v>
      </c>
      <c r="P150" s="58" t="n">
        <f aca="false">'P15 TBM Output'!P16*$E$150</f>
        <v>-0</v>
      </c>
      <c r="Q150" s="58" t="n">
        <f aca="false">'P15 TBM Output'!Q16*$E$150</f>
        <v>-0</v>
      </c>
      <c r="R150" s="58" t="n">
        <f aca="false">'P15 TBM Output'!R16*$E$150</f>
        <v>-0</v>
      </c>
      <c r="S150" s="58" t="n">
        <f aca="false">'P15 TBM Output'!S16*$E$150</f>
        <v>-0</v>
      </c>
    </row>
    <row r="151" customFormat="false" ht="15" hidden="false" customHeight="false" outlineLevel="0" collapsed="false">
      <c r="B151" s="77" t="s">
        <v>69</v>
      </c>
      <c r="C151" s="25" t="s">
        <v>170</v>
      </c>
      <c r="E151" s="55" t="n">
        <f aca="false">'Global Inputs'!$K$102</f>
        <v>0</v>
      </c>
      <c r="F151" s="58" t="n">
        <f aca="false">'P19 Badas Output'!F16*$E$151</f>
        <v>-0</v>
      </c>
      <c r="G151" s="58" t="n">
        <f aca="false">'P19 Badas Output'!G16*$E$151</f>
        <v>-0</v>
      </c>
      <c r="H151" s="58" t="n">
        <f aca="false">'P19 Badas Output'!H16*$E$151</f>
        <v>-0</v>
      </c>
      <c r="I151" s="58" t="n">
        <f aca="false">'P19 Badas Output'!I16*$E$151</f>
        <v>-0</v>
      </c>
      <c r="J151" s="58" t="n">
        <f aca="false">'P19 Badas Output'!J16*$E$151</f>
        <v>-0</v>
      </c>
      <c r="K151" s="58" t="n">
        <f aca="false">'P19 Badas Output'!K16*$E$151</f>
        <v>-0</v>
      </c>
      <c r="L151" s="58" t="n">
        <f aca="false">'P19 Badas Output'!L16*$E$151</f>
        <v>-0</v>
      </c>
      <c r="M151" s="58" t="n">
        <f aca="false">'P19 Badas Output'!M16*$E$151</f>
        <v>-0</v>
      </c>
      <c r="N151" s="58" t="n">
        <f aca="false">'P19 Badas Output'!N16*$E$151</f>
        <v>-0</v>
      </c>
      <c r="O151" s="58" t="n">
        <f aca="false">'P19 Badas Output'!O16*$E$151</f>
        <v>-0</v>
      </c>
      <c r="P151" s="58" t="n">
        <f aca="false">'P19 Badas Output'!P16*$E$151</f>
        <v>-0</v>
      </c>
      <c r="Q151" s="58" t="n">
        <f aca="false">'P19 Badas Output'!Q16*$E$151</f>
        <v>-0</v>
      </c>
      <c r="R151" s="58" t="n">
        <f aca="false">'P19 Badas Output'!R16*$E$151</f>
        <v>-0</v>
      </c>
      <c r="S151" s="58" t="n">
        <f aca="false">'P19 Badas Output'!S16*$E$151</f>
        <v>-0</v>
      </c>
    </row>
    <row r="152" customFormat="false" ht="15" hidden="false" customHeight="false" outlineLevel="0" collapsed="false">
      <c r="B152" s="69" t="s">
        <v>453</v>
      </c>
      <c r="C152" s="25" t="s">
        <v>170</v>
      </c>
      <c r="E152" s="70" t="n">
        <f aca="false">SUM(F152:S152)</f>
        <v>-1756.08199836502</v>
      </c>
      <c r="F152" s="68" t="n">
        <f aca="false">F138+F139+F140+F141+F142+F143+F144+F145+F146+F147+F148+F149+F150+F151</f>
        <v>-0</v>
      </c>
      <c r="G152" s="68" t="n">
        <f aca="false">G138+G139+G140+G141+G142+G143+G144+G145+G146+G147+G148+G149+G150+G151</f>
        <v>-88.3730862512023</v>
      </c>
      <c r="H152" s="68" t="n">
        <f aca="false">H138+H139+H140+H141+H142+H143+H144+H145+H146+H147+H148+H149+H150+H151</f>
        <v>-113.599709038291</v>
      </c>
      <c r="I152" s="68" t="n">
        <f aca="false">I138+I139+I140+I141+I142+I143+I144+I145+I146+I147+I148+I149+I150+I151</f>
        <v>-127.998275273704</v>
      </c>
      <c r="J152" s="68" t="n">
        <f aca="false">J138+J139+J140+J141+J142+J143+J144+J145+J146+J147+J148+J149+J150+J151</f>
        <v>-141.840867465638</v>
      </c>
      <c r="K152" s="68" t="n">
        <f aca="false">K138+K139+K140+K141+K142+K143+K144+K145+K146+K147+K148+K149+K150+K151</f>
        <v>-149.097955856646</v>
      </c>
      <c r="L152" s="68" t="n">
        <f aca="false">L138+L139+L140+L141+L142+L143+L144+L145+L146+L147+L148+L149+L150+L151</f>
        <v>-151.106687965474</v>
      </c>
      <c r="M152" s="68" t="n">
        <f aca="false">M138+M139+M140+M141+M142+M143+M144+M145+M146+M147+M148+M149+M150+M151</f>
        <v>-151.115594716478</v>
      </c>
      <c r="N152" s="68" t="n">
        <f aca="false">N138+N139+N140+N141+N142+N143+N144+N145+N146+N147+N148+N149+N150+N151</f>
        <v>-151.124679602502</v>
      </c>
      <c r="O152" s="68" t="n">
        <f aca="false">O138+O139+O140+O141+O142+O143+O144+O145+O146+O147+O148+O149+O150+O151</f>
        <v>-153.133946186247</v>
      </c>
      <c r="P152" s="68" t="n">
        <f aca="false">P138+P139+P140+P141+P142+P143+P144+P145+P146+P147+P148+P149+P150+P151</f>
        <v>-139.30513865452</v>
      </c>
      <c r="Q152" s="68" t="n">
        <f aca="false">Q138+Q139+Q140+Q141+Q142+Q143+Q144+Q145+Q146+Q147+Q148+Q149+Q150+Q151</f>
        <v>-132.613053120152</v>
      </c>
      <c r="R152" s="68" t="n">
        <f aca="false">R138+R139+R140+R141+R142+R143+R144+R145+R146+R147+R148+R149+R150+R151</f>
        <v>-130.935393142955</v>
      </c>
      <c r="S152" s="68" t="n">
        <f aca="false">S138+S139+S140+S141+S142+S143+S144+S145+S146+S147+S148+S149+S150+S151</f>
        <v>-125.837611091214</v>
      </c>
    </row>
    <row r="153" customFormat="false" ht="15" hidden="false" customHeight="false" outlineLevel="0" collapsed="false">
      <c r="B153" s="78" t="s">
        <v>454</v>
      </c>
      <c r="C153" s="79"/>
      <c r="D153" s="79"/>
      <c r="E153" s="79"/>
      <c r="F153" s="79"/>
      <c r="G153" s="79"/>
      <c r="H153" s="79"/>
      <c r="I153" s="79"/>
      <c r="J153" s="79"/>
      <c r="K153" s="79"/>
      <c r="L153" s="79"/>
      <c r="M153" s="79"/>
      <c r="N153" s="79"/>
      <c r="O153" s="79"/>
      <c r="P153" s="79"/>
      <c r="Q153" s="79"/>
      <c r="R153" s="79"/>
      <c r="S153" s="79"/>
    </row>
    <row r="154" customFormat="false" ht="15" hidden="false" customHeight="false" outlineLevel="0" collapsed="false">
      <c r="B154" s="77" t="s">
        <v>31</v>
      </c>
      <c r="C154" s="25" t="s">
        <v>170</v>
      </c>
      <c r="E154" s="55" t="n">
        <f aca="false">'Global Inputs'!$K$89</f>
        <v>1</v>
      </c>
      <c r="F154" s="58" t="n">
        <f aca="false">'E1 TelukLamong Output'!F18*$E$154</f>
        <v>-0</v>
      </c>
      <c r="G154" s="58" t="n">
        <f aca="false">'E1 TelukLamong Output'!G18*$E$154</f>
        <v>-15.5693590260404</v>
      </c>
      <c r="H154" s="58" t="n">
        <f aca="false">'E1 TelukLamong Output'!H18*$E$154</f>
        <v>-16.2079207861747</v>
      </c>
      <c r="I154" s="58" t="n">
        <f aca="false">'E1 TelukLamong Output'!I18*$E$154</f>
        <v>-16.6345902522968</v>
      </c>
      <c r="J154" s="58" t="n">
        <f aca="false">'E1 TelukLamong Output'!J18*$E$154</f>
        <v>-17.2987439545509</v>
      </c>
      <c r="K154" s="58" t="n">
        <f aca="false">'E1 TelukLamong Output'!K18*$E$154</f>
        <v>-17.9756759759396</v>
      </c>
      <c r="L154" s="58" t="n">
        <f aca="false">'E1 TelukLamong Output'!L18*$E$154</f>
        <v>-19.6375973325464</v>
      </c>
      <c r="M154" s="58" t="n">
        <f aca="false">'E1 TelukLamong Output'!M18*$E$154</f>
        <v>-20.3758336692619</v>
      </c>
      <c r="N154" s="58" t="n">
        <f aca="false">'E1 TelukLamong Output'!N18*$E$154</f>
        <v>-21.1277080420924</v>
      </c>
      <c r="O154" s="58" t="n">
        <f aca="false">'E1 TelukLamong Output'!O18*$E$154</f>
        <v>-23.0156013435538</v>
      </c>
      <c r="P154" s="58" t="n">
        <f aca="false">'E1 TelukLamong Output'!P18*$E$154</f>
        <v>-23.8348288470846</v>
      </c>
      <c r="Q154" s="58" t="n">
        <f aca="false">'E1 TelukLamong Output'!Q18*$E$154</f>
        <v>-24.6684978354054</v>
      </c>
      <c r="R154" s="58" t="n">
        <f aca="false">'E1 TelukLamong Output'!R18*$E$154</f>
        <v>-25.5164322756523</v>
      </c>
      <c r="S154" s="58" t="n">
        <f aca="false">'E1 TelukLamong Output'!S18*$E$154</f>
        <v>-26.3784137978106</v>
      </c>
    </row>
    <row r="155" customFormat="false" ht="15" hidden="false" customHeight="false" outlineLevel="0" collapsed="false">
      <c r="B155" s="77" t="s">
        <v>34</v>
      </c>
      <c r="C155" s="25" t="s">
        <v>170</v>
      </c>
      <c r="E155" s="55" t="n">
        <f aca="false">'Global Inputs'!$K$90</f>
        <v>1</v>
      </c>
      <c r="F155" s="58" t="n">
        <f aca="false">'E2 CigadingExist Output'!F18*$E$155</f>
        <v>-0</v>
      </c>
      <c r="G155" s="58" t="n">
        <f aca="false">'E2 CigadingExist Output'!G18*$E$155</f>
        <v>-0</v>
      </c>
      <c r="H155" s="58" t="n">
        <f aca="false">'E2 CigadingExist Output'!H18*$E$155</f>
        <v>-0</v>
      </c>
      <c r="I155" s="58" t="n">
        <f aca="false">'E2 CigadingExist Output'!I18*$E$155</f>
        <v>-0</v>
      </c>
      <c r="J155" s="58" t="n">
        <f aca="false">'E2 CigadingExist Output'!J18*$E$155</f>
        <v>-0</v>
      </c>
      <c r="K155" s="58" t="n">
        <f aca="false">'E2 CigadingExist Output'!K18*$E$155</f>
        <v>-0</v>
      </c>
      <c r="L155" s="58" t="n">
        <f aca="false">'E2 CigadingExist Output'!L18*$E$155</f>
        <v>-0</v>
      </c>
      <c r="M155" s="58" t="n">
        <f aca="false">'E2 CigadingExist Output'!M18*$E$155</f>
        <v>-0</v>
      </c>
      <c r="N155" s="58" t="n">
        <f aca="false">'E2 CigadingExist Output'!N18*$E$155</f>
        <v>-1.17147305672399</v>
      </c>
      <c r="O155" s="58" t="n">
        <f aca="false">'E2 CigadingExist Output'!O18*$E$155</f>
        <v>-1.21229660503564</v>
      </c>
      <c r="P155" s="58" t="n">
        <f aca="false">'E2 CigadingExist Output'!P18*$E$155</f>
        <v>-2.57065740051574</v>
      </c>
      <c r="Q155" s="58" t="n">
        <f aca="false">'E2 CigadingExist Output'!Q18*$E$155</f>
        <v>-2.88107975471272</v>
      </c>
      <c r="R155" s="58" t="n">
        <f aca="false">'E2 CigadingExist Output'!R18*$E$155</f>
        <v>-3.19729345644466</v>
      </c>
      <c r="S155" s="58" t="n">
        <f aca="false">'E2 CigadingExist Output'!S18*$E$155</f>
        <v>-3.51927465498888</v>
      </c>
    </row>
    <row r="156" customFormat="false" ht="15" hidden="false" customHeight="false" outlineLevel="0" collapsed="false">
      <c r="B156" s="77" t="s">
        <v>37</v>
      </c>
      <c r="C156" s="25" t="s">
        <v>170</v>
      </c>
      <c r="E156" s="55" t="n">
        <f aca="false">'Global Inputs'!$K$91</f>
        <v>1</v>
      </c>
      <c r="F156" s="58" t="n">
        <f aca="false">'E3 Belawan Output'!F18*$E$156</f>
        <v>-0</v>
      </c>
      <c r="G156" s="58" t="n">
        <f aca="false">'E3 Belawan Output'!G18*$E$156</f>
        <v>-1.30055880911456</v>
      </c>
      <c r="H156" s="58" t="n">
        <f aca="false">'E3 Belawan Output'!H18*$E$156</f>
        <v>-1.35566359478106</v>
      </c>
      <c r="I156" s="58" t="n">
        <f aca="false">'E3 Belawan Output'!I18*$E$156</f>
        <v>-2.88652407923917</v>
      </c>
      <c r="J156" s="58" t="n">
        <f aca="false">'E3 Belawan Output'!J18*$E$156</f>
        <v>-3.91331921351955</v>
      </c>
      <c r="K156" s="58" t="n">
        <f aca="false">'E3 Belawan Output'!K18*$E$156</f>
        <v>-4.78883611548867</v>
      </c>
      <c r="L156" s="58" t="n">
        <f aca="false">'E3 Belawan Output'!L18*$E$156</f>
        <v>-5.7174400099443</v>
      </c>
      <c r="M156" s="58" t="n">
        <f aca="false">'E3 Belawan Output'!M18*$E$156</f>
        <v>-6.70194204781525</v>
      </c>
      <c r="N156" s="58" t="n">
        <f aca="false">'E3 Belawan Output'!N18*$E$156</f>
        <v>-7.74529952547941</v>
      </c>
      <c r="O156" s="58" t="n">
        <f aca="false">'E3 Belawan Output'!O18*$E$156</f>
        <v>-8.8506236621385</v>
      </c>
      <c r="P156" s="58" t="n">
        <f aca="false">'E3 Belawan Output'!P18*$E$156</f>
        <v>-10.0211878067423</v>
      </c>
      <c r="Q156" s="58" t="n">
        <f aca="false">'E3 Belawan Output'!Q18*$E$156</f>
        <v>-11.5746707644599</v>
      </c>
      <c r="R156" s="58" t="n">
        <f aca="false">'E3 Belawan Output'!R18*$E$156</f>
        <v>-6.52960197486649</v>
      </c>
      <c r="S156" s="58" t="n">
        <f aca="false">'E3 Belawan Output'!S18*$E$156</f>
        <v>-7.14500720552212</v>
      </c>
    </row>
    <row r="157" customFormat="false" ht="15" hidden="false" customHeight="false" outlineLevel="0" collapsed="false">
      <c r="B157" s="77" t="s">
        <v>40</v>
      </c>
      <c r="C157" s="25" t="s">
        <v>170</v>
      </c>
      <c r="E157" s="55" t="n">
        <f aca="false">'Global Inputs'!$K$92</f>
        <v>1</v>
      </c>
      <c r="F157" s="58" t="n">
        <f aca="false">'E4 WIN Output'!F18*$E$157</f>
        <v>-0</v>
      </c>
      <c r="G157" s="58" t="n">
        <f aca="false">'E4 WIN Output'!G18*$E$157</f>
        <v>-3.09232024333187</v>
      </c>
      <c r="H157" s="58" t="n">
        <f aca="false">'E4 WIN Output'!H18*$E$157</f>
        <v>-2.97138077015127</v>
      </c>
      <c r="I157" s="58" t="n">
        <f aca="false">'E4 WIN Output'!I18*$E$157</f>
        <v>-3.58287269240589</v>
      </c>
      <c r="J157" s="58" t="n">
        <f aca="false">'E4 WIN Output'!J18*$E$157</f>
        <v>-3.95815206558744</v>
      </c>
      <c r="K157" s="58" t="n">
        <f aca="false">'E4 WIN Output'!K18*$E$157</f>
        <v>-4.36549377629016</v>
      </c>
      <c r="L157" s="58" t="n">
        <f aca="false">'E4 WIN Output'!L18*$E$157</f>
        <v>-4.80753667876095</v>
      </c>
      <c r="M157" s="58" t="n">
        <f aca="false">'E4 WIN Output'!M18*$E$157</f>
        <v>-5.28713431494445</v>
      </c>
      <c r="N157" s="58" t="n">
        <f aca="false">'E4 WIN Output'!N18*$E$157</f>
        <v>-5.80737231270809</v>
      </c>
      <c r="O157" s="58" t="n">
        <f aca="false">'E4 WIN Output'!O18*$E$157</f>
        <v>-6.37158719252853</v>
      </c>
      <c r="P157" s="58" t="n">
        <f aca="false">'E4 WIN Output'!P18*$E$157</f>
        <v>-6.9833866966672</v>
      </c>
      <c r="Q157" s="58" t="n">
        <f aca="false">'E4 WIN Output'!Q18*$E$157</f>
        <v>-6.7679255764408</v>
      </c>
      <c r="R157" s="58" t="n">
        <f aca="false">'E4 WIN Output'!R18*$E$157</f>
        <v>-7.14805353677829</v>
      </c>
      <c r="S157" s="58" t="n">
        <f aca="false">'E4 WIN Output'!S18*$E$157</f>
        <v>-7.54789459715755</v>
      </c>
    </row>
    <row r="158" customFormat="false" ht="15" hidden="false" customHeight="false" outlineLevel="0" collapsed="false">
      <c r="B158" s="77" t="s">
        <v>43</v>
      </c>
      <c r="C158" s="25" t="s">
        <v>170</v>
      </c>
      <c r="E158" s="55" t="n">
        <f aca="false">'Global Inputs'!$K$93</f>
        <v>1</v>
      </c>
      <c r="F158" s="58" t="n">
        <f aca="false">'P01 CigWharf2 Output'!F18*$E$158</f>
        <v>-0</v>
      </c>
      <c r="G158" s="58" t="n">
        <f aca="false">'P01 CigWharf2 Output'!G18*$E$158</f>
        <v>-0</v>
      </c>
      <c r="H158" s="58" t="n">
        <f aca="false">'P01 CigWharf2 Output'!H18*$E$158</f>
        <v>-11.6459835134392</v>
      </c>
      <c r="I158" s="58" t="n">
        <f aca="false">'P01 CigWharf2 Output'!I18*$E$158</f>
        <v>-12.062097557033</v>
      </c>
      <c r="J158" s="58" t="n">
        <f aca="false">'P01 CigWharf2 Output'!J18*$E$158</f>
        <v>-16.2332138449245</v>
      </c>
      <c r="K158" s="58" t="n">
        <f aca="false">'P01 CigWharf2 Output'!K18*$E$158</f>
        <v>-16.7797147210724</v>
      </c>
      <c r="L158" s="58" t="n">
        <f aca="false">'P01 CigWharf2 Output'!L18*$E$158</f>
        <v>-19.7231581480656</v>
      </c>
      <c r="M158" s="58" t="n">
        <f aca="false">'P01 CigWharf2 Output'!M18*$E$158</f>
        <v>-20.3662198375076</v>
      </c>
      <c r="N158" s="58" t="n">
        <f aca="false">'P01 CigWharf2 Output'!N18*$E$158</f>
        <v>-22.6937391047557</v>
      </c>
      <c r="O158" s="58" t="n">
        <f aca="false">'P01 CigWharf2 Output'!O18*$E$158</f>
        <v>-23.416759377174</v>
      </c>
      <c r="P158" s="58" t="n">
        <f aca="false">'P01 CigWharf2 Output'!P18*$E$158</f>
        <v>-28.7433112767372</v>
      </c>
      <c r="Q158" s="58" t="n">
        <f aca="false">'P01 CigWharf2 Output'!Q18*$E$158</f>
        <v>-29.5562320582683</v>
      </c>
      <c r="R158" s="58" t="n">
        <f aca="false">'P01 CigWharf2 Output'!R18*$E$158</f>
        <v>-30.3879108103055</v>
      </c>
      <c r="S158" s="58" t="n">
        <f aca="false">'P01 CigWharf2 Output'!S18*$E$158</f>
        <v>-31.2385674260998</v>
      </c>
    </row>
    <row r="159" customFormat="false" ht="15" hidden="false" customHeight="false" outlineLevel="0" collapsed="false">
      <c r="B159" s="77" t="s">
        <v>46</v>
      </c>
      <c r="C159" s="25" t="s">
        <v>170</v>
      </c>
      <c r="E159" s="55" t="n">
        <f aca="false">'Global Inputs'!$K$94</f>
        <v>1</v>
      </c>
      <c r="F159" s="58" t="n">
        <f aca="false">'P02 CigConveyor Output'!F18*$E$159</f>
        <v>-0</v>
      </c>
      <c r="G159" s="58" t="n">
        <f aca="false">'P02 CigConveyor Output'!G18*$E$159</f>
        <v>-0</v>
      </c>
      <c r="H159" s="58" t="n">
        <f aca="false">'P02 CigConveyor Output'!H18*$E$159</f>
        <v>-4.76362832971893</v>
      </c>
      <c r="I159" s="58" t="n">
        <f aca="false">'P02 CigConveyor Output'!I18*$E$159</f>
        <v>-4.94772645914843</v>
      </c>
      <c r="J159" s="58" t="n">
        <f aca="false">'P02 CigConveyor Output'!J18*$E$159</f>
        <v>-5.13661205466018</v>
      </c>
      <c r="K159" s="58" t="n">
        <f aca="false">'P02 CigConveyor Output'!K18*$E$159</f>
        <v>-5.33038394963861</v>
      </c>
      <c r="L159" s="58" t="n">
        <f aca="false">'P02 CigConveyor Output'!L18*$E$159</f>
        <v>-5.52914121472221</v>
      </c>
      <c r="M159" s="58" t="n">
        <f aca="false">'P02 CigConveyor Output'!M18*$E$159</f>
        <v>-5.73298299880144</v>
      </c>
      <c r="N159" s="58" t="n">
        <f aca="false">'P02 CigConveyor Output'!N18*$E$159</f>
        <v>-5.94200835512969</v>
      </c>
      <c r="O159" s="58" t="n">
        <f aca="false">'P02 CigConveyor Output'!O18*$E$159</f>
        <v>-6.15631605148487</v>
      </c>
      <c r="P159" s="58" t="n">
        <f aca="false">'P02 CigConveyor Output'!P18*$E$159</f>
        <v>-6.71114495847704</v>
      </c>
      <c r="Q159" s="58" t="n">
        <f aca="false">'P02 CigConveyor Output'!Q18*$E$159</f>
        <v>-6.93631144343045</v>
      </c>
      <c r="R159" s="58" t="n">
        <f aca="false">'P02 CigConveyor Output'!R18*$E$159</f>
        <v>-7.16705269696997</v>
      </c>
      <c r="S159" s="58" t="n">
        <f aca="false">'P02 CigConveyor Output'!S18*$E$159</f>
        <v>-7.40346408639209</v>
      </c>
    </row>
    <row r="160" customFormat="false" ht="15" hidden="false" customHeight="false" outlineLevel="0" collapsed="false">
      <c r="B160" s="77" t="s">
        <v>48</v>
      </c>
      <c r="C160" s="25" t="s">
        <v>170</v>
      </c>
      <c r="E160" s="55" t="n">
        <f aca="false">'Global Inputs'!$K$95</f>
        <v>1</v>
      </c>
      <c r="F160" s="58" t="n">
        <f aca="false">'P03 KBSWarehouse Output'!F18*$E$160</f>
        <v>-0</v>
      </c>
      <c r="G160" s="58" t="n">
        <f aca="false">'P03 KBSWarehouse Output'!G18*$E$160</f>
        <v>-0</v>
      </c>
      <c r="H160" s="58" t="n">
        <f aca="false">'P03 KBSWarehouse Output'!H18*$E$160</f>
        <v>-0</v>
      </c>
      <c r="I160" s="58" t="n">
        <f aca="false">'P03 KBSWarehouse Output'!I18*$E$160</f>
        <v>-0</v>
      </c>
      <c r="J160" s="58" t="n">
        <f aca="false">'P03 KBSWarehouse Output'!J18*$E$160</f>
        <v>-3.58820329615</v>
      </c>
      <c r="K160" s="58" t="n">
        <f aca="false">'P03 KBSWarehouse Output'!K18*$E$160</f>
        <v>-3.72818608063</v>
      </c>
      <c r="L160" s="58" t="n">
        <f aca="false">'P03 KBSWarehouse Output'!L18*$E$160</f>
        <v>-3.8723683486444</v>
      </c>
      <c r="M160" s="58" t="n">
        <f aca="false">'P03 KBSWarehouse Output'!M18*$E$160</f>
        <v>-4.02087608469923</v>
      </c>
      <c r="N160" s="58" t="n">
        <f aca="false">'P03 KBSWarehouse Output'!N18*$E$160</f>
        <v>-4.17383905283571</v>
      </c>
      <c r="O160" s="58" t="n">
        <f aca="false">'P03 KBSWarehouse Output'!O18*$E$160</f>
        <v>-4.33139091001628</v>
      </c>
      <c r="P160" s="58" t="n">
        <f aca="false">'P03 KBSWarehouse Output'!P18*$E$160</f>
        <v>-4.49366932291227</v>
      </c>
      <c r="Q160" s="58" t="n">
        <f aca="false">'P03 KBSWarehouse Output'!Q18*$E$160</f>
        <v>-4.66081608819514</v>
      </c>
      <c r="R160" s="58" t="n">
        <f aca="false">'P03 KBSWarehouse Output'!R18*$E$160</f>
        <v>-4.83297725643649</v>
      </c>
      <c r="S160" s="58" t="n">
        <f aca="false">'P03 KBSWarehouse Output'!S18*$E$160</f>
        <v>-5.01030325972509</v>
      </c>
    </row>
    <row r="161" customFormat="false" ht="15" hidden="false" customHeight="false" outlineLevel="0" collapsed="false">
      <c r="B161" s="77" t="s">
        <v>51</v>
      </c>
      <c r="C161" s="25" t="s">
        <v>170</v>
      </c>
      <c r="E161" s="55" t="n">
        <f aca="false">'Global Inputs'!$K$96</f>
        <v>1</v>
      </c>
      <c r="F161" s="58" t="n">
        <f aca="false">'P04 TTLSilo Output'!F18*$E$161</f>
        <v>-0</v>
      </c>
      <c r="G161" s="58" t="n">
        <f aca="false">'P04 TTLSilo Output'!G18*$E$161</f>
        <v>-0</v>
      </c>
      <c r="H161" s="58" t="n">
        <f aca="false">'P04 TTLSilo Output'!H18*$E$161</f>
        <v>-0</v>
      </c>
      <c r="I161" s="58" t="n">
        <f aca="false">'P04 TTLSilo Output'!I18*$E$161</f>
        <v>-0</v>
      </c>
      <c r="J161" s="58" t="n">
        <f aca="false">'P04 TTLSilo Output'!J18*$E$161</f>
        <v>-1.981545290835</v>
      </c>
      <c r="K161" s="58" t="n">
        <f aca="false">'P04 TTLSilo Output'!K18*$E$161</f>
        <v>-1.981545290835</v>
      </c>
      <c r="L161" s="58" t="n">
        <f aca="false">'P04 TTLSilo Output'!L18*$E$161</f>
        <v>-1.981545290835</v>
      </c>
      <c r="M161" s="58" t="n">
        <f aca="false">'P04 TTLSilo Output'!M18*$E$161</f>
        <v>-1.981545290835</v>
      </c>
      <c r="N161" s="58" t="n">
        <f aca="false">'P04 TTLSilo Output'!N18*$E$161</f>
        <v>-1.981545290835</v>
      </c>
      <c r="O161" s="58" t="n">
        <f aca="false">'P04 TTLSilo Output'!O18*$E$161</f>
        <v>-1.981545290835</v>
      </c>
      <c r="P161" s="58" t="n">
        <f aca="false">'P04 TTLSilo Output'!P18*$E$161</f>
        <v>-1.981545290835</v>
      </c>
      <c r="Q161" s="58" t="n">
        <f aca="false">'P04 TTLSilo Output'!Q18*$E$161</f>
        <v>-1.981545290835</v>
      </c>
      <c r="R161" s="58" t="n">
        <f aca="false">'P04 TTLSilo Output'!R18*$E$161</f>
        <v>-1.981545290835</v>
      </c>
      <c r="S161" s="58" t="n">
        <f aca="false">'P04 TTLSilo Output'!S18*$E$161</f>
        <v>-1.981545290835</v>
      </c>
    </row>
    <row r="162" customFormat="false" ht="15" hidden="false" customHeight="false" outlineLevel="0" collapsed="false">
      <c r="B162" s="77" t="s">
        <v>54</v>
      </c>
      <c r="C162" s="25" t="s">
        <v>170</v>
      </c>
      <c r="E162" s="55" t="n">
        <f aca="false">'Global Inputs'!$K$97</f>
        <v>1</v>
      </c>
      <c r="F162" s="58" t="n">
        <f aca="false">'P05 Dumai Output'!F18*$E$162</f>
        <v>-0</v>
      </c>
      <c r="G162" s="58" t="n">
        <f aca="false">'P05 Dumai Output'!G18*$E$162</f>
        <v>-0</v>
      </c>
      <c r="H162" s="58" t="n">
        <f aca="false">'P05 Dumai Output'!H18*$E$162</f>
        <v>-0</v>
      </c>
      <c r="I162" s="58" t="n">
        <f aca="false">'P05 Dumai Output'!I18*$E$162</f>
        <v>-3.80889411120347</v>
      </c>
      <c r="J162" s="58" t="n">
        <f aca="false">'P05 Dumai Output'!J18*$E$162</f>
        <v>-3.60329003044282</v>
      </c>
      <c r="K162" s="58" t="n">
        <f aca="false">'P05 Dumai Output'!K18*$E$162</f>
        <v>-3.48790754266316</v>
      </c>
      <c r="L162" s="58" t="n">
        <f aca="false">'P05 Dumai Output'!L18*$E$162</f>
        <v>-4.00155149561532</v>
      </c>
      <c r="M162" s="58" t="n">
        <f aca="false">'P05 Dumai Output'!M18*$E$162</f>
        <v>-3.78196984587606</v>
      </c>
      <c r="N162" s="58" t="n">
        <f aca="false">'P05 Dumai Output'!N18*$E$162</f>
        <v>-3.7038566929414</v>
      </c>
      <c r="O162" s="58" t="n">
        <f aca="false">'P05 Dumai Output'!O18*$E$162</f>
        <v>-3.57440317380656</v>
      </c>
      <c r="P162" s="58" t="n">
        <f aca="false">'P05 Dumai Output'!P18*$E$162</f>
        <v>-4.11267366363288</v>
      </c>
      <c r="Q162" s="58" t="n">
        <f aca="false">'P05 Dumai Output'!Q18*$E$162</f>
        <v>-5.13458038183028</v>
      </c>
      <c r="R162" s="58" t="n">
        <f aca="false">'P05 Dumai Output'!R18*$E$162</f>
        <v>-4.95459782497824</v>
      </c>
      <c r="S162" s="58" t="n">
        <f aca="false">'P05 Dumai Output'!S18*$E$162</f>
        <v>-4.89608710149353</v>
      </c>
    </row>
    <row r="163" customFormat="false" ht="15" hidden="false" customHeight="false" outlineLevel="0" collapsed="false">
      <c r="B163" s="77" t="s">
        <v>57</v>
      </c>
      <c r="C163" s="25" t="s">
        <v>170</v>
      </c>
      <c r="E163" s="55" t="n">
        <f aca="false">'Global Inputs'!$K$98</f>
        <v>1</v>
      </c>
      <c r="F163" s="58" t="n">
        <f aca="false">'P06 Ciwandan Output'!F18*$E$163</f>
        <v>-0</v>
      </c>
      <c r="G163" s="58" t="n">
        <f aca="false">'P06 Ciwandan Output'!G18*$E$163</f>
        <v>-0</v>
      </c>
      <c r="H163" s="58" t="n">
        <f aca="false">'P06 Ciwandan Output'!H18*$E$163</f>
        <v>-0</v>
      </c>
      <c r="I163" s="58" t="n">
        <f aca="false">'P06 Ciwandan Output'!I18*$E$163</f>
        <v>-0</v>
      </c>
      <c r="J163" s="58" t="n">
        <f aca="false">'P06 Ciwandan Output'!J18*$E$163</f>
        <v>-0</v>
      </c>
      <c r="K163" s="58" t="n">
        <f aca="false">'P06 Ciwandan Output'!K18*$E$163</f>
        <v>-5.71011887189363</v>
      </c>
      <c r="L163" s="58" t="n">
        <f aca="false">'P06 Ciwandan Output'!L18*$E$163</f>
        <v>-8.65044673499218</v>
      </c>
      <c r="M163" s="58" t="n">
        <f aca="false">'P06 Ciwandan Output'!M18*$E$163</f>
        <v>-9.62053244492471</v>
      </c>
      <c r="N163" s="58" t="n">
        <f aca="false">'P06 Ciwandan Output'!N18*$E$163</f>
        <v>-12.417472592509</v>
      </c>
      <c r="O163" s="58" t="n">
        <f aca="false">'P06 Ciwandan Output'!O18*$E$163</f>
        <v>-13.1794535952486</v>
      </c>
      <c r="P163" s="58" t="n">
        <f aca="false">'P06 Ciwandan Output'!P18*$E$163</f>
        <v>-15.5090633478407</v>
      </c>
      <c r="Q163" s="58" t="n">
        <f aca="false">'P06 Ciwandan Output'!Q18*$E$163</f>
        <v>-16.4534347950119</v>
      </c>
      <c r="R163" s="58" t="n">
        <f aca="false">'P06 Ciwandan Output'!R18*$E$163</f>
        <v>-18.5881123878767</v>
      </c>
      <c r="S163" s="58" t="n">
        <f aca="false">'P06 Ciwandan Output'!S18*$E$163</f>
        <v>-20.8193645461897</v>
      </c>
    </row>
    <row r="164" customFormat="false" ht="15" hidden="false" customHeight="false" outlineLevel="0" collapsed="false">
      <c r="B164" s="77" t="s">
        <v>60</v>
      </c>
      <c r="C164" s="25" t="s">
        <v>170</v>
      </c>
      <c r="E164" s="55" t="n">
        <f aca="false">'Global Inputs'!$K$99</f>
        <v>1</v>
      </c>
      <c r="F164" s="58" t="n">
        <f aca="false">'P08 DMSTrucking Output'!F18*$E$164</f>
        <v>-0</v>
      </c>
      <c r="G164" s="58" t="n">
        <f aca="false">'P08 DMSTrucking Output'!G18*$E$164</f>
        <v>-0</v>
      </c>
      <c r="H164" s="58" t="n">
        <f aca="false">'P08 DMSTrucking Output'!H18*$E$164</f>
        <v>-0</v>
      </c>
      <c r="I164" s="58" t="n">
        <f aca="false">'P08 DMSTrucking Output'!I18*$E$164</f>
        <v>-0</v>
      </c>
      <c r="J164" s="58" t="n">
        <f aca="false">'P08 DMSTrucking Output'!J18*$E$164</f>
        <v>-0.398543122540288</v>
      </c>
      <c r="K164" s="58" t="n">
        <f aca="false">'P08 DMSTrucking Output'!K18*$E$164</f>
        <v>-0.473586792216497</v>
      </c>
      <c r="L164" s="58" t="n">
        <f aca="false">'P08 DMSTrucking Output'!L18*$E$164</f>
        <v>-0.497048145982992</v>
      </c>
      <c r="M164" s="58" t="n">
        <f aca="false">'P08 DMSTrucking Output'!M18*$E$164</f>
        <v>-0.521784988362481</v>
      </c>
      <c r="N164" s="58" t="n">
        <f aca="false">'P08 DMSTrucking Output'!N18*$E$164</f>
        <v>-0.547892748813356</v>
      </c>
      <c r="O164" s="58" t="n">
        <f aca="false">'P08 DMSTrucking Output'!O18*$E$164</f>
        <v>-0.571127644797757</v>
      </c>
      <c r="P164" s="58" t="n">
        <f aca="false">'P08 DMSTrucking Output'!P18*$E$164</f>
        <v>-0.595255238272889</v>
      </c>
      <c r="Q164" s="58" t="n">
        <f aca="false">'P08 DMSTrucking Output'!Q18*$E$164</f>
        <v>-0.620314049200148</v>
      </c>
      <c r="R164" s="58" t="n">
        <f aca="false">'P08 DMSTrucking Output'!R18*$E$164</f>
        <v>-0.646344457481969</v>
      </c>
      <c r="S164" s="58" t="n">
        <f aca="false">'P08 DMSTrucking Output'!S18*$E$164</f>
        <v>-0.673388801020593</v>
      </c>
    </row>
    <row r="165" customFormat="false" ht="15" hidden="false" customHeight="false" outlineLevel="0" collapsed="false">
      <c r="B165" s="77" t="s">
        <v>63</v>
      </c>
      <c r="C165" s="25" t="s">
        <v>170</v>
      </c>
      <c r="E165" s="55" t="n">
        <f aca="false">'Global Inputs'!$K$100</f>
        <v>0</v>
      </c>
      <c r="F165" s="58" t="n">
        <f aca="false">'P12 BUMNOps Output'!F18*$E$165</f>
        <v>-0</v>
      </c>
      <c r="G165" s="58" t="n">
        <f aca="false">'P12 BUMNOps Output'!G18*$E$165</f>
        <v>-0</v>
      </c>
      <c r="H165" s="58" t="n">
        <f aca="false">'P12 BUMNOps Output'!H18*$E$165</f>
        <v>-0</v>
      </c>
      <c r="I165" s="58" t="n">
        <f aca="false">'P12 BUMNOps Output'!I18*$E$165</f>
        <v>-0</v>
      </c>
      <c r="J165" s="58" t="n">
        <f aca="false">'P12 BUMNOps Output'!J18*$E$165</f>
        <v>-0</v>
      </c>
      <c r="K165" s="58" t="n">
        <f aca="false">'P12 BUMNOps Output'!K18*$E$165</f>
        <v>-0</v>
      </c>
      <c r="L165" s="58" t="n">
        <f aca="false">'P12 BUMNOps Output'!L18*$E$165</f>
        <v>-0</v>
      </c>
      <c r="M165" s="58" t="n">
        <f aca="false">'P12 BUMNOps Output'!M18*$E$165</f>
        <v>-0</v>
      </c>
      <c r="N165" s="58" t="n">
        <f aca="false">'P12 BUMNOps Output'!N18*$E$165</f>
        <v>-0</v>
      </c>
      <c r="O165" s="58" t="n">
        <f aca="false">'P12 BUMNOps Output'!O18*$E$165</f>
        <v>-0</v>
      </c>
      <c r="P165" s="58" t="n">
        <f aca="false">'P12 BUMNOps Output'!P18*$E$165</f>
        <v>-0</v>
      </c>
      <c r="Q165" s="58" t="n">
        <f aca="false">'P12 BUMNOps Output'!Q18*$E$165</f>
        <v>-0</v>
      </c>
      <c r="R165" s="58" t="n">
        <f aca="false">'P12 BUMNOps Output'!R18*$E$165</f>
        <v>-0</v>
      </c>
      <c r="S165" s="58" t="n">
        <f aca="false">'P12 BUMNOps Output'!S18*$E$165</f>
        <v>-0</v>
      </c>
    </row>
    <row r="166" customFormat="false" ht="15" hidden="false" customHeight="false" outlineLevel="0" collapsed="false">
      <c r="B166" s="77" t="s">
        <v>66</v>
      </c>
      <c r="C166" s="25" t="s">
        <v>170</v>
      </c>
      <c r="E166" s="55" t="n">
        <f aca="false">'Global Inputs'!$K$101</f>
        <v>0</v>
      </c>
      <c r="F166" s="58" t="n">
        <f aca="false">'P15 TBM Output'!F18*$E$166</f>
        <v>-0</v>
      </c>
      <c r="G166" s="58" t="n">
        <f aca="false">'P15 TBM Output'!G18*$E$166</f>
        <v>-0</v>
      </c>
      <c r="H166" s="58" t="n">
        <f aca="false">'P15 TBM Output'!H18*$E$166</f>
        <v>-0</v>
      </c>
      <c r="I166" s="58" t="n">
        <f aca="false">'P15 TBM Output'!I18*$E$166</f>
        <v>-0</v>
      </c>
      <c r="J166" s="58" t="n">
        <f aca="false">'P15 TBM Output'!J18*$E$166</f>
        <v>-0</v>
      </c>
      <c r="K166" s="58" t="n">
        <f aca="false">'P15 TBM Output'!K18*$E$166</f>
        <v>-0</v>
      </c>
      <c r="L166" s="58" t="n">
        <f aca="false">'P15 TBM Output'!L18*$E$166</f>
        <v>-0</v>
      </c>
      <c r="M166" s="58" t="n">
        <f aca="false">'P15 TBM Output'!M18*$E$166</f>
        <v>-0</v>
      </c>
      <c r="N166" s="58" t="n">
        <f aca="false">'P15 TBM Output'!N18*$E$166</f>
        <v>-0</v>
      </c>
      <c r="O166" s="58" t="n">
        <f aca="false">'P15 TBM Output'!O18*$E$166</f>
        <v>-0</v>
      </c>
      <c r="P166" s="58" t="n">
        <f aca="false">'P15 TBM Output'!P18*$E$166</f>
        <v>-0</v>
      </c>
      <c r="Q166" s="58" t="n">
        <f aca="false">'P15 TBM Output'!Q18*$E$166</f>
        <v>-0</v>
      </c>
      <c r="R166" s="58" t="n">
        <f aca="false">'P15 TBM Output'!R18*$E$166</f>
        <v>-0</v>
      </c>
      <c r="S166" s="58" t="n">
        <f aca="false">'P15 TBM Output'!S18*$E$166</f>
        <v>-0</v>
      </c>
    </row>
    <row r="167" customFormat="false" ht="15" hidden="false" customHeight="false" outlineLevel="0" collapsed="false">
      <c r="B167" s="77" t="s">
        <v>69</v>
      </c>
      <c r="C167" s="25" t="s">
        <v>170</v>
      </c>
      <c r="E167" s="55" t="n">
        <f aca="false">'Global Inputs'!$K$102</f>
        <v>0</v>
      </c>
      <c r="F167" s="58" t="n">
        <f aca="false">'P19 Badas Output'!F18*$E$167</f>
        <v>-0</v>
      </c>
      <c r="G167" s="58" t="n">
        <f aca="false">'P19 Badas Output'!G18*$E$167</f>
        <v>-0</v>
      </c>
      <c r="H167" s="58" t="n">
        <f aca="false">'P19 Badas Output'!H18*$E$167</f>
        <v>-0</v>
      </c>
      <c r="I167" s="58" t="n">
        <f aca="false">'P19 Badas Output'!I18*$E$167</f>
        <v>-0</v>
      </c>
      <c r="J167" s="58" t="n">
        <f aca="false">'P19 Badas Output'!J18*$E$167</f>
        <v>-0</v>
      </c>
      <c r="K167" s="58" t="n">
        <f aca="false">'P19 Badas Output'!K18*$E$167</f>
        <v>-0</v>
      </c>
      <c r="L167" s="58" t="n">
        <f aca="false">'P19 Badas Output'!L18*$E$167</f>
        <v>-0</v>
      </c>
      <c r="M167" s="58" t="n">
        <f aca="false">'P19 Badas Output'!M18*$E$167</f>
        <v>-0</v>
      </c>
      <c r="N167" s="58" t="n">
        <f aca="false">'P19 Badas Output'!N18*$E$167</f>
        <v>-0</v>
      </c>
      <c r="O167" s="58" t="n">
        <f aca="false">'P19 Badas Output'!O18*$E$167</f>
        <v>-0</v>
      </c>
      <c r="P167" s="58" t="n">
        <f aca="false">'P19 Badas Output'!P18*$E$167</f>
        <v>-0</v>
      </c>
      <c r="Q167" s="58" t="n">
        <f aca="false">'P19 Badas Output'!Q18*$E$167</f>
        <v>-0</v>
      </c>
      <c r="R167" s="58" t="n">
        <f aca="false">'P19 Badas Output'!R18*$E$167</f>
        <v>-0</v>
      </c>
      <c r="S167" s="58" t="n">
        <f aca="false">'P19 Badas Output'!S18*$E$167</f>
        <v>-0</v>
      </c>
    </row>
    <row r="168" customFormat="false" ht="15" hidden="false" customHeight="false" outlineLevel="0" collapsed="false">
      <c r="B168" s="69" t="s">
        <v>455</v>
      </c>
      <c r="C168" s="25" t="s">
        <v>170</v>
      </c>
      <c r="E168" s="70" t="n">
        <f aca="false">SUM(F168:S168)</f>
        <v>-998.699923381906</v>
      </c>
      <c r="F168" s="68" t="n">
        <f aca="false">F154+F155+F156+F157+F158+F159+F160+F161+F162+F163+F164+F165+F166+F167</f>
        <v>-0</v>
      </c>
      <c r="G168" s="68" t="n">
        <f aca="false">G154+G155+G156+G157+G158+G159+G160+G161+G162+G163+G164+G165+G166+G167</f>
        <v>-19.9622380784868</v>
      </c>
      <c r="H168" s="68" t="n">
        <f aca="false">H154+H155+H156+H157+H158+H159+H160+H161+H162+H163+H164+H165+H166+H167</f>
        <v>-36.9445769942651</v>
      </c>
      <c r="I168" s="68" t="n">
        <f aca="false">I154+I155+I156+I157+I158+I159+I160+I161+I162+I163+I164+I165+I166+I167</f>
        <v>-43.9227051513268</v>
      </c>
      <c r="J168" s="68" t="n">
        <f aca="false">J154+J155+J156+J157+J158+J159+J160+J161+J162+J163+J164+J165+J166+J167</f>
        <v>-56.1116228732108</v>
      </c>
      <c r="K168" s="68" t="n">
        <f aca="false">K154+K155+K156+K157+K158+K159+K160+K161+K162+K163+K164+K165+K166+K167</f>
        <v>-64.6214491166677</v>
      </c>
      <c r="L168" s="68" t="n">
        <f aca="false">L154+L155+L156+L157+L158+L159+L160+L161+L162+L163+L164+L165+L166+L167</f>
        <v>-74.4178334001094</v>
      </c>
      <c r="M168" s="68" t="n">
        <f aca="false">M154+M155+M156+M157+M158+M159+M160+M161+M162+M163+M164+M165+M166+M167</f>
        <v>-78.3908215230282</v>
      </c>
      <c r="N168" s="68" t="n">
        <f aca="false">N154+N155+N156+N157+N158+N159+N160+N161+N162+N163+N164+N165+N166+N167</f>
        <v>-87.3122067748237</v>
      </c>
      <c r="O168" s="68" t="n">
        <f aca="false">O154+O155+O156+O157+O158+O159+O160+O161+O162+O163+O164+O165+O166+O167</f>
        <v>-92.6611048466195</v>
      </c>
      <c r="P168" s="68" t="n">
        <f aca="false">P154+P155+P156+P157+P158+P159+P160+P161+P162+P163+P164+P165+P166+P167</f>
        <v>-105.556723849718</v>
      </c>
      <c r="Q168" s="68" t="n">
        <f aca="false">Q154+Q155+Q156+Q157+Q158+Q159+Q160+Q161+Q162+Q163+Q164+Q165+Q166+Q167</f>
        <v>-111.23540803779</v>
      </c>
      <c r="R168" s="68" t="n">
        <f aca="false">R154+R155+R156+R157+R158+R159+R160+R161+R162+R163+R164+R165+R166+R167</f>
        <v>-110.949921968626</v>
      </c>
      <c r="S168" s="68" t="n">
        <f aca="false">S154+S155+S156+S157+S158+S159+S160+S161+S162+S163+S164+S165+S166+S167</f>
        <v>-116.613310767235</v>
      </c>
    </row>
    <row r="169" customFormat="false" ht="15" hidden="false" customHeight="false" outlineLevel="0" collapsed="false">
      <c r="B169" s="78" t="s">
        <v>456</v>
      </c>
      <c r="C169" s="79"/>
      <c r="D169" s="79"/>
      <c r="E169" s="79"/>
      <c r="F169" s="79"/>
      <c r="G169" s="79"/>
      <c r="H169" s="79"/>
      <c r="I169" s="79"/>
      <c r="J169" s="79"/>
      <c r="K169" s="79"/>
      <c r="L169" s="79"/>
      <c r="M169" s="79"/>
      <c r="N169" s="79"/>
      <c r="O169" s="79"/>
      <c r="P169" s="79"/>
      <c r="Q169" s="79"/>
      <c r="R169" s="79"/>
      <c r="S169" s="79"/>
    </row>
    <row r="170" customFormat="false" ht="15" hidden="false" customHeight="false" outlineLevel="0" collapsed="false">
      <c r="B170" s="77" t="s">
        <v>31</v>
      </c>
      <c r="C170" s="25" t="s">
        <v>170</v>
      </c>
      <c r="E170" s="55" t="n">
        <f aca="false">'Global Inputs'!$K$89</f>
        <v>1</v>
      </c>
      <c r="F170" s="58" t="n">
        <f aca="false">'E1 TelukLamong Output'!F19*$E$170</f>
        <v>0</v>
      </c>
      <c r="G170" s="58" t="n">
        <f aca="false">'E1 TelukLamong Output'!G19*$E$170</f>
        <v>55.2004547286886</v>
      </c>
      <c r="H170" s="58" t="n">
        <f aca="false">'E1 TelukLamong Output'!H19*$E$170</f>
        <v>57.4644464237102</v>
      </c>
      <c r="I170" s="58" t="n">
        <f aca="false">'E1 TelukLamong Output'!I19*$E$170</f>
        <v>58.9771836217796</v>
      </c>
      <c r="J170" s="58" t="n">
        <f aca="false">'E1 TelukLamong Output'!J19*$E$170</f>
        <v>61.3319103843169</v>
      </c>
      <c r="K170" s="58" t="n">
        <f aca="false">'E1 TelukLamong Output'!K19*$E$170</f>
        <v>63.7319420965131</v>
      </c>
      <c r="L170" s="58" t="n">
        <f aca="false">'E1 TelukLamong Output'!L19*$E$170</f>
        <v>69.6242087244828</v>
      </c>
      <c r="M170" s="58" t="n">
        <f aca="false">'E1 TelukLamong Output'!M19*$E$170</f>
        <v>72.2415921001104</v>
      </c>
      <c r="N170" s="58" t="n">
        <f aca="false">'E1 TelukLamong Output'!N19*$E$170</f>
        <v>74.9073285128731</v>
      </c>
      <c r="O170" s="58" t="n">
        <f aca="false">'E1 TelukLamong Output'!O19*$E$170</f>
        <v>81.6007683998727</v>
      </c>
      <c r="P170" s="58" t="n">
        <f aca="false">'E1 TelukLamong Output'!P19*$E$170</f>
        <v>84.5053022760271</v>
      </c>
      <c r="Q170" s="58" t="n">
        <f aca="false">'E1 TelukLamong Output'!Q19*$E$170</f>
        <v>87.4610377800737</v>
      </c>
      <c r="R170" s="58" t="n">
        <f aca="false">'E1 TelukLamong Output'!R19*$E$170</f>
        <v>90.4673507954944</v>
      </c>
      <c r="S170" s="58" t="n">
        <f aca="false">'E1 TelukLamong Output'!S19*$E$170</f>
        <v>93.5234671013286</v>
      </c>
    </row>
    <row r="171" customFormat="false" ht="15" hidden="false" customHeight="false" outlineLevel="0" collapsed="false">
      <c r="B171" s="77" t="s">
        <v>34</v>
      </c>
      <c r="C171" s="25" t="s">
        <v>170</v>
      </c>
      <c r="E171" s="55" t="n">
        <f aca="false">'Global Inputs'!$K$90</f>
        <v>1</v>
      </c>
      <c r="F171" s="58" t="n">
        <f aca="false">'E2 CigadingExist Output'!F19*$E$171</f>
        <v>0</v>
      </c>
      <c r="G171" s="58" t="n">
        <f aca="false">'E2 CigadingExist Output'!G19*$E$171</f>
        <v>-24.8752588875047</v>
      </c>
      <c r="H171" s="58" t="n">
        <f aca="false">'E2 CigadingExist Output'!H19*$E$171</f>
        <v>-17.9712783924015</v>
      </c>
      <c r="I171" s="58" t="n">
        <f aca="false">'E2 CigadingExist Output'!I19*$E$171</f>
        <v>-18.4750333433378</v>
      </c>
      <c r="J171" s="58" t="n">
        <f aca="false">'E2 CigadingExist Output'!J19*$E$171</f>
        <v>-8.09718027849051</v>
      </c>
      <c r="K171" s="58" t="n">
        <f aca="false">'E2 CigadingExist Output'!K19*$E$171</f>
        <v>-7.26187767005758</v>
      </c>
      <c r="L171" s="58" t="n">
        <f aca="false">'E2 CigadingExist Output'!L19*$E$171</f>
        <v>-1.1808192497535</v>
      </c>
      <c r="M171" s="58" t="n">
        <f aca="false">'E2 CigadingExist Output'!M19*$E$171</f>
        <v>-0.130787831718834</v>
      </c>
      <c r="N171" s="58" t="n">
        <f aca="false">'E2 CigadingExist Output'!N19*$E$171</f>
        <v>4.15340447383958</v>
      </c>
      <c r="O171" s="58" t="n">
        <f aca="false">'E2 CigadingExist Output'!O19*$E$171</f>
        <v>4.29814250876273</v>
      </c>
      <c r="P171" s="58" t="n">
        <f aca="false">'E2 CigadingExist Output'!P19*$E$171</f>
        <v>9.11414896546488</v>
      </c>
      <c r="Q171" s="58" t="n">
        <f aca="false">'E2 CigadingExist Output'!Q19*$E$171</f>
        <v>10.2147373121633</v>
      </c>
      <c r="R171" s="58" t="n">
        <f aca="false">'E2 CigadingExist Output'!R19*$E$171</f>
        <v>11.3358586183038</v>
      </c>
      <c r="S171" s="58" t="n">
        <f aca="false">'E2 CigadingExist Output'!S19*$E$171</f>
        <v>12.4774283222333</v>
      </c>
    </row>
    <row r="172" customFormat="false" ht="15" hidden="false" customHeight="false" outlineLevel="0" collapsed="false">
      <c r="B172" s="77" t="s">
        <v>37</v>
      </c>
      <c r="C172" s="25" t="s">
        <v>170</v>
      </c>
      <c r="E172" s="55" t="n">
        <f aca="false">'Global Inputs'!$K$91</f>
        <v>1</v>
      </c>
      <c r="F172" s="58" t="n">
        <f aca="false">'E3 Belawan Output'!F19*$E$172</f>
        <v>0</v>
      </c>
      <c r="G172" s="58" t="n">
        <f aca="false">'E3 Belawan Output'!G19*$E$172</f>
        <v>4.61107214140616</v>
      </c>
      <c r="H172" s="58" t="n">
        <f aca="false">'E3 Belawan Output'!H19*$E$172</f>
        <v>4.80644365422377</v>
      </c>
      <c r="I172" s="58" t="n">
        <f aca="false">'E3 Belawan Output'!I19*$E$172</f>
        <v>10.2340399173025</v>
      </c>
      <c r="J172" s="58" t="n">
        <f aca="false">'E3 Belawan Output'!J19*$E$172</f>
        <v>13.8744953933875</v>
      </c>
      <c r="K172" s="58" t="n">
        <f aca="false">'E3 Belawan Output'!K19*$E$172</f>
        <v>16.9786007730962</v>
      </c>
      <c r="L172" s="58" t="n">
        <f aca="false">'E3 Belawan Output'!L19*$E$172</f>
        <v>20.2709236716207</v>
      </c>
      <c r="M172" s="58" t="n">
        <f aca="false">'E3 Belawan Output'!M19*$E$172</f>
        <v>23.7614308967995</v>
      </c>
      <c r="N172" s="58" t="n">
        <f aca="false">'E3 Belawan Output'!N19*$E$172</f>
        <v>27.4606074085179</v>
      </c>
      <c r="O172" s="58" t="n">
        <f aca="false">'E3 Belawan Output'!O19*$E$172</f>
        <v>31.3794838930365</v>
      </c>
      <c r="P172" s="58" t="n">
        <f aca="false">'E3 Belawan Output'!P19*$E$172</f>
        <v>35.529665860268</v>
      </c>
      <c r="Q172" s="58" t="n">
        <f aca="false">'E3 Belawan Output'!Q19*$E$172</f>
        <v>41.0374690739942</v>
      </c>
      <c r="R172" s="58" t="n">
        <f aca="false">'E3 Belawan Output'!R19*$E$172</f>
        <v>23.1504070017994</v>
      </c>
      <c r="S172" s="58" t="n">
        <f aca="false">'E3 Belawan Output'!S19*$E$172</f>
        <v>25.3322982741239</v>
      </c>
    </row>
    <row r="173" customFormat="false" ht="15" hidden="false" customHeight="false" outlineLevel="0" collapsed="false">
      <c r="B173" s="77" t="s">
        <v>40</v>
      </c>
      <c r="C173" s="25" t="s">
        <v>170</v>
      </c>
      <c r="E173" s="55" t="n">
        <f aca="false">'Global Inputs'!$K$92</f>
        <v>1</v>
      </c>
      <c r="F173" s="58" t="n">
        <f aca="false">'E4 WIN Output'!F19*$E$173</f>
        <v>0</v>
      </c>
      <c r="G173" s="58" t="n">
        <f aca="false">'E4 WIN Output'!G19*$E$173</f>
        <v>10.9636808627221</v>
      </c>
      <c r="H173" s="58" t="n">
        <f aca="false">'E4 WIN Output'!H19*$E$173</f>
        <v>10.534895457809</v>
      </c>
      <c r="I173" s="58" t="n">
        <f aca="false">'E4 WIN Output'!I19*$E$173</f>
        <v>12.7029122730754</v>
      </c>
      <c r="J173" s="58" t="n">
        <f aca="false">'E4 WIN Output'!J19*$E$173</f>
        <v>14.0334482325373</v>
      </c>
      <c r="K173" s="58" t="n">
        <f aca="false">'E4 WIN Output'!K19*$E$173</f>
        <v>15.4776597523015</v>
      </c>
      <c r="L173" s="58" t="n">
        <f aca="false">'E4 WIN Output'!L19*$E$173</f>
        <v>17.0449027701525</v>
      </c>
      <c r="M173" s="58" t="n">
        <f aca="false">'E4 WIN Output'!M19*$E$173</f>
        <v>18.7452943893485</v>
      </c>
      <c r="N173" s="58" t="n">
        <f aca="false">'E4 WIN Output'!N19*$E$173</f>
        <v>20.5897745632378</v>
      </c>
      <c r="O173" s="58" t="n">
        <f aca="false">'E4 WIN Output'!O19*$E$173</f>
        <v>22.5901727735102</v>
      </c>
      <c r="P173" s="58" t="n">
        <f aca="false">'E4 WIN Output'!P19*$E$173</f>
        <v>24.7592801063655</v>
      </c>
      <c r="Q173" s="58" t="n">
        <f aca="false">'E4 WIN Output'!Q19*$E$173</f>
        <v>23.9953724982901</v>
      </c>
      <c r="R173" s="58" t="n">
        <f aca="false">'E4 WIN Output'!R19*$E$173</f>
        <v>25.343098903123</v>
      </c>
      <c r="S173" s="58" t="n">
        <f aca="false">'E4 WIN Output'!S19*$E$173</f>
        <v>26.760717208104</v>
      </c>
    </row>
    <row r="174" customFormat="false" ht="15" hidden="false" customHeight="false" outlineLevel="0" collapsed="false">
      <c r="B174" s="77" t="s">
        <v>43</v>
      </c>
      <c r="C174" s="25" t="s">
        <v>170</v>
      </c>
      <c r="E174" s="55" t="n">
        <f aca="false">'Global Inputs'!$K$93</f>
        <v>1</v>
      </c>
      <c r="F174" s="58" t="n">
        <f aca="false">'P01 CigWharf2 Output'!F19*$E$174</f>
        <v>0</v>
      </c>
      <c r="G174" s="58" t="n">
        <f aca="false">'P01 CigWharf2 Output'!G19*$E$174</f>
        <v>0</v>
      </c>
      <c r="H174" s="58" t="n">
        <f aca="false">'P01 CigWharf2 Output'!H19*$E$174</f>
        <v>41.2903051840117</v>
      </c>
      <c r="I174" s="58" t="n">
        <f aca="false">'P01 CigWharf2 Output'!I19*$E$174</f>
        <v>42.7656186112989</v>
      </c>
      <c r="J174" s="58" t="n">
        <f aca="false">'P01 CigWharf2 Output'!J19*$E$174</f>
        <v>57.5541218138233</v>
      </c>
      <c r="K174" s="58" t="n">
        <f aca="false">'P01 CigWharf2 Output'!K19*$E$174</f>
        <v>59.4917158292566</v>
      </c>
      <c r="L174" s="58" t="n">
        <f aca="false">'P01 CigWharf2 Output'!L19*$E$174</f>
        <v>69.927560706778</v>
      </c>
      <c r="M174" s="58" t="n">
        <f aca="false">'P01 CigWharf2 Output'!M19*$E$174</f>
        <v>72.207506696618</v>
      </c>
      <c r="N174" s="58" t="n">
        <f aca="false">'P01 CigWharf2 Output'!N19*$E$174</f>
        <v>80.4596204623157</v>
      </c>
      <c r="O174" s="58" t="n">
        <f aca="false">'P01 CigWharf2 Output'!O19*$E$174</f>
        <v>83.0230559736169</v>
      </c>
      <c r="P174" s="58" t="n">
        <f aca="false">'P01 CigWharf2 Output'!P19*$E$174</f>
        <v>101.908103617523</v>
      </c>
      <c r="Q174" s="58" t="n">
        <f aca="false">'P01 CigWharf2 Output'!Q19*$E$174</f>
        <v>104.790277297497</v>
      </c>
      <c r="R174" s="58" t="n">
        <f aca="false">'P01 CigWharf2 Output'!R19*$E$174</f>
        <v>107.738956509265</v>
      </c>
      <c r="S174" s="58" t="n">
        <f aca="false">'P01 CigWharf2 Output'!S19*$E$174</f>
        <v>110.754920874354</v>
      </c>
    </row>
    <row r="175" customFormat="false" ht="15" hidden="false" customHeight="false" outlineLevel="0" collapsed="false">
      <c r="B175" s="77" t="s">
        <v>46</v>
      </c>
      <c r="C175" s="25" t="s">
        <v>170</v>
      </c>
      <c r="E175" s="55" t="n">
        <f aca="false">'Global Inputs'!$K$94</f>
        <v>1</v>
      </c>
      <c r="F175" s="58" t="n">
        <f aca="false">'P02 CigConveyor Output'!F19*$E$175</f>
        <v>0</v>
      </c>
      <c r="G175" s="58" t="n">
        <f aca="false">'P02 CigConveyor Output'!G19*$E$175</f>
        <v>0</v>
      </c>
      <c r="H175" s="58" t="n">
        <f aca="false">'P02 CigConveyor Output'!H19*$E$175</f>
        <v>16.889227714458</v>
      </c>
      <c r="I175" s="58" t="n">
        <f aca="false">'P02 CigConveyor Output'!I19*$E$175</f>
        <v>17.5419392642535</v>
      </c>
      <c r="J175" s="58" t="n">
        <f aca="false">'P02 CigConveyor Output'!J19*$E$175</f>
        <v>18.2116245574316</v>
      </c>
      <c r="K175" s="58" t="n">
        <f aca="false">'P02 CigConveyor Output'!K19*$E$175</f>
        <v>18.8986340032641</v>
      </c>
      <c r="L175" s="58" t="n">
        <f aca="false">'P02 CigConveyor Output'!L19*$E$175</f>
        <v>19.6033188521969</v>
      </c>
      <c r="M175" s="58" t="n">
        <f aca="false">'P02 CigConveyor Output'!M19*$E$175</f>
        <v>20.3260306321142</v>
      </c>
      <c r="N175" s="58" t="n">
        <f aca="false">'P02 CigConveyor Output'!N19*$E$175</f>
        <v>21.0671205318234</v>
      </c>
      <c r="O175" s="58" t="n">
        <f aca="false">'P02 CigConveyor Output'!O19*$E$175</f>
        <v>21.8269387279918</v>
      </c>
      <c r="P175" s="58" t="n">
        <f aca="false">'P02 CigConveyor Output'!P19*$E$175</f>
        <v>23.7940593982368</v>
      </c>
      <c r="Q175" s="58" t="n">
        <f aca="false">'P02 CigConveyor Output'!Q19*$E$175</f>
        <v>24.5923769357989</v>
      </c>
      <c r="R175" s="58" t="n">
        <f aca="false">'P02 CigConveyor Output'!R19*$E$175</f>
        <v>25.4104595619845</v>
      </c>
      <c r="S175" s="58" t="n">
        <f aca="false">'P02 CigConveyor Output'!S19*$E$175</f>
        <v>26.2486453972083</v>
      </c>
    </row>
    <row r="176" customFormat="false" ht="15" hidden="false" customHeight="false" outlineLevel="0" collapsed="false">
      <c r="B176" s="77" t="s">
        <v>48</v>
      </c>
      <c r="C176" s="25" t="s">
        <v>170</v>
      </c>
      <c r="E176" s="55" t="n">
        <f aca="false">'Global Inputs'!$K$95</f>
        <v>1</v>
      </c>
      <c r="F176" s="58" t="n">
        <f aca="false">'P03 KBSWarehouse Output'!F19*$E$176</f>
        <v>0</v>
      </c>
      <c r="G176" s="58" t="n">
        <f aca="false">'P03 KBSWarehouse Output'!G19*$E$176</f>
        <v>0</v>
      </c>
      <c r="H176" s="58" t="n">
        <f aca="false">'P03 KBSWarehouse Output'!H19*$E$176</f>
        <v>0</v>
      </c>
      <c r="I176" s="58" t="n">
        <f aca="false">'P03 KBSWarehouse Output'!I19*$E$176</f>
        <v>0</v>
      </c>
      <c r="J176" s="58" t="n">
        <f aca="false">'P03 KBSWarehouse Output'!J19*$E$176</f>
        <v>12.72181168635</v>
      </c>
      <c r="K176" s="58" t="n">
        <f aca="false">'P03 KBSWarehouse Output'!K19*$E$176</f>
        <v>13.21811428587</v>
      </c>
      <c r="L176" s="58" t="n">
        <f aca="false">'P03 KBSWarehouse Output'!L19*$E$176</f>
        <v>13.7293059633756</v>
      </c>
      <c r="M176" s="58" t="n">
        <f aca="false">'P03 KBSWarehouse Output'!M19*$E$176</f>
        <v>14.2558333912064</v>
      </c>
      <c r="N176" s="58" t="n">
        <f aca="false">'P03 KBSWarehouse Output'!N19*$E$176</f>
        <v>14.7981566418721</v>
      </c>
      <c r="O176" s="58" t="n">
        <f aca="false">'P03 KBSWarehouse Output'!O19*$E$176</f>
        <v>15.3567495900577</v>
      </c>
      <c r="P176" s="58" t="n">
        <f aca="false">'P03 KBSWarehouse Output'!P19*$E$176</f>
        <v>15.932100326689</v>
      </c>
      <c r="Q176" s="58" t="n">
        <f aca="false">'P03 KBSWarehouse Output'!Q19*$E$176</f>
        <v>16.5247115854191</v>
      </c>
      <c r="R176" s="58" t="n">
        <f aca="false">'P03 KBSWarehouse Output'!R19*$E$176</f>
        <v>17.1351011819112</v>
      </c>
      <c r="S176" s="58" t="n">
        <f aca="false">'P03 KBSWarehouse Output'!S19*$E$176</f>
        <v>17.763802466298</v>
      </c>
    </row>
    <row r="177" customFormat="false" ht="15" hidden="false" customHeight="false" outlineLevel="0" collapsed="false">
      <c r="B177" s="77" t="s">
        <v>51</v>
      </c>
      <c r="C177" s="25" t="s">
        <v>170</v>
      </c>
      <c r="E177" s="55" t="n">
        <f aca="false">'Global Inputs'!$K$96</f>
        <v>1</v>
      </c>
      <c r="F177" s="58" t="n">
        <f aca="false">'P04 TTLSilo Output'!F19*$E$177</f>
        <v>0</v>
      </c>
      <c r="G177" s="58" t="n">
        <f aca="false">'P04 TTLSilo Output'!G19*$E$177</f>
        <v>0</v>
      </c>
      <c r="H177" s="58" t="n">
        <f aca="false">'P04 TTLSilo Output'!H19*$E$177</f>
        <v>0</v>
      </c>
      <c r="I177" s="58" t="n">
        <f aca="false">'P04 TTLSilo Output'!I19*$E$177</f>
        <v>0</v>
      </c>
      <c r="J177" s="58" t="n">
        <f aca="false">'P04 TTLSilo Output'!J19*$E$177</f>
        <v>7.025478758415</v>
      </c>
      <c r="K177" s="58" t="n">
        <f aca="false">'P04 TTLSilo Output'!K19*$E$177</f>
        <v>7.025478758415</v>
      </c>
      <c r="L177" s="58" t="n">
        <f aca="false">'P04 TTLSilo Output'!L19*$E$177</f>
        <v>7.025478758415</v>
      </c>
      <c r="M177" s="58" t="n">
        <f aca="false">'P04 TTLSilo Output'!M19*$E$177</f>
        <v>7.025478758415</v>
      </c>
      <c r="N177" s="58" t="n">
        <f aca="false">'P04 TTLSilo Output'!N19*$E$177</f>
        <v>7.025478758415</v>
      </c>
      <c r="O177" s="58" t="n">
        <f aca="false">'P04 TTLSilo Output'!O19*$E$177</f>
        <v>7.025478758415</v>
      </c>
      <c r="P177" s="58" t="n">
        <f aca="false">'P04 TTLSilo Output'!P19*$E$177</f>
        <v>7.025478758415</v>
      </c>
      <c r="Q177" s="58" t="n">
        <f aca="false">'P04 TTLSilo Output'!Q19*$E$177</f>
        <v>7.025478758415</v>
      </c>
      <c r="R177" s="58" t="n">
        <f aca="false">'P04 TTLSilo Output'!R19*$E$177</f>
        <v>7.025478758415</v>
      </c>
      <c r="S177" s="58" t="n">
        <f aca="false">'P04 TTLSilo Output'!S19*$E$177</f>
        <v>7.025478758415</v>
      </c>
    </row>
    <row r="178" customFormat="false" ht="15" hidden="false" customHeight="false" outlineLevel="0" collapsed="false">
      <c r="B178" s="77" t="s">
        <v>54</v>
      </c>
      <c r="C178" s="25" t="s">
        <v>170</v>
      </c>
      <c r="E178" s="55" t="n">
        <f aca="false">'Global Inputs'!$K$97</f>
        <v>1</v>
      </c>
      <c r="F178" s="58" t="n">
        <f aca="false">'P05 Dumai Output'!F19*$E$178</f>
        <v>0</v>
      </c>
      <c r="G178" s="58" t="n">
        <f aca="false">'P05 Dumai Output'!G19*$E$178</f>
        <v>0</v>
      </c>
      <c r="H178" s="58" t="n">
        <f aca="false">'P05 Dumai Output'!H19*$E$178</f>
        <v>0</v>
      </c>
      <c r="I178" s="58" t="n">
        <f aca="false">'P05 Dumai Output'!I19*$E$178</f>
        <v>13.5042609397214</v>
      </c>
      <c r="J178" s="58" t="n">
        <f aca="false">'P05 Dumai Output'!J19*$E$178</f>
        <v>12.7753010170246</v>
      </c>
      <c r="K178" s="58" t="n">
        <f aca="false">'P05 Dumai Output'!K19*$E$178</f>
        <v>12.3662176512603</v>
      </c>
      <c r="L178" s="58" t="n">
        <f aca="false">'P05 Dumai Output'!L19*$E$178</f>
        <v>14.1873189389998</v>
      </c>
      <c r="M178" s="58" t="n">
        <f aca="false">'P05 Dumai Output'!M19*$E$178</f>
        <v>13.4088021808333</v>
      </c>
      <c r="N178" s="58" t="n">
        <f aca="false">'P05 Dumai Output'!N19*$E$178</f>
        <v>13.1318555477013</v>
      </c>
      <c r="O178" s="58" t="n">
        <f aca="false">'P05 Dumai Output'!O19*$E$178</f>
        <v>12.6728839798596</v>
      </c>
      <c r="P178" s="58" t="n">
        <f aca="false">'P05 Dumai Output'!P19*$E$178</f>
        <v>14.5812975346984</v>
      </c>
      <c r="Q178" s="58" t="n">
        <f aca="false">'P05 Dumai Output'!Q19*$E$178</f>
        <v>18.2044213537619</v>
      </c>
      <c r="R178" s="58" t="n">
        <f aca="false">'P05 Dumai Output'!R19*$E$178</f>
        <v>17.5663013794683</v>
      </c>
      <c r="S178" s="58" t="n">
        <f aca="false">'P05 Dumai Output'!S19*$E$178</f>
        <v>17.3588542689316</v>
      </c>
    </row>
    <row r="179" customFormat="false" ht="15" hidden="false" customHeight="false" outlineLevel="0" collapsed="false">
      <c r="B179" s="77" t="s">
        <v>57</v>
      </c>
      <c r="C179" s="25" t="s">
        <v>170</v>
      </c>
      <c r="E179" s="55" t="n">
        <f aca="false">'Global Inputs'!$K$98</f>
        <v>1</v>
      </c>
      <c r="F179" s="58" t="n">
        <f aca="false">'P06 Ciwandan Output'!F19*$E$179</f>
        <v>0</v>
      </c>
      <c r="G179" s="58" t="n">
        <f aca="false">'P06 Ciwandan Output'!G19*$E$179</f>
        <v>0</v>
      </c>
      <c r="H179" s="58" t="n">
        <f aca="false">'P06 Ciwandan Output'!H19*$E$179</f>
        <v>0</v>
      </c>
      <c r="I179" s="58" t="n">
        <f aca="false">'P06 Ciwandan Output'!I19*$E$179</f>
        <v>0</v>
      </c>
      <c r="J179" s="58" t="n">
        <f aca="false">'P06 Ciwandan Output'!J19*$E$179</f>
        <v>0</v>
      </c>
      <c r="K179" s="58" t="n">
        <f aca="false">'P06 Ciwandan Output'!K19*$E$179</f>
        <v>20.244966909441</v>
      </c>
      <c r="L179" s="58" t="n">
        <f aca="false">'P06 Ciwandan Output'!L19*$E$179</f>
        <v>30.6697656967904</v>
      </c>
      <c r="M179" s="58" t="n">
        <f aca="false">'P06 Ciwandan Output'!M19*$E$179</f>
        <v>34.1091604865513</v>
      </c>
      <c r="N179" s="58" t="n">
        <f aca="false">'P06 Ciwandan Output'!N19*$E$179</f>
        <v>44.0255846461682</v>
      </c>
      <c r="O179" s="58" t="n">
        <f aca="false">'P06 Ciwandan Output'!O19*$E$179</f>
        <v>46.7271536558812</v>
      </c>
      <c r="P179" s="58" t="n">
        <f aca="false">'P06 Ciwandan Output'!P19*$E$179</f>
        <v>54.9866791423443</v>
      </c>
      <c r="Q179" s="58" t="n">
        <f aca="false">'P06 Ciwandan Output'!Q19*$E$179</f>
        <v>58.3349051823151</v>
      </c>
      <c r="R179" s="58" t="n">
        <f aca="false">'P06 Ciwandan Output'!R19*$E$179</f>
        <v>65.9033075570172</v>
      </c>
      <c r="S179" s="58" t="n">
        <f aca="false">'P06 Ciwandan Output'!S19*$E$179</f>
        <v>73.8141106637633</v>
      </c>
    </row>
    <row r="180" customFormat="false" ht="15" hidden="false" customHeight="false" outlineLevel="0" collapsed="false">
      <c r="B180" s="77" t="s">
        <v>60</v>
      </c>
      <c r="C180" s="25" t="s">
        <v>170</v>
      </c>
      <c r="E180" s="55" t="n">
        <f aca="false">'Global Inputs'!$K$99</f>
        <v>1</v>
      </c>
      <c r="F180" s="58" t="n">
        <f aca="false">'P08 DMSTrucking Output'!F19*$E$180</f>
        <v>0</v>
      </c>
      <c r="G180" s="58" t="n">
        <f aca="false">'P08 DMSTrucking Output'!G19*$E$180</f>
        <v>0</v>
      </c>
      <c r="H180" s="58" t="n">
        <f aca="false">'P08 DMSTrucking Output'!H19*$E$180</f>
        <v>0</v>
      </c>
      <c r="I180" s="58" t="n">
        <f aca="false">'P08 DMSTrucking Output'!I19*$E$180</f>
        <v>0</v>
      </c>
      <c r="J180" s="58" t="n">
        <f aca="false">'P08 DMSTrucking Output'!J19*$E$180</f>
        <v>1.41301652537011</v>
      </c>
      <c r="K180" s="58" t="n">
        <f aca="false">'P08 DMSTrucking Output'!K19*$E$180</f>
        <v>1.67908044513122</v>
      </c>
      <c r="L180" s="58" t="n">
        <f aca="false">'P08 DMSTrucking Output'!L19*$E$180</f>
        <v>1.76226160848515</v>
      </c>
      <c r="M180" s="58" t="n">
        <f aca="false">'P08 DMSTrucking Output'!M19*$E$180</f>
        <v>1.84996495873971</v>
      </c>
      <c r="N180" s="58" t="n">
        <f aca="false">'P08 DMSTrucking Output'!N19*$E$180</f>
        <v>1.9425288367019</v>
      </c>
      <c r="O180" s="58" t="n">
        <f aca="false">'P08 DMSTrucking Output'!O19*$E$180</f>
        <v>2.02490710428296</v>
      </c>
      <c r="P180" s="58" t="n">
        <f aca="false">'P08 DMSTrucking Output'!P19*$E$180</f>
        <v>2.11045039024024</v>
      </c>
      <c r="Q180" s="58" t="n">
        <f aca="false">'P08 DMSTrucking Output'!Q19*$E$180</f>
        <v>2.19929526534598</v>
      </c>
      <c r="R180" s="58" t="n">
        <f aca="false">'P08 DMSTrucking Output'!R19*$E$180</f>
        <v>2.2915848947088</v>
      </c>
      <c r="S180" s="58" t="n">
        <f aca="false">'P08 DMSTrucking Output'!S19*$E$180</f>
        <v>2.38746938543665</v>
      </c>
    </row>
    <row r="181" customFormat="false" ht="15" hidden="false" customHeight="false" outlineLevel="0" collapsed="false">
      <c r="B181" s="77" t="s">
        <v>63</v>
      </c>
      <c r="C181" s="25" t="s">
        <v>170</v>
      </c>
      <c r="E181" s="55" t="n">
        <f aca="false">'Global Inputs'!$K$100</f>
        <v>0</v>
      </c>
      <c r="F181" s="58" t="n">
        <f aca="false">'P12 BUMNOps Output'!F19*$E$181</f>
        <v>0</v>
      </c>
      <c r="G181" s="58" t="n">
        <f aca="false">'P12 BUMNOps Output'!G19*$E$181</f>
        <v>0</v>
      </c>
      <c r="H181" s="58" t="n">
        <f aca="false">'P12 BUMNOps Output'!H19*$E$181</f>
        <v>0</v>
      </c>
      <c r="I181" s="58" t="n">
        <f aca="false">'P12 BUMNOps Output'!I19*$E$181</f>
        <v>0</v>
      </c>
      <c r="J181" s="58" t="n">
        <f aca="false">'P12 BUMNOps Output'!J19*$E$181</f>
        <v>0</v>
      </c>
      <c r="K181" s="58" t="n">
        <f aca="false">'P12 BUMNOps Output'!K19*$E$181</f>
        <v>0</v>
      </c>
      <c r="L181" s="58" t="n">
        <f aca="false">'P12 BUMNOps Output'!L19*$E$181</f>
        <v>0</v>
      </c>
      <c r="M181" s="58" t="n">
        <f aca="false">'P12 BUMNOps Output'!M19*$E$181</f>
        <v>0</v>
      </c>
      <c r="N181" s="58" t="n">
        <f aca="false">'P12 BUMNOps Output'!N19*$E$181</f>
        <v>0</v>
      </c>
      <c r="O181" s="58" t="n">
        <f aca="false">'P12 BUMNOps Output'!O19*$E$181</f>
        <v>0</v>
      </c>
      <c r="P181" s="58" t="n">
        <f aca="false">'P12 BUMNOps Output'!P19*$E$181</f>
        <v>0</v>
      </c>
      <c r="Q181" s="58" t="n">
        <f aca="false">'P12 BUMNOps Output'!Q19*$E$181</f>
        <v>0</v>
      </c>
      <c r="R181" s="58" t="n">
        <f aca="false">'P12 BUMNOps Output'!R19*$E$181</f>
        <v>0</v>
      </c>
      <c r="S181" s="58" t="n">
        <f aca="false">'P12 BUMNOps Output'!S19*$E$181</f>
        <v>0</v>
      </c>
    </row>
    <row r="182" customFormat="false" ht="15" hidden="false" customHeight="false" outlineLevel="0" collapsed="false">
      <c r="B182" s="77" t="s">
        <v>66</v>
      </c>
      <c r="C182" s="25" t="s">
        <v>170</v>
      </c>
      <c r="E182" s="55" t="n">
        <f aca="false">'Global Inputs'!$K$101</f>
        <v>0</v>
      </c>
      <c r="F182" s="58" t="n">
        <f aca="false">'P15 TBM Output'!F19*$E$182</f>
        <v>0</v>
      </c>
      <c r="G182" s="58" t="n">
        <f aca="false">'P15 TBM Output'!G19*$E$182</f>
        <v>0</v>
      </c>
      <c r="H182" s="58" t="n">
        <f aca="false">'P15 TBM Output'!H19*$E$182</f>
        <v>0</v>
      </c>
      <c r="I182" s="58" t="n">
        <f aca="false">'P15 TBM Output'!I19*$E$182</f>
        <v>0</v>
      </c>
      <c r="J182" s="58" t="n">
        <f aca="false">'P15 TBM Output'!J19*$E$182</f>
        <v>-0</v>
      </c>
      <c r="K182" s="58" t="n">
        <f aca="false">'P15 TBM Output'!K19*$E$182</f>
        <v>-0</v>
      </c>
      <c r="L182" s="58" t="n">
        <f aca="false">'P15 TBM Output'!L19*$E$182</f>
        <v>0</v>
      </c>
      <c r="M182" s="58" t="n">
        <f aca="false">'P15 TBM Output'!M19*$E$182</f>
        <v>0</v>
      </c>
      <c r="N182" s="58" t="n">
        <f aca="false">'P15 TBM Output'!N19*$E$182</f>
        <v>0</v>
      </c>
      <c r="O182" s="58" t="n">
        <f aca="false">'P15 TBM Output'!O19*$E$182</f>
        <v>0</v>
      </c>
      <c r="P182" s="58" t="n">
        <f aca="false">'P15 TBM Output'!P19*$E$182</f>
        <v>0</v>
      </c>
      <c r="Q182" s="58" t="n">
        <f aca="false">'P15 TBM Output'!Q19*$E$182</f>
        <v>0</v>
      </c>
      <c r="R182" s="58" t="n">
        <f aca="false">'P15 TBM Output'!R19*$E$182</f>
        <v>0</v>
      </c>
      <c r="S182" s="58" t="n">
        <f aca="false">'P15 TBM Output'!S19*$E$182</f>
        <v>0</v>
      </c>
    </row>
    <row r="183" customFormat="false" ht="15" hidden="false" customHeight="false" outlineLevel="0" collapsed="false">
      <c r="B183" s="77" t="s">
        <v>69</v>
      </c>
      <c r="C183" s="25" t="s">
        <v>170</v>
      </c>
      <c r="E183" s="55" t="n">
        <f aca="false">'Global Inputs'!$K$102</f>
        <v>0</v>
      </c>
      <c r="F183" s="58" t="n">
        <f aca="false">'P19 Badas Output'!F19*$E$183</f>
        <v>0</v>
      </c>
      <c r="G183" s="58" t="n">
        <f aca="false">'P19 Badas Output'!G19*$E$183</f>
        <v>0</v>
      </c>
      <c r="H183" s="58" t="n">
        <f aca="false">'P19 Badas Output'!H19*$E$183</f>
        <v>0</v>
      </c>
      <c r="I183" s="58" t="n">
        <f aca="false">'P19 Badas Output'!I19*$E$183</f>
        <v>0</v>
      </c>
      <c r="J183" s="58" t="n">
        <f aca="false">'P19 Badas Output'!J19*$E$183</f>
        <v>0</v>
      </c>
      <c r="K183" s="58" t="n">
        <f aca="false">'P19 Badas Output'!K19*$E$183</f>
        <v>-0</v>
      </c>
      <c r="L183" s="58" t="n">
        <f aca="false">'P19 Badas Output'!L19*$E$183</f>
        <v>0</v>
      </c>
      <c r="M183" s="58" t="n">
        <f aca="false">'P19 Badas Output'!M19*$E$183</f>
        <v>0</v>
      </c>
      <c r="N183" s="58" t="n">
        <f aca="false">'P19 Badas Output'!N19*$E$183</f>
        <v>0</v>
      </c>
      <c r="O183" s="58" t="n">
        <f aca="false">'P19 Badas Output'!O19*$E$183</f>
        <v>0</v>
      </c>
      <c r="P183" s="58" t="n">
        <f aca="false">'P19 Badas Output'!P19*$E$183</f>
        <v>0</v>
      </c>
      <c r="Q183" s="58" t="n">
        <f aca="false">'P19 Badas Output'!Q19*$E$183</f>
        <v>0</v>
      </c>
      <c r="R183" s="58" t="n">
        <f aca="false">'P19 Badas Output'!R19*$E$183</f>
        <v>0</v>
      </c>
      <c r="S183" s="58" t="n">
        <f aca="false">'P19 Badas Output'!S19*$E$183</f>
        <v>0</v>
      </c>
    </row>
    <row r="184" customFormat="false" ht="15" hidden="false" customHeight="false" outlineLevel="0" collapsed="false">
      <c r="B184" s="69" t="s">
        <v>457</v>
      </c>
      <c r="C184" s="25" t="s">
        <v>170</v>
      </c>
      <c r="E184" s="70" t="n">
        <f aca="false">SUM(F184:S184)</f>
        <v>3462.85294724622</v>
      </c>
      <c r="F184" s="68" t="n">
        <f aca="false">F170+F171+F172+F173+F174+F175+F176+F177+F178+F179+F180+F181+F182+F183</f>
        <v>0</v>
      </c>
      <c r="G184" s="68" t="n">
        <f aca="false">G170+G171+G172+G173+G174+G175+G176+G177+G178+G179+G180+G181+G182+G183</f>
        <v>45.8999488453122</v>
      </c>
      <c r="H184" s="68" t="n">
        <f aca="false">H170+H171+H172+H173+H174+H175+H176+H177+H178+H179+H180+H181+H182+H183</f>
        <v>113.014040041811</v>
      </c>
      <c r="I184" s="68" t="n">
        <f aca="false">I170+I171+I172+I173+I174+I175+I176+I177+I178+I179+I180+I181+I182+I183</f>
        <v>137.250921284094</v>
      </c>
      <c r="J184" s="68" t="n">
        <f aca="false">J170+J171+J172+J173+J174+J175+J176+J177+J178+J179+J180+J181+J182+J183</f>
        <v>190.844028090166</v>
      </c>
      <c r="K184" s="68" t="n">
        <f aca="false">K170+K171+K172+K173+K174+K175+K176+K177+K178+K179+K180+K181+K182+K183</f>
        <v>221.850532834491</v>
      </c>
      <c r="L184" s="68" t="n">
        <f aca="false">L170+L171+L172+L173+L174+L175+L176+L177+L178+L179+L180+L181+L182+L183</f>
        <v>262.664226441543</v>
      </c>
      <c r="M184" s="68" t="n">
        <f aca="false">M170+M171+M172+M173+M174+M175+M176+M177+M178+M179+M180+M181+M182+M183</f>
        <v>277.800306659017</v>
      </c>
      <c r="N184" s="68" t="n">
        <f aca="false">N170+N171+N172+N173+N174+N175+N176+N177+N178+N179+N180+N181+N182+N183</f>
        <v>309.561460383466</v>
      </c>
      <c r="O184" s="68" t="n">
        <f aca="false">O170+O171+O172+O173+O174+O175+O176+O177+O178+O179+O180+O181+O182+O183</f>
        <v>328.525735365287</v>
      </c>
      <c r="P184" s="68" t="n">
        <f aca="false">P170+P171+P172+P173+P174+P175+P176+P177+P178+P179+P180+P181+P182+P183</f>
        <v>374.246566376272</v>
      </c>
      <c r="Q184" s="68" t="n">
        <f aca="false">Q170+Q171+Q172+Q173+Q174+Q175+Q176+Q177+Q178+Q179+Q180+Q181+Q182+Q183</f>
        <v>394.380083043074</v>
      </c>
      <c r="R184" s="68" t="n">
        <f aca="false">R170+R171+R172+R173+R174+R175+R176+R177+R178+R179+R180+R181+R182+R183</f>
        <v>393.36790516149</v>
      </c>
      <c r="S184" s="68" t="n">
        <f aca="false">S170+S171+S172+S173+S174+S175+S176+S177+S178+S179+S180+S181+S182+S183</f>
        <v>413.447192720197</v>
      </c>
    </row>
    <row r="185" customFormat="false" ht="15" hidden="false" customHeight="false" outlineLevel="0" collapsed="false">
      <c r="B185" s="78" t="s">
        <v>458</v>
      </c>
      <c r="C185" s="79"/>
      <c r="D185" s="79"/>
      <c r="E185" s="79"/>
      <c r="F185" s="79"/>
      <c r="G185" s="79"/>
      <c r="H185" s="79"/>
      <c r="I185" s="79"/>
      <c r="J185" s="79"/>
      <c r="K185" s="79"/>
      <c r="L185" s="79"/>
      <c r="M185" s="79"/>
      <c r="N185" s="79"/>
      <c r="O185" s="79"/>
      <c r="P185" s="79"/>
      <c r="Q185" s="79"/>
      <c r="R185" s="79"/>
      <c r="S185" s="79"/>
    </row>
    <row r="186" customFormat="false" ht="15" hidden="false" customHeight="false" outlineLevel="0" collapsed="false">
      <c r="B186" s="77" t="s">
        <v>31</v>
      </c>
      <c r="C186" s="25" t="s">
        <v>170</v>
      </c>
      <c r="E186" s="55" t="n">
        <f aca="false">'Global Inputs'!$K$89</f>
        <v>1</v>
      </c>
      <c r="F186" s="58" t="n">
        <f aca="false">'E1 TelukLamong Output'!F19*(1-'E1 TelukLamong Output'!$E$61)*$E$186</f>
        <v>0</v>
      </c>
      <c r="G186" s="58" t="n">
        <f aca="false">'E1 TelukLamong Output'!G19*(1-'E1 TelukLamong Output'!$E$61)*$E$186</f>
        <v>19.320159155041</v>
      </c>
      <c r="H186" s="58" t="n">
        <f aca="false">'E1 TelukLamong Output'!H19*(1-'E1 TelukLamong Output'!$E$61)*$E$186</f>
        <v>20.1125562482986</v>
      </c>
      <c r="I186" s="58" t="n">
        <f aca="false">'E1 TelukLamong Output'!I19*(1-'E1 TelukLamong Output'!$E$61)*$E$186</f>
        <v>20.6420142676228</v>
      </c>
      <c r="J186" s="58" t="n">
        <f aca="false">'E1 TelukLamong Output'!J19*(1-'E1 TelukLamong Output'!$E$61)*$E$186</f>
        <v>21.4661686345109</v>
      </c>
      <c r="K186" s="58" t="n">
        <f aca="false">'E1 TelukLamong Output'!K19*(1-'E1 TelukLamong Output'!$E$61)*$E$186</f>
        <v>22.3061797337796</v>
      </c>
      <c r="L186" s="58" t="n">
        <f aca="false">'E1 TelukLamong Output'!L19*(1-'E1 TelukLamong Output'!$E$61)*$E$186</f>
        <v>24.368473053569</v>
      </c>
      <c r="M186" s="58" t="n">
        <f aca="false">'E1 TelukLamong Output'!M19*(1-'E1 TelukLamong Output'!$E$61)*$E$186</f>
        <v>25.2845572350386</v>
      </c>
      <c r="N186" s="58" t="n">
        <f aca="false">'E1 TelukLamong Output'!N19*(1-'E1 TelukLamong Output'!$E$61)*$E$186</f>
        <v>26.2175649795056</v>
      </c>
      <c r="O186" s="58" t="n">
        <f aca="false">'E1 TelukLamong Output'!O19*(1-'E1 TelukLamong Output'!$E$61)*$E$186</f>
        <v>28.5602689399555</v>
      </c>
      <c r="P186" s="58" t="n">
        <f aca="false">'E1 TelukLamong Output'!P19*(1-'E1 TelukLamong Output'!$E$61)*$E$186</f>
        <v>29.5768557966095</v>
      </c>
      <c r="Q186" s="58" t="n">
        <f aca="false">'E1 TelukLamong Output'!Q19*(1-'E1 TelukLamong Output'!$E$61)*$E$186</f>
        <v>30.6113632230258</v>
      </c>
      <c r="R186" s="58" t="n">
        <f aca="false">'E1 TelukLamong Output'!R19*(1-'E1 TelukLamong Output'!$E$61)*$E$186</f>
        <v>31.663572778423</v>
      </c>
      <c r="S186" s="58" t="n">
        <f aca="false">'E1 TelukLamong Output'!S19*(1-'E1 TelukLamong Output'!$E$61)*$E$186</f>
        <v>32.733213485465</v>
      </c>
    </row>
    <row r="187" customFormat="false" ht="15" hidden="false" customHeight="false" outlineLevel="0" collapsed="false">
      <c r="B187" s="77" t="s">
        <v>34</v>
      </c>
      <c r="C187" s="25" t="s">
        <v>170</v>
      </c>
      <c r="E187" s="55" t="n">
        <f aca="false">'Global Inputs'!$K$90</f>
        <v>1</v>
      </c>
      <c r="F187" s="58" t="n">
        <f aca="false">'E2 CigadingExist Output'!F19*(1-'E2 CigadingExist Output'!$E$61)*$E$187</f>
        <v>0</v>
      </c>
      <c r="G187" s="58" t="n">
        <f aca="false">'E2 CigadingExist Output'!G19*(1-'E2 CigadingExist Output'!$E$61)*$E$187</f>
        <v>-0</v>
      </c>
      <c r="H187" s="58" t="n">
        <f aca="false">'E2 CigadingExist Output'!H19*(1-'E2 CigadingExist Output'!$E$61)*$E$187</f>
        <v>-0</v>
      </c>
      <c r="I187" s="58" t="n">
        <f aca="false">'E2 CigadingExist Output'!I19*(1-'E2 CigadingExist Output'!$E$61)*$E$187</f>
        <v>-0</v>
      </c>
      <c r="J187" s="58" t="n">
        <f aca="false">'E2 CigadingExist Output'!J19*(1-'E2 CigadingExist Output'!$E$61)*$E$187</f>
        <v>-0</v>
      </c>
      <c r="K187" s="58" t="n">
        <f aca="false">'E2 CigadingExist Output'!K19*(1-'E2 CigadingExist Output'!$E$61)*$E$187</f>
        <v>-0</v>
      </c>
      <c r="L187" s="58" t="n">
        <f aca="false">'E2 CigadingExist Output'!L19*(1-'E2 CigadingExist Output'!$E$61)*$E$187</f>
        <v>-0</v>
      </c>
      <c r="M187" s="58" t="n">
        <f aca="false">'E2 CigadingExist Output'!M19*(1-'E2 CigadingExist Output'!$E$61)*$E$187</f>
        <v>-0</v>
      </c>
      <c r="N187" s="58" t="n">
        <f aca="false">'E2 CigadingExist Output'!N19*(1-'E2 CigadingExist Output'!$E$61)*$E$187</f>
        <v>0</v>
      </c>
      <c r="O187" s="58" t="n">
        <f aca="false">'E2 CigadingExist Output'!O19*(1-'E2 CigadingExist Output'!$E$61)*$E$187</f>
        <v>0</v>
      </c>
      <c r="P187" s="58" t="n">
        <f aca="false">'E2 CigadingExist Output'!P19*(1-'E2 CigadingExist Output'!$E$61)*$E$187</f>
        <v>0</v>
      </c>
      <c r="Q187" s="58" t="n">
        <f aca="false">'E2 CigadingExist Output'!Q19*(1-'E2 CigadingExist Output'!$E$61)*$E$187</f>
        <v>0</v>
      </c>
      <c r="R187" s="58" t="n">
        <f aca="false">'E2 CigadingExist Output'!R19*(1-'E2 CigadingExist Output'!$E$61)*$E$187</f>
        <v>0</v>
      </c>
      <c r="S187" s="58" t="n">
        <f aca="false">'E2 CigadingExist Output'!S19*(1-'E2 CigadingExist Output'!$E$61)*$E$187</f>
        <v>0</v>
      </c>
    </row>
    <row r="188" customFormat="false" ht="15" hidden="false" customHeight="false" outlineLevel="0" collapsed="false">
      <c r="B188" s="77" t="s">
        <v>37</v>
      </c>
      <c r="C188" s="25" t="s">
        <v>170</v>
      </c>
      <c r="E188" s="55" t="n">
        <f aca="false">'Global Inputs'!$K$91</f>
        <v>1</v>
      </c>
      <c r="F188" s="58" t="n">
        <f aca="false">'E3 Belawan Output'!F19*(1-'E3 Belawan Output'!$E$61)*$E$188</f>
        <v>0</v>
      </c>
      <c r="G188" s="58" t="n">
        <f aca="false">'E3 Belawan Output'!G19*(1-'E3 Belawan Output'!$E$61)*$E$188</f>
        <v>0</v>
      </c>
      <c r="H188" s="58" t="n">
        <f aca="false">'E3 Belawan Output'!H19*(1-'E3 Belawan Output'!$E$61)*$E$188</f>
        <v>0</v>
      </c>
      <c r="I188" s="58" t="n">
        <f aca="false">'E3 Belawan Output'!I19*(1-'E3 Belawan Output'!$E$61)*$E$188</f>
        <v>0</v>
      </c>
      <c r="J188" s="58" t="n">
        <f aca="false">'E3 Belawan Output'!J19*(1-'E3 Belawan Output'!$E$61)*$E$188</f>
        <v>0</v>
      </c>
      <c r="K188" s="58" t="n">
        <f aca="false">'E3 Belawan Output'!K19*(1-'E3 Belawan Output'!$E$61)*$E$188</f>
        <v>0</v>
      </c>
      <c r="L188" s="58" t="n">
        <f aca="false">'E3 Belawan Output'!L19*(1-'E3 Belawan Output'!$E$61)*$E$188</f>
        <v>0</v>
      </c>
      <c r="M188" s="58" t="n">
        <f aca="false">'E3 Belawan Output'!M19*(1-'E3 Belawan Output'!$E$61)*$E$188</f>
        <v>0</v>
      </c>
      <c r="N188" s="58" t="n">
        <f aca="false">'E3 Belawan Output'!N19*(1-'E3 Belawan Output'!$E$61)*$E$188</f>
        <v>0</v>
      </c>
      <c r="O188" s="58" t="n">
        <f aca="false">'E3 Belawan Output'!O19*(1-'E3 Belawan Output'!$E$61)*$E$188</f>
        <v>0</v>
      </c>
      <c r="P188" s="58" t="n">
        <f aca="false">'E3 Belawan Output'!P19*(1-'E3 Belawan Output'!$E$61)*$E$188</f>
        <v>0</v>
      </c>
      <c r="Q188" s="58" t="n">
        <f aca="false">'E3 Belawan Output'!Q19*(1-'E3 Belawan Output'!$E$61)*$E$188</f>
        <v>0</v>
      </c>
      <c r="R188" s="58" t="n">
        <f aca="false">'E3 Belawan Output'!R19*(1-'E3 Belawan Output'!$E$61)*$E$188</f>
        <v>0</v>
      </c>
      <c r="S188" s="58" t="n">
        <f aca="false">'E3 Belawan Output'!S19*(1-'E3 Belawan Output'!$E$61)*$E$188</f>
        <v>0</v>
      </c>
    </row>
    <row r="189" customFormat="false" ht="15" hidden="false" customHeight="false" outlineLevel="0" collapsed="false">
      <c r="B189" s="77" t="s">
        <v>40</v>
      </c>
      <c r="C189" s="25" t="s">
        <v>170</v>
      </c>
      <c r="E189" s="55" t="n">
        <f aca="false">'Global Inputs'!$K$92</f>
        <v>1</v>
      </c>
      <c r="F189" s="58" t="n">
        <f aca="false">'E4 WIN Output'!F19*(1-'E4 WIN Output'!$E$61)*$E$189</f>
        <v>0</v>
      </c>
      <c r="G189" s="58" t="n">
        <f aca="false">'E4 WIN Output'!G19*(1-'E4 WIN Output'!$E$61)*$E$189</f>
        <v>0</v>
      </c>
      <c r="H189" s="58" t="n">
        <f aca="false">'E4 WIN Output'!H19*(1-'E4 WIN Output'!$E$61)*$E$189</f>
        <v>0</v>
      </c>
      <c r="I189" s="58" t="n">
        <f aca="false">'E4 WIN Output'!I19*(1-'E4 WIN Output'!$E$61)*$E$189</f>
        <v>0</v>
      </c>
      <c r="J189" s="58" t="n">
        <f aca="false">'E4 WIN Output'!J19*(1-'E4 WIN Output'!$E$61)*$E$189</f>
        <v>0</v>
      </c>
      <c r="K189" s="58" t="n">
        <f aca="false">'E4 WIN Output'!K19*(1-'E4 WIN Output'!$E$61)*$E$189</f>
        <v>0</v>
      </c>
      <c r="L189" s="58" t="n">
        <f aca="false">'E4 WIN Output'!L19*(1-'E4 WIN Output'!$E$61)*$E$189</f>
        <v>0</v>
      </c>
      <c r="M189" s="58" t="n">
        <f aca="false">'E4 WIN Output'!M19*(1-'E4 WIN Output'!$E$61)*$E$189</f>
        <v>0</v>
      </c>
      <c r="N189" s="58" t="n">
        <f aca="false">'E4 WIN Output'!N19*(1-'E4 WIN Output'!$E$61)*$E$189</f>
        <v>0</v>
      </c>
      <c r="O189" s="58" t="n">
        <f aca="false">'E4 WIN Output'!O19*(1-'E4 WIN Output'!$E$61)*$E$189</f>
        <v>0</v>
      </c>
      <c r="P189" s="58" t="n">
        <f aca="false">'E4 WIN Output'!P19*(1-'E4 WIN Output'!$E$61)*$E$189</f>
        <v>0</v>
      </c>
      <c r="Q189" s="58" t="n">
        <f aca="false">'E4 WIN Output'!Q19*(1-'E4 WIN Output'!$E$61)*$E$189</f>
        <v>0</v>
      </c>
      <c r="R189" s="58" t="n">
        <f aca="false">'E4 WIN Output'!R19*(1-'E4 WIN Output'!$E$61)*$E$189</f>
        <v>0</v>
      </c>
      <c r="S189" s="58" t="n">
        <f aca="false">'E4 WIN Output'!S19*(1-'E4 WIN Output'!$E$61)*$E$189</f>
        <v>0</v>
      </c>
    </row>
    <row r="190" customFormat="false" ht="15" hidden="false" customHeight="false" outlineLevel="0" collapsed="false">
      <c r="B190" s="77" t="s">
        <v>43</v>
      </c>
      <c r="C190" s="25" t="s">
        <v>170</v>
      </c>
      <c r="E190" s="55" t="n">
        <f aca="false">'Global Inputs'!$K$93</f>
        <v>1</v>
      </c>
      <c r="F190" s="58" t="n">
        <f aca="false">'P01 CigWharf2 Output'!F19*(1-'P01 CigWharf2 Output'!$E$60)*$E$190</f>
        <v>0</v>
      </c>
      <c r="G190" s="58" t="n">
        <f aca="false">'P01 CigWharf2 Output'!G19*(1-'P01 CigWharf2 Output'!$E$60)*$E$190</f>
        <v>0</v>
      </c>
      <c r="H190" s="58" t="n">
        <f aca="false">'P01 CigWharf2 Output'!H19*(1-'P01 CigWharf2 Output'!$E$60)*$E$190</f>
        <v>0</v>
      </c>
      <c r="I190" s="58" t="n">
        <f aca="false">'P01 CigWharf2 Output'!I19*(1-'P01 CigWharf2 Output'!$E$60)*$E$190</f>
        <v>0</v>
      </c>
      <c r="J190" s="58" t="n">
        <f aca="false">'P01 CigWharf2 Output'!J19*(1-'P01 CigWharf2 Output'!$E$60)*$E$190</f>
        <v>0</v>
      </c>
      <c r="K190" s="58" t="n">
        <f aca="false">'P01 CigWharf2 Output'!K19*(1-'P01 CigWharf2 Output'!$E$60)*$E$190</f>
        <v>0</v>
      </c>
      <c r="L190" s="58" t="n">
        <f aca="false">'P01 CigWharf2 Output'!L19*(1-'P01 CigWharf2 Output'!$E$60)*$E$190</f>
        <v>0</v>
      </c>
      <c r="M190" s="58" t="n">
        <f aca="false">'P01 CigWharf2 Output'!M19*(1-'P01 CigWharf2 Output'!$E$60)*$E$190</f>
        <v>0</v>
      </c>
      <c r="N190" s="58" t="n">
        <f aca="false">'P01 CigWharf2 Output'!N19*(1-'P01 CigWharf2 Output'!$E$60)*$E$190</f>
        <v>0</v>
      </c>
      <c r="O190" s="58" t="n">
        <f aca="false">'P01 CigWharf2 Output'!O19*(1-'P01 CigWharf2 Output'!$E$60)*$E$190</f>
        <v>0</v>
      </c>
      <c r="P190" s="58" t="n">
        <f aca="false">'P01 CigWharf2 Output'!P19*(1-'P01 CigWharf2 Output'!$E$60)*$E$190</f>
        <v>0</v>
      </c>
      <c r="Q190" s="58" t="n">
        <f aca="false">'P01 CigWharf2 Output'!Q19*(1-'P01 CigWharf2 Output'!$E$60)*$E$190</f>
        <v>0</v>
      </c>
      <c r="R190" s="58" t="n">
        <f aca="false">'P01 CigWharf2 Output'!R19*(1-'P01 CigWharf2 Output'!$E$60)*$E$190</f>
        <v>0</v>
      </c>
      <c r="S190" s="58" t="n">
        <f aca="false">'P01 CigWharf2 Output'!S19*(1-'P01 CigWharf2 Output'!$E$60)*$E$190</f>
        <v>0</v>
      </c>
    </row>
    <row r="191" customFormat="false" ht="15" hidden="false" customHeight="false" outlineLevel="0" collapsed="false">
      <c r="B191" s="77" t="s">
        <v>46</v>
      </c>
      <c r="C191" s="25" t="s">
        <v>170</v>
      </c>
      <c r="E191" s="55" t="n">
        <f aca="false">'Global Inputs'!$K$94</f>
        <v>1</v>
      </c>
      <c r="F191" s="58" t="n">
        <f aca="false">'P02 CigConveyor Output'!F19*(1-'P02 CigConveyor Output'!$E$60)*$E$191</f>
        <v>0</v>
      </c>
      <c r="G191" s="58" t="n">
        <f aca="false">'P02 CigConveyor Output'!G19*(1-'P02 CigConveyor Output'!$E$60)*$E$191</f>
        <v>0</v>
      </c>
      <c r="H191" s="58" t="n">
        <f aca="false">'P02 CigConveyor Output'!H19*(1-'P02 CigConveyor Output'!$E$60)*$E$191</f>
        <v>0</v>
      </c>
      <c r="I191" s="58" t="n">
        <f aca="false">'P02 CigConveyor Output'!I19*(1-'P02 CigConveyor Output'!$E$60)*$E$191</f>
        <v>0</v>
      </c>
      <c r="J191" s="58" t="n">
        <f aca="false">'P02 CigConveyor Output'!J19*(1-'P02 CigConveyor Output'!$E$60)*$E$191</f>
        <v>0</v>
      </c>
      <c r="K191" s="58" t="n">
        <f aca="false">'P02 CigConveyor Output'!K19*(1-'P02 CigConveyor Output'!$E$60)*$E$191</f>
        <v>0</v>
      </c>
      <c r="L191" s="58" t="n">
        <f aca="false">'P02 CigConveyor Output'!L19*(1-'P02 CigConveyor Output'!$E$60)*$E$191</f>
        <v>0</v>
      </c>
      <c r="M191" s="58" t="n">
        <f aca="false">'P02 CigConveyor Output'!M19*(1-'P02 CigConveyor Output'!$E$60)*$E$191</f>
        <v>0</v>
      </c>
      <c r="N191" s="58" t="n">
        <f aca="false">'P02 CigConveyor Output'!N19*(1-'P02 CigConveyor Output'!$E$60)*$E$191</f>
        <v>0</v>
      </c>
      <c r="O191" s="58" t="n">
        <f aca="false">'P02 CigConveyor Output'!O19*(1-'P02 CigConveyor Output'!$E$60)*$E$191</f>
        <v>0</v>
      </c>
      <c r="P191" s="58" t="n">
        <f aca="false">'P02 CigConveyor Output'!P19*(1-'P02 CigConveyor Output'!$E$60)*$E$191</f>
        <v>0</v>
      </c>
      <c r="Q191" s="58" t="n">
        <f aca="false">'P02 CigConveyor Output'!Q19*(1-'P02 CigConveyor Output'!$E$60)*$E$191</f>
        <v>0</v>
      </c>
      <c r="R191" s="58" t="n">
        <f aca="false">'P02 CigConveyor Output'!R19*(1-'P02 CigConveyor Output'!$E$60)*$E$191</f>
        <v>0</v>
      </c>
      <c r="S191" s="58" t="n">
        <f aca="false">'P02 CigConveyor Output'!S19*(1-'P02 CigConveyor Output'!$E$60)*$E$191</f>
        <v>0</v>
      </c>
    </row>
    <row r="192" customFormat="false" ht="15" hidden="false" customHeight="false" outlineLevel="0" collapsed="false">
      <c r="B192" s="77" t="s">
        <v>48</v>
      </c>
      <c r="C192" s="25" t="s">
        <v>170</v>
      </c>
      <c r="E192" s="55" t="n">
        <f aca="false">'Global Inputs'!$K$95</f>
        <v>1</v>
      </c>
      <c r="F192" s="58" t="n">
        <f aca="false">'P03 KBSWarehouse Output'!F19*(1-'P03 KBSWarehouse Output'!$E$60)*$E$192</f>
        <v>0</v>
      </c>
      <c r="G192" s="58" t="n">
        <f aca="false">'P03 KBSWarehouse Output'!G19*(1-'P03 KBSWarehouse Output'!$E$60)*$E$192</f>
        <v>0</v>
      </c>
      <c r="H192" s="58" t="n">
        <f aca="false">'P03 KBSWarehouse Output'!H19*(1-'P03 KBSWarehouse Output'!$E$60)*$E$192</f>
        <v>0</v>
      </c>
      <c r="I192" s="58" t="n">
        <f aca="false">'P03 KBSWarehouse Output'!I19*(1-'P03 KBSWarehouse Output'!$E$60)*$E$192</f>
        <v>0</v>
      </c>
      <c r="J192" s="58" t="n">
        <f aca="false">'P03 KBSWarehouse Output'!J19*(1-'P03 KBSWarehouse Output'!$E$60)*$E$192</f>
        <v>0</v>
      </c>
      <c r="K192" s="58" t="n">
        <f aca="false">'P03 KBSWarehouse Output'!K19*(1-'P03 KBSWarehouse Output'!$E$60)*$E$192</f>
        <v>0</v>
      </c>
      <c r="L192" s="58" t="n">
        <f aca="false">'P03 KBSWarehouse Output'!L19*(1-'P03 KBSWarehouse Output'!$E$60)*$E$192</f>
        <v>0</v>
      </c>
      <c r="M192" s="58" t="n">
        <f aca="false">'P03 KBSWarehouse Output'!M19*(1-'P03 KBSWarehouse Output'!$E$60)*$E$192</f>
        <v>0</v>
      </c>
      <c r="N192" s="58" t="n">
        <f aca="false">'P03 KBSWarehouse Output'!N19*(1-'P03 KBSWarehouse Output'!$E$60)*$E$192</f>
        <v>0</v>
      </c>
      <c r="O192" s="58" t="n">
        <f aca="false">'P03 KBSWarehouse Output'!O19*(1-'P03 KBSWarehouse Output'!$E$60)*$E$192</f>
        <v>0</v>
      </c>
      <c r="P192" s="58" t="n">
        <f aca="false">'P03 KBSWarehouse Output'!P19*(1-'P03 KBSWarehouse Output'!$E$60)*$E$192</f>
        <v>0</v>
      </c>
      <c r="Q192" s="58" t="n">
        <f aca="false">'P03 KBSWarehouse Output'!Q19*(1-'P03 KBSWarehouse Output'!$E$60)*$E$192</f>
        <v>0</v>
      </c>
      <c r="R192" s="58" t="n">
        <f aca="false">'P03 KBSWarehouse Output'!R19*(1-'P03 KBSWarehouse Output'!$E$60)*$E$192</f>
        <v>0</v>
      </c>
      <c r="S192" s="58" t="n">
        <f aca="false">'P03 KBSWarehouse Output'!S19*(1-'P03 KBSWarehouse Output'!$E$60)*$E$192</f>
        <v>0</v>
      </c>
    </row>
    <row r="193" customFormat="false" ht="15" hidden="false" customHeight="false" outlineLevel="0" collapsed="false">
      <c r="B193" s="77" t="s">
        <v>51</v>
      </c>
      <c r="C193" s="25" t="s">
        <v>170</v>
      </c>
      <c r="E193" s="55" t="n">
        <f aca="false">'Global Inputs'!$K$96</f>
        <v>1</v>
      </c>
      <c r="F193" s="58" t="n">
        <f aca="false">'P04 TTLSilo Output'!F19*(1-'P04 TTLSilo Output'!$E$60)*$E$193</f>
        <v>0</v>
      </c>
      <c r="G193" s="58" t="n">
        <f aca="false">'P04 TTLSilo Output'!G19*(1-'P04 TTLSilo Output'!$E$60)*$E$193</f>
        <v>0</v>
      </c>
      <c r="H193" s="58" t="n">
        <f aca="false">'P04 TTLSilo Output'!H19*(1-'P04 TTLSilo Output'!$E$60)*$E$193</f>
        <v>0</v>
      </c>
      <c r="I193" s="58" t="n">
        <f aca="false">'P04 TTLSilo Output'!I19*(1-'P04 TTLSilo Output'!$E$60)*$E$193</f>
        <v>0</v>
      </c>
      <c r="J193" s="58" t="n">
        <f aca="false">'P04 TTLSilo Output'!J19*(1-'P04 TTLSilo Output'!$E$60)*$E$193</f>
        <v>0</v>
      </c>
      <c r="K193" s="58" t="n">
        <f aca="false">'P04 TTLSilo Output'!K19*(1-'P04 TTLSilo Output'!$E$60)*$E$193</f>
        <v>0</v>
      </c>
      <c r="L193" s="58" t="n">
        <f aca="false">'P04 TTLSilo Output'!L19*(1-'P04 TTLSilo Output'!$E$60)*$E$193</f>
        <v>0</v>
      </c>
      <c r="M193" s="58" t="n">
        <f aca="false">'P04 TTLSilo Output'!M19*(1-'P04 TTLSilo Output'!$E$60)*$E$193</f>
        <v>0</v>
      </c>
      <c r="N193" s="58" t="n">
        <f aca="false">'P04 TTLSilo Output'!N19*(1-'P04 TTLSilo Output'!$E$60)*$E$193</f>
        <v>0</v>
      </c>
      <c r="O193" s="58" t="n">
        <f aca="false">'P04 TTLSilo Output'!O19*(1-'P04 TTLSilo Output'!$E$60)*$E$193</f>
        <v>0</v>
      </c>
      <c r="P193" s="58" t="n">
        <f aca="false">'P04 TTLSilo Output'!P19*(1-'P04 TTLSilo Output'!$E$60)*$E$193</f>
        <v>0</v>
      </c>
      <c r="Q193" s="58" t="n">
        <f aca="false">'P04 TTLSilo Output'!Q19*(1-'P04 TTLSilo Output'!$E$60)*$E$193</f>
        <v>0</v>
      </c>
      <c r="R193" s="58" t="n">
        <f aca="false">'P04 TTLSilo Output'!R19*(1-'P04 TTLSilo Output'!$E$60)*$E$193</f>
        <v>0</v>
      </c>
      <c r="S193" s="58" t="n">
        <f aca="false">'P04 TTLSilo Output'!S19*(1-'P04 TTLSilo Output'!$E$60)*$E$193</f>
        <v>0</v>
      </c>
    </row>
    <row r="194" customFormat="false" ht="15" hidden="false" customHeight="false" outlineLevel="0" collapsed="false">
      <c r="B194" s="77" t="s">
        <v>54</v>
      </c>
      <c r="C194" s="25" t="s">
        <v>170</v>
      </c>
      <c r="E194" s="55" t="n">
        <f aca="false">'Global Inputs'!$K$97</f>
        <v>1</v>
      </c>
      <c r="F194" s="58" t="n">
        <f aca="false">'P05 Dumai Output'!F19*(1-'P05 Dumai Output'!$E$60)*$E$194</f>
        <v>0</v>
      </c>
      <c r="G194" s="58" t="n">
        <f aca="false">'P05 Dumai Output'!G19*(1-'P05 Dumai Output'!$E$60)*$E$194</f>
        <v>0</v>
      </c>
      <c r="H194" s="58" t="n">
        <f aca="false">'P05 Dumai Output'!H19*(1-'P05 Dumai Output'!$E$60)*$E$194</f>
        <v>0</v>
      </c>
      <c r="I194" s="58" t="n">
        <f aca="false">'P05 Dumai Output'!I19*(1-'P05 Dumai Output'!$E$60)*$E$194</f>
        <v>0</v>
      </c>
      <c r="J194" s="58" t="n">
        <f aca="false">'P05 Dumai Output'!J19*(1-'P05 Dumai Output'!$E$60)*$E$194</f>
        <v>0</v>
      </c>
      <c r="K194" s="58" t="n">
        <f aca="false">'P05 Dumai Output'!K19*(1-'P05 Dumai Output'!$E$60)*$E$194</f>
        <v>0</v>
      </c>
      <c r="L194" s="58" t="n">
        <f aca="false">'P05 Dumai Output'!L19*(1-'P05 Dumai Output'!$E$60)*$E$194</f>
        <v>0</v>
      </c>
      <c r="M194" s="58" t="n">
        <f aca="false">'P05 Dumai Output'!M19*(1-'P05 Dumai Output'!$E$60)*$E$194</f>
        <v>0</v>
      </c>
      <c r="N194" s="58" t="n">
        <f aca="false">'P05 Dumai Output'!N19*(1-'P05 Dumai Output'!$E$60)*$E$194</f>
        <v>0</v>
      </c>
      <c r="O194" s="58" t="n">
        <f aca="false">'P05 Dumai Output'!O19*(1-'P05 Dumai Output'!$E$60)*$E$194</f>
        <v>0</v>
      </c>
      <c r="P194" s="58" t="n">
        <f aca="false">'P05 Dumai Output'!P19*(1-'P05 Dumai Output'!$E$60)*$E$194</f>
        <v>0</v>
      </c>
      <c r="Q194" s="58" t="n">
        <f aca="false">'P05 Dumai Output'!Q19*(1-'P05 Dumai Output'!$E$60)*$E$194</f>
        <v>0</v>
      </c>
      <c r="R194" s="58" t="n">
        <f aca="false">'P05 Dumai Output'!R19*(1-'P05 Dumai Output'!$E$60)*$E$194</f>
        <v>0</v>
      </c>
      <c r="S194" s="58" t="n">
        <f aca="false">'P05 Dumai Output'!S19*(1-'P05 Dumai Output'!$E$60)*$E$194</f>
        <v>0</v>
      </c>
    </row>
    <row r="195" customFormat="false" ht="15" hidden="false" customHeight="false" outlineLevel="0" collapsed="false">
      <c r="B195" s="77" t="s">
        <v>57</v>
      </c>
      <c r="C195" s="25" t="s">
        <v>170</v>
      </c>
      <c r="E195" s="55" t="n">
        <f aca="false">'Global Inputs'!$K$98</f>
        <v>1</v>
      </c>
      <c r="F195" s="58" t="n">
        <f aca="false">'P06 Ciwandan Output'!F19*(1-'P06 Ciwandan Output'!$E$60)*$E$195</f>
        <v>0</v>
      </c>
      <c r="G195" s="58" t="n">
        <f aca="false">'P06 Ciwandan Output'!G19*(1-'P06 Ciwandan Output'!$E$60)*$E$195</f>
        <v>0</v>
      </c>
      <c r="H195" s="58" t="n">
        <f aca="false">'P06 Ciwandan Output'!H19*(1-'P06 Ciwandan Output'!$E$60)*$E$195</f>
        <v>0</v>
      </c>
      <c r="I195" s="58" t="n">
        <f aca="false">'P06 Ciwandan Output'!I19*(1-'P06 Ciwandan Output'!$E$60)*$E$195</f>
        <v>0</v>
      </c>
      <c r="J195" s="58" t="n">
        <f aca="false">'P06 Ciwandan Output'!J19*(1-'P06 Ciwandan Output'!$E$60)*$E$195</f>
        <v>0</v>
      </c>
      <c r="K195" s="58" t="n">
        <f aca="false">'P06 Ciwandan Output'!K19*(1-'P06 Ciwandan Output'!$E$60)*$E$195</f>
        <v>0</v>
      </c>
      <c r="L195" s="58" t="n">
        <f aca="false">'P06 Ciwandan Output'!L19*(1-'P06 Ciwandan Output'!$E$60)*$E$195</f>
        <v>0</v>
      </c>
      <c r="M195" s="58" t="n">
        <f aca="false">'P06 Ciwandan Output'!M19*(1-'P06 Ciwandan Output'!$E$60)*$E$195</f>
        <v>0</v>
      </c>
      <c r="N195" s="58" t="n">
        <f aca="false">'P06 Ciwandan Output'!N19*(1-'P06 Ciwandan Output'!$E$60)*$E$195</f>
        <v>0</v>
      </c>
      <c r="O195" s="58" t="n">
        <f aca="false">'P06 Ciwandan Output'!O19*(1-'P06 Ciwandan Output'!$E$60)*$E$195</f>
        <v>0</v>
      </c>
      <c r="P195" s="58" t="n">
        <f aca="false">'P06 Ciwandan Output'!P19*(1-'P06 Ciwandan Output'!$E$60)*$E$195</f>
        <v>0</v>
      </c>
      <c r="Q195" s="58" t="n">
        <f aca="false">'P06 Ciwandan Output'!Q19*(1-'P06 Ciwandan Output'!$E$60)*$E$195</f>
        <v>0</v>
      </c>
      <c r="R195" s="58" t="n">
        <f aca="false">'P06 Ciwandan Output'!R19*(1-'P06 Ciwandan Output'!$E$60)*$E$195</f>
        <v>0</v>
      </c>
      <c r="S195" s="58" t="n">
        <f aca="false">'P06 Ciwandan Output'!S19*(1-'P06 Ciwandan Output'!$E$60)*$E$195</f>
        <v>0</v>
      </c>
    </row>
    <row r="196" customFormat="false" ht="15" hidden="false" customHeight="false" outlineLevel="0" collapsed="false">
      <c r="B196" s="77" t="s">
        <v>60</v>
      </c>
      <c r="C196" s="25" t="s">
        <v>170</v>
      </c>
      <c r="E196" s="55" t="n">
        <f aca="false">'Global Inputs'!$K$99</f>
        <v>1</v>
      </c>
      <c r="F196" s="58" t="n">
        <f aca="false">'P08 DMSTrucking Output'!F19*(1-'P08 DMSTrucking Output'!$E$60)*$E$196</f>
        <v>0</v>
      </c>
      <c r="G196" s="58" t="n">
        <f aca="false">'P08 DMSTrucking Output'!G19*(1-'P08 DMSTrucking Output'!$E$60)*$E$196</f>
        <v>0</v>
      </c>
      <c r="H196" s="58" t="n">
        <f aca="false">'P08 DMSTrucking Output'!H19*(1-'P08 DMSTrucking Output'!$E$60)*$E$196</f>
        <v>0</v>
      </c>
      <c r="I196" s="58" t="n">
        <f aca="false">'P08 DMSTrucking Output'!I19*(1-'P08 DMSTrucking Output'!$E$60)*$E$196</f>
        <v>0</v>
      </c>
      <c r="J196" s="58" t="n">
        <f aca="false">'P08 DMSTrucking Output'!J19*(1-'P08 DMSTrucking Output'!$E$60)*$E$196</f>
        <v>0</v>
      </c>
      <c r="K196" s="58" t="n">
        <f aca="false">'P08 DMSTrucking Output'!K19*(1-'P08 DMSTrucking Output'!$E$60)*$E$196</f>
        <v>0</v>
      </c>
      <c r="L196" s="58" t="n">
        <f aca="false">'P08 DMSTrucking Output'!L19*(1-'P08 DMSTrucking Output'!$E$60)*$E$196</f>
        <v>0</v>
      </c>
      <c r="M196" s="58" t="n">
        <f aca="false">'P08 DMSTrucking Output'!M19*(1-'P08 DMSTrucking Output'!$E$60)*$E$196</f>
        <v>0</v>
      </c>
      <c r="N196" s="58" t="n">
        <f aca="false">'P08 DMSTrucking Output'!N19*(1-'P08 DMSTrucking Output'!$E$60)*$E$196</f>
        <v>0</v>
      </c>
      <c r="O196" s="58" t="n">
        <f aca="false">'P08 DMSTrucking Output'!O19*(1-'P08 DMSTrucking Output'!$E$60)*$E$196</f>
        <v>0</v>
      </c>
      <c r="P196" s="58" t="n">
        <f aca="false">'P08 DMSTrucking Output'!P19*(1-'P08 DMSTrucking Output'!$E$60)*$E$196</f>
        <v>0</v>
      </c>
      <c r="Q196" s="58" t="n">
        <f aca="false">'P08 DMSTrucking Output'!Q19*(1-'P08 DMSTrucking Output'!$E$60)*$E$196</f>
        <v>0</v>
      </c>
      <c r="R196" s="58" t="n">
        <f aca="false">'P08 DMSTrucking Output'!R19*(1-'P08 DMSTrucking Output'!$E$60)*$E$196</f>
        <v>0</v>
      </c>
      <c r="S196" s="58" t="n">
        <f aca="false">'P08 DMSTrucking Output'!S19*(1-'P08 DMSTrucking Output'!$E$60)*$E$196</f>
        <v>0</v>
      </c>
    </row>
    <row r="197" customFormat="false" ht="15" hidden="false" customHeight="false" outlineLevel="0" collapsed="false">
      <c r="B197" s="77" t="s">
        <v>63</v>
      </c>
      <c r="C197" s="25" t="s">
        <v>170</v>
      </c>
      <c r="E197" s="55" t="n">
        <f aca="false">'Global Inputs'!$K$100</f>
        <v>0</v>
      </c>
      <c r="F197" s="58" t="n">
        <f aca="false">'P12 BUMNOps Output'!F19*(1-'P12 BUMNOps Output'!$E$60)*$E$197</f>
        <v>0</v>
      </c>
      <c r="G197" s="58" t="n">
        <f aca="false">'P12 BUMNOps Output'!G19*(1-'P12 BUMNOps Output'!$E$60)*$E$197</f>
        <v>0</v>
      </c>
      <c r="H197" s="58" t="n">
        <f aca="false">'P12 BUMNOps Output'!H19*(1-'P12 BUMNOps Output'!$E$60)*$E$197</f>
        <v>0</v>
      </c>
      <c r="I197" s="58" t="n">
        <f aca="false">'P12 BUMNOps Output'!I19*(1-'P12 BUMNOps Output'!$E$60)*$E$197</f>
        <v>0</v>
      </c>
      <c r="J197" s="58" t="n">
        <f aca="false">'P12 BUMNOps Output'!J19*(1-'P12 BUMNOps Output'!$E$60)*$E$197</f>
        <v>0</v>
      </c>
      <c r="K197" s="58" t="n">
        <f aca="false">'P12 BUMNOps Output'!K19*(1-'P12 BUMNOps Output'!$E$60)*$E$197</f>
        <v>0</v>
      </c>
      <c r="L197" s="58" t="n">
        <f aca="false">'P12 BUMNOps Output'!L19*(1-'P12 BUMNOps Output'!$E$60)*$E$197</f>
        <v>0</v>
      </c>
      <c r="M197" s="58" t="n">
        <f aca="false">'P12 BUMNOps Output'!M19*(1-'P12 BUMNOps Output'!$E$60)*$E$197</f>
        <v>0</v>
      </c>
      <c r="N197" s="58" t="n">
        <f aca="false">'P12 BUMNOps Output'!N19*(1-'P12 BUMNOps Output'!$E$60)*$E$197</f>
        <v>0</v>
      </c>
      <c r="O197" s="58" t="n">
        <f aca="false">'P12 BUMNOps Output'!O19*(1-'P12 BUMNOps Output'!$E$60)*$E$197</f>
        <v>0</v>
      </c>
      <c r="P197" s="58" t="n">
        <f aca="false">'P12 BUMNOps Output'!P19*(1-'P12 BUMNOps Output'!$E$60)*$E$197</f>
        <v>0</v>
      </c>
      <c r="Q197" s="58" t="n">
        <f aca="false">'P12 BUMNOps Output'!Q19*(1-'P12 BUMNOps Output'!$E$60)*$E$197</f>
        <v>0</v>
      </c>
      <c r="R197" s="58" t="n">
        <f aca="false">'P12 BUMNOps Output'!R19*(1-'P12 BUMNOps Output'!$E$60)*$E$197</f>
        <v>0</v>
      </c>
      <c r="S197" s="58" t="n">
        <f aca="false">'P12 BUMNOps Output'!S19*(1-'P12 BUMNOps Output'!$E$60)*$E$197</f>
        <v>0</v>
      </c>
    </row>
    <row r="198" customFormat="false" ht="15" hidden="false" customHeight="false" outlineLevel="0" collapsed="false">
      <c r="B198" s="77" t="s">
        <v>66</v>
      </c>
      <c r="C198" s="25" t="s">
        <v>170</v>
      </c>
      <c r="E198" s="55" t="n">
        <f aca="false">'Global Inputs'!$K$101</f>
        <v>0</v>
      </c>
      <c r="F198" s="58" t="n">
        <f aca="false">'P15 TBM Output'!F19*(1-'P15 TBM Output'!$E$60)*$E$198</f>
        <v>0</v>
      </c>
      <c r="G198" s="58" t="n">
        <f aca="false">'P15 TBM Output'!G19*(1-'P15 TBM Output'!$E$60)*$E$198</f>
        <v>0</v>
      </c>
      <c r="H198" s="58" t="n">
        <f aca="false">'P15 TBM Output'!H19*(1-'P15 TBM Output'!$E$60)*$E$198</f>
        <v>0</v>
      </c>
      <c r="I198" s="58" t="n">
        <f aca="false">'P15 TBM Output'!I19*(1-'P15 TBM Output'!$E$60)*$E$198</f>
        <v>0</v>
      </c>
      <c r="J198" s="58" t="n">
        <f aca="false">'P15 TBM Output'!J19*(1-'P15 TBM Output'!$E$60)*$E$198</f>
        <v>-0</v>
      </c>
      <c r="K198" s="58" t="n">
        <f aca="false">'P15 TBM Output'!K19*(1-'P15 TBM Output'!$E$60)*$E$198</f>
        <v>-0</v>
      </c>
      <c r="L198" s="58" t="n">
        <f aca="false">'P15 TBM Output'!L19*(1-'P15 TBM Output'!$E$60)*$E$198</f>
        <v>0</v>
      </c>
      <c r="M198" s="58" t="n">
        <f aca="false">'P15 TBM Output'!M19*(1-'P15 TBM Output'!$E$60)*$E$198</f>
        <v>0</v>
      </c>
      <c r="N198" s="58" t="n">
        <f aca="false">'P15 TBM Output'!N19*(1-'P15 TBM Output'!$E$60)*$E$198</f>
        <v>0</v>
      </c>
      <c r="O198" s="58" t="n">
        <f aca="false">'P15 TBM Output'!O19*(1-'P15 TBM Output'!$E$60)*$E$198</f>
        <v>0</v>
      </c>
      <c r="P198" s="58" t="n">
        <f aca="false">'P15 TBM Output'!P19*(1-'P15 TBM Output'!$E$60)*$E$198</f>
        <v>0</v>
      </c>
      <c r="Q198" s="58" t="n">
        <f aca="false">'P15 TBM Output'!Q19*(1-'P15 TBM Output'!$E$60)*$E$198</f>
        <v>0</v>
      </c>
      <c r="R198" s="58" t="n">
        <f aca="false">'P15 TBM Output'!R19*(1-'P15 TBM Output'!$E$60)*$E$198</f>
        <v>0</v>
      </c>
      <c r="S198" s="58" t="n">
        <f aca="false">'P15 TBM Output'!S19*(1-'P15 TBM Output'!$E$60)*$E$198</f>
        <v>0</v>
      </c>
    </row>
    <row r="199" customFormat="false" ht="15" hidden="false" customHeight="false" outlineLevel="0" collapsed="false">
      <c r="B199" s="77" t="s">
        <v>69</v>
      </c>
      <c r="C199" s="25" t="s">
        <v>170</v>
      </c>
      <c r="E199" s="55" t="n">
        <f aca="false">'Global Inputs'!$K$102</f>
        <v>0</v>
      </c>
      <c r="F199" s="58" t="n">
        <f aca="false">'P19 Badas Output'!F19*(1-'P19 Badas Output'!$E$72)*$E$199</f>
        <v>0</v>
      </c>
      <c r="G199" s="58" t="n">
        <f aca="false">'P19 Badas Output'!G19*(1-'P19 Badas Output'!$E$72)*$E$199</f>
        <v>0</v>
      </c>
      <c r="H199" s="58" t="n">
        <f aca="false">'P19 Badas Output'!H19*(1-'P19 Badas Output'!$E$72)*$E$199</f>
        <v>0</v>
      </c>
      <c r="I199" s="58" t="n">
        <f aca="false">'P19 Badas Output'!I19*(1-'P19 Badas Output'!$E$72)*$E$199</f>
        <v>0</v>
      </c>
      <c r="J199" s="58" t="n">
        <f aca="false">'P19 Badas Output'!J19*(1-'P19 Badas Output'!$E$72)*$E$199</f>
        <v>0</v>
      </c>
      <c r="K199" s="58" t="n">
        <f aca="false">'P19 Badas Output'!K19*(1-'P19 Badas Output'!$E$72)*$E$199</f>
        <v>-0</v>
      </c>
      <c r="L199" s="58" t="n">
        <f aca="false">'P19 Badas Output'!L19*(1-'P19 Badas Output'!$E$72)*$E$199</f>
        <v>0</v>
      </c>
      <c r="M199" s="58" t="n">
        <f aca="false">'P19 Badas Output'!M19*(1-'P19 Badas Output'!$E$72)*$E$199</f>
        <v>0</v>
      </c>
      <c r="N199" s="58" t="n">
        <f aca="false">'P19 Badas Output'!N19*(1-'P19 Badas Output'!$E$72)*$E$199</f>
        <v>0</v>
      </c>
      <c r="O199" s="58" t="n">
        <f aca="false">'P19 Badas Output'!O19*(1-'P19 Badas Output'!$E$72)*$E$199</f>
        <v>0</v>
      </c>
      <c r="P199" s="58" t="n">
        <f aca="false">'P19 Badas Output'!P19*(1-'P19 Badas Output'!$E$72)*$E$199</f>
        <v>0</v>
      </c>
      <c r="Q199" s="58" t="n">
        <f aca="false">'P19 Badas Output'!Q19*(1-'P19 Badas Output'!$E$72)*$E$199</f>
        <v>0</v>
      </c>
      <c r="R199" s="58" t="n">
        <f aca="false">'P19 Badas Output'!R19*(1-'P19 Badas Output'!$E$72)*$E$199</f>
        <v>0</v>
      </c>
      <c r="S199" s="58" t="n">
        <f aca="false">'P19 Badas Output'!S19*(1-'P19 Badas Output'!$E$72)*$E$199</f>
        <v>0</v>
      </c>
    </row>
    <row r="200" customFormat="false" ht="15" hidden="false" customHeight="false" outlineLevel="0" collapsed="false">
      <c r="B200" s="69" t="s">
        <v>459</v>
      </c>
      <c r="C200" s="25" t="s">
        <v>170</v>
      </c>
      <c r="E200" s="70" t="n">
        <f aca="false">SUM(F200:S200)</f>
        <v>332.862947530845</v>
      </c>
      <c r="F200" s="68" t="n">
        <f aca="false">F186+F187+F188+F189+F190+F191+F192+F193+F194+F195+F196+F197+F198+F199</f>
        <v>0</v>
      </c>
      <c r="G200" s="68" t="n">
        <f aca="false">G186+G187+G188+G189+G190+G191+G192+G193+G194+G195+G196+G197+G198+G199</f>
        <v>19.320159155041</v>
      </c>
      <c r="H200" s="68" t="n">
        <f aca="false">H186+H187+H188+H189+H190+H191+H192+H193+H194+H195+H196+H197+H198+H199</f>
        <v>20.1125562482986</v>
      </c>
      <c r="I200" s="68" t="n">
        <f aca="false">I186+I187+I188+I189+I190+I191+I192+I193+I194+I195+I196+I197+I198+I199</f>
        <v>20.6420142676228</v>
      </c>
      <c r="J200" s="68" t="n">
        <f aca="false">J186+J187+J188+J189+J190+J191+J192+J193+J194+J195+J196+J197+J198+J199</f>
        <v>21.4661686345109</v>
      </c>
      <c r="K200" s="68" t="n">
        <f aca="false">K186+K187+K188+K189+K190+K191+K192+K193+K194+K195+K196+K197+K198+K199</f>
        <v>22.3061797337796</v>
      </c>
      <c r="L200" s="68" t="n">
        <f aca="false">L186+L187+L188+L189+L190+L191+L192+L193+L194+L195+L196+L197+L198+L199</f>
        <v>24.368473053569</v>
      </c>
      <c r="M200" s="68" t="n">
        <f aca="false">M186+M187+M188+M189+M190+M191+M192+M193+M194+M195+M196+M197+M198+M199</f>
        <v>25.2845572350386</v>
      </c>
      <c r="N200" s="68" t="n">
        <f aca="false">N186+N187+N188+N189+N190+N191+N192+N193+N194+N195+N196+N197+N198+N199</f>
        <v>26.2175649795056</v>
      </c>
      <c r="O200" s="68" t="n">
        <f aca="false">O186+O187+O188+O189+O190+O191+O192+O193+O194+O195+O196+O197+O198+O199</f>
        <v>28.5602689399555</v>
      </c>
      <c r="P200" s="68" t="n">
        <f aca="false">P186+P187+P188+P189+P190+P191+P192+P193+P194+P195+P196+P197+P198+P199</f>
        <v>29.5768557966095</v>
      </c>
      <c r="Q200" s="68" t="n">
        <f aca="false">Q186+Q187+Q188+Q189+Q190+Q191+Q192+Q193+Q194+Q195+Q196+Q197+Q198+Q199</f>
        <v>30.6113632230258</v>
      </c>
      <c r="R200" s="68" t="n">
        <f aca="false">R186+R187+R188+R189+R190+R191+R192+R193+R194+R195+R196+R197+R198+R199</f>
        <v>31.663572778423</v>
      </c>
      <c r="S200" s="68" t="n">
        <f aca="false">S186+S187+S188+S189+S190+S191+S192+S193+S194+S195+S196+S197+S198+S199</f>
        <v>32.733213485465</v>
      </c>
    </row>
    <row r="201" customFormat="false" ht="15" hidden="false" customHeight="false" outlineLevel="0" collapsed="false">
      <c r="B201" s="78" t="s">
        <v>351</v>
      </c>
      <c r="C201" s="79"/>
      <c r="D201" s="79"/>
      <c r="E201" s="79"/>
      <c r="F201" s="79"/>
      <c r="G201" s="79"/>
      <c r="H201" s="79"/>
      <c r="I201" s="79"/>
      <c r="J201" s="79"/>
      <c r="K201" s="79"/>
      <c r="L201" s="79"/>
      <c r="M201" s="79"/>
      <c r="N201" s="79"/>
      <c r="O201" s="79"/>
      <c r="P201" s="79"/>
      <c r="Q201" s="79"/>
      <c r="R201" s="79"/>
      <c r="S201" s="79"/>
    </row>
    <row r="202" customFormat="false" ht="15" hidden="false" customHeight="false" outlineLevel="0" collapsed="false">
      <c r="B202" s="77" t="s">
        <v>31</v>
      </c>
      <c r="C202" s="25" t="s">
        <v>170</v>
      </c>
      <c r="E202" s="55" t="n">
        <f aca="false">'Global Inputs'!$K$89</f>
        <v>1</v>
      </c>
      <c r="F202" s="58" t="n">
        <f aca="false">'E1 TelukLamong Calc'!F90*$E$202</f>
        <v>0</v>
      </c>
      <c r="G202" s="58" t="n">
        <f aca="false">'E1 TelukLamong Calc'!G90*$E$202</f>
        <v>0</v>
      </c>
      <c r="H202" s="58" t="n">
        <f aca="false">'E1 TelukLamong Calc'!H90*$E$202</f>
        <v>0</v>
      </c>
      <c r="I202" s="58" t="n">
        <f aca="false">'E1 TelukLamong Calc'!I90*$E$202</f>
        <v>0</v>
      </c>
      <c r="J202" s="58" t="n">
        <f aca="false">'E1 TelukLamong Calc'!J90*$E$202</f>
        <v>0</v>
      </c>
      <c r="K202" s="58" t="n">
        <f aca="false">'E1 TelukLamong Calc'!K90*$E$202</f>
        <v>0</v>
      </c>
      <c r="L202" s="58" t="n">
        <f aca="false">'E1 TelukLamong Calc'!L90*$E$202</f>
        <v>0</v>
      </c>
      <c r="M202" s="58" t="n">
        <f aca="false">'E1 TelukLamong Calc'!M90*$E$202</f>
        <v>0</v>
      </c>
      <c r="N202" s="58" t="n">
        <f aca="false">'E1 TelukLamong Calc'!N90*$E$202</f>
        <v>0</v>
      </c>
      <c r="O202" s="58" t="n">
        <f aca="false">'E1 TelukLamong Calc'!O90*$E$202</f>
        <v>0</v>
      </c>
      <c r="P202" s="58" t="n">
        <f aca="false">'E1 TelukLamong Calc'!P90*$E$202</f>
        <v>0</v>
      </c>
      <c r="Q202" s="58" t="n">
        <f aca="false">'E1 TelukLamong Calc'!Q90*$E$202</f>
        <v>0</v>
      </c>
      <c r="R202" s="58" t="n">
        <f aca="false">'E1 TelukLamong Calc'!R90*$E$202</f>
        <v>0</v>
      </c>
      <c r="S202" s="58" t="n">
        <f aca="false">'E1 TelukLamong Calc'!S90*$E$202</f>
        <v>0</v>
      </c>
    </row>
    <row r="203" customFormat="false" ht="15" hidden="false" customHeight="false" outlineLevel="0" collapsed="false">
      <c r="B203" s="77" t="s">
        <v>34</v>
      </c>
      <c r="C203" s="25" t="s">
        <v>170</v>
      </c>
      <c r="E203" s="55" t="n">
        <f aca="false">'Global Inputs'!$K$90</f>
        <v>1</v>
      </c>
      <c r="F203" s="58" t="n">
        <f aca="false">'E2 CigadingExist Calc'!F84*$E$203</f>
        <v>0</v>
      </c>
      <c r="G203" s="58" t="n">
        <f aca="false">'E2 CigadingExist Calc'!G84*$E$203</f>
        <v>0</v>
      </c>
      <c r="H203" s="58" t="n">
        <f aca="false">'E2 CigadingExist Calc'!H84*$E$203</f>
        <v>0</v>
      </c>
      <c r="I203" s="58" t="n">
        <f aca="false">'E2 CigadingExist Calc'!I84*$E$203</f>
        <v>0</v>
      </c>
      <c r="J203" s="58" t="n">
        <f aca="false">'E2 CigadingExist Calc'!J84*$E$203</f>
        <v>0</v>
      </c>
      <c r="K203" s="58" t="n">
        <f aca="false">'E2 CigadingExist Calc'!K84*$E$203</f>
        <v>0</v>
      </c>
      <c r="L203" s="58" t="n">
        <f aca="false">'E2 CigadingExist Calc'!L84*$E$203</f>
        <v>0</v>
      </c>
      <c r="M203" s="58" t="n">
        <f aca="false">'E2 CigadingExist Calc'!M84*$E$203</f>
        <v>0</v>
      </c>
      <c r="N203" s="58" t="n">
        <f aca="false">'E2 CigadingExist Calc'!N84*$E$203</f>
        <v>0</v>
      </c>
      <c r="O203" s="58" t="n">
        <f aca="false">'E2 CigadingExist Calc'!O84*$E$203</f>
        <v>0</v>
      </c>
      <c r="P203" s="58" t="n">
        <f aca="false">'E2 CigadingExist Calc'!P84*$E$203</f>
        <v>0</v>
      </c>
      <c r="Q203" s="58" t="n">
        <f aca="false">'E2 CigadingExist Calc'!Q84*$E$203</f>
        <v>0</v>
      </c>
      <c r="R203" s="58" t="n">
        <f aca="false">'E2 CigadingExist Calc'!R84*$E$203</f>
        <v>0</v>
      </c>
      <c r="S203" s="58" t="n">
        <f aca="false">'E2 CigadingExist Calc'!S84*$E$203</f>
        <v>0</v>
      </c>
    </row>
    <row r="204" customFormat="false" ht="15" hidden="false" customHeight="false" outlineLevel="0" collapsed="false">
      <c r="B204" s="77" t="s">
        <v>37</v>
      </c>
      <c r="C204" s="25" t="s">
        <v>170</v>
      </c>
      <c r="E204" s="55" t="n">
        <f aca="false">'Global Inputs'!$K$91</f>
        <v>1</v>
      </c>
      <c r="F204" s="58" t="n">
        <f aca="false">'E3 Belawan Calc'!F83*$E$204</f>
        <v>0</v>
      </c>
      <c r="G204" s="58" t="n">
        <f aca="false">'E3 Belawan Calc'!G83*$E$204</f>
        <v>0</v>
      </c>
      <c r="H204" s="58" t="n">
        <f aca="false">'E3 Belawan Calc'!H83*$E$204</f>
        <v>0</v>
      </c>
      <c r="I204" s="58" t="n">
        <f aca="false">'E3 Belawan Calc'!I83*$E$204</f>
        <v>114.255</v>
      </c>
      <c r="J204" s="58" t="n">
        <f aca="false">'E3 Belawan Calc'!J83*$E$204</f>
        <v>113.855</v>
      </c>
      <c r="K204" s="58" t="n">
        <f aca="false">'E3 Belawan Calc'!K83*$E$204</f>
        <v>0</v>
      </c>
      <c r="L204" s="58" t="n">
        <f aca="false">'E3 Belawan Calc'!L83*$E$204</f>
        <v>0</v>
      </c>
      <c r="M204" s="58" t="n">
        <f aca="false">'E3 Belawan Calc'!M83*$E$204</f>
        <v>0</v>
      </c>
      <c r="N204" s="58" t="n">
        <f aca="false">'E3 Belawan Calc'!N83*$E$204</f>
        <v>0</v>
      </c>
      <c r="O204" s="58" t="n">
        <f aca="false">'E3 Belawan Calc'!O83*$E$204</f>
        <v>0</v>
      </c>
      <c r="P204" s="58" t="n">
        <f aca="false">'E3 Belawan Calc'!P83*$E$204</f>
        <v>0</v>
      </c>
      <c r="Q204" s="58" t="n">
        <f aca="false">'E3 Belawan Calc'!Q83*$E$204</f>
        <v>0</v>
      </c>
      <c r="R204" s="58" t="n">
        <f aca="false">'E3 Belawan Calc'!R83*$E$204</f>
        <v>0</v>
      </c>
      <c r="S204" s="58" t="n">
        <f aca="false">'E3 Belawan Calc'!S83*$E$204</f>
        <v>0</v>
      </c>
    </row>
    <row r="205" customFormat="false" ht="15" hidden="false" customHeight="false" outlineLevel="0" collapsed="false">
      <c r="B205" s="77" t="s">
        <v>40</v>
      </c>
      <c r="C205" s="25" t="s">
        <v>170</v>
      </c>
      <c r="E205" s="55" t="n">
        <f aca="false">'Global Inputs'!$K$92</f>
        <v>1</v>
      </c>
      <c r="F205" s="58" t="n">
        <f aca="false">'E4 WIN Calc'!F200*$E$205</f>
        <v>0</v>
      </c>
      <c r="G205" s="58" t="n">
        <f aca="false">'E4 WIN Calc'!G200*$E$205</f>
        <v>0</v>
      </c>
      <c r="H205" s="58" t="n">
        <f aca="false">'E4 WIN Calc'!H200*$E$205</f>
        <v>0</v>
      </c>
      <c r="I205" s="58" t="n">
        <f aca="false">'E4 WIN Calc'!I200*$E$205</f>
        <v>0</v>
      </c>
      <c r="J205" s="58" t="n">
        <f aca="false">'E4 WIN Calc'!J200*$E$205</f>
        <v>0</v>
      </c>
      <c r="K205" s="58" t="n">
        <f aca="false">'E4 WIN Calc'!K200*$E$205</f>
        <v>0</v>
      </c>
      <c r="L205" s="58" t="n">
        <f aca="false">'E4 WIN Calc'!L200*$E$205</f>
        <v>0</v>
      </c>
      <c r="M205" s="58" t="n">
        <f aca="false">'E4 WIN Calc'!M200*$E$205</f>
        <v>0</v>
      </c>
      <c r="N205" s="58" t="n">
        <f aca="false">'E4 WIN Calc'!N200*$E$205</f>
        <v>0</v>
      </c>
      <c r="O205" s="58" t="n">
        <f aca="false">'E4 WIN Calc'!O200*$E$205</f>
        <v>0</v>
      </c>
      <c r="P205" s="58" t="n">
        <f aca="false">'E4 WIN Calc'!P200*$E$205</f>
        <v>0</v>
      </c>
      <c r="Q205" s="58" t="n">
        <f aca="false">'E4 WIN Calc'!Q200*$E$205</f>
        <v>0</v>
      </c>
      <c r="R205" s="58" t="n">
        <f aca="false">'E4 WIN Calc'!R200*$E$205</f>
        <v>0</v>
      </c>
      <c r="S205" s="58" t="n">
        <f aca="false">'E4 WIN Calc'!S200*$E$205</f>
        <v>0</v>
      </c>
    </row>
    <row r="206" customFormat="false" ht="15" hidden="false" customHeight="false" outlineLevel="0" collapsed="false">
      <c r="B206" s="77" t="s">
        <v>43</v>
      </c>
      <c r="C206" s="25" t="s">
        <v>170</v>
      </c>
      <c r="E206" s="55" t="n">
        <f aca="false">'Global Inputs'!$K$93</f>
        <v>1</v>
      </c>
      <c r="F206" s="58" t="n">
        <f aca="false">'P01 CigWharf2 Calc'!F35*$E$206</f>
        <v>162.65</v>
      </c>
      <c r="G206" s="58" t="n">
        <f aca="false">'P01 CigWharf2 Calc'!G35*$E$206</f>
        <v>37.4095</v>
      </c>
      <c r="H206" s="58" t="n">
        <f aca="false">'P01 CigWharf2 Calc'!H35*$E$206</f>
        <v>8.1325</v>
      </c>
      <c r="I206" s="58" t="n">
        <f aca="false">'P01 CigWharf2 Calc'!I35*$E$206</f>
        <v>0</v>
      </c>
      <c r="J206" s="58" t="n">
        <f aca="false">'P01 CigWharf2 Calc'!J35*$E$206</f>
        <v>0</v>
      </c>
      <c r="K206" s="58" t="n">
        <f aca="false">'P01 CigWharf2 Calc'!K35*$E$206</f>
        <v>0</v>
      </c>
      <c r="L206" s="58" t="n">
        <f aca="false">'P01 CigWharf2 Calc'!L35*$E$206</f>
        <v>0</v>
      </c>
      <c r="M206" s="58" t="n">
        <f aca="false">'P01 CigWharf2 Calc'!M35*$E$206</f>
        <v>0</v>
      </c>
      <c r="N206" s="58" t="n">
        <f aca="false">'P01 CigWharf2 Calc'!N35*$E$206</f>
        <v>0</v>
      </c>
      <c r="O206" s="58" t="n">
        <f aca="false">'P01 CigWharf2 Calc'!O35*$E$206</f>
        <v>0</v>
      </c>
      <c r="P206" s="58" t="n">
        <f aca="false">'P01 CigWharf2 Calc'!P35*$E$206</f>
        <v>0</v>
      </c>
      <c r="Q206" s="58" t="n">
        <f aca="false">'P01 CigWharf2 Calc'!Q35*$E$206</f>
        <v>0</v>
      </c>
      <c r="R206" s="58" t="n">
        <f aca="false">'P01 CigWharf2 Calc'!R35*$E$206</f>
        <v>0</v>
      </c>
      <c r="S206" s="58" t="n">
        <f aca="false">'P01 CigWharf2 Calc'!S35*$E$206</f>
        <v>0</v>
      </c>
    </row>
    <row r="207" customFormat="false" ht="15" hidden="false" customHeight="false" outlineLevel="0" collapsed="false">
      <c r="B207" s="77" t="s">
        <v>46</v>
      </c>
      <c r="C207" s="25" t="s">
        <v>170</v>
      </c>
      <c r="E207" s="55" t="n">
        <f aca="false">'Global Inputs'!$K$94</f>
        <v>1</v>
      </c>
      <c r="F207" s="58" t="n">
        <f aca="false">'P02 CigConveyor Calc'!F30*$E$207</f>
        <v>35.783</v>
      </c>
      <c r="G207" s="58" t="n">
        <f aca="false">'P02 CigConveyor Calc'!G30*$E$207</f>
        <v>87.831</v>
      </c>
      <c r="H207" s="58" t="n">
        <f aca="false">'P02 CigConveyor Calc'!H30*$E$207</f>
        <v>6.506</v>
      </c>
      <c r="I207" s="58" t="n">
        <f aca="false">'P02 CigConveyor Calc'!I30*$E$207</f>
        <v>0</v>
      </c>
      <c r="J207" s="58" t="n">
        <f aca="false">'P02 CigConveyor Calc'!J30*$E$207</f>
        <v>0</v>
      </c>
      <c r="K207" s="58" t="n">
        <f aca="false">'P02 CigConveyor Calc'!K30*$E$207</f>
        <v>0</v>
      </c>
      <c r="L207" s="58" t="n">
        <f aca="false">'P02 CigConveyor Calc'!L30*$E$207</f>
        <v>0</v>
      </c>
      <c r="M207" s="58" t="n">
        <f aca="false">'P02 CigConveyor Calc'!M30*$E$207</f>
        <v>0</v>
      </c>
      <c r="N207" s="58" t="n">
        <f aca="false">'P02 CigConveyor Calc'!N30*$E$207</f>
        <v>0</v>
      </c>
      <c r="O207" s="58" t="n">
        <f aca="false">'P02 CigConveyor Calc'!O30*$E$207</f>
        <v>0</v>
      </c>
      <c r="P207" s="58" t="n">
        <f aca="false">'P02 CigConveyor Calc'!P30*$E$207</f>
        <v>0</v>
      </c>
      <c r="Q207" s="58" t="n">
        <f aca="false">'P02 CigConveyor Calc'!Q30*$E$207</f>
        <v>0</v>
      </c>
      <c r="R207" s="58" t="n">
        <f aca="false">'P02 CigConveyor Calc'!R30*$E$207</f>
        <v>0</v>
      </c>
      <c r="S207" s="58" t="n">
        <f aca="false">'P02 CigConveyor Calc'!S30*$E$207</f>
        <v>0</v>
      </c>
    </row>
    <row r="208" customFormat="false" ht="15" hidden="false" customHeight="false" outlineLevel="0" collapsed="false">
      <c r="B208" s="77" t="s">
        <v>48</v>
      </c>
      <c r="C208" s="25" t="s">
        <v>170</v>
      </c>
      <c r="E208" s="55" t="n">
        <f aca="false">'Global Inputs'!$K$95</f>
        <v>1</v>
      </c>
      <c r="F208" s="58" t="n">
        <f aca="false">'P03 KBSWarehouse Calc'!F30*$E$208</f>
        <v>0</v>
      </c>
      <c r="G208" s="58" t="n">
        <f aca="false">'P03 KBSWarehouse Calc'!G30*$E$208</f>
        <v>0</v>
      </c>
      <c r="H208" s="58" t="n">
        <f aca="false">'P03 KBSWarehouse Calc'!H30*$E$208</f>
        <v>0</v>
      </c>
      <c r="I208" s="58" t="n">
        <f aca="false">'P03 KBSWarehouse Calc'!I30*$E$208</f>
        <v>97.98995635</v>
      </c>
      <c r="J208" s="58" t="n">
        <f aca="false">'P03 KBSWarehouse Calc'!J30*$E$208</f>
        <v>0</v>
      </c>
      <c r="K208" s="58" t="n">
        <f aca="false">'P03 KBSWarehouse Calc'!K30*$E$208</f>
        <v>0</v>
      </c>
      <c r="L208" s="58" t="n">
        <f aca="false">'P03 KBSWarehouse Calc'!L30*$E$208</f>
        <v>0</v>
      </c>
      <c r="M208" s="58" t="n">
        <f aca="false">'P03 KBSWarehouse Calc'!M30*$E$208</f>
        <v>0</v>
      </c>
      <c r="N208" s="58" t="n">
        <f aca="false">'P03 KBSWarehouse Calc'!N30*$E$208</f>
        <v>0</v>
      </c>
      <c r="O208" s="58" t="n">
        <f aca="false">'P03 KBSWarehouse Calc'!O30*$E$208</f>
        <v>0</v>
      </c>
      <c r="P208" s="58" t="n">
        <f aca="false">'P03 KBSWarehouse Calc'!P30*$E$208</f>
        <v>0</v>
      </c>
      <c r="Q208" s="58" t="n">
        <f aca="false">'P03 KBSWarehouse Calc'!Q30*$E$208</f>
        <v>0</v>
      </c>
      <c r="R208" s="58" t="n">
        <f aca="false">'P03 KBSWarehouse Calc'!R30*$E$208</f>
        <v>0</v>
      </c>
      <c r="S208" s="58" t="n">
        <f aca="false">'P03 KBSWarehouse Calc'!S30*$E$208</f>
        <v>0</v>
      </c>
    </row>
    <row r="209" customFormat="false" ht="15" hidden="false" customHeight="false" outlineLevel="0" collapsed="false">
      <c r="B209" s="77" t="s">
        <v>51</v>
      </c>
      <c r="C209" s="25" t="s">
        <v>170</v>
      </c>
      <c r="E209" s="55" t="n">
        <f aca="false">'Global Inputs'!$K$96</f>
        <v>1</v>
      </c>
      <c r="F209" s="58" t="n">
        <f aca="false">'P04 TTLSilo Calc'!F36*$E$209</f>
        <v>0</v>
      </c>
      <c r="G209" s="58" t="n">
        <f aca="false">'P04 TTLSilo Calc'!G36*$E$209</f>
        <v>0</v>
      </c>
      <c r="H209" s="58" t="n">
        <f aca="false">'P04 TTLSilo Calc'!H36*$E$209</f>
        <v>0</v>
      </c>
      <c r="I209" s="58" t="n">
        <f aca="false">'P04 TTLSilo Calc'!I36*$E$209</f>
        <v>61.1938095</v>
      </c>
      <c r="J209" s="58" t="n">
        <f aca="false">'P04 TTLSilo Calc'!J36*$E$209</f>
        <v>0</v>
      </c>
      <c r="K209" s="58" t="n">
        <f aca="false">'P04 TTLSilo Calc'!K36*$E$209</f>
        <v>0</v>
      </c>
      <c r="L209" s="58" t="n">
        <f aca="false">'P04 TTLSilo Calc'!L36*$E$209</f>
        <v>0</v>
      </c>
      <c r="M209" s="58" t="n">
        <f aca="false">'P04 TTLSilo Calc'!M36*$E$209</f>
        <v>0</v>
      </c>
      <c r="N209" s="58" t="n">
        <f aca="false">'P04 TTLSilo Calc'!N36*$E$209</f>
        <v>0</v>
      </c>
      <c r="O209" s="58" t="n">
        <f aca="false">'P04 TTLSilo Calc'!O36*$E$209</f>
        <v>0</v>
      </c>
      <c r="P209" s="58" t="n">
        <f aca="false">'P04 TTLSilo Calc'!P36*$E$209</f>
        <v>0</v>
      </c>
      <c r="Q209" s="58" t="n">
        <f aca="false">'P04 TTLSilo Calc'!Q36*$E$209</f>
        <v>0</v>
      </c>
      <c r="R209" s="58" t="n">
        <f aca="false">'P04 TTLSilo Calc'!R36*$E$209</f>
        <v>0</v>
      </c>
      <c r="S209" s="58" t="n">
        <f aca="false">'P04 TTLSilo Calc'!S36*$E$209</f>
        <v>0</v>
      </c>
    </row>
    <row r="210" customFormat="false" ht="15" hidden="false" customHeight="false" outlineLevel="0" collapsed="false">
      <c r="B210" s="77" t="s">
        <v>54</v>
      </c>
      <c r="C210" s="25" t="s">
        <v>170</v>
      </c>
      <c r="E210" s="55" t="n">
        <f aca="false">'Global Inputs'!$K$97</f>
        <v>1</v>
      </c>
      <c r="F210" s="58" t="n">
        <f aca="false">'P05 Dumai Calc'!F40*$E$210</f>
        <v>0</v>
      </c>
      <c r="G210" s="58" t="n">
        <f aca="false">'P05 Dumai Calc'!G40*$E$210</f>
        <v>0</v>
      </c>
      <c r="H210" s="58" t="n">
        <f aca="false">'P05 Dumai Calc'!H40*$E$210</f>
        <v>0</v>
      </c>
      <c r="I210" s="58" t="n">
        <f aca="false">'P05 Dumai Calc'!I40*$E$210</f>
        <v>105.470779761905</v>
      </c>
      <c r="J210" s="58" t="n">
        <f aca="false">'P05 Dumai Calc'!J40*$E$210</f>
        <v>5.286125</v>
      </c>
      <c r="K210" s="58" t="n">
        <f aca="false">'P05 Dumai Calc'!K40*$E$210</f>
        <v>0</v>
      </c>
      <c r="L210" s="58" t="n">
        <f aca="false">'P05 Dumai Calc'!L40*$E$210</f>
        <v>0</v>
      </c>
      <c r="M210" s="58" t="n">
        <f aca="false">'P05 Dumai Calc'!M40*$E$210</f>
        <v>0</v>
      </c>
      <c r="N210" s="58" t="n">
        <f aca="false">'P05 Dumai Calc'!N40*$E$210</f>
        <v>0</v>
      </c>
      <c r="O210" s="58" t="n">
        <f aca="false">'P05 Dumai Calc'!O40*$E$210</f>
        <v>0</v>
      </c>
      <c r="P210" s="58" t="n">
        <f aca="false">'P05 Dumai Calc'!P40*$E$210</f>
        <v>0</v>
      </c>
      <c r="Q210" s="58" t="n">
        <f aca="false">'P05 Dumai Calc'!Q40*$E$210</f>
        <v>0</v>
      </c>
      <c r="R210" s="58" t="n">
        <f aca="false">'P05 Dumai Calc'!R40*$E$210</f>
        <v>0</v>
      </c>
      <c r="S210" s="58" t="n">
        <f aca="false">'P05 Dumai Calc'!S40*$E$210</f>
        <v>0</v>
      </c>
    </row>
    <row r="211" customFormat="false" ht="15" hidden="false" customHeight="false" outlineLevel="0" collapsed="false">
      <c r="B211" s="77" t="s">
        <v>57</v>
      </c>
      <c r="C211" s="25" t="s">
        <v>170</v>
      </c>
      <c r="E211" s="55" t="n">
        <f aca="false">'Global Inputs'!$K$98</f>
        <v>1</v>
      </c>
      <c r="F211" s="58" t="n">
        <f aca="false">'P06 Ciwandan Calc'!F34*$E$211</f>
        <v>0</v>
      </c>
      <c r="G211" s="58" t="n">
        <f aca="false">'P06 Ciwandan Calc'!G34*$E$211</f>
        <v>0</v>
      </c>
      <c r="H211" s="58" t="n">
        <f aca="false">'P06 Ciwandan Calc'!H34*$E$211</f>
        <v>0</v>
      </c>
      <c r="I211" s="58" t="n">
        <f aca="false">'P06 Ciwandan Calc'!I34*$E$211</f>
        <v>40.8625</v>
      </c>
      <c r="J211" s="58" t="n">
        <f aca="false">'P06 Ciwandan Calc'!J34*$E$211</f>
        <v>40.8625</v>
      </c>
      <c r="K211" s="58" t="n">
        <f aca="false">'P06 Ciwandan Calc'!K34*$E$211</f>
        <v>0</v>
      </c>
      <c r="L211" s="58" t="n">
        <f aca="false">'P06 Ciwandan Calc'!L34*$E$211</f>
        <v>0</v>
      </c>
      <c r="M211" s="58" t="n">
        <f aca="false">'P06 Ciwandan Calc'!M34*$E$211</f>
        <v>0</v>
      </c>
      <c r="N211" s="58" t="n">
        <f aca="false">'P06 Ciwandan Calc'!N34*$E$211</f>
        <v>0</v>
      </c>
      <c r="O211" s="58" t="n">
        <f aca="false">'P06 Ciwandan Calc'!O34*$E$211</f>
        <v>0</v>
      </c>
      <c r="P211" s="58" t="n">
        <f aca="false">'P06 Ciwandan Calc'!P34*$E$211</f>
        <v>0</v>
      </c>
      <c r="Q211" s="58" t="n">
        <f aca="false">'P06 Ciwandan Calc'!Q34*$E$211</f>
        <v>0</v>
      </c>
      <c r="R211" s="58" t="n">
        <f aca="false">'P06 Ciwandan Calc'!R34*$E$211</f>
        <v>0</v>
      </c>
      <c r="S211" s="58" t="n">
        <f aca="false">'P06 Ciwandan Calc'!S34*$E$211</f>
        <v>0</v>
      </c>
    </row>
    <row r="212" customFormat="false" ht="15" hidden="false" customHeight="false" outlineLevel="0" collapsed="false">
      <c r="B212" s="77" t="s">
        <v>60</v>
      </c>
      <c r="C212" s="25" t="s">
        <v>170</v>
      </c>
      <c r="E212" s="55" t="n">
        <f aca="false">'Global Inputs'!$K$99</f>
        <v>1</v>
      </c>
      <c r="F212" s="58" t="n">
        <f aca="false">'P08 DMSTrucking Calc'!F62*$E$212</f>
        <v>0</v>
      </c>
      <c r="G212" s="58" t="n">
        <f aca="false">'P08 DMSTrucking Calc'!G62*$E$212</f>
        <v>0</v>
      </c>
      <c r="H212" s="58" t="n">
        <f aca="false">'P08 DMSTrucking Calc'!H62*$E$212</f>
        <v>0</v>
      </c>
      <c r="I212" s="58" t="n">
        <f aca="false">'P08 DMSTrucking Calc'!I62*$E$212</f>
        <v>0</v>
      </c>
      <c r="J212" s="58" t="n">
        <f aca="false">'P08 DMSTrucking Calc'!J62*$E$212</f>
        <v>0</v>
      </c>
      <c r="K212" s="58" t="n">
        <f aca="false">'P08 DMSTrucking Calc'!K62*$E$212</f>
        <v>0</v>
      </c>
      <c r="L212" s="58" t="n">
        <f aca="false">'P08 DMSTrucking Calc'!L62*$E$212</f>
        <v>0</v>
      </c>
      <c r="M212" s="58" t="n">
        <f aca="false">'P08 DMSTrucking Calc'!M62*$E$212</f>
        <v>0</v>
      </c>
      <c r="N212" s="58" t="n">
        <f aca="false">'P08 DMSTrucking Calc'!N62*$E$212</f>
        <v>0</v>
      </c>
      <c r="O212" s="58" t="n">
        <f aca="false">'P08 DMSTrucking Calc'!O62*$E$212</f>
        <v>0</v>
      </c>
      <c r="P212" s="58" t="n">
        <f aca="false">'P08 DMSTrucking Calc'!P62*$E$212</f>
        <v>0</v>
      </c>
      <c r="Q212" s="58" t="n">
        <f aca="false">'P08 DMSTrucking Calc'!Q62*$E$212</f>
        <v>0</v>
      </c>
      <c r="R212" s="58" t="n">
        <f aca="false">'P08 DMSTrucking Calc'!R62*$E$212</f>
        <v>0</v>
      </c>
      <c r="S212" s="58" t="n">
        <f aca="false">'P08 DMSTrucking Calc'!S62*$E$212</f>
        <v>0</v>
      </c>
    </row>
    <row r="213" customFormat="false" ht="15" hidden="false" customHeight="false" outlineLevel="0" collapsed="false">
      <c r="B213" s="77" t="s">
        <v>63</v>
      </c>
      <c r="C213" s="25" t="s">
        <v>170</v>
      </c>
      <c r="E213" s="55" t="n">
        <f aca="false">'Global Inputs'!$K$100</f>
        <v>0</v>
      </c>
      <c r="F213" s="58" t="n">
        <f aca="false">'P12 BUMNOps Calc'!F66*$E$213</f>
        <v>0</v>
      </c>
      <c r="G213" s="58" t="n">
        <f aca="false">'P12 BUMNOps Calc'!G66*$E$213</f>
        <v>0</v>
      </c>
      <c r="H213" s="58" t="n">
        <f aca="false">'P12 BUMNOps Calc'!H66*$E$213</f>
        <v>0</v>
      </c>
      <c r="I213" s="58" t="n">
        <f aca="false">'P12 BUMNOps Calc'!I66*$E$213</f>
        <v>0</v>
      </c>
      <c r="J213" s="58" t="n">
        <f aca="false">'P12 BUMNOps Calc'!J66*$E$213</f>
        <v>0</v>
      </c>
      <c r="K213" s="58" t="n">
        <f aca="false">'P12 BUMNOps Calc'!K66*$E$213</f>
        <v>0</v>
      </c>
      <c r="L213" s="58" t="n">
        <f aca="false">'P12 BUMNOps Calc'!L66*$E$213</f>
        <v>0</v>
      </c>
      <c r="M213" s="58" t="n">
        <f aca="false">'P12 BUMNOps Calc'!M66*$E$213</f>
        <v>0</v>
      </c>
      <c r="N213" s="58" t="n">
        <f aca="false">'P12 BUMNOps Calc'!N66*$E$213</f>
        <v>0</v>
      </c>
      <c r="O213" s="58" t="n">
        <f aca="false">'P12 BUMNOps Calc'!O66*$E$213</f>
        <v>0</v>
      </c>
      <c r="P213" s="58" t="n">
        <f aca="false">'P12 BUMNOps Calc'!P66*$E$213</f>
        <v>0</v>
      </c>
      <c r="Q213" s="58" t="n">
        <f aca="false">'P12 BUMNOps Calc'!Q66*$E$213</f>
        <v>0</v>
      </c>
      <c r="R213" s="58" t="n">
        <f aca="false">'P12 BUMNOps Calc'!R66*$E$213</f>
        <v>0</v>
      </c>
      <c r="S213" s="58" t="n">
        <f aca="false">'P12 BUMNOps Calc'!S66*$E$213</f>
        <v>0</v>
      </c>
    </row>
    <row r="214" customFormat="false" ht="15" hidden="false" customHeight="false" outlineLevel="0" collapsed="false">
      <c r="B214" s="77" t="s">
        <v>66</v>
      </c>
      <c r="C214" s="25" t="s">
        <v>170</v>
      </c>
      <c r="E214" s="55" t="n">
        <f aca="false">'Global Inputs'!$K$101</f>
        <v>0</v>
      </c>
      <c r="F214" s="58" t="n">
        <f aca="false">'P15 TBM Calc'!F57*$E$214</f>
        <v>0</v>
      </c>
      <c r="G214" s="58" t="n">
        <f aca="false">'P15 TBM Calc'!G57*$E$214</f>
        <v>0</v>
      </c>
      <c r="H214" s="58" t="n">
        <f aca="false">'P15 TBM Calc'!H57*$E$214</f>
        <v>0</v>
      </c>
      <c r="I214" s="58" t="n">
        <f aca="false">'P15 TBM Calc'!I57*$E$214</f>
        <v>0</v>
      </c>
      <c r="J214" s="58" t="n">
        <f aca="false">'P15 TBM Calc'!J57*$E$214</f>
        <v>0</v>
      </c>
      <c r="K214" s="58" t="n">
        <f aca="false">'P15 TBM Calc'!K57*$E$214</f>
        <v>0</v>
      </c>
      <c r="L214" s="58" t="n">
        <f aca="false">'P15 TBM Calc'!L57*$E$214</f>
        <v>0</v>
      </c>
      <c r="M214" s="58" t="n">
        <f aca="false">'P15 TBM Calc'!M57*$E$214</f>
        <v>0</v>
      </c>
      <c r="N214" s="58" t="n">
        <f aca="false">'P15 TBM Calc'!N57*$E$214</f>
        <v>0</v>
      </c>
      <c r="O214" s="58" t="n">
        <f aca="false">'P15 TBM Calc'!O57*$E$214</f>
        <v>0</v>
      </c>
      <c r="P214" s="58" t="n">
        <f aca="false">'P15 TBM Calc'!P57*$E$214</f>
        <v>0</v>
      </c>
      <c r="Q214" s="58" t="n">
        <f aca="false">'P15 TBM Calc'!Q57*$E$214</f>
        <v>0</v>
      </c>
      <c r="R214" s="58" t="n">
        <f aca="false">'P15 TBM Calc'!R57*$E$214</f>
        <v>0</v>
      </c>
      <c r="S214" s="58" t="n">
        <f aca="false">'P15 TBM Calc'!S57*$E$214</f>
        <v>0</v>
      </c>
    </row>
    <row r="215" customFormat="false" ht="15" hidden="false" customHeight="false" outlineLevel="0" collapsed="false">
      <c r="B215" s="77" t="s">
        <v>69</v>
      </c>
      <c r="C215" s="25" t="s">
        <v>170</v>
      </c>
      <c r="E215" s="55" t="n">
        <f aca="false">'Global Inputs'!$K$102</f>
        <v>0</v>
      </c>
      <c r="F215" s="58" t="n">
        <f aca="false">'P19 Badas Calculation'!F48*$E$215</f>
        <v>0</v>
      </c>
      <c r="G215" s="58" t="n">
        <f aca="false">'P19 Badas Calculation'!G48*$E$215</f>
        <v>0</v>
      </c>
      <c r="H215" s="58" t="n">
        <f aca="false">'P19 Badas Calculation'!H48*$E$215</f>
        <v>0</v>
      </c>
      <c r="I215" s="58" t="n">
        <f aca="false">'P19 Badas Calculation'!I48*$E$215</f>
        <v>0</v>
      </c>
      <c r="J215" s="58" t="n">
        <f aca="false">'P19 Badas Calculation'!J48*$E$215</f>
        <v>0</v>
      </c>
      <c r="K215" s="58" t="n">
        <f aca="false">'P19 Badas Calculation'!K48*$E$215</f>
        <v>0</v>
      </c>
      <c r="L215" s="58" t="n">
        <f aca="false">'P19 Badas Calculation'!L48*$E$215</f>
        <v>0</v>
      </c>
      <c r="M215" s="58" t="n">
        <f aca="false">'P19 Badas Calculation'!M48*$E$215</f>
        <v>0</v>
      </c>
      <c r="N215" s="58" t="n">
        <f aca="false">'P19 Badas Calculation'!N48*$E$215</f>
        <v>0</v>
      </c>
      <c r="O215" s="58" t="n">
        <f aca="false">'P19 Badas Calculation'!O48*$E$215</f>
        <v>0</v>
      </c>
      <c r="P215" s="58" t="n">
        <f aca="false">'P19 Badas Calculation'!P48*$E$215</f>
        <v>0</v>
      </c>
      <c r="Q215" s="58" t="n">
        <f aca="false">'P19 Badas Calculation'!Q48*$E$215</f>
        <v>0</v>
      </c>
      <c r="R215" s="58" t="n">
        <f aca="false">'P19 Badas Calculation'!R48*$E$215</f>
        <v>0</v>
      </c>
      <c r="S215" s="58" t="n">
        <f aca="false">'P19 Badas Calculation'!S48*$E$215</f>
        <v>0</v>
      </c>
    </row>
    <row r="216" customFormat="false" ht="15" hidden="false" customHeight="false" outlineLevel="0" collapsed="false">
      <c r="B216" s="69" t="s">
        <v>460</v>
      </c>
      <c r="C216" s="25" t="s">
        <v>170</v>
      </c>
      <c r="E216" s="70" t="n">
        <f aca="false">SUM(F216:S216)</f>
        <v>918.087670611905</v>
      </c>
      <c r="F216" s="68" t="n">
        <f aca="false">F202+F203+F204+F205+F206+F207+F208+F209+F210+F211+F212+F213+F214+F215</f>
        <v>198.433</v>
      </c>
      <c r="G216" s="68" t="n">
        <f aca="false">G202+G203+G204+G205+G206+G207+G208+G209+G210+G211+G212+G213+G214+G215</f>
        <v>125.2405</v>
      </c>
      <c r="H216" s="68" t="n">
        <f aca="false">H202+H203+H204+H205+H206+H207+H208+H209+H210+H211+H212+H213+H214+H215</f>
        <v>14.6385</v>
      </c>
      <c r="I216" s="68" t="n">
        <f aca="false">I202+I203+I204+I205+I206+I207+I208+I209+I210+I211+I212+I213+I214+I215</f>
        <v>419.772045611905</v>
      </c>
      <c r="J216" s="68" t="n">
        <f aca="false">J202+J203+J204+J205+J206+J207+J208+J209+J210+J211+J212+J213+J214+J215</f>
        <v>160.003625</v>
      </c>
      <c r="K216" s="68" t="n">
        <f aca="false">K202+K203+K204+K205+K206+K207+K208+K209+K210+K211+K212+K213+K214+K215</f>
        <v>0</v>
      </c>
      <c r="L216" s="68" t="n">
        <f aca="false">L202+L203+L204+L205+L206+L207+L208+L209+L210+L211+L212+L213+L214+L215</f>
        <v>0</v>
      </c>
      <c r="M216" s="68" t="n">
        <f aca="false">M202+M203+M204+M205+M206+M207+M208+M209+M210+M211+M212+M213+M214+M215</f>
        <v>0</v>
      </c>
      <c r="N216" s="68" t="n">
        <f aca="false">N202+N203+N204+N205+N206+N207+N208+N209+N210+N211+N212+N213+N214+N215</f>
        <v>0</v>
      </c>
      <c r="O216" s="68" t="n">
        <f aca="false">O202+O203+O204+O205+O206+O207+O208+O209+O210+O211+O212+O213+O214+O215</f>
        <v>0</v>
      </c>
      <c r="P216" s="68" t="n">
        <f aca="false">P202+P203+P204+P205+P206+P207+P208+P209+P210+P211+P212+P213+P214+P215</f>
        <v>0</v>
      </c>
      <c r="Q216" s="68" t="n">
        <f aca="false">Q202+Q203+Q204+Q205+Q206+Q207+Q208+Q209+Q210+Q211+Q212+Q213+Q214+Q215</f>
        <v>0</v>
      </c>
      <c r="R216" s="68" t="n">
        <f aca="false">R202+R203+R204+R205+R206+R207+R208+R209+R210+R211+R212+R213+R214+R215</f>
        <v>0</v>
      </c>
      <c r="S216" s="68" t="n">
        <f aca="false">S202+S203+S204+S205+S206+S207+S208+S209+S210+S211+S212+S213+S214+S215</f>
        <v>0</v>
      </c>
    </row>
    <row r="217" customFormat="false" ht="15" hidden="false" customHeight="false" outlineLevel="0" collapsed="false">
      <c r="B217" s="78" t="s">
        <v>350</v>
      </c>
      <c r="C217" s="79"/>
      <c r="D217" s="79"/>
      <c r="E217" s="79"/>
      <c r="F217" s="79"/>
      <c r="G217" s="79"/>
      <c r="H217" s="79"/>
      <c r="I217" s="79"/>
      <c r="J217" s="79"/>
      <c r="K217" s="79"/>
      <c r="L217" s="79"/>
      <c r="M217" s="79"/>
      <c r="N217" s="79"/>
      <c r="O217" s="79"/>
      <c r="P217" s="79"/>
      <c r="Q217" s="79"/>
      <c r="R217" s="79"/>
      <c r="S217" s="79"/>
    </row>
    <row r="218" customFormat="false" ht="15" hidden="false" customHeight="false" outlineLevel="0" collapsed="false">
      <c r="B218" s="77" t="s">
        <v>31</v>
      </c>
      <c r="C218" s="25" t="s">
        <v>240</v>
      </c>
      <c r="E218" s="55" t="n">
        <f aca="false">'Global Inputs'!$K$89</f>
        <v>1</v>
      </c>
      <c r="F218" s="72" t="n">
        <f aca="false">'E1 TelukLamong Calc'!F89*$E$218</f>
        <v>0</v>
      </c>
      <c r="G218" s="72" t="n">
        <f aca="false">'E1 TelukLamong Calc'!G89*$E$218</f>
        <v>0</v>
      </c>
      <c r="H218" s="72" t="n">
        <f aca="false">'E1 TelukLamong Calc'!H89*$E$218</f>
        <v>0</v>
      </c>
      <c r="I218" s="72" t="n">
        <f aca="false">'E1 TelukLamong Calc'!I89*$E$218</f>
        <v>0</v>
      </c>
      <c r="J218" s="72" t="n">
        <f aca="false">'E1 TelukLamong Calc'!J89*$E$218</f>
        <v>0</v>
      </c>
      <c r="K218" s="72" t="n">
        <f aca="false">'E1 TelukLamong Calc'!K89*$E$218</f>
        <v>0</v>
      </c>
      <c r="L218" s="72" t="n">
        <f aca="false">'E1 TelukLamong Calc'!L89*$E$218</f>
        <v>0</v>
      </c>
      <c r="M218" s="72" t="n">
        <f aca="false">'E1 TelukLamong Calc'!M89*$E$218</f>
        <v>0</v>
      </c>
      <c r="N218" s="72" t="n">
        <f aca="false">'E1 TelukLamong Calc'!N89*$E$218</f>
        <v>0</v>
      </c>
      <c r="O218" s="72" t="n">
        <f aca="false">'E1 TelukLamong Calc'!O89*$E$218</f>
        <v>0</v>
      </c>
      <c r="P218" s="72" t="n">
        <f aca="false">'E1 TelukLamong Calc'!P89*$E$218</f>
        <v>0</v>
      </c>
      <c r="Q218" s="72" t="n">
        <f aca="false">'E1 TelukLamong Calc'!Q89*$E$218</f>
        <v>0</v>
      </c>
      <c r="R218" s="72" t="n">
        <f aca="false">'E1 TelukLamong Calc'!R89*$E$218</f>
        <v>0</v>
      </c>
      <c r="S218" s="72" t="n">
        <f aca="false">'E1 TelukLamong Calc'!S89*$E$218</f>
        <v>0</v>
      </c>
    </row>
    <row r="219" customFormat="false" ht="15" hidden="false" customHeight="false" outlineLevel="0" collapsed="false">
      <c r="B219" s="77" t="s">
        <v>34</v>
      </c>
      <c r="C219" s="25" t="s">
        <v>240</v>
      </c>
      <c r="E219" s="55" t="n">
        <f aca="false">'Global Inputs'!$K$90</f>
        <v>1</v>
      </c>
      <c r="F219" s="72" t="n">
        <f aca="false">'E2 CigadingExist Calc'!F83*$E$219</f>
        <v>0</v>
      </c>
      <c r="G219" s="72" t="n">
        <f aca="false">'E2 CigadingExist Calc'!G83*$E$219</f>
        <v>0</v>
      </c>
      <c r="H219" s="72" t="n">
        <f aca="false">'E2 CigadingExist Calc'!H83*$E$219</f>
        <v>0</v>
      </c>
      <c r="I219" s="72" t="n">
        <f aca="false">'E2 CigadingExist Calc'!I83*$E$219</f>
        <v>0</v>
      </c>
      <c r="J219" s="72" t="n">
        <f aca="false">'E2 CigadingExist Calc'!J83*$E$219</f>
        <v>0</v>
      </c>
      <c r="K219" s="72" t="n">
        <f aca="false">'E2 CigadingExist Calc'!K83*$E$219</f>
        <v>0</v>
      </c>
      <c r="L219" s="72" t="n">
        <f aca="false">'E2 CigadingExist Calc'!L83*$E$219</f>
        <v>0</v>
      </c>
      <c r="M219" s="72" t="n">
        <f aca="false">'E2 CigadingExist Calc'!M83*$E$219</f>
        <v>0</v>
      </c>
      <c r="N219" s="72" t="n">
        <f aca="false">'E2 CigadingExist Calc'!N83*$E$219</f>
        <v>0</v>
      </c>
      <c r="O219" s="72" t="n">
        <f aca="false">'E2 CigadingExist Calc'!O83*$E$219</f>
        <v>0</v>
      </c>
      <c r="P219" s="72" t="n">
        <f aca="false">'E2 CigadingExist Calc'!P83*$E$219</f>
        <v>0</v>
      </c>
      <c r="Q219" s="72" t="n">
        <f aca="false">'E2 CigadingExist Calc'!Q83*$E$219</f>
        <v>0</v>
      </c>
      <c r="R219" s="72" t="n">
        <f aca="false">'E2 CigadingExist Calc'!R83*$E$219</f>
        <v>0</v>
      </c>
      <c r="S219" s="72" t="n">
        <f aca="false">'E2 CigadingExist Calc'!S83*$E$219</f>
        <v>0</v>
      </c>
    </row>
    <row r="220" customFormat="false" ht="15" hidden="false" customHeight="false" outlineLevel="0" collapsed="false">
      <c r="B220" s="77" t="s">
        <v>37</v>
      </c>
      <c r="C220" s="25" t="s">
        <v>240</v>
      </c>
      <c r="E220" s="55" t="n">
        <f aca="false">'Global Inputs'!$K$91</f>
        <v>1</v>
      </c>
      <c r="F220" s="72" t="n">
        <f aca="false">'E3 Belawan Calc'!F81*$E$220</f>
        <v>0</v>
      </c>
      <c r="G220" s="72" t="n">
        <f aca="false">'E3 Belawan Calc'!G81*$E$220</f>
        <v>0</v>
      </c>
      <c r="H220" s="72" t="n">
        <f aca="false">'E3 Belawan Calc'!H81*$E$220</f>
        <v>0</v>
      </c>
      <c r="I220" s="72" t="n">
        <f aca="false">'E3 Belawan Calc'!I81*$E$220</f>
        <v>7.02459268367661</v>
      </c>
      <c r="J220" s="72" t="n">
        <f aca="false">'E3 Belawan Calc'!J81*$E$220</f>
        <v>7</v>
      </c>
      <c r="K220" s="72" t="n">
        <f aca="false">'E3 Belawan Calc'!K81*$E$220</f>
        <v>0</v>
      </c>
      <c r="L220" s="72" t="n">
        <f aca="false">'E3 Belawan Calc'!L81*$E$220</f>
        <v>0</v>
      </c>
      <c r="M220" s="72" t="n">
        <f aca="false">'E3 Belawan Calc'!M81*$E$220</f>
        <v>0</v>
      </c>
      <c r="N220" s="72" t="n">
        <f aca="false">'E3 Belawan Calc'!N81*$E$220</f>
        <v>0</v>
      </c>
      <c r="O220" s="72" t="n">
        <f aca="false">'E3 Belawan Calc'!O81*$E$220</f>
        <v>0</v>
      </c>
      <c r="P220" s="72" t="n">
        <f aca="false">'E3 Belawan Calc'!P81*$E$220</f>
        <v>0</v>
      </c>
      <c r="Q220" s="72" t="n">
        <f aca="false">'E3 Belawan Calc'!Q81*$E$220</f>
        <v>0</v>
      </c>
      <c r="R220" s="72" t="n">
        <f aca="false">'E3 Belawan Calc'!R81*$E$220</f>
        <v>0</v>
      </c>
      <c r="S220" s="72" t="n">
        <f aca="false">'E3 Belawan Calc'!S81*$E$220</f>
        <v>0</v>
      </c>
    </row>
    <row r="221" customFormat="false" ht="15" hidden="false" customHeight="false" outlineLevel="0" collapsed="false">
      <c r="B221" s="77" t="s">
        <v>40</v>
      </c>
      <c r="C221" s="25" t="s">
        <v>240</v>
      </c>
      <c r="E221" s="55" t="n">
        <f aca="false">'Global Inputs'!$K$92</f>
        <v>1</v>
      </c>
      <c r="F221" s="72" t="n">
        <f aca="false">'E4 WIN Calc'!F199*$E$221</f>
        <v>0</v>
      </c>
      <c r="G221" s="72" t="n">
        <f aca="false">'E4 WIN Calc'!G199*$E$221</f>
        <v>0</v>
      </c>
      <c r="H221" s="72" t="n">
        <f aca="false">'E4 WIN Calc'!H199*$E$221</f>
        <v>0</v>
      </c>
      <c r="I221" s="72" t="n">
        <f aca="false">'E4 WIN Calc'!I199*$E$221</f>
        <v>0</v>
      </c>
      <c r="J221" s="72" t="n">
        <f aca="false">'E4 WIN Calc'!J199*$E$221</f>
        <v>0</v>
      </c>
      <c r="K221" s="72" t="n">
        <f aca="false">'E4 WIN Calc'!K199*$E$221</f>
        <v>0</v>
      </c>
      <c r="L221" s="72" t="n">
        <f aca="false">'E4 WIN Calc'!L199*$E$221</f>
        <v>0</v>
      </c>
      <c r="M221" s="72" t="n">
        <f aca="false">'E4 WIN Calc'!M199*$E$221</f>
        <v>0</v>
      </c>
      <c r="N221" s="72" t="n">
        <f aca="false">'E4 WIN Calc'!N199*$E$221</f>
        <v>0</v>
      </c>
      <c r="O221" s="72" t="n">
        <f aca="false">'E4 WIN Calc'!O199*$E$221</f>
        <v>0</v>
      </c>
      <c r="P221" s="72" t="n">
        <f aca="false">'E4 WIN Calc'!P199*$E$221</f>
        <v>0</v>
      </c>
      <c r="Q221" s="72" t="n">
        <f aca="false">'E4 WIN Calc'!Q199*$E$221</f>
        <v>0</v>
      </c>
      <c r="R221" s="72" t="n">
        <f aca="false">'E4 WIN Calc'!R199*$E$221</f>
        <v>0</v>
      </c>
      <c r="S221" s="72" t="n">
        <f aca="false">'E4 WIN Calc'!S199*$E$221</f>
        <v>0</v>
      </c>
    </row>
    <row r="222" customFormat="false" ht="15" hidden="false" customHeight="false" outlineLevel="0" collapsed="false">
      <c r="B222" s="77" t="s">
        <v>43</v>
      </c>
      <c r="C222" s="25" t="s">
        <v>240</v>
      </c>
      <c r="E222" s="55" t="n">
        <f aca="false">'Global Inputs'!$K$93</f>
        <v>1</v>
      </c>
      <c r="F222" s="72" t="n">
        <f aca="false">'P01 CigWharf2 Calc'!F33*$E$222</f>
        <v>10</v>
      </c>
      <c r="G222" s="72" t="n">
        <f aca="false">'P01 CigWharf2 Calc'!G33*$E$222</f>
        <v>2.3</v>
      </c>
      <c r="H222" s="72" t="n">
        <f aca="false">'P01 CigWharf2 Calc'!H33*$E$222</f>
        <v>0.5</v>
      </c>
      <c r="I222" s="72" t="n">
        <f aca="false">'P01 CigWharf2 Calc'!I33*$E$222</f>
        <v>0</v>
      </c>
      <c r="J222" s="72" t="n">
        <f aca="false">'P01 CigWharf2 Calc'!J33*$E$222</f>
        <v>0</v>
      </c>
      <c r="K222" s="72" t="n">
        <f aca="false">'P01 CigWharf2 Calc'!K33*$E$222</f>
        <v>0</v>
      </c>
      <c r="L222" s="72" t="n">
        <f aca="false">'P01 CigWharf2 Calc'!L33*$E$222</f>
        <v>0</v>
      </c>
      <c r="M222" s="72" t="n">
        <f aca="false">'P01 CigWharf2 Calc'!M33*$E$222</f>
        <v>0</v>
      </c>
      <c r="N222" s="72" t="n">
        <f aca="false">'P01 CigWharf2 Calc'!N33*$E$222</f>
        <v>0</v>
      </c>
      <c r="O222" s="72" t="n">
        <f aca="false">'P01 CigWharf2 Calc'!O33*$E$222</f>
        <v>0</v>
      </c>
      <c r="P222" s="72" t="n">
        <f aca="false">'P01 CigWharf2 Calc'!P33*$E$222</f>
        <v>0</v>
      </c>
      <c r="Q222" s="72" t="n">
        <f aca="false">'P01 CigWharf2 Calc'!Q33*$E$222</f>
        <v>0</v>
      </c>
      <c r="R222" s="72" t="n">
        <f aca="false">'P01 CigWharf2 Calc'!R33*$E$222</f>
        <v>0</v>
      </c>
      <c r="S222" s="72" t="n">
        <f aca="false">'P01 CigWharf2 Calc'!S33*$E$222</f>
        <v>0</v>
      </c>
    </row>
    <row r="223" customFormat="false" ht="15" hidden="false" customHeight="false" outlineLevel="0" collapsed="false">
      <c r="B223" s="77" t="s">
        <v>46</v>
      </c>
      <c r="C223" s="25" t="s">
        <v>240</v>
      </c>
      <c r="E223" s="55" t="n">
        <f aca="false">'Global Inputs'!$K$94</f>
        <v>1</v>
      </c>
      <c r="F223" s="72" t="n">
        <f aca="false">'P02 CigConveyor Calc'!F28*$E$223</f>
        <v>2.2</v>
      </c>
      <c r="G223" s="72" t="n">
        <f aca="false">'P02 CigConveyor Calc'!G28*$E$223</f>
        <v>5.4</v>
      </c>
      <c r="H223" s="72" t="n">
        <f aca="false">'P02 CigConveyor Calc'!H28*$E$223</f>
        <v>0.4</v>
      </c>
      <c r="I223" s="72" t="n">
        <f aca="false">'P02 CigConveyor Calc'!I28*$E$223</f>
        <v>0</v>
      </c>
      <c r="J223" s="72" t="n">
        <f aca="false">'P02 CigConveyor Calc'!J28*$E$223</f>
        <v>0</v>
      </c>
      <c r="K223" s="72" t="n">
        <f aca="false">'P02 CigConveyor Calc'!K28*$E$223</f>
        <v>0</v>
      </c>
      <c r="L223" s="72" t="n">
        <f aca="false">'P02 CigConveyor Calc'!L28*$E$223</f>
        <v>0</v>
      </c>
      <c r="M223" s="72" t="n">
        <f aca="false">'P02 CigConveyor Calc'!M28*$E$223</f>
        <v>0</v>
      </c>
      <c r="N223" s="72" t="n">
        <f aca="false">'P02 CigConveyor Calc'!N28*$E$223</f>
        <v>0</v>
      </c>
      <c r="O223" s="72" t="n">
        <f aca="false">'P02 CigConveyor Calc'!O28*$E$223</f>
        <v>0</v>
      </c>
      <c r="P223" s="72" t="n">
        <f aca="false">'P02 CigConveyor Calc'!P28*$E$223</f>
        <v>0</v>
      </c>
      <c r="Q223" s="72" t="n">
        <f aca="false">'P02 CigConveyor Calc'!Q28*$E$223</f>
        <v>0</v>
      </c>
      <c r="R223" s="72" t="n">
        <f aca="false">'P02 CigConveyor Calc'!R28*$E$223</f>
        <v>0</v>
      </c>
      <c r="S223" s="72" t="n">
        <f aca="false">'P02 CigConveyor Calc'!S28*$E$223</f>
        <v>0</v>
      </c>
    </row>
    <row r="224" customFormat="false" ht="15" hidden="false" customHeight="false" outlineLevel="0" collapsed="false">
      <c r="B224" s="77" t="s">
        <v>48</v>
      </c>
      <c r="C224" s="25" t="s">
        <v>240</v>
      </c>
      <c r="E224" s="55" t="n">
        <f aca="false">'Global Inputs'!$K$95</f>
        <v>1</v>
      </c>
      <c r="F224" s="72" t="n">
        <f aca="false">'P03 KBSWarehouse Calc'!F28*$E$224</f>
        <v>0</v>
      </c>
      <c r="G224" s="72" t="n">
        <f aca="false">'P03 KBSWarehouse Calc'!G28*$E$224</f>
        <v>0</v>
      </c>
      <c r="H224" s="72" t="n">
        <f aca="false">'P03 KBSWarehouse Calc'!H28*$E$224</f>
        <v>0</v>
      </c>
      <c r="I224" s="72" t="n">
        <f aca="false">'P03 KBSWarehouse Calc'!I28*$E$224</f>
        <v>6.02459</v>
      </c>
      <c r="J224" s="72" t="n">
        <f aca="false">'P03 KBSWarehouse Calc'!J28*$E$224</f>
        <v>0</v>
      </c>
      <c r="K224" s="72" t="n">
        <f aca="false">'P03 KBSWarehouse Calc'!K28*$E$224</f>
        <v>0</v>
      </c>
      <c r="L224" s="72" t="n">
        <f aca="false">'P03 KBSWarehouse Calc'!L28*$E$224</f>
        <v>0</v>
      </c>
      <c r="M224" s="72" t="n">
        <f aca="false">'P03 KBSWarehouse Calc'!M28*$E$224</f>
        <v>0</v>
      </c>
      <c r="N224" s="72" t="n">
        <f aca="false">'P03 KBSWarehouse Calc'!N28*$E$224</f>
        <v>0</v>
      </c>
      <c r="O224" s="72" t="n">
        <f aca="false">'P03 KBSWarehouse Calc'!O28*$E$224</f>
        <v>0</v>
      </c>
      <c r="P224" s="72" t="n">
        <f aca="false">'P03 KBSWarehouse Calc'!P28*$E$224</f>
        <v>0</v>
      </c>
      <c r="Q224" s="72" t="n">
        <f aca="false">'P03 KBSWarehouse Calc'!Q28*$E$224</f>
        <v>0</v>
      </c>
      <c r="R224" s="72" t="n">
        <f aca="false">'P03 KBSWarehouse Calc'!R28*$E$224</f>
        <v>0</v>
      </c>
      <c r="S224" s="72" t="n">
        <f aca="false">'P03 KBSWarehouse Calc'!S28*$E$224</f>
        <v>0</v>
      </c>
    </row>
    <row r="225" customFormat="false" ht="15" hidden="false" customHeight="false" outlineLevel="0" collapsed="false">
      <c r="B225" s="77" t="s">
        <v>51</v>
      </c>
      <c r="C225" s="25" t="s">
        <v>240</v>
      </c>
      <c r="E225" s="55" t="n">
        <f aca="false">'Global Inputs'!$K$96</f>
        <v>1</v>
      </c>
      <c r="F225" s="72" t="n">
        <f aca="false">'P04 TTLSilo Calc'!F34*$E$225</f>
        <v>0</v>
      </c>
      <c r="G225" s="72" t="n">
        <f aca="false">'P04 TTLSilo Calc'!G34*$E$225</f>
        <v>0</v>
      </c>
      <c r="H225" s="72" t="n">
        <f aca="false">'P04 TTLSilo Calc'!H34*$E$225</f>
        <v>0</v>
      </c>
      <c r="I225" s="72" t="n">
        <f aca="false">'P04 TTLSilo Calc'!I34*$E$225</f>
        <v>3.7623</v>
      </c>
      <c r="J225" s="72" t="n">
        <f aca="false">'P04 TTLSilo Calc'!J34*$E$225</f>
        <v>0</v>
      </c>
      <c r="K225" s="72" t="n">
        <f aca="false">'P04 TTLSilo Calc'!K34*$E$225</f>
        <v>0</v>
      </c>
      <c r="L225" s="72" t="n">
        <f aca="false">'P04 TTLSilo Calc'!L34*$E$225</f>
        <v>0</v>
      </c>
      <c r="M225" s="72" t="n">
        <f aca="false">'P04 TTLSilo Calc'!M34*$E$225</f>
        <v>0</v>
      </c>
      <c r="N225" s="72" t="n">
        <f aca="false">'P04 TTLSilo Calc'!N34*$E$225</f>
        <v>0</v>
      </c>
      <c r="O225" s="72" t="n">
        <f aca="false">'P04 TTLSilo Calc'!O34*$E$225</f>
        <v>0</v>
      </c>
      <c r="P225" s="72" t="n">
        <f aca="false">'P04 TTLSilo Calc'!P34*$E$225</f>
        <v>0</v>
      </c>
      <c r="Q225" s="72" t="n">
        <f aca="false">'P04 TTLSilo Calc'!Q34*$E$225</f>
        <v>0</v>
      </c>
      <c r="R225" s="72" t="n">
        <f aca="false">'P04 TTLSilo Calc'!R34*$E$225</f>
        <v>0</v>
      </c>
      <c r="S225" s="72" t="n">
        <f aca="false">'P04 TTLSilo Calc'!S34*$E$225</f>
        <v>0</v>
      </c>
    </row>
    <row r="226" customFormat="false" ht="15" hidden="false" customHeight="false" outlineLevel="0" collapsed="false">
      <c r="B226" s="77" t="s">
        <v>54</v>
      </c>
      <c r="C226" s="25" t="s">
        <v>240</v>
      </c>
      <c r="E226" s="55" t="n">
        <f aca="false">'Global Inputs'!$K$97</f>
        <v>1</v>
      </c>
      <c r="F226" s="72" t="n">
        <f aca="false">'P05 Dumai Calc'!F38*$E$226</f>
        <v>0</v>
      </c>
      <c r="G226" s="72" t="n">
        <f aca="false">'P05 Dumai Calc'!G38*$E$226</f>
        <v>0</v>
      </c>
      <c r="H226" s="72" t="n">
        <f aca="false">'P05 Dumai Calc'!H38*$E$226</f>
        <v>0</v>
      </c>
      <c r="I226" s="72" t="n">
        <f aca="false">'P05 Dumai Calc'!I38*$E$226</f>
        <v>6.48452380952381</v>
      </c>
      <c r="J226" s="72" t="n">
        <f aca="false">'P05 Dumai Calc'!J38*$E$226</f>
        <v>0.325</v>
      </c>
      <c r="K226" s="72" t="n">
        <f aca="false">'P05 Dumai Calc'!K38*$E$226</f>
        <v>0</v>
      </c>
      <c r="L226" s="72" t="n">
        <f aca="false">'P05 Dumai Calc'!L38*$E$226</f>
        <v>0</v>
      </c>
      <c r="M226" s="72" t="n">
        <f aca="false">'P05 Dumai Calc'!M38*$E$226</f>
        <v>0</v>
      </c>
      <c r="N226" s="72" t="n">
        <f aca="false">'P05 Dumai Calc'!N38*$E$226</f>
        <v>0</v>
      </c>
      <c r="O226" s="72" t="n">
        <f aca="false">'P05 Dumai Calc'!O38*$E$226</f>
        <v>0</v>
      </c>
      <c r="P226" s="72" t="n">
        <f aca="false">'P05 Dumai Calc'!P38*$E$226</f>
        <v>0</v>
      </c>
      <c r="Q226" s="72" t="n">
        <f aca="false">'P05 Dumai Calc'!Q38*$E$226</f>
        <v>0</v>
      </c>
      <c r="R226" s="72" t="n">
        <f aca="false">'P05 Dumai Calc'!R38*$E$226</f>
        <v>0</v>
      </c>
      <c r="S226" s="72" t="n">
        <f aca="false">'P05 Dumai Calc'!S38*$E$226</f>
        <v>0</v>
      </c>
    </row>
    <row r="227" customFormat="false" ht="15" hidden="false" customHeight="false" outlineLevel="0" collapsed="false">
      <c r="B227" s="77" t="s">
        <v>57</v>
      </c>
      <c r="C227" s="25" t="s">
        <v>240</v>
      </c>
      <c r="E227" s="55" t="n">
        <f aca="false">'Global Inputs'!$K$98</f>
        <v>1</v>
      </c>
      <c r="F227" s="72" t="n">
        <f aca="false">'P06 Ciwandan Calc'!F32*$E$227</f>
        <v>0</v>
      </c>
      <c r="G227" s="72" t="n">
        <f aca="false">'P06 Ciwandan Calc'!G32*$E$227</f>
        <v>0</v>
      </c>
      <c r="H227" s="72" t="n">
        <f aca="false">'P06 Ciwandan Calc'!H32*$E$227</f>
        <v>0</v>
      </c>
      <c r="I227" s="72" t="n">
        <f aca="false">'P06 Ciwandan Calc'!I32*$E$227</f>
        <v>2.5122963418383</v>
      </c>
      <c r="J227" s="72" t="n">
        <f aca="false">'P06 Ciwandan Calc'!J32*$E$227</f>
        <v>2.5122963418383</v>
      </c>
      <c r="K227" s="72" t="n">
        <f aca="false">'P06 Ciwandan Calc'!K32*$E$227</f>
        <v>0</v>
      </c>
      <c r="L227" s="72" t="n">
        <f aca="false">'P06 Ciwandan Calc'!L32*$E$227</f>
        <v>0</v>
      </c>
      <c r="M227" s="72" t="n">
        <f aca="false">'P06 Ciwandan Calc'!M32*$E$227</f>
        <v>0</v>
      </c>
      <c r="N227" s="72" t="n">
        <f aca="false">'P06 Ciwandan Calc'!N32*$E$227</f>
        <v>0</v>
      </c>
      <c r="O227" s="72" t="n">
        <f aca="false">'P06 Ciwandan Calc'!O32*$E$227</f>
        <v>0</v>
      </c>
      <c r="P227" s="72" t="n">
        <f aca="false">'P06 Ciwandan Calc'!P32*$E$227</f>
        <v>0</v>
      </c>
      <c r="Q227" s="72" t="n">
        <f aca="false">'P06 Ciwandan Calc'!Q32*$E$227</f>
        <v>0</v>
      </c>
      <c r="R227" s="72" t="n">
        <f aca="false">'P06 Ciwandan Calc'!R32*$E$227</f>
        <v>0</v>
      </c>
      <c r="S227" s="72" t="n">
        <f aca="false">'P06 Ciwandan Calc'!S32*$E$227</f>
        <v>0</v>
      </c>
    </row>
    <row r="228" customFormat="false" ht="15" hidden="false" customHeight="false" outlineLevel="0" collapsed="false">
      <c r="B228" s="77" t="s">
        <v>60</v>
      </c>
      <c r="C228" s="25" t="s">
        <v>240</v>
      </c>
      <c r="E228" s="55" t="n">
        <f aca="false">'Global Inputs'!$K$99</f>
        <v>1</v>
      </c>
      <c r="F228" s="72" t="n">
        <f aca="false">'P08 DMSTrucking Calc'!F61*$E$228</f>
        <v>0</v>
      </c>
      <c r="G228" s="72" t="n">
        <f aca="false">'P08 DMSTrucking Calc'!G61*$E$228</f>
        <v>0</v>
      </c>
      <c r="H228" s="72" t="n">
        <f aca="false">'P08 DMSTrucking Calc'!H61*$E$228</f>
        <v>0</v>
      </c>
      <c r="I228" s="72" t="n">
        <f aca="false">'P08 DMSTrucking Calc'!I61*$E$228</f>
        <v>0</v>
      </c>
      <c r="J228" s="72" t="n">
        <f aca="false">'P08 DMSTrucking Calc'!J61*$E$228</f>
        <v>0</v>
      </c>
      <c r="K228" s="72" t="n">
        <f aca="false">'P08 DMSTrucking Calc'!K61*$E$228</f>
        <v>0</v>
      </c>
      <c r="L228" s="72" t="n">
        <f aca="false">'P08 DMSTrucking Calc'!L61*$E$228</f>
        <v>0</v>
      </c>
      <c r="M228" s="72" t="n">
        <f aca="false">'P08 DMSTrucking Calc'!M61*$E$228</f>
        <v>0</v>
      </c>
      <c r="N228" s="72" t="n">
        <f aca="false">'P08 DMSTrucking Calc'!N61*$E$228</f>
        <v>0</v>
      </c>
      <c r="O228" s="72" t="n">
        <f aca="false">'P08 DMSTrucking Calc'!O61*$E$228</f>
        <v>0</v>
      </c>
      <c r="P228" s="72" t="n">
        <f aca="false">'P08 DMSTrucking Calc'!P61*$E$228</f>
        <v>0</v>
      </c>
      <c r="Q228" s="72" t="n">
        <f aca="false">'P08 DMSTrucking Calc'!Q61*$E$228</f>
        <v>0</v>
      </c>
      <c r="R228" s="72" t="n">
        <f aca="false">'P08 DMSTrucking Calc'!R61*$E$228</f>
        <v>0</v>
      </c>
      <c r="S228" s="72" t="n">
        <f aca="false">'P08 DMSTrucking Calc'!S61*$E$228</f>
        <v>0</v>
      </c>
    </row>
    <row r="229" customFormat="false" ht="15" hidden="false" customHeight="false" outlineLevel="0" collapsed="false">
      <c r="B229" s="77" t="s">
        <v>63</v>
      </c>
      <c r="C229" s="25" t="s">
        <v>240</v>
      </c>
      <c r="E229" s="55" t="n">
        <f aca="false">'Global Inputs'!$K$100</f>
        <v>0</v>
      </c>
      <c r="F229" s="72" t="n">
        <f aca="false">'P12 BUMNOps Calc'!F65*$E$229</f>
        <v>0</v>
      </c>
      <c r="G229" s="72" t="n">
        <f aca="false">'P12 BUMNOps Calc'!G65*$E$229</f>
        <v>0</v>
      </c>
      <c r="H229" s="72" t="n">
        <f aca="false">'P12 BUMNOps Calc'!H65*$E$229</f>
        <v>0</v>
      </c>
      <c r="I229" s="72" t="n">
        <f aca="false">'P12 BUMNOps Calc'!I65*$E$229</f>
        <v>0</v>
      </c>
      <c r="J229" s="72" t="n">
        <f aca="false">'P12 BUMNOps Calc'!J65*$E$229</f>
        <v>0</v>
      </c>
      <c r="K229" s="72" t="n">
        <f aca="false">'P12 BUMNOps Calc'!K65*$E$229</f>
        <v>0</v>
      </c>
      <c r="L229" s="72" t="n">
        <f aca="false">'P12 BUMNOps Calc'!L65*$E$229</f>
        <v>0</v>
      </c>
      <c r="M229" s="72" t="n">
        <f aca="false">'P12 BUMNOps Calc'!M65*$E$229</f>
        <v>0</v>
      </c>
      <c r="N229" s="72" t="n">
        <f aca="false">'P12 BUMNOps Calc'!N65*$E$229</f>
        <v>0</v>
      </c>
      <c r="O229" s="72" t="n">
        <f aca="false">'P12 BUMNOps Calc'!O65*$E$229</f>
        <v>0</v>
      </c>
      <c r="P229" s="72" t="n">
        <f aca="false">'P12 BUMNOps Calc'!P65*$E$229</f>
        <v>0</v>
      </c>
      <c r="Q229" s="72" t="n">
        <f aca="false">'P12 BUMNOps Calc'!Q65*$E$229</f>
        <v>0</v>
      </c>
      <c r="R229" s="72" t="n">
        <f aca="false">'P12 BUMNOps Calc'!R65*$E$229</f>
        <v>0</v>
      </c>
      <c r="S229" s="72" t="n">
        <f aca="false">'P12 BUMNOps Calc'!S65*$E$229</f>
        <v>0</v>
      </c>
    </row>
    <row r="230" customFormat="false" ht="15" hidden="false" customHeight="false" outlineLevel="0" collapsed="false">
      <c r="B230" s="77" t="s">
        <v>66</v>
      </c>
      <c r="C230" s="25" t="s">
        <v>240</v>
      </c>
      <c r="E230" s="55" t="n">
        <f aca="false">'Global Inputs'!$K$101</f>
        <v>0</v>
      </c>
      <c r="F230" s="72" t="n">
        <f aca="false">'P15 TBM Calc'!F55*$E$230</f>
        <v>0</v>
      </c>
      <c r="G230" s="72" t="n">
        <f aca="false">'P15 TBM Calc'!G55*$E$230</f>
        <v>0</v>
      </c>
      <c r="H230" s="72" t="n">
        <f aca="false">'P15 TBM Calc'!H55*$E$230</f>
        <v>0</v>
      </c>
      <c r="I230" s="72" t="n">
        <f aca="false">'P15 TBM Calc'!I55*$E$230</f>
        <v>0</v>
      </c>
      <c r="J230" s="72" t="n">
        <f aca="false">'P15 TBM Calc'!J55*$E$230</f>
        <v>0</v>
      </c>
      <c r="K230" s="72" t="n">
        <f aca="false">'P15 TBM Calc'!K55*$E$230</f>
        <v>0</v>
      </c>
      <c r="L230" s="72" t="n">
        <f aca="false">'P15 TBM Calc'!L55*$E$230</f>
        <v>0</v>
      </c>
      <c r="M230" s="72" t="n">
        <f aca="false">'P15 TBM Calc'!M55*$E$230</f>
        <v>0</v>
      </c>
      <c r="N230" s="72" t="n">
        <f aca="false">'P15 TBM Calc'!N55*$E$230</f>
        <v>0</v>
      </c>
      <c r="O230" s="72" t="n">
        <f aca="false">'P15 TBM Calc'!O55*$E$230</f>
        <v>0</v>
      </c>
      <c r="P230" s="72" t="n">
        <f aca="false">'P15 TBM Calc'!P55*$E$230</f>
        <v>0</v>
      </c>
      <c r="Q230" s="72" t="n">
        <f aca="false">'P15 TBM Calc'!Q55*$E$230</f>
        <v>0</v>
      </c>
      <c r="R230" s="72" t="n">
        <f aca="false">'P15 TBM Calc'!R55*$E$230</f>
        <v>0</v>
      </c>
      <c r="S230" s="72" t="n">
        <f aca="false">'P15 TBM Calc'!S55*$E$230</f>
        <v>0</v>
      </c>
    </row>
    <row r="231" customFormat="false" ht="15" hidden="false" customHeight="false" outlineLevel="0" collapsed="false">
      <c r="B231" s="77" t="s">
        <v>69</v>
      </c>
      <c r="C231" s="25" t="s">
        <v>240</v>
      </c>
      <c r="E231" s="55" t="n">
        <f aca="false">'Global Inputs'!$K$102</f>
        <v>0</v>
      </c>
      <c r="F231" s="72" t="n">
        <f aca="false">'P19 Badas Calculation'!F46*$E$231</f>
        <v>0</v>
      </c>
      <c r="G231" s="72" t="n">
        <f aca="false">'P19 Badas Calculation'!G46*$E$231</f>
        <v>0</v>
      </c>
      <c r="H231" s="72" t="n">
        <f aca="false">'P19 Badas Calculation'!H46*$E$231</f>
        <v>0</v>
      </c>
      <c r="I231" s="72" t="n">
        <f aca="false">'P19 Badas Calculation'!I46*$E$231</f>
        <v>0</v>
      </c>
      <c r="J231" s="72" t="n">
        <f aca="false">'P19 Badas Calculation'!J46*$E$231</f>
        <v>0</v>
      </c>
      <c r="K231" s="72" t="n">
        <f aca="false">'P19 Badas Calculation'!K46*$E$231</f>
        <v>0</v>
      </c>
      <c r="L231" s="72" t="n">
        <f aca="false">'P19 Badas Calculation'!L46*$E$231</f>
        <v>0</v>
      </c>
      <c r="M231" s="72" t="n">
        <f aca="false">'P19 Badas Calculation'!M46*$E$231</f>
        <v>0</v>
      </c>
      <c r="N231" s="72" t="n">
        <f aca="false">'P19 Badas Calculation'!N46*$E$231</f>
        <v>0</v>
      </c>
      <c r="O231" s="72" t="n">
        <f aca="false">'P19 Badas Calculation'!O46*$E$231</f>
        <v>0</v>
      </c>
      <c r="P231" s="72" t="n">
        <f aca="false">'P19 Badas Calculation'!P46*$E$231</f>
        <v>0</v>
      </c>
      <c r="Q231" s="72" t="n">
        <f aca="false">'P19 Badas Calculation'!Q46*$E$231</f>
        <v>0</v>
      </c>
      <c r="R231" s="72" t="n">
        <f aca="false">'P19 Badas Calculation'!R46*$E$231</f>
        <v>0</v>
      </c>
      <c r="S231" s="72" t="n">
        <f aca="false">'P19 Badas Calculation'!S46*$E$231</f>
        <v>0</v>
      </c>
    </row>
    <row r="232" customFormat="false" ht="15" hidden="false" customHeight="false" outlineLevel="0" collapsed="false">
      <c r="B232" s="69" t="s">
        <v>461</v>
      </c>
      <c r="C232" s="25" t="s">
        <v>240</v>
      </c>
      <c r="E232" s="80" t="n">
        <f aca="false">SUM(F232:S232)</f>
        <v>56.445599176877</v>
      </c>
      <c r="F232" s="81" t="n">
        <f aca="false">F218+F219+F220+F221+F222+F223+F224+F225+F226+F227+F228+F229+F230+F231</f>
        <v>12.2</v>
      </c>
      <c r="G232" s="81" t="n">
        <f aca="false">G218+G219+G220+G221+G222+G223+G224+G225+G226+G227+G228+G229+G230+G231</f>
        <v>7.7</v>
      </c>
      <c r="H232" s="81" t="n">
        <f aca="false">H218+H219+H220+H221+H222+H223+H224+H225+H226+H227+H228+H229+H230+H231</f>
        <v>0.9</v>
      </c>
      <c r="I232" s="81" t="n">
        <f aca="false">I218+I219+I220+I221+I222+I223+I224+I225+I226+I227+I228+I229+I230+I231</f>
        <v>25.8083028350387</v>
      </c>
      <c r="J232" s="81" t="n">
        <f aca="false">J218+J219+J220+J221+J222+J223+J224+J225+J226+J227+J228+J229+J230+J231</f>
        <v>9.83729634183831</v>
      </c>
      <c r="K232" s="81" t="n">
        <f aca="false">K218+K219+K220+K221+K222+K223+K224+K225+K226+K227+K228+K229+K230+K231</f>
        <v>0</v>
      </c>
      <c r="L232" s="81" t="n">
        <f aca="false">L218+L219+L220+L221+L222+L223+L224+L225+L226+L227+L228+L229+L230+L231</f>
        <v>0</v>
      </c>
      <c r="M232" s="81" t="n">
        <f aca="false">M218+M219+M220+M221+M222+M223+M224+M225+M226+M227+M228+M229+M230+M231</f>
        <v>0</v>
      </c>
      <c r="N232" s="81" t="n">
        <f aca="false">N218+N219+N220+N221+N222+N223+N224+N225+N226+N227+N228+N229+N230+N231</f>
        <v>0</v>
      </c>
      <c r="O232" s="81" t="n">
        <f aca="false">O218+O219+O220+O221+O222+O223+O224+O225+O226+O227+O228+O229+O230+O231</f>
        <v>0</v>
      </c>
      <c r="P232" s="81" t="n">
        <f aca="false">P218+P219+P220+P221+P222+P223+P224+P225+P226+P227+P228+P229+P230+P231</f>
        <v>0</v>
      </c>
      <c r="Q232" s="81" t="n">
        <f aca="false">Q218+Q219+Q220+Q221+Q222+Q223+Q224+Q225+Q226+Q227+Q228+Q229+Q230+Q231</f>
        <v>0</v>
      </c>
      <c r="R232" s="81" t="n">
        <f aca="false">R218+R219+R220+R221+R222+R223+R224+R225+R226+R227+R228+R229+R230+R231</f>
        <v>0</v>
      </c>
      <c r="S232" s="81" t="n">
        <f aca="false">S218+S219+S220+S221+S222+S223+S224+S225+S226+S227+S228+S229+S230+S231</f>
        <v>0</v>
      </c>
    </row>
    <row r="233" customFormat="false" ht="15" hidden="false" customHeight="false" outlineLevel="0" collapsed="false">
      <c r="B233" s="78" t="s">
        <v>352</v>
      </c>
      <c r="C233" s="79"/>
      <c r="D233" s="79"/>
      <c r="E233" s="79"/>
      <c r="F233" s="79"/>
      <c r="G233" s="79"/>
      <c r="H233" s="79"/>
      <c r="I233" s="79"/>
      <c r="J233" s="79"/>
      <c r="K233" s="79"/>
      <c r="L233" s="79"/>
      <c r="M233" s="79"/>
      <c r="N233" s="79"/>
      <c r="O233" s="79"/>
      <c r="P233" s="79"/>
      <c r="Q233" s="79"/>
      <c r="R233" s="79"/>
      <c r="S233" s="79"/>
    </row>
    <row r="234" customFormat="false" ht="15" hidden="false" customHeight="false" outlineLevel="0" collapsed="false">
      <c r="B234" s="77" t="s">
        <v>31</v>
      </c>
      <c r="C234" s="25" t="s">
        <v>170</v>
      </c>
      <c r="E234" s="55" t="n">
        <f aca="false">'Global Inputs'!$K$89</f>
        <v>1</v>
      </c>
      <c r="F234" s="58" t="n">
        <f aca="false">'E1 TelukLamong Calc'!F99*$E$234</f>
        <v>0</v>
      </c>
      <c r="G234" s="58" t="n">
        <f aca="false">'E1 TelukLamong Calc'!G99*$E$234</f>
        <v>-2.69467710415828</v>
      </c>
      <c r="H234" s="58" t="n">
        <f aca="false">'E1 TelukLamong Calc'!H99*$E$234</f>
        <v>0.511285575743667</v>
      </c>
      <c r="I234" s="58" t="n">
        <f aca="false">'E1 TelukLamong Calc'!I99*$E$234</f>
        <v>0.475116560332946</v>
      </c>
      <c r="J234" s="58" t="n">
        <f aca="false">'E1 TelukLamong Calc'!J99*$E$234</f>
        <v>0.488627690838815</v>
      </c>
      <c r="K234" s="58" t="n">
        <f aca="false">'E1 TelukLamong Calc'!K99*$E$234</f>
        <v>0.449342963009634</v>
      </c>
      <c r="L234" s="58" t="n">
        <f aca="false">'E1 TelukLamong Calc'!L99*$E$234</f>
        <v>1.23301005239415</v>
      </c>
      <c r="M234" s="58" t="n">
        <f aca="false">'E1 TelukLamong Calc'!M99*$E$234</f>
        <v>0.545227885382797</v>
      </c>
      <c r="N234" s="58" t="n">
        <f aca="false">'E1 TelukLamong Calc'!N99*$E$234</f>
        <v>0.558376947086764</v>
      </c>
      <c r="O234" s="58" t="n">
        <f aca="false">'E1 TelukLamong Calc'!O99*$E$234</f>
        <v>1.26381888624326</v>
      </c>
      <c r="P234" s="58" t="n">
        <f aca="false">'E1 TelukLamong Calc'!P99*$E$234</f>
        <v>0.669038449617968</v>
      </c>
      <c r="Q234" s="58" t="n">
        <f aca="false">'E1 TelukLamong Calc'!Q99*$E$234</f>
        <v>0.62234838973799</v>
      </c>
      <c r="R234" s="58" t="n">
        <f aca="false">'E1 TelukLamong Calc'!R99*$E$234</f>
        <v>0.636973488078322</v>
      </c>
      <c r="S234" s="58" t="n">
        <f aca="false">'E1 TelukLamong Calc'!S99*$E$234</f>
        <v>0.583801836710688</v>
      </c>
    </row>
    <row r="235" customFormat="false" ht="15" hidden="false" customHeight="false" outlineLevel="0" collapsed="false">
      <c r="B235" s="77" t="s">
        <v>34</v>
      </c>
      <c r="C235" s="25" t="s">
        <v>170</v>
      </c>
      <c r="E235" s="55" t="n">
        <f aca="false">'Global Inputs'!$K$90</f>
        <v>1</v>
      </c>
      <c r="F235" s="58" t="n">
        <f aca="false">'E2 CigadingExist Calc'!F93*$E$235</f>
        <v>0</v>
      </c>
      <c r="G235" s="58" t="n">
        <f aca="false">'E2 CigadingExist Calc'!G93*$E$235</f>
        <v>-0.438386311723827</v>
      </c>
      <c r="H235" s="58" t="n">
        <f aca="false">'E2 CigadingExist Calc'!H93*$E$235</f>
        <v>0.91975161680469</v>
      </c>
      <c r="I235" s="58" t="n">
        <f aca="false">'E2 CigadingExist Calc'!I93*$E$235</f>
        <v>0.123333795054978</v>
      </c>
      <c r="J235" s="58" t="n">
        <f aca="false">'E2 CigadingExist Calc'!J93*$E$235</f>
        <v>1.34256414172363</v>
      </c>
      <c r="K235" s="58" t="n">
        <f aca="false">'E2 CigadingExist Calc'!K93*$E$235</f>
        <v>0.151534388617997</v>
      </c>
      <c r="L235" s="58" t="n">
        <f aca="false">'E2 CigadingExist Calc'!L93*$E$235</f>
        <v>0.959348005639164</v>
      </c>
      <c r="M235" s="58" t="n">
        <f aca="false">'E2 CigadingExist Calc'!M93*$E$235</f>
        <v>0.200086263679455</v>
      </c>
      <c r="N235" s="58" t="n">
        <f aca="false">'E2 CigadingExist Calc'!N93*$E$235</f>
        <v>0.745967019396987</v>
      </c>
      <c r="O235" s="58" t="n">
        <f aca="false">'E2 CigadingExist Calc'!O93*$E$235</f>
        <v>0.200982984896127</v>
      </c>
      <c r="P235" s="58" t="n">
        <f aca="false">'E2 CigadingExist Calc'!P93*$E$235</f>
        <v>0.863091170876249</v>
      </c>
      <c r="Q235" s="58" t="n">
        <f aca="false">'E2 CigadingExist Calc'!Q93*$E$235</f>
        <v>0.256175323427415</v>
      </c>
      <c r="R235" s="58" t="n">
        <f aca="false">'E2 CigadingExist Calc'!R93*$E$235</f>
        <v>0.262628165795999</v>
      </c>
      <c r="S235" s="58" t="n">
        <f aca="false">'E2 CigadingExist Calc'!S93*$E$235</f>
        <v>0.242024625891201</v>
      </c>
    </row>
    <row r="236" customFormat="false" ht="15" hidden="false" customHeight="false" outlineLevel="0" collapsed="false">
      <c r="B236" s="77" t="s">
        <v>37</v>
      </c>
      <c r="C236" s="25" t="s">
        <v>170</v>
      </c>
      <c r="E236" s="55" t="n">
        <f aca="false">'Global Inputs'!$K$91</f>
        <v>1</v>
      </c>
      <c r="F236" s="58" t="n">
        <f aca="false">'E3 Belawan Calc'!F98*$E$236</f>
        <v>0</v>
      </c>
      <c r="G236" s="58" t="n">
        <f aca="false">'E3 Belawan Calc'!G98*$E$236</f>
        <v>-0.240787471642953</v>
      </c>
      <c r="H236" s="58" t="n">
        <f aca="false">'E3 Belawan Calc'!H98*$E$236</f>
        <v>0.0608716133521008</v>
      </c>
      <c r="I236" s="58" t="n">
        <f aca="false">'E3 Belawan Calc'!I98*$E$236</f>
        <v>1.39968217986214</v>
      </c>
      <c r="J236" s="58" t="n">
        <f aca="false">'E3 Belawan Calc'!J98*$E$236</f>
        <v>1.11851283748626</v>
      </c>
      <c r="K236" s="58" t="n">
        <f aca="false">'E3 Belawan Calc'!K98*$E$236</f>
        <v>0.514728472712831</v>
      </c>
      <c r="L236" s="58" t="n">
        <f aca="false">'E3 Belawan Calc'!L98*$E$236</f>
        <v>0.574517010294794</v>
      </c>
      <c r="M236" s="58" t="n">
        <f aca="false">'E3 Belawan Calc'!M98*$E$236</f>
        <v>0.593458194365939</v>
      </c>
      <c r="N236" s="58" t="n">
        <f aca="false">'E3 Belawan Calc'!N98*$E$236</f>
        <v>0.628303508361864</v>
      </c>
      <c r="O236" s="58" t="n">
        <f aca="false">'E3 Belawan Calc'!O98*$E$236</f>
        <v>0.644123958638215</v>
      </c>
      <c r="P236" s="58" t="n">
        <f aca="false">'E3 Belawan Calc'!P98*$E$236</f>
        <v>0.724424491622747</v>
      </c>
      <c r="Q236" s="58" t="n">
        <f aca="false">'E3 Belawan Calc'!Q98*$E$236</f>
        <v>0.744208678549608</v>
      </c>
      <c r="R236" s="58" t="n">
        <f aca="false">'E3 Belawan Calc'!R98*$E$236</f>
        <v>-3.07758892772107</v>
      </c>
      <c r="S236" s="58" t="n">
        <f aca="false">'E3 Belawan Calc'!S98*$E$236</f>
        <v>0.366942402946497</v>
      </c>
    </row>
    <row r="237" customFormat="false" ht="15" hidden="false" customHeight="false" outlineLevel="0" collapsed="false">
      <c r="B237" s="77" t="s">
        <v>40</v>
      </c>
      <c r="C237" s="25" t="s">
        <v>170</v>
      </c>
      <c r="E237" s="55" t="n">
        <f aca="false">'Global Inputs'!$K$92</f>
        <v>1</v>
      </c>
      <c r="F237" s="58" t="n">
        <f aca="false">'E4 WIN Calc'!F209*$E$237</f>
        <v>0</v>
      </c>
      <c r="G237" s="58" t="n">
        <f aca="false">'E4 WIN Calc'!G209*$E$237</f>
        <v>0.536786052322896</v>
      </c>
      <c r="H237" s="58" t="n">
        <f aca="false">'E4 WIN Calc'!H209*$E$237</f>
        <v>-0.958011566514756</v>
      </c>
      <c r="I237" s="58" t="n">
        <f aca="false">'E4 WIN Calc'!I209*$E$237</f>
        <v>0.0919068209908458</v>
      </c>
      <c r="J237" s="58" t="n">
        <f aca="false">'E4 WIN Calc'!J209*$E$237</f>
        <v>0.342179353219455</v>
      </c>
      <c r="K237" s="58" t="n">
        <f aca="false">'E4 WIN Calc'!K209*$E$237</f>
        <v>0.356755385442868</v>
      </c>
      <c r="L237" s="58" t="n">
        <f aca="false">'E4 WIN Calc'!L209*$E$237</f>
        <v>0.413125276365123</v>
      </c>
      <c r="M237" s="58" t="n">
        <f aca="false">'E4 WIN Calc'!M209*$E$237</f>
        <v>0.432345531889593</v>
      </c>
      <c r="N237" s="58" t="n">
        <f aca="false">'E4 WIN Calc'!N209*$E$237</f>
        <v>0.467357956669559</v>
      </c>
      <c r="O237" s="58" t="n">
        <f aca="false">'E4 WIN Calc'!O209*$E$237</f>
        <v>0.4870660903619</v>
      </c>
      <c r="P237" s="58" t="n">
        <f aca="false">'E4 WIN Calc'!P209*$E$237</f>
        <v>0.564168889745258</v>
      </c>
      <c r="Q237" s="58" t="n">
        <f aca="false">'E4 WIN Calc'!Q209*$E$237</f>
        <v>-0.575030580480164</v>
      </c>
      <c r="R237" s="58" t="n">
        <f aca="false">'E4 WIN Calc'!R209*$E$237</f>
        <v>0.330218833892006</v>
      </c>
      <c r="S237" s="58" t="n">
        <f aca="false">'E4 WIN Calc'!S209*$E$237</f>
        <v>0.326807575177587</v>
      </c>
    </row>
    <row r="238" customFormat="false" ht="15" hidden="false" customHeight="false" outlineLevel="0" collapsed="false">
      <c r="B238" s="77" t="s">
        <v>43</v>
      </c>
      <c r="C238" s="25" t="s">
        <v>170</v>
      </c>
      <c r="E238" s="55" t="n">
        <f aca="false">'Global Inputs'!$K$93</f>
        <v>1</v>
      </c>
      <c r="F238" s="58" t="n">
        <f aca="false">'P01 CigWharf2 Calc'!F50*$E$238</f>
        <v>0</v>
      </c>
      <c r="G238" s="58" t="n">
        <f aca="false">'P01 CigWharf2 Calc'!G50*$E$238</f>
        <v>0</v>
      </c>
      <c r="H238" s="58" t="n">
        <f aca="false">'P01 CigWharf2 Calc'!H50*$E$238</f>
        <v>11.585208569417</v>
      </c>
      <c r="I238" s="58" t="n">
        <f aca="false">'P01 CigWharf2 Calc'!I50*$E$238</f>
        <v>0.328601413306934</v>
      </c>
      <c r="J238" s="58" t="n">
        <f aca="false">'P01 CigWharf2 Calc'!J50*$E$238</f>
        <v>2.96123373216884</v>
      </c>
      <c r="K238" s="58" t="n">
        <f aca="false">'P01 CigWharf2 Calc'!K50*$E$238</f>
        <v>0.382793025521675</v>
      </c>
      <c r="L238" s="58" t="n">
        <f aca="false">'P01 CigWharf2 Calc'!L50*$E$238</f>
        <v>2.14799533352352</v>
      </c>
      <c r="M238" s="58" t="n">
        <f aca="false">'P01 CigWharf2 Calc'!M50*$E$238</f>
        <v>0.497478800936744</v>
      </c>
      <c r="N238" s="58" t="n">
        <f aca="false">'P01 CigWharf2 Calc'!N50*$E$238</f>
        <v>1.68030141871447</v>
      </c>
      <c r="O238" s="58" t="n">
        <f aca="false">'P01 CigWharf2 Calc'!O50*$E$238</f>
        <v>0.504354945206618</v>
      </c>
      <c r="P238" s="58" t="n">
        <f aca="false">'P01 CigWharf2 Calc'!P50*$E$238</f>
        <v>1.94457078029182</v>
      </c>
      <c r="Q238" s="58" t="n">
        <f aca="false">'P01 CigWharf2 Calc'!Q50*$E$238</f>
        <v>0.629007050047115</v>
      </c>
      <c r="R238" s="58" t="n">
        <f aca="false">'P01 CigWharf2 Calc'!R50*$E$238</f>
        <v>0.645774028818806</v>
      </c>
      <c r="S238" s="58" t="n">
        <f aca="false">'P01 CigWharf2 Calc'!S50*$E$238</f>
        <v>0.597423484648626</v>
      </c>
    </row>
    <row r="239" customFormat="false" ht="15" hidden="false" customHeight="false" outlineLevel="0" collapsed="false">
      <c r="B239" s="77" t="s">
        <v>46</v>
      </c>
      <c r="C239" s="25" t="s">
        <v>170</v>
      </c>
      <c r="E239" s="55" t="n">
        <f aca="false">'Global Inputs'!$K$94</f>
        <v>1</v>
      </c>
      <c r="F239" s="58" t="n">
        <f aca="false">'P02 CigConveyor Calc'!F45*$E$239</f>
        <v>0</v>
      </c>
      <c r="G239" s="58" t="n">
        <f aca="false">'P02 CigConveyor Calc'!G45*$E$239</f>
        <v>0</v>
      </c>
      <c r="H239" s="58" t="n">
        <f aca="false">'P02 CigConveyor Calc'!H45*$E$239</f>
        <v>3.68407198761725</v>
      </c>
      <c r="I239" s="58" t="n">
        <f aca="false">'P02 CigConveyor Calc'!I45*$E$239</f>
        <v>0.107614494182877</v>
      </c>
      <c r="J239" s="58" t="n">
        <f aca="false">'P02 CigConveyor Calc'!J45*$E$239</f>
        <v>0.110568155234777</v>
      </c>
      <c r="K239" s="58" t="n">
        <f aca="false">'P02 CigConveyor Calc'!K45*$E$239</f>
        <v>0.102621429200262</v>
      </c>
      <c r="L239" s="58" t="n">
        <f aca="false">'P02 CigConveyor Calc'!L45*$E$239</f>
        <v>0.127664506059525</v>
      </c>
      <c r="M239" s="58" t="n">
        <f aca="false">'P02 CigConveyor Calc'!M45*$E$239</f>
        <v>0.119864915894918</v>
      </c>
      <c r="N239" s="58" t="n">
        <f aca="false">'P02 CigConveyor Calc'!N45*$E$239</f>
        <v>0.123112788176238</v>
      </c>
      <c r="O239" s="58" t="n">
        <f aca="false">'P02 CigConveyor Calc'!O45*$E$239</f>
        <v>0.114136474870602</v>
      </c>
      <c r="P239" s="58" t="n">
        <f aca="false">'P02 CigConveyor Calc'!P45*$E$239</f>
        <v>0.14213866808887</v>
      </c>
      <c r="Q239" s="58" t="n">
        <f aca="false">'P02 CigConveyor Calc'!Q45*$E$239</f>
        <v>0.133317771449683</v>
      </c>
      <c r="R239" s="58" t="n">
        <f aca="false">'P02 CigConveyor Calc'!R45*$E$239</f>
        <v>0.136876373349406</v>
      </c>
      <c r="S239" s="58" t="n">
        <f aca="false">'P02 CigConveyor Calc'!S45*$E$239</f>
        <v>0.126737551509448</v>
      </c>
    </row>
    <row r="240" customFormat="false" ht="15" hidden="false" customHeight="false" outlineLevel="0" collapsed="false">
      <c r="B240" s="77" t="s">
        <v>48</v>
      </c>
      <c r="C240" s="25" t="s">
        <v>170</v>
      </c>
      <c r="E240" s="55" t="n">
        <f aca="false">'Global Inputs'!$K$95</f>
        <v>1</v>
      </c>
      <c r="F240" s="58" t="n">
        <f aca="false">'P03 KBSWarehouse Calc'!F45*$E$240</f>
        <v>0</v>
      </c>
      <c r="G240" s="58" t="n">
        <f aca="false">'P03 KBSWarehouse Calc'!G45*$E$240</f>
        <v>0</v>
      </c>
      <c r="H240" s="58" t="n">
        <f aca="false">'P03 KBSWarehouse Calc'!H45*$E$240</f>
        <v>0</v>
      </c>
      <c r="I240" s="58" t="n">
        <f aca="false">'P03 KBSWarehouse Calc'!I45*$E$240</f>
        <v>0</v>
      </c>
      <c r="J240" s="58" t="n">
        <f aca="false">'P03 KBSWarehouse Calc'!J45*$E$240</f>
        <v>6.10136669589041</v>
      </c>
      <c r="K240" s="58" t="n">
        <f aca="false">'P03 KBSWarehouse Calc'!K45*$E$240</f>
        <v>0.165870488044015</v>
      </c>
      <c r="L240" s="58" t="n">
        <f aca="false">'P03 KBSWarehouse Calc'!L45*$E$240</f>
        <v>0.205702743735712</v>
      </c>
      <c r="M240" s="58" t="n">
        <f aca="false">'P03 KBSWarehouse Calc'!M45*$E$240</f>
        <v>0.194188197830104</v>
      </c>
      <c r="N240" s="58" t="n">
        <f aca="false">'P03 KBSWarehouse Calc'!N45*$E$240</f>
        <v>0.200013843765008</v>
      </c>
      <c r="O240" s="58" t="n">
        <f aca="false">'P03 KBSWarehouse Calc'!O45*$E$240</f>
        <v>0.186688695612538</v>
      </c>
      <c r="P240" s="58" t="n">
        <f aca="false">'P03 KBSWarehouse Calc'!P45*$E$240</f>
        <v>0.231520250315716</v>
      </c>
      <c r="Q240" s="58" t="n">
        <f aca="false">'P03 KBSWarehouse Calc'!Q45*$E$240</f>
        <v>0.218560527455803</v>
      </c>
      <c r="R240" s="58" t="n">
        <f aca="false">'P03 KBSWarehouse Calc'!R45*$E$240</f>
        <v>0.225117343279483</v>
      </c>
      <c r="S240" s="58" t="n">
        <f aca="false">'P03 KBSWarehouse Calc'!S45*$E$240</f>
        <v>0.210119771639318</v>
      </c>
    </row>
    <row r="241" customFormat="false" ht="15" hidden="false" customHeight="false" outlineLevel="0" collapsed="false">
      <c r="B241" s="77" t="s">
        <v>51</v>
      </c>
      <c r="C241" s="25" t="s">
        <v>170</v>
      </c>
      <c r="E241" s="55" t="n">
        <f aca="false">'Global Inputs'!$K$96</f>
        <v>1</v>
      </c>
      <c r="F241" s="58" t="n">
        <f aca="false">'P04 TTLSilo Calc'!F51*$E$241</f>
        <v>0</v>
      </c>
      <c r="G241" s="58" t="n">
        <f aca="false">'P04 TTLSilo Calc'!G51*$E$241</f>
        <v>0</v>
      </c>
      <c r="H241" s="58" t="n">
        <f aca="false">'P04 TTLSilo Calc'!H51*$E$241</f>
        <v>0</v>
      </c>
      <c r="I241" s="58" t="n">
        <f aca="false">'P04 TTLSilo Calc'!I51*$E$241</f>
        <v>0</v>
      </c>
      <c r="J241" s="58" t="n">
        <f aca="false">'P04 TTLSilo Calc'!J51*$E$241</f>
        <v>1.63479452054795</v>
      </c>
      <c r="K241" s="58" t="n">
        <f aca="false">'P04 TTLSilo Calc'!K51*$E$241</f>
        <v>-0.0044666516954861</v>
      </c>
      <c r="L241" s="58" t="n">
        <f aca="false">'P04 TTLSilo Calc'!L51*$E$241</f>
        <v>0.0044666516954861</v>
      </c>
      <c r="M241" s="58" t="n">
        <f aca="false">'P04 TTLSilo Calc'!M51*$E$241</f>
        <v>0</v>
      </c>
      <c r="N241" s="58" t="n">
        <f aca="false">'P04 TTLSilo Calc'!N51*$E$241</f>
        <v>0</v>
      </c>
      <c r="O241" s="58" t="n">
        <f aca="false">'P04 TTLSilo Calc'!O51*$E$241</f>
        <v>-0.0044666516954861</v>
      </c>
      <c r="P241" s="58" t="n">
        <f aca="false">'P04 TTLSilo Calc'!P51*$E$241</f>
        <v>0.0044666516954861</v>
      </c>
      <c r="Q241" s="58" t="n">
        <f aca="false">'P04 TTLSilo Calc'!Q51*$E$241</f>
        <v>0</v>
      </c>
      <c r="R241" s="58" t="n">
        <f aca="false">'P04 TTLSilo Calc'!R51*$E$241</f>
        <v>0</v>
      </c>
      <c r="S241" s="58" t="n">
        <f aca="false">'P04 TTLSilo Calc'!S51*$E$241</f>
        <v>-0.0044666516954861</v>
      </c>
    </row>
    <row r="242" customFormat="false" ht="15" hidden="false" customHeight="false" outlineLevel="0" collapsed="false">
      <c r="B242" s="77" t="s">
        <v>54</v>
      </c>
      <c r="C242" s="25" t="s">
        <v>170</v>
      </c>
      <c r="E242" s="55" t="n">
        <f aca="false">'Global Inputs'!$K$97</f>
        <v>1</v>
      </c>
      <c r="F242" s="58" t="n">
        <f aca="false">'P05 Dumai Calc'!F55*$E$242</f>
        <v>0</v>
      </c>
      <c r="G242" s="58" t="n">
        <f aca="false">'P05 Dumai Calc'!G55*$E$242</f>
        <v>0</v>
      </c>
      <c r="H242" s="58" t="n">
        <f aca="false">'P05 Dumai Calc'!H55*$E$242</f>
        <v>0</v>
      </c>
      <c r="I242" s="58" t="n">
        <f aca="false">'P05 Dumai Calc'!I55*$E$242</f>
        <v>5.93013698630137</v>
      </c>
      <c r="J242" s="58" t="n">
        <f aca="false">'P05 Dumai Calc'!J55*$E$242</f>
        <v>0</v>
      </c>
      <c r="K242" s="58" t="n">
        <f aca="false">'P05 Dumai Calc'!K55*$E$242</f>
        <v>-0.0162025600718616</v>
      </c>
      <c r="L242" s="58" t="n">
        <f aca="false">'P05 Dumai Calc'!L55*$E$242</f>
        <v>0.425221738154053</v>
      </c>
      <c r="M242" s="58" t="n">
        <f aca="false">'P05 Dumai Calc'!M55*$E$242</f>
        <v>0</v>
      </c>
      <c r="N242" s="58" t="n">
        <f aca="false">'P05 Dumai Calc'!N55*$E$242</f>
        <v>0</v>
      </c>
      <c r="O242" s="58" t="n">
        <f aca="false">'P05 Dumai Calc'!O55*$E$242</f>
        <v>-0.0173200988097904</v>
      </c>
      <c r="P242" s="58" t="n">
        <f aca="false">'P05 Dumai Calc'!P55*$E$242</f>
        <v>0.455065245111161</v>
      </c>
      <c r="Q242" s="58" t="n">
        <f aca="false">'P05 Dumai Calc'!Q55*$E$242</f>
        <v>0</v>
      </c>
      <c r="R242" s="58" t="n">
        <f aca="false">'P05 Dumai Calc'!R55*$E$242</f>
        <v>0</v>
      </c>
      <c r="S242" s="58" t="n">
        <f aca="false">'P05 Dumai Calc'!S55*$E$242</f>
        <v>-0.0185161237996851</v>
      </c>
    </row>
    <row r="243" customFormat="false" ht="15" hidden="false" customHeight="false" outlineLevel="0" collapsed="false">
      <c r="B243" s="77" t="s">
        <v>57</v>
      </c>
      <c r="C243" s="25" t="s">
        <v>170</v>
      </c>
      <c r="E243" s="55" t="n">
        <f aca="false">'Global Inputs'!$K$98</f>
        <v>1</v>
      </c>
      <c r="F243" s="58" t="n">
        <f aca="false">'P06 Ciwandan Calc'!F49*$E$243</f>
        <v>0</v>
      </c>
      <c r="G243" s="58" t="n">
        <f aca="false">'P06 Ciwandan Calc'!G49*$E$243</f>
        <v>0</v>
      </c>
      <c r="H243" s="58" t="n">
        <f aca="false">'P06 Ciwandan Calc'!H49*$E$243</f>
        <v>0</v>
      </c>
      <c r="I243" s="58" t="n">
        <f aca="false">'P06 Ciwandan Calc'!I49*$E$243</f>
        <v>0</v>
      </c>
      <c r="J243" s="58" t="n">
        <f aca="false">'P06 Ciwandan Calc'!J49*$E$243</f>
        <v>0</v>
      </c>
      <c r="K243" s="58" t="n">
        <f aca="false">'P06 Ciwandan Calc'!K49*$E$243</f>
        <v>5.92839291223733</v>
      </c>
      <c r="L243" s="58" t="n">
        <f aca="false">'P06 Ciwandan Calc'!L49*$E$243</f>
        <v>2.0489105112554</v>
      </c>
      <c r="M243" s="58" t="n">
        <f aca="false">'P06 Ciwandan Calc'!M49*$E$243</f>
        <v>0.780575261325453</v>
      </c>
      <c r="N243" s="58" t="n">
        <f aca="false">'P06 Ciwandan Calc'!N49*$E$243</f>
        <v>1.93329252968946</v>
      </c>
      <c r="O243" s="58" t="n">
        <f aca="false">'P06 Ciwandan Calc'!O49*$E$243</f>
        <v>0.584549479072292</v>
      </c>
      <c r="P243" s="58" t="n">
        <f aca="false">'P06 Ciwandan Calc'!P49*$E$243</f>
        <v>1.53561284300863</v>
      </c>
      <c r="Q243" s="58" t="n">
        <f aca="false">'P06 Ciwandan Calc'!Q49*$E$243</f>
        <v>0.741890733445395</v>
      </c>
      <c r="R243" s="58" t="n">
        <f aca="false">'P06 Ciwandan Calc'!R49*$E$243</f>
        <v>1.6440196182873</v>
      </c>
      <c r="S243" s="58" t="n">
        <f aca="false">'P06 Ciwandan Calc'!S49*$E$243</f>
        <v>0.833741637291814</v>
      </c>
    </row>
    <row r="244" customFormat="false" ht="15" hidden="false" customHeight="false" outlineLevel="0" collapsed="false">
      <c r="B244" s="77" t="s">
        <v>60</v>
      </c>
      <c r="C244" s="25" t="s">
        <v>170</v>
      </c>
      <c r="E244" s="55" t="n">
        <f aca="false">'Global Inputs'!$K$99</f>
        <v>1</v>
      </c>
      <c r="F244" s="58" t="n">
        <f aca="false">'P08 DMSTrucking Calc'!F71*$E$244</f>
        <v>0</v>
      </c>
      <c r="G244" s="58" t="n">
        <f aca="false">'P08 DMSTrucking Calc'!G71*$E$244</f>
        <v>0</v>
      </c>
      <c r="H244" s="58" t="n">
        <f aca="false">'P08 DMSTrucking Calc'!H71*$E$244</f>
        <v>0</v>
      </c>
      <c r="I244" s="58" t="n">
        <f aca="false">'P08 DMSTrucking Calc'!I71*$E$244</f>
        <v>0</v>
      </c>
      <c r="J244" s="58" t="n">
        <f aca="false">'P08 DMSTrucking Calc'!J71*$E$244</f>
        <v>0.339336932040986</v>
      </c>
      <c r="K244" s="58" t="n">
        <f aca="false">'P08 DMSTrucking Calc'!K71*$E$244</f>
        <v>0.0664956351743384</v>
      </c>
      <c r="L244" s="58" t="n">
        <f aca="false">'P08 DMSTrucking Calc'!L71*$E$244</f>
        <v>0.0175465045349029</v>
      </c>
      <c r="M244" s="58" t="n">
        <f aca="false">'P08 DMSTrucking Calc'!M71*$E$244</f>
        <v>0.0173281118785343</v>
      </c>
      <c r="N244" s="58" t="n">
        <f aca="false">'P08 DMSTrucking Calc'!N71*$E$244</f>
        <v>0.0182884374266711</v>
      </c>
      <c r="O244" s="58" t="n">
        <f aca="false">'P08 DMSTrucking Calc'!O71*$E$244</f>
        <v>0.0149774448893486</v>
      </c>
      <c r="P244" s="58" t="n">
        <f aca="false">'P08 DMSTrucking Calc'!P71*$E$244</f>
        <v>0.0181998905041603</v>
      </c>
      <c r="Q244" s="58" t="n">
        <f aca="false">'P08 DMSTrucking Calc'!Q71*$E$244</f>
        <v>0.0175536502448107</v>
      </c>
      <c r="R244" s="58" t="n">
        <f aca="false">'P08 DMSTrucking Calc'!R71*$E$244</f>
        <v>0.0182342523767426</v>
      </c>
      <c r="S244" s="58" t="n">
        <f aca="false">'P08 DMSTrucking Calc'!S71*$E$244</f>
        <v>0.0174502351596137</v>
      </c>
    </row>
    <row r="245" customFormat="false" ht="15" hidden="false" customHeight="false" outlineLevel="0" collapsed="false">
      <c r="B245" s="77" t="s">
        <v>63</v>
      </c>
      <c r="C245" s="25" t="s">
        <v>170</v>
      </c>
      <c r="E245" s="55" t="n">
        <f aca="false">'Global Inputs'!$K$100</f>
        <v>0</v>
      </c>
      <c r="F245" s="58" t="n">
        <f aca="false">'P12 BUMNOps Calc'!F75*$E$245</f>
        <v>0</v>
      </c>
      <c r="G245" s="58" t="n">
        <f aca="false">'P12 BUMNOps Calc'!G75*$E$245</f>
        <v>0</v>
      </c>
      <c r="H245" s="58" t="n">
        <f aca="false">'P12 BUMNOps Calc'!H75*$E$245</f>
        <v>0</v>
      </c>
      <c r="I245" s="58" t="n">
        <f aca="false">'P12 BUMNOps Calc'!I75*$E$245</f>
        <v>0</v>
      </c>
      <c r="J245" s="58" t="n">
        <f aca="false">'P12 BUMNOps Calc'!J75*$E$245</f>
        <v>0</v>
      </c>
      <c r="K245" s="58" t="n">
        <f aca="false">'P12 BUMNOps Calc'!K75*$E$245</f>
        <v>0</v>
      </c>
      <c r="L245" s="58" t="n">
        <f aca="false">'P12 BUMNOps Calc'!L75*$E$245</f>
        <v>0</v>
      </c>
      <c r="M245" s="58" t="n">
        <f aca="false">'P12 BUMNOps Calc'!M75*$E$245</f>
        <v>0</v>
      </c>
      <c r="N245" s="58" t="n">
        <f aca="false">'P12 BUMNOps Calc'!N75*$E$245</f>
        <v>0</v>
      </c>
      <c r="O245" s="58" t="n">
        <f aca="false">'P12 BUMNOps Calc'!O75*$E$245</f>
        <v>0</v>
      </c>
      <c r="P245" s="58" t="n">
        <f aca="false">'P12 BUMNOps Calc'!P75*$E$245</f>
        <v>0</v>
      </c>
      <c r="Q245" s="58" t="n">
        <f aca="false">'P12 BUMNOps Calc'!Q75*$E$245</f>
        <v>0</v>
      </c>
      <c r="R245" s="58" t="n">
        <f aca="false">'P12 BUMNOps Calc'!R75*$E$245</f>
        <v>-0</v>
      </c>
      <c r="S245" s="58" t="n">
        <f aca="false">'P12 BUMNOps Calc'!S75*$E$245</f>
        <v>0</v>
      </c>
    </row>
    <row r="246" customFormat="false" ht="15" hidden="false" customHeight="false" outlineLevel="0" collapsed="false">
      <c r="B246" s="77" t="s">
        <v>66</v>
      </c>
      <c r="C246" s="25" t="s">
        <v>170</v>
      </c>
      <c r="E246" s="55" t="n">
        <f aca="false">'Global Inputs'!$K$101</f>
        <v>0</v>
      </c>
      <c r="F246" s="58" t="n">
        <f aca="false">'P15 TBM Calc'!F72*$E$246</f>
        <v>0</v>
      </c>
      <c r="G246" s="58" t="n">
        <f aca="false">'P15 TBM Calc'!G72*$E$246</f>
        <v>0</v>
      </c>
      <c r="H246" s="58" t="n">
        <f aca="false">'P15 TBM Calc'!H72*$E$246</f>
        <v>0</v>
      </c>
      <c r="I246" s="58" t="n">
        <f aca="false">'P15 TBM Calc'!I72*$E$246</f>
        <v>0</v>
      </c>
      <c r="J246" s="58" t="n">
        <f aca="false">'P15 TBM Calc'!J72*$E$246</f>
        <v>0</v>
      </c>
      <c r="K246" s="58" t="n">
        <f aca="false">'P15 TBM Calc'!K72*$E$246</f>
        <v>0</v>
      </c>
      <c r="L246" s="58" t="n">
        <f aca="false">'P15 TBM Calc'!L72*$E$246</f>
        <v>0</v>
      </c>
      <c r="M246" s="58" t="n">
        <f aca="false">'P15 TBM Calc'!M72*$E$246</f>
        <v>0</v>
      </c>
      <c r="N246" s="58" t="n">
        <f aca="false">'P15 TBM Calc'!N72*$E$246</f>
        <v>0</v>
      </c>
      <c r="O246" s="58" t="n">
        <f aca="false">'P15 TBM Calc'!O72*$E$246</f>
        <v>0</v>
      </c>
      <c r="P246" s="58" t="n">
        <f aca="false">'P15 TBM Calc'!P72*$E$246</f>
        <v>0</v>
      </c>
      <c r="Q246" s="58" t="n">
        <f aca="false">'P15 TBM Calc'!Q72*$E$246</f>
        <v>0</v>
      </c>
      <c r="R246" s="58" t="n">
        <f aca="false">'P15 TBM Calc'!R72*$E$246</f>
        <v>0</v>
      </c>
      <c r="S246" s="58" t="n">
        <f aca="false">'P15 TBM Calc'!S72*$E$246</f>
        <v>0</v>
      </c>
    </row>
    <row r="247" customFormat="false" ht="15" hidden="false" customHeight="false" outlineLevel="0" collapsed="false">
      <c r="B247" s="77" t="s">
        <v>69</v>
      </c>
      <c r="C247" s="25" t="s">
        <v>170</v>
      </c>
      <c r="E247" s="55" t="n">
        <f aca="false">'Global Inputs'!$K$102</f>
        <v>0</v>
      </c>
      <c r="F247" s="58" t="n">
        <f aca="false">'P19 Badas Calculation'!F63*$E$247</f>
        <v>0</v>
      </c>
      <c r="G247" s="58" t="n">
        <f aca="false">'P19 Badas Calculation'!G63*$E$247</f>
        <v>0</v>
      </c>
      <c r="H247" s="58" t="n">
        <f aca="false">'P19 Badas Calculation'!H63*$E$247</f>
        <v>0</v>
      </c>
      <c r="I247" s="58" t="n">
        <f aca="false">'P19 Badas Calculation'!I63*$E$247</f>
        <v>0</v>
      </c>
      <c r="J247" s="58" t="n">
        <f aca="false">'P19 Badas Calculation'!J63*$E$247</f>
        <v>0</v>
      </c>
      <c r="K247" s="58" t="n">
        <f aca="false">'P19 Badas Calculation'!K63*$E$247</f>
        <v>0</v>
      </c>
      <c r="L247" s="58" t="n">
        <f aca="false">'P19 Badas Calculation'!L63*$E$247</f>
        <v>0</v>
      </c>
      <c r="M247" s="58" t="n">
        <f aca="false">'P19 Badas Calculation'!M63*$E$247</f>
        <v>0</v>
      </c>
      <c r="N247" s="58" t="n">
        <f aca="false">'P19 Badas Calculation'!N63*$E$247</f>
        <v>0</v>
      </c>
      <c r="O247" s="58" t="n">
        <f aca="false">'P19 Badas Calculation'!O63*$E$247</f>
        <v>0</v>
      </c>
      <c r="P247" s="58" t="n">
        <f aca="false">'P19 Badas Calculation'!P63*$E$247</f>
        <v>0</v>
      </c>
      <c r="Q247" s="58" t="n">
        <f aca="false">'P19 Badas Calculation'!Q63*$E$247</f>
        <v>0</v>
      </c>
      <c r="R247" s="58" t="n">
        <f aca="false">'P19 Badas Calculation'!R63*$E$247</f>
        <v>0</v>
      </c>
      <c r="S247" s="58" t="n">
        <f aca="false">'P19 Badas Calculation'!S63*$E$247</f>
        <v>0</v>
      </c>
    </row>
    <row r="248" customFormat="false" ht="15" hidden="false" customHeight="false" outlineLevel="0" collapsed="false">
      <c r="B248" s="69" t="s">
        <v>462</v>
      </c>
      <c r="C248" s="25" t="s">
        <v>170</v>
      </c>
      <c r="E248" s="70" t="n">
        <f aca="false">SUM(F248:S248)</f>
        <v>79.876191310395</v>
      </c>
      <c r="F248" s="68" t="n">
        <f aca="false">F234+F235+F236+F237+F238+F239+F240+F241+F242+F243+F244+F245+F246+F247</f>
        <v>0</v>
      </c>
      <c r="G248" s="68" t="n">
        <f aca="false">G234+G235+G236+G237+G238+G239+G240+G241+G242+G243+G244+G245+G246+G247</f>
        <v>-2.83706483520217</v>
      </c>
      <c r="H248" s="68" t="n">
        <f aca="false">H234+H235+H236+H237+H238+H239+H240+H241+H242+H243+H244+H245+H246+H247</f>
        <v>15.80317779642</v>
      </c>
      <c r="I248" s="68" t="n">
        <f aca="false">I234+I235+I236+I237+I238+I239+I240+I241+I242+I243+I244+I245+I246+I247</f>
        <v>8.45639225003209</v>
      </c>
      <c r="J248" s="68" t="n">
        <f aca="false">J234+J235+J236+J237+J238+J239+J240+J241+J242+J243+J244+J245+J246+J247</f>
        <v>14.4391840591511</v>
      </c>
      <c r="K248" s="68" t="n">
        <f aca="false">K234+K235+K236+K237+K238+K239+K240+K241+K242+K243+K244+K245+K246+K247</f>
        <v>8.0978654881936</v>
      </c>
      <c r="L248" s="68" t="n">
        <f aca="false">L234+L235+L236+L237+L238+L239+L240+L241+L242+L243+L244+L245+L246+L247</f>
        <v>8.15750833365183</v>
      </c>
      <c r="M248" s="68" t="n">
        <f aca="false">M234+M235+M236+M237+M238+M239+M240+M241+M242+M243+M244+M245+M246+M247</f>
        <v>3.38055316318354</v>
      </c>
      <c r="N248" s="68" t="n">
        <f aca="false">N234+N235+N236+N237+N238+N239+N240+N241+N242+N243+N244+N245+N246+N247</f>
        <v>6.35501444928702</v>
      </c>
      <c r="O248" s="68" t="n">
        <f aca="false">O234+O235+O236+O237+O238+O239+O240+O241+O242+O243+O244+O245+O246+O247</f>
        <v>3.97891220928562</v>
      </c>
      <c r="P248" s="68" t="n">
        <f aca="false">P234+P235+P236+P237+P238+P239+P240+P241+P242+P243+P244+P245+P246+P247</f>
        <v>7.15229733087807</v>
      </c>
      <c r="Q248" s="68" t="n">
        <f aca="false">Q234+Q235+Q236+Q237+Q238+Q239+Q240+Q241+Q242+Q243+Q244+Q245+Q246+Q247</f>
        <v>2.78803154387765</v>
      </c>
      <c r="R248" s="68" t="n">
        <f aca="false">R234+R235+R236+R237+R238+R239+R240+R241+R242+R243+R244+R245+R246+R247</f>
        <v>0.822253176156988</v>
      </c>
      <c r="S248" s="68" t="n">
        <f aca="false">S234+S235+S236+S237+S238+S239+S240+S241+S242+S243+S244+S245+S246+S247</f>
        <v>3.28206634547962</v>
      </c>
    </row>
    <row r="249" customFormat="false" ht="15" hidden="false" customHeight="false" outlineLevel="0" collapsed="false">
      <c r="B249" s="78" t="s">
        <v>463</v>
      </c>
      <c r="C249" s="79"/>
      <c r="D249" s="79"/>
      <c r="E249" s="79"/>
      <c r="F249" s="79"/>
      <c r="G249" s="79"/>
      <c r="H249" s="79"/>
      <c r="I249" s="79"/>
      <c r="J249" s="79"/>
      <c r="K249" s="79"/>
      <c r="L249" s="79"/>
      <c r="M249" s="79"/>
      <c r="N249" s="79"/>
      <c r="O249" s="79"/>
      <c r="P249" s="79"/>
      <c r="Q249" s="79"/>
      <c r="R249" s="79"/>
      <c r="S249" s="79"/>
    </row>
    <row r="250" customFormat="false" ht="15" hidden="false" customHeight="false" outlineLevel="0" collapsed="false">
      <c r="B250" s="77" t="s">
        <v>31</v>
      </c>
      <c r="C250" s="25" t="s">
        <v>170</v>
      </c>
      <c r="E250" s="55" t="n">
        <f aca="false">'Global Inputs'!$K$89</f>
        <v>1</v>
      </c>
      <c r="F250" s="58" t="n">
        <f aca="false">'E1 TelukLamong Output'!F37*$E$250</f>
        <v>23.0592525460196</v>
      </c>
      <c r="G250" s="58" t="n">
        <f aca="false">'E1 TelukLamong Output'!G37*$E$250</f>
        <v>19.2342147540984</v>
      </c>
      <c r="H250" s="58" t="n">
        <f aca="false">'E1 TelukLamong Output'!H37*$E$250</f>
        <v>19.865518569863</v>
      </c>
      <c r="I250" s="58" t="n">
        <f aca="false">'E1 TelukLamong Output'!I37*$E$250</f>
        <v>20.4614841269589</v>
      </c>
      <c r="J250" s="58" t="n">
        <f aca="false">'E1 TelukLamong Output'!J37*$E$250</f>
        <v>21.0753286507677</v>
      </c>
      <c r="K250" s="58" t="n">
        <f aca="false">'E1 TelukLamong Output'!K37*$E$250</f>
        <v>21.6482781591697</v>
      </c>
      <c r="L250" s="58" t="n">
        <f aca="false">'E1 TelukLamong Output'!L37*$E$250</f>
        <v>23.0295806505674</v>
      </c>
      <c r="M250" s="58" t="n">
        <f aca="false">'E1 TelukLamong Output'!M37*$E$250</f>
        <v>23.7204680700844</v>
      </c>
      <c r="N250" s="58" t="n">
        <f aca="false">'E1 TelukLamong Output'!N37*$E$250</f>
        <v>24.432082112187</v>
      </c>
      <c r="O250" s="58" t="n">
        <f aca="false">'E1 TelukLamong Output'!O37*$E$250</f>
        <v>25.8491762518552</v>
      </c>
      <c r="P250" s="58" t="n">
        <f aca="false">'E1 TelukLamong Output'!P37*$E$250</f>
        <v>26.6975957902037</v>
      </c>
      <c r="Q250" s="58" t="n">
        <f aca="false">'E1 TelukLamong Output'!Q37*$E$250</f>
        <v>27.4985236639098</v>
      </c>
      <c r="R250" s="58" t="n">
        <f aca="false">'E1 TelukLamong Output'!R37*$E$250</f>
        <v>28.3234793738271</v>
      </c>
      <c r="S250" s="58" t="n">
        <f aca="false">'E1 TelukLamong Output'!S37*$E$250</f>
        <v>29.0934756027058</v>
      </c>
    </row>
    <row r="251" customFormat="false" ht="15" hidden="false" customHeight="false" outlineLevel="0" collapsed="false">
      <c r="B251" s="77" t="s">
        <v>34</v>
      </c>
      <c r="C251" s="25" t="s">
        <v>170</v>
      </c>
      <c r="E251" s="55" t="n">
        <f aca="false">'Global Inputs'!$K$90</f>
        <v>1</v>
      </c>
      <c r="F251" s="58" t="n">
        <f aca="false">'E2 CigadingExist Output'!F37*$E$251</f>
        <v>5.69824510058487</v>
      </c>
      <c r="G251" s="58" t="n">
        <f aca="false">'E2 CigadingExist Output'!G37*$E$251</f>
        <v>4.75302786885246</v>
      </c>
      <c r="H251" s="58" t="n">
        <f aca="false">'E2 CigadingExist Output'!H37*$E$251</f>
        <v>5.71925983561644</v>
      </c>
      <c r="I251" s="58" t="n">
        <f aca="false">'E2 CigadingExist Output'!I37*$E$251</f>
        <v>5.89083763068493</v>
      </c>
      <c r="J251" s="58" t="n">
        <f aca="false">'E2 CigadingExist Output'!J37*$E$251</f>
        <v>7.28107531152658</v>
      </c>
      <c r="K251" s="58" t="n">
        <f aca="false">'E2 CigadingExist Output'!K37*$E$251</f>
        <v>7.47901711302846</v>
      </c>
      <c r="L251" s="58" t="n">
        <f aca="false">'E2 CigadingExist Output'!L37*$E$251</f>
        <v>8.4969420777984</v>
      </c>
      <c r="M251" s="58" t="n">
        <f aca="false">'E2 CigadingExist Output'!M37*$E$251</f>
        <v>8.75185034013235</v>
      </c>
      <c r="N251" s="58" t="n">
        <f aca="false">'E2 CigadingExist Output'!N37*$E$251</f>
        <v>9.5552702013565</v>
      </c>
      <c r="O251" s="58" t="n">
        <f aca="false">'E2 CigadingExist Output'!O37*$E$251</f>
        <v>9.81503779289611</v>
      </c>
      <c r="P251" s="58" t="n">
        <f aca="false">'E2 CigadingExist Output'!P37*$E$251</f>
        <v>10.7454173260163</v>
      </c>
      <c r="Q251" s="58" t="n">
        <f aca="false">'E2 CigadingExist Output'!Q37*$E$251</f>
        <v>11.0677798457967</v>
      </c>
      <c r="R251" s="58" t="n">
        <f aca="false">'E2 CigadingExist Output'!R37*$E$251</f>
        <v>11.3998132411707</v>
      </c>
      <c r="S251" s="58" t="n">
        <f aca="false">'E2 CigadingExist Output'!S37*$E$251</f>
        <v>11.7097261967708</v>
      </c>
    </row>
    <row r="252" customFormat="false" ht="15" hidden="false" customHeight="false" outlineLevel="0" collapsed="false">
      <c r="B252" s="77" t="s">
        <v>37</v>
      </c>
      <c r="C252" s="25" t="s">
        <v>170</v>
      </c>
      <c r="E252" s="55" t="n">
        <f aca="false">'Global Inputs'!$K$91</f>
        <v>1</v>
      </c>
      <c r="F252" s="58" t="n">
        <f aca="false">'E3 Belawan Output'!F37*$E$252</f>
        <v>3.27872745729106</v>
      </c>
      <c r="G252" s="58" t="n">
        <f aca="false">'E3 Belawan Output'!G37*$E$252</f>
        <v>2.73485655737705</v>
      </c>
      <c r="H252" s="58" t="n">
        <f aca="false">'E3 Belawan Output'!H37*$E$252</f>
        <v>2.82461979452055</v>
      </c>
      <c r="I252" s="58" t="n">
        <f aca="false">'E3 Belawan Output'!I37*$E$252</f>
        <v>4.31111429537671</v>
      </c>
      <c r="J252" s="58" t="n">
        <f aca="false">'E3 Belawan Output'!J37*$E$252</f>
        <v>5.52408471053938</v>
      </c>
      <c r="K252" s="58" t="n">
        <f aca="false">'E3 Belawan Output'!K37*$E$252</f>
        <v>6.08937040392104</v>
      </c>
      <c r="L252" s="58" t="n">
        <f aca="false">'E3 Belawan Output'!L37*$E$252</f>
        <v>6.72220875212502</v>
      </c>
      <c r="M252" s="58" t="n">
        <f aca="false">'E3 Belawan Output'!M37*$E$252</f>
        <v>7.37433574072111</v>
      </c>
      <c r="N252" s="58" t="n">
        <f aca="false">'E3 Belawan Output'!N37*$E$252</f>
        <v>8.06431227487853</v>
      </c>
      <c r="O252" s="58" t="n">
        <f aca="false">'E3 Belawan Output'!O37*$E$252</f>
        <v>8.77008539131587</v>
      </c>
      <c r="P252" s="58" t="n">
        <f aca="false">'E3 Belawan Output'!P37*$E$252</f>
        <v>9.5658147654521</v>
      </c>
      <c r="Q252" s="58" t="n">
        <f aca="false">'E3 Belawan Output'!Q37*$E$252</f>
        <v>10.3816210336973</v>
      </c>
      <c r="R252" s="58" t="n">
        <f aca="false">'E3 Belawan Output'!R37*$E$252</f>
        <v>7.12562823890183</v>
      </c>
      <c r="S252" s="58" t="n">
        <f aca="false">'E3 Belawan Output'!S37*$E$252</f>
        <v>7.53892441122294</v>
      </c>
    </row>
    <row r="253" customFormat="false" ht="15" hidden="false" customHeight="false" outlineLevel="0" collapsed="false">
      <c r="B253" s="77" t="s">
        <v>40</v>
      </c>
      <c r="C253" s="25" t="s">
        <v>170</v>
      </c>
      <c r="E253" s="55" t="n">
        <f aca="false">'Global Inputs'!$K$92</f>
        <v>1</v>
      </c>
      <c r="F253" s="58" t="n">
        <f aca="false">'E4 WIN Output'!F37*$E$253</f>
        <v>12.9637748961044</v>
      </c>
      <c r="G253" s="58" t="n">
        <f aca="false">'E4 WIN Output'!G37*$E$253</f>
        <v>10.8133613558304</v>
      </c>
      <c r="H253" s="58" t="n">
        <f aca="false">'E4 WIN Output'!H37*$E$253</f>
        <v>8.05791464791984</v>
      </c>
      <c r="I253" s="58" t="n">
        <f aca="false">'E4 WIN Output'!I37*$E$253</f>
        <v>7.64256930725775</v>
      </c>
      <c r="J253" s="58" t="n">
        <f aca="false">'E4 WIN Output'!J37*$E$253</f>
        <v>8.24273080744447</v>
      </c>
      <c r="K253" s="58" t="n">
        <f aca="false">'E4 WIN Output'!K37*$E$253</f>
        <v>8.86589853456215</v>
      </c>
      <c r="L253" s="58" t="n">
        <f aca="false">'E4 WIN Output'!L37*$E$253</f>
        <v>9.58868242452879</v>
      </c>
      <c r="M253" s="58" t="n">
        <f aca="false">'E4 WIN Output'!M37*$E$253</f>
        <v>10.3422481914172</v>
      </c>
      <c r="N253" s="58" t="n">
        <f aca="false">'E4 WIN Output'!N37*$E$253</f>
        <v>11.1552422445365</v>
      </c>
      <c r="O253" s="58" t="n">
        <f aca="false">'E4 WIN Output'!O37*$E$253</f>
        <v>11.9994911734784</v>
      </c>
      <c r="P253" s="58" t="n">
        <f aca="false">'E4 WIN Output'!P37*$E$253</f>
        <v>12.9786959718421</v>
      </c>
      <c r="Q253" s="58" t="n">
        <f aca="false">'E4 WIN Output'!Q37*$E$253</f>
        <v>11.4889120218016</v>
      </c>
      <c r="R253" s="58" t="n">
        <f aca="false">'E4 WIN Output'!R37*$E$253</f>
        <v>12.0472800495917</v>
      </c>
      <c r="S253" s="58" t="n">
        <f aca="false">'E4 WIN Output'!S37*$E$253</f>
        <v>12.5984071917523</v>
      </c>
    </row>
    <row r="254" customFormat="false" ht="15" hidden="false" customHeight="false" outlineLevel="0" collapsed="false">
      <c r="B254" s="77" t="s">
        <v>43</v>
      </c>
      <c r="C254" s="25" t="s">
        <v>170</v>
      </c>
      <c r="E254" s="55" t="n">
        <f aca="false">'Global Inputs'!$K$93</f>
        <v>1</v>
      </c>
      <c r="F254" s="58" t="n">
        <f aca="false">'P01 CigWharf2 Output'!F37*$E$254</f>
        <v>0</v>
      </c>
      <c r="G254" s="58" t="n">
        <f aca="false">'P01 CigWharf2 Output'!G37*$E$254</f>
        <v>0</v>
      </c>
      <c r="H254" s="58" t="n">
        <f aca="false">'P01 CigWharf2 Output'!H37*$E$254</f>
        <v>12.3672586556949</v>
      </c>
      <c r="I254" s="58" t="n">
        <f aca="false">'P01 CigWharf2 Output'!I37*$E$254</f>
        <v>12.7382764153658</v>
      </c>
      <c r="J254" s="58" t="n">
        <f aca="false">'P01 CigWharf2 Output'!J37*$E$254</f>
        <v>15.7445096493921</v>
      </c>
      <c r="K254" s="58" t="n">
        <f aca="false">'P01 CigWharf2 Output'!K37*$E$254</f>
        <v>16.1725366193687</v>
      </c>
      <c r="L254" s="58" t="n">
        <f aca="false">'P01 CigWharf2 Output'!L37*$E$254</f>
        <v>18.3736853157441</v>
      </c>
      <c r="M254" s="58" t="n">
        <f aca="false">'P01 CigWharf2 Output'!M37*$E$254</f>
        <v>18.9248958752164</v>
      </c>
      <c r="N254" s="58" t="n">
        <f aca="false">'P01 CigWharf2 Output'!N37*$E$254</f>
        <v>20.6622013165612</v>
      </c>
      <c r="O254" s="58" t="n">
        <f aca="false">'P01 CigWharf2 Output'!O37*$E$254</f>
        <v>21.2239196310415</v>
      </c>
      <c r="P254" s="58" t="n">
        <f aca="false">'P01 CigWharf2 Output'!P37*$E$254</f>
        <v>23.2357611393442</v>
      </c>
      <c r="Q254" s="58" t="n">
        <f aca="false">'P01 CigWharf2 Output'!Q37*$E$254</f>
        <v>23.9328339735245</v>
      </c>
      <c r="R254" s="58" t="n">
        <f aca="false">'P01 CigWharf2 Output'!R37*$E$254</f>
        <v>24.6508189927303</v>
      </c>
      <c r="S254" s="58" t="n">
        <f aca="false">'P01 CigWharf2 Output'!S37*$E$254</f>
        <v>25.3209710391173</v>
      </c>
    </row>
    <row r="255" customFormat="false" ht="15" hidden="false" customHeight="false" outlineLevel="0" collapsed="false">
      <c r="B255" s="77" t="s">
        <v>46</v>
      </c>
      <c r="C255" s="25" t="s">
        <v>170</v>
      </c>
      <c r="E255" s="55" t="n">
        <f aca="false">'Global Inputs'!$K$94</f>
        <v>1</v>
      </c>
      <c r="F255" s="58" t="n">
        <f aca="false">'P02 CigConveyor Output'!F37*$E$255</f>
        <v>0</v>
      </c>
      <c r="G255" s="58" t="n">
        <f aca="false">'P02 CigConveyor Output'!G37*$E$255</f>
        <v>0</v>
      </c>
      <c r="H255" s="58" t="n">
        <f aca="false">'P02 CigConveyor Output'!H37*$E$255</f>
        <v>3.88356164383562</v>
      </c>
      <c r="I255" s="58" t="n">
        <f aca="false">'P02 CigConveyor Output'!I37*$E$255</f>
        <v>4.00006849315069</v>
      </c>
      <c r="J255" s="58" t="n">
        <f aca="false">'P02 CigConveyor Output'!J37*$E$255</f>
        <v>4.12007054794521</v>
      </c>
      <c r="K255" s="58" t="n">
        <f aca="false">'P02 CigConveyor Output'!K37*$E$255</f>
        <v>4.23207793032787</v>
      </c>
      <c r="L255" s="58" t="n">
        <f aca="false">'P02 CigConveyor Output'!L37*$E$255</f>
        <v>4.37098284431507</v>
      </c>
      <c r="M255" s="58" t="n">
        <f aca="false">'P02 CigConveyor Output'!M37*$E$255</f>
        <v>4.50211232964452</v>
      </c>
      <c r="N255" s="58" t="n">
        <f aca="false">'P02 CigConveyor Output'!N37*$E$255</f>
        <v>4.63717569953386</v>
      </c>
      <c r="O255" s="58" t="n">
        <f aca="false">'P02 CigConveyor Output'!O37*$E$255</f>
        <v>4.76324099519058</v>
      </c>
      <c r="P255" s="58" t="n">
        <f aca="false">'P02 CigConveyor Output'!P37*$E$255</f>
        <v>4.91957969963547</v>
      </c>
      <c r="Q255" s="58" t="n">
        <f aca="false">'P02 CigConveyor Output'!Q37*$E$255</f>
        <v>5.06716709062453</v>
      </c>
      <c r="R255" s="58" t="n">
        <f aca="false">'P02 CigConveyor Output'!R37*$E$255</f>
        <v>5.21918210334327</v>
      </c>
      <c r="S255" s="58" t="n">
        <f aca="false">'P02 CigConveyor Output'!S37*$E$255</f>
        <v>5.36106970424017</v>
      </c>
    </row>
    <row r="256" customFormat="false" ht="15" hidden="false" customHeight="false" outlineLevel="0" collapsed="false">
      <c r="B256" s="77" t="s">
        <v>48</v>
      </c>
      <c r="C256" s="25" t="s">
        <v>170</v>
      </c>
      <c r="E256" s="55" t="n">
        <f aca="false">'Global Inputs'!$K$95</f>
        <v>1</v>
      </c>
      <c r="F256" s="58" t="n">
        <f aca="false">'P03 KBSWarehouse Output'!F37*$E$256</f>
        <v>0</v>
      </c>
      <c r="G256" s="58" t="n">
        <f aca="false">'P03 KBSWarehouse Output'!G37*$E$256</f>
        <v>0</v>
      </c>
      <c r="H256" s="58" t="n">
        <f aca="false">'P03 KBSWarehouse Output'!H37*$E$256</f>
        <v>0</v>
      </c>
      <c r="I256" s="58" t="n">
        <f aca="false">'P03 KBSWarehouse Output'!I37*$E$256</f>
        <v>0</v>
      </c>
      <c r="J256" s="58" t="n">
        <f aca="false">'P03 KBSWarehouse Output'!J37*$E$256</f>
        <v>6.53717860273973</v>
      </c>
      <c r="K256" s="58" t="n">
        <f aca="false">'P03 KBSWarehouse Output'!K37*$E$256</f>
        <v>6.71489698278688</v>
      </c>
      <c r="L256" s="58" t="n">
        <f aca="false">'P03 KBSWarehouse Output'!L37*$E$256</f>
        <v>6.93529277964658</v>
      </c>
      <c r="M256" s="58" t="n">
        <f aca="false">'P03 KBSWarehouse Output'!M37*$E$256</f>
        <v>7.14335156303597</v>
      </c>
      <c r="N256" s="58" t="n">
        <f aca="false">'P03 KBSWarehouse Output'!N37*$E$256</f>
        <v>7.35765210992705</v>
      </c>
      <c r="O256" s="58" t="n">
        <f aca="false">'P03 KBSWarehouse Output'!O37*$E$256</f>
        <v>7.55767571236906</v>
      </c>
      <c r="P256" s="58" t="n">
        <f aca="false">'P03 KBSWarehouse Output'!P37*$E$256</f>
        <v>7.80573312342161</v>
      </c>
      <c r="Q256" s="58" t="n">
        <f aca="false">'P03 KBSWarehouse Output'!Q37*$E$256</f>
        <v>8.03990511712426</v>
      </c>
      <c r="R256" s="58" t="n">
        <f aca="false">'P03 KBSWarehouse Output'!R37*$E$256</f>
        <v>8.28110227063799</v>
      </c>
      <c r="S256" s="58" t="n">
        <f aca="false">'P03 KBSWarehouse Output'!S37*$E$256</f>
        <v>8.5062305973944</v>
      </c>
    </row>
    <row r="257" customFormat="false" ht="15" hidden="false" customHeight="false" outlineLevel="0" collapsed="false">
      <c r="B257" s="77" t="s">
        <v>51</v>
      </c>
      <c r="C257" s="25" t="s">
        <v>170</v>
      </c>
      <c r="E257" s="55" t="n">
        <f aca="false">'Global Inputs'!$K$96</f>
        <v>1</v>
      </c>
      <c r="F257" s="58" t="n">
        <f aca="false">'P04 TTLSilo Output'!F37*$E$257</f>
        <v>0</v>
      </c>
      <c r="G257" s="58" t="n">
        <f aca="false">'P04 TTLSilo Output'!G37*$E$257</f>
        <v>0</v>
      </c>
      <c r="H257" s="58" t="n">
        <f aca="false">'P04 TTLSilo Output'!H37*$E$257</f>
        <v>0</v>
      </c>
      <c r="I257" s="58" t="n">
        <f aca="false">'P04 TTLSilo Output'!I37*$E$257</f>
        <v>0</v>
      </c>
      <c r="J257" s="58" t="n">
        <f aca="false">'P04 TTLSilo Output'!J37*$E$257</f>
        <v>1.63479452054795</v>
      </c>
      <c r="K257" s="58" t="n">
        <f aca="false">'P04 TTLSilo Output'!K37*$E$257</f>
        <v>1.63032786885246</v>
      </c>
      <c r="L257" s="58" t="n">
        <f aca="false">'P04 TTLSilo Output'!L37*$E$257</f>
        <v>1.63479452054795</v>
      </c>
      <c r="M257" s="58" t="n">
        <f aca="false">'P04 TTLSilo Output'!M37*$E$257</f>
        <v>1.63479452054795</v>
      </c>
      <c r="N257" s="58" t="n">
        <f aca="false">'P04 TTLSilo Output'!N37*$E$257</f>
        <v>1.63479452054795</v>
      </c>
      <c r="O257" s="58" t="n">
        <f aca="false">'P04 TTLSilo Output'!O37*$E$257</f>
        <v>1.63032786885246</v>
      </c>
      <c r="P257" s="58" t="n">
        <f aca="false">'P04 TTLSilo Output'!P37*$E$257</f>
        <v>1.63479452054795</v>
      </c>
      <c r="Q257" s="58" t="n">
        <f aca="false">'P04 TTLSilo Output'!Q37*$E$257</f>
        <v>1.63479452054795</v>
      </c>
      <c r="R257" s="58" t="n">
        <f aca="false">'P04 TTLSilo Output'!R37*$E$257</f>
        <v>1.63479452054795</v>
      </c>
      <c r="S257" s="58" t="n">
        <f aca="false">'P04 TTLSilo Output'!S37*$E$257</f>
        <v>1.63032786885246</v>
      </c>
    </row>
    <row r="258" customFormat="false" ht="15" hidden="false" customHeight="false" outlineLevel="0" collapsed="false">
      <c r="B258" s="77" t="s">
        <v>54</v>
      </c>
      <c r="C258" s="25" t="s">
        <v>170</v>
      </c>
      <c r="E258" s="55" t="n">
        <f aca="false">'Global Inputs'!$K$97</f>
        <v>1</v>
      </c>
      <c r="F258" s="58" t="n">
        <f aca="false">'P05 Dumai Output'!F37*$E$258</f>
        <v>0</v>
      </c>
      <c r="G258" s="58" t="n">
        <f aca="false">'P05 Dumai Output'!G37*$E$258</f>
        <v>0</v>
      </c>
      <c r="H258" s="58" t="n">
        <f aca="false">'P05 Dumai Output'!H37*$E$258</f>
        <v>0</v>
      </c>
      <c r="I258" s="58" t="n">
        <f aca="false">'P05 Dumai Output'!I37*$E$258</f>
        <v>5.93013698630137</v>
      </c>
      <c r="J258" s="58" t="n">
        <f aca="false">'P05 Dumai Output'!J37*$E$258</f>
        <v>5.93013698630137</v>
      </c>
      <c r="K258" s="58" t="n">
        <f aca="false">'P05 Dumai Output'!K37*$E$258</f>
        <v>5.91393442622951</v>
      </c>
      <c r="L258" s="58" t="n">
        <f aca="false">'P05 Dumai Output'!L37*$E$258</f>
        <v>6.33915616438356</v>
      </c>
      <c r="M258" s="58" t="n">
        <f aca="false">'P05 Dumai Output'!M37*$E$258</f>
        <v>6.33915616438356</v>
      </c>
      <c r="N258" s="58" t="n">
        <f aca="false">'P05 Dumai Output'!N37*$E$258</f>
        <v>6.33915616438356</v>
      </c>
      <c r="O258" s="58" t="n">
        <f aca="false">'P05 Dumai Output'!O37*$E$258</f>
        <v>6.32183606557377</v>
      </c>
      <c r="P258" s="58" t="n">
        <f aca="false">'P05 Dumai Output'!P37*$E$258</f>
        <v>6.77690131068493</v>
      </c>
      <c r="Q258" s="58" t="n">
        <f aca="false">'P05 Dumai Output'!Q37*$E$258</f>
        <v>6.77690131068493</v>
      </c>
      <c r="R258" s="58" t="n">
        <f aca="false">'P05 Dumai Output'!R37*$E$258</f>
        <v>6.77690131068493</v>
      </c>
      <c r="S258" s="58" t="n">
        <f aca="false">'P05 Dumai Output'!S37*$E$258</f>
        <v>6.75838518688525</v>
      </c>
    </row>
    <row r="259" customFormat="false" ht="15" hidden="false" customHeight="false" outlineLevel="0" collapsed="false">
      <c r="B259" s="77" t="s">
        <v>57</v>
      </c>
      <c r="C259" s="25" t="s">
        <v>170</v>
      </c>
      <c r="E259" s="55" t="n">
        <f aca="false">'Global Inputs'!$K$98</f>
        <v>1</v>
      </c>
      <c r="F259" s="58" t="n">
        <f aca="false">'P06 Ciwandan Output'!F37*$E$259</f>
        <v>0</v>
      </c>
      <c r="G259" s="58" t="n">
        <f aca="false">'P06 Ciwandan Output'!G37*$E$259</f>
        <v>0</v>
      </c>
      <c r="H259" s="58" t="n">
        <f aca="false">'P06 Ciwandan Output'!H37*$E$259</f>
        <v>0</v>
      </c>
      <c r="I259" s="58" t="n">
        <f aca="false">'P06 Ciwandan Output'!I37*$E$259</f>
        <v>0</v>
      </c>
      <c r="J259" s="58" t="n">
        <f aca="false">'P06 Ciwandan Output'!J37*$E$259</f>
        <v>0</v>
      </c>
      <c r="K259" s="58" t="n">
        <f aca="false">'P06 Ciwandan Output'!K37*$E$259</f>
        <v>7.16284912965178</v>
      </c>
      <c r="L259" s="58" t="n">
        <f aca="false">'P06 Ciwandan Output'!L37*$E$259</f>
        <v>9.48086485347224</v>
      </c>
      <c r="M259" s="58" t="n">
        <f aca="false">'P06 Ciwandan Output'!M37*$E$259</f>
        <v>10.4289513388195</v>
      </c>
      <c r="N259" s="58" t="n">
        <f aca="false">'P06 Ciwandan Output'!N37*$E$259</f>
        <v>12.6190311199716</v>
      </c>
      <c r="O259" s="58" t="n">
        <f aca="false">'P06 Ciwandan Output'!O37*$E$259</f>
        <v>13.3396260664399</v>
      </c>
      <c r="P259" s="58" t="n">
        <f aca="false">'P06 Ciwandan Output'!P37*$E$259</f>
        <v>15.029467968384</v>
      </c>
      <c r="Q259" s="58" t="n">
        <f aca="false">'P06 Ciwandan Output'!Q37*$E$259</f>
        <v>15.9312360464871</v>
      </c>
      <c r="R259" s="58" t="n">
        <f aca="false">'P06 Ciwandan Output'!R37*$E$259</f>
        <v>17.9003368218329</v>
      </c>
      <c r="S259" s="58" t="n">
        <f aca="false">'P06 Ciwandan Output'!S37*$E$259</f>
        <v>18.9225145255933</v>
      </c>
    </row>
    <row r="260" customFormat="false" ht="15" hidden="false" customHeight="false" outlineLevel="0" collapsed="false">
      <c r="B260" s="77" t="s">
        <v>60</v>
      </c>
      <c r="C260" s="25" t="s">
        <v>170</v>
      </c>
      <c r="E260" s="55" t="n">
        <f aca="false">'Global Inputs'!$K$99</f>
        <v>1</v>
      </c>
      <c r="F260" s="58" t="n">
        <f aca="false">'P08 DMSTrucking Output'!F37*$E$260</f>
        <v>0</v>
      </c>
      <c r="G260" s="58" t="n">
        <f aca="false">'P08 DMSTrucking Output'!G37*$E$260</f>
        <v>0</v>
      </c>
      <c r="H260" s="58" t="n">
        <f aca="false">'P08 DMSTrucking Output'!H37*$E$260</f>
        <v>0</v>
      </c>
      <c r="I260" s="58" t="n">
        <f aca="false">'P08 DMSTrucking Output'!I37*$E$260</f>
        <v>0</v>
      </c>
      <c r="J260" s="58" t="n">
        <f aca="false">'P08 DMSTrucking Output'!J37*$E$260</f>
        <v>0.339336932040986</v>
      </c>
      <c r="K260" s="58" t="n">
        <f aca="false">'P08 DMSTrucking Output'!K37*$E$260</f>
        <v>0.405832567215325</v>
      </c>
      <c r="L260" s="58" t="n">
        <f aca="false">'P08 DMSTrucking Output'!L37*$E$260</f>
        <v>0.423379071750228</v>
      </c>
      <c r="M260" s="58" t="n">
        <f aca="false">'P08 DMSTrucking Output'!M37*$E$260</f>
        <v>0.440707183628762</v>
      </c>
      <c r="N260" s="58" t="n">
        <f aca="false">'P08 DMSTrucking Output'!N37*$E$260</f>
        <v>0.458995621055433</v>
      </c>
      <c r="O260" s="58" t="n">
        <f aca="false">'P08 DMSTrucking Output'!O37*$E$260</f>
        <v>0.473973065944782</v>
      </c>
      <c r="P260" s="58" t="n">
        <f aca="false">'P08 DMSTrucking Output'!P37*$E$260</f>
        <v>0.492172956448942</v>
      </c>
      <c r="Q260" s="58" t="n">
        <f aca="false">'P08 DMSTrucking Output'!Q37*$E$260</f>
        <v>0.509726606693753</v>
      </c>
      <c r="R260" s="58" t="n">
        <f aca="false">'P08 DMSTrucking Output'!R37*$E$260</f>
        <v>0.527960859070495</v>
      </c>
      <c r="S260" s="58" t="n">
        <f aca="false">'P08 DMSTrucking Output'!S37*$E$260</f>
        <v>0.545411094230109</v>
      </c>
    </row>
    <row r="261" customFormat="false" ht="15" hidden="false" customHeight="false" outlineLevel="0" collapsed="false">
      <c r="B261" s="77" t="s">
        <v>63</v>
      </c>
      <c r="C261" s="25" t="s">
        <v>170</v>
      </c>
      <c r="E261" s="55" t="n">
        <f aca="false">'Global Inputs'!$K$100</f>
        <v>0</v>
      </c>
      <c r="F261" s="58" t="n">
        <f aca="false">'P12 BUMNOps Output'!F37*$E$261</f>
        <v>0</v>
      </c>
      <c r="G261" s="58" t="n">
        <f aca="false">'P12 BUMNOps Output'!G37*$E$261</f>
        <v>0</v>
      </c>
      <c r="H261" s="58" t="n">
        <f aca="false">'P12 BUMNOps Output'!H37*$E$261</f>
        <v>0</v>
      </c>
      <c r="I261" s="58" t="n">
        <f aca="false">'P12 BUMNOps Output'!I37*$E$261</f>
        <v>0</v>
      </c>
      <c r="J261" s="58" t="n">
        <f aca="false">'P12 BUMNOps Output'!J37*$E$261</f>
        <v>0</v>
      </c>
      <c r="K261" s="58" t="n">
        <f aca="false">'P12 BUMNOps Output'!K37*$E$261</f>
        <v>0</v>
      </c>
      <c r="L261" s="58" t="n">
        <f aca="false">'P12 BUMNOps Output'!L37*$E$261</f>
        <v>0</v>
      </c>
      <c r="M261" s="58" t="n">
        <f aca="false">'P12 BUMNOps Output'!M37*$E$261</f>
        <v>0</v>
      </c>
      <c r="N261" s="58" t="n">
        <f aca="false">'P12 BUMNOps Output'!N37*$E$261</f>
        <v>0</v>
      </c>
      <c r="O261" s="58" t="n">
        <f aca="false">'P12 BUMNOps Output'!O37*$E$261</f>
        <v>0</v>
      </c>
      <c r="P261" s="58" t="n">
        <f aca="false">'P12 BUMNOps Output'!P37*$E$261</f>
        <v>0</v>
      </c>
      <c r="Q261" s="58" t="n">
        <f aca="false">'P12 BUMNOps Output'!Q37*$E$261</f>
        <v>0</v>
      </c>
      <c r="R261" s="58" t="n">
        <f aca="false">'P12 BUMNOps Output'!R37*$E$261</f>
        <v>0</v>
      </c>
      <c r="S261" s="58" t="n">
        <f aca="false">'P12 BUMNOps Output'!S37*$E$261</f>
        <v>0</v>
      </c>
    </row>
    <row r="262" customFormat="false" ht="15" hidden="false" customHeight="false" outlineLevel="0" collapsed="false">
      <c r="B262" s="77" t="s">
        <v>66</v>
      </c>
      <c r="C262" s="25" t="s">
        <v>170</v>
      </c>
      <c r="E262" s="55" t="n">
        <f aca="false">'Global Inputs'!$K$101</f>
        <v>0</v>
      </c>
      <c r="F262" s="58" t="n">
        <f aca="false">'P15 TBM Output'!F37*$E$262</f>
        <v>0</v>
      </c>
      <c r="G262" s="58" t="n">
        <f aca="false">'P15 TBM Output'!G37*$E$262</f>
        <v>0</v>
      </c>
      <c r="H262" s="58" t="n">
        <f aca="false">'P15 TBM Output'!H37*$E$262</f>
        <v>0</v>
      </c>
      <c r="I262" s="58" t="n">
        <f aca="false">'P15 TBM Output'!I37*$E$262</f>
        <v>0</v>
      </c>
      <c r="J262" s="58" t="n">
        <f aca="false">'P15 TBM Output'!J37*$E$262</f>
        <v>0</v>
      </c>
      <c r="K262" s="58" t="n">
        <f aca="false">'P15 TBM Output'!K37*$E$262</f>
        <v>0</v>
      </c>
      <c r="L262" s="58" t="n">
        <f aca="false">'P15 TBM Output'!L37*$E$262</f>
        <v>0</v>
      </c>
      <c r="M262" s="58" t="n">
        <f aca="false">'P15 TBM Output'!M37*$E$262</f>
        <v>0</v>
      </c>
      <c r="N262" s="58" t="n">
        <f aca="false">'P15 TBM Output'!N37*$E$262</f>
        <v>0</v>
      </c>
      <c r="O262" s="58" t="n">
        <f aca="false">'P15 TBM Output'!O37*$E$262</f>
        <v>0</v>
      </c>
      <c r="P262" s="58" t="n">
        <f aca="false">'P15 TBM Output'!P37*$E$262</f>
        <v>0</v>
      </c>
      <c r="Q262" s="58" t="n">
        <f aca="false">'P15 TBM Output'!Q37*$E$262</f>
        <v>0</v>
      </c>
      <c r="R262" s="58" t="n">
        <f aca="false">'P15 TBM Output'!R37*$E$262</f>
        <v>0</v>
      </c>
      <c r="S262" s="58" t="n">
        <f aca="false">'P15 TBM Output'!S37*$E$262</f>
        <v>0</v>
      </c>
    </row>
    <row r="263" customFormat="false" ht="15" hidden="false" customHeight="false" outlineLevel="0" collapsed="false">
      <c r="B263" s="77" t="s">
        <v>69</v>
      </c>
      <c r="C263" s="25" t="s">
        <v>170</v>
      </c>
      <c r="E263" s="55" t="n">
        <f aca="false">'Global Inputs'!$K$102</f>
        <v>0</v>
      </c>
      <c r="F263" s="58" t="n">
        <f aca="false">'P19 Badas Output'!F37*$E$263</f>
        <v>0</v>
      </c>
      <c r="G263" s="58" t="n">
        <f aca="false">'P19 Badas Output'!G37*$E$263</f>
        <v>0</v>
      </c>
      <c r="H263" s="58" t="n">
        <f aca="false">'P19 Badas Output'!H37*$E$263</f>
        <v>0</v>
      </c>
      <c r="I263" s="58" t="n">
        <f aca="false">'P19 Badas Output'!I37*$E$263</f>
        <v>0</v>
      </c>
      <c r="J263" s="58" t="n">
        <f aca="false">'P19 Badas Output'!J37*$E$263</f>
        <v>0</v>
      </c>
      <c r="K263" s="58" t="n">
        <f aca="false">'P19 Badas Output'!K37*$E$263</f>
        <v>0</v>
      </c>
      <c r="L263" s="58" t="n">
        <f aca="false">'P19 Badas Output'!L37*$E$263</f>
        <v>0</v>
      </c>
      <c r="M263" s="58" t="n">
        <f aca="false">'P19 Badas Output'!M37*$E$263</f>
        <v>0</v>
      </c>
      <c r="N263" s="58" t="n">
        <f aca="false">'P19 Badas Output'!N37*$E$263</f>
        <v>0</v>
      </c>
      <c r="O263" s="58" t="n">
        <f aca="false">'P19 Badas Output'!O37*$E$263</f>
        <v>0</v>
      </c>
      <c r="P263" s="58" t="n">
        <f aca="false">'P19 Badas Output'!P37*$E$263</f>
        <v>0</v>
      </c>
      <c r="Q263" s="58" t="n">
        <f aca="false">'P19 Badas Output'!Q37*$E$263</f>
        <v>0</v>
      </c>
      <c r="R263" s="58" t="n">
        <f aca="false">'P19 Badas Output'!R37*$E$263</f>
        <v>0</v>
      </c>
      <c r="S263" s="58" t="n">
        <f aca="false">'P19 Badas Output'!S37*$E$263</f>
        <v>0</v>
      </c>
    </row>
    <row r="264" customFormat="false" ht="15" hidden="false" customHeight="false" outlineLevel="0" collapsed="false">
      <c r="B264" s="69" t="s">
        <v>464</v>
      </c>
      <c r="C264" s="25" t="s">
        <v>170</v>
      </c>
      <c r="E264" s="70" t="n">
        <f aca="false">SUM(F264:S264)</f>
        <v>1266.71516856945</v>
      </c>
      <c r="F264" s="68" t="n">
        <f aca="false">F250+F251+F252+F253+F254+F255+F256+F257+F258+F259+F260+F261+F262+F263</f>
        <v>45</v>
      </c>
      <c r="G264" s="68" t="n">
        <f aca="false">G250+G251+G252+G253+G254+G255+G256+G257+G258+G259+G260+G261+G262+G263</f>
        <v>37.5354605361583</v>
      </c>
      <c r="H264" s="68" t="n">
        <f aca="false">H250+H251+H252+H253+H254+H255+H256+H257+H258+H259+H260+H261+H262+H263</f>
        <v>52.7181331474504</v>
      </c>
      <c r="I264" s="68" t="n">
        <f aca="false">I250+I251+I252+I253+I254+I255+I256+I257+I258+I259+I260+I261+I262+I263</f>
        <v>60.9744872550961</v>
      </c>
      <c r="J264" s="68" t="n">
        <f aca="false">J250+J251+J252+J253+J254+J255+J256+J257+J258+J259+J260+J261+J262+J263</f>
        <v>76.4292467192454</v>
      </c>
      <c r="K264" s="68" t="n">
        <f aca="false">K250+K251+K252+K253+K254+K255+K256+K257+K258+K259+K260+K261+K262+K263</f>
        <v>86.3150197351139</v>
      </c>
      <c r="L264" s="68" t="n">
        <f aca="false">L250+L251+L252+L253+L254+L255+L256+L257+L258+L259+L260+L261+L262+L263</f>
        <v>95.3955694548793</v>
      </c>
      <c r="M264" s="68" t="n">
        <f aca="false">M250+M251+M252+M253+M254+M255+M256+M257+M258+M259+M260+M261+M262+M263</f>
        <v>99.6028713176317</v>
      </c>
      <c r="N264" s="68" t="n">
        <f aca="false">N250+N251+N252+N253+N254+N255+N256+N257+N258+N259+N260+N261+N262+N263</f>
        <v>106.915913384939</v>
      </c>
      <c r="O264" s="68" t="n">
        <f aca="false">O250+O251+O252+O253+O254+O255+O256+O257+O258+O259+O260+O261+O262+O263</f>
        <v>111.744390014958</v>
      </c>
      <c r="P264" s="68" t="n">
        <f aca="false">P250+P251+P252+P253+P254+P255+P256+P257+P258+P259+P260+P261+P262+P263</f>
        <v>119.881934571981</v>
      </c>
      <c r="Q264" s="68" t="n">
        <f aca="false">Q250+Q251+Q252+Q253+Q254+Q255+Q256+Q257+Q258+Q259+Q260+Q261+Q262+Q263</f>
        <v>122.329401230893</v>
      </c>
      <c r="R264" s="68" t="n">
        <f aca="false">R250+R251+R252+R253+R254+R255+R256+R257+R258+R259+R260+R261+R262+R263</f>
        <v>123.887297782339</v>
      </c>
      <c r="S264" s="68" t="n">
        <f aca="false">S250+S251+S252+S253+S254+S255+S256+S257+S258+S259+S260+S261+S262+S263</f>
        <v>127.985443418765</v>
      </c>
    </row>
    <row r="265" customFormat="false" ht="15" hidden="false" customHeight="false" outlineLevel="0" collapsed="false">
      <c r="B265" s="78" t="s">
        <v>465</v>
      </c>
      <c r="C265" s="79"/>
      <c r="D265" s="79"/>
      <c r="E265" s="79"/>
      <c r="F265" s="79"/>
      <c r="G265" s="79"/>
      <c r="H265" s="79"/>
      <c r="I265" s="79"/>
      <c r="J265" s="79"/>
      <c r="K265" s="79"/>
      <c r="L265" s="79"/>
      <c r="M265" s="79"/>
      <c r="N265" s="79"/>
      <c r="O265" s="79"/>
      <c r="P265" s="79"/>
      <c r="Q265" s="79"/>
      <c r="R265" s="79"/>
      <c r="S265" s="79"/>
    </row>
    <row r="266" customFormat="false" ht="15" hidden="false" customHeight="false" outlineLevel="0" collapsed="false">
      <c r="B266" s="77" t="s">
        <v>31</v>
      </c>
      <c r="C266" s="25" t="s">
        <v>170</v>
      </c>
      <c r="E266" s="55" t="n">
        <f aca="false">'Global Inputs'!$K$89</f>
        <v>1</v>
      </c>
      <c r="F266" s="58" t="n">
        <f aca="false">'E1 TelukLamong Output'!F38*$E$266</f>
        <v>-3.58394966961942</v>
      </c>
      <c r="G266" s="58" t="n">
        <f aca="false">'E1 TelukLamong Output'!G38*$E$266</f>
        <v>-2.45358898185645</v>
      </c>
      <c r="H266" s="58" t="n">
        <f aca="false">'E1 TelukLamong Output'!H38*$E$266</f>
        <v>-2.57360722187744</v>
      </c>
      <c r="I266" s="58" t="n">
        <f aca="false">'E1 TelukLamong Output'!I38*$E$266</f>
        <v>-2.69445621864038</v>
      </c>
      <c r="J266" s="58" t="n">
        <f aca="false">'E1 TelukLamong Output'!J38*$E$266</f>
        <v>-2.81967305161033</v>
      </c>
      <c r="K266" s="58" t="n">
        <f aca="false">'E1 TelukLamong Output'!K38*$E$266</f>
        <v>-2.94327959700272</v>
      </c>
      <c r="L266" s="58" t="n">
        <f aca="false">'E1 TelukLamong Output'!L38*$E$266</f>
        <v>-3.09157203600629</v>
      </c>
      <c r="M266" s="58" t="n">
        <f aca="false">'E1 TelukLamong Output'!M38*$E$266</f>
        <v>-3.23723157014051</v>
      </c>
      <c r="N266" s="58" t="n">
        <f aca="false">'E1 TelukLamong Output'!N38*$E$266</f>
        <v>-3.39046866515628</v>
      </c>
      <c r="O266" s="58" t="n">
        <f aca="false">'E1 TelukLamong Output'!O38*$E$266</f>
        <v>-3.54374391858123</v>
      </c>
      <c r="P266" s="58" t="n">
        <f aca="false">'E1 TelukLamong Output'!P38*$E$266</f>
        <v>-3.72312500731182</v>
      </c>
      <c r="Q266" s="58" t="n">
        <f aca="false">'E1 TelukLamong Output'!Q38*$E$266</f>
        <v>-3.90170449127994</v>
      </c>
      <c r="R266" s="58" t="n">
        <f aca="false">'E1 TelukLamong Output'!R38*$E$266</f>
        <v>-4.08968671311892</v>
      </c>
      <c r="S266" s="58" t="n">
        <f aca="false">'E1 TelukLamong Output'!S38*$E$266</f>
        <v>-4.27588110528686</v>
      </c>
    </row>
    <row r="267" customFormat="false" ht="15" hidden="false" customHeight="false" outlineLevel="0" collapsed="false">
      <c r="B267" s="77" t="s">
        <v>34</v>
      </c>
      <c r="C267" s="25" t="s">
        <v>170</v>
      </c>
      <c r="E267" s="55" t="n">
        <f aca="false">'Global Inputs'!$K$90</f>
        <v>1</v>
      </c>
      <c r="F267" s="58" t="n">
        <f aca="false">'E2 CigadingExist Output'!F38*$E$267</f>
        <v>-1.60697070234504</v>
      </c>
      <c r="G267" s="58" t="n">
        <f aca="false">'E2 CigadingExist Output'!G38*$E$267</f>
        <v>-1.10013978233645</v>
      </c>
      <c r="H267" s="58" t="n">
        <f aca="false">'E2 CigadingExist Output'!H38*$E$267</f>
        <v>-1.14662013229574</v>
      </c>
      <c r="I267" s="58" t="n">
        <f aca="false">'E2 CigadingExist Output'!I38*$E$267</f>
        <v>-1.19486413230925</v>
      </c>
      <c r="J267" s="58" t="n">
        <f aca="false">'E2 CigadingExist Output'!J38*$E$267</f>
        <v>-1.24253767142726</v>
      </c>
      <c r="K267" s="58" t="n">
        <f aca="false">'E2 CigadingExist Output'!K38*$E$267</f>
        <v>-1.28894508431115</v>
      </c>
      <c r="L267" s="58" t="n">
        <f aca="false">'E2 CigadingExist Output'!L38*$E$267</f>
        <v>-1.34752204344192</v>
      </c>
      <c r="M267" s="58" t="n">
        <f aca="false">'E2 CigadingExist Output'!M38*$E$267</f>
        <v>-1.40234404209642</v>
      </c>
      <c r="N267" s="58" t="n">
        <f aca="false">'E2 CigadingExist Output'!N38*$E$267</f>
        <v>-1.45979688392359</v>
      </c>
      <c r="O267" s="58" t="n">
        <f aca="false">'E2 CigadingExist Output'!O38*$E$267</f>
        <v>-1.51858149056707</v>
      </c>
      <c r="P267" s="58" t="n">
        <f aca="false">'E2 CigadingExist Output'!P38*$E$267</f>
        <v>-1.58586985281097</v>
      </c>
      <c r="Q267" s="58" t="n">
        <f aca="false">'E2 CigadingExist Output'!Q38*$E$267</f>
        <v>-1.65205704916404</v>
      </c>
      <c r="R267" s="58" t="n">
        <f aca="false">'E2 CigadingExist Output'!R38*$E$267</f>
        <v>-1.72146227874195</v>
      </c>
      <c r="S267" s="58" t="n">
        <f aca="false">'E2 CigadingExist Output'!S38*$E$267</f>
        <v>-1.78935060845088</v>
      </c>
    </row>
    <row r="268" customFormat="false" ht="15" hidden="false" customHeight="false" outlineLevel="0" collapsed="false">
      <c r="B268" s="77" t="s">
        <v>37</v>
      </c>
      <c r="C268" s="25" t="s">
        <v>170</v>
      </c>
      <c r="E268" s="55" t="n">
        <f aca="false">'Global Inputs'!$K$91</f>
        <v>1</v>
      </c>
      <c r="F268" s="58" t="n">
        <f aca="false">'E3 Belawan Output'!F38*$E$268</f>
        <v>-0.960963844884674</v>
      </c>
      <c r="G268" s="58" t="n">
        <f aca="false">'E3 Belawan Output'!G38*$E$268</f>
        <v>-0.657880416613613</v>
      </c>
      <c r="H268" s="58" t="n">
        <f aca="false">'E3 Belawan Output'!H38*$E$268</f>
        <v>-0.686772040405011</v>
      </c>
      <c r="I268" s="58" t="n">
        <f aca="false">'E3 Belawan Output'!I38*$E$268</f>
        <v>-0.773584361399035</v>
      </c>
      <c r="J268" s="58" t="n">
        <f aca="false">'E3 Belawan Output'!J38*$E$268</f>
        <v>-0.868041939075447</v>
      </c>
      <c r="K268" s="58" t="n">
        <f aca="false">'E3 Belawan Output'!K38*$E$268</f>
        <v>-0.918599159744272</v>
      </c>
      <c r="L268" s="58" t="n">
        <f aca="false">'E3 Belawan Output'!L38*$E$268</f>
        <v>-0.97692049765346</v>
      </c>
      <c r="M268" s="58" t="n">
        <f aca="false">'E3 Belawan Output'!M38*$E$268</f>
        <v>-1.03558929188361</v>
      </c>
      <c r="N268" s="58" t="n">
        <f aca="false">'E3 Belawan Output'!N38*$E$268</f>
        <v>-1.09726231767916</v>
      </c>
      <c r="O268" s="58" t="n">
        <f aca="false">'E3 Belawan Output'!O38*$E$268</f>
        <v>-1.15891147547829</v>
      </c>
      <c r="P268" s="58" t="n">
        <f aca="false">'E3 Belawan Output'!P38*$E$268</f>
        <v>-1.23021635799177</v>
      </c>
      <c r="Q268" s="58" t="n">
        <f aca="false">'E3 Belawan Output'!Q38*$E$268</f>
        <v>-1.30181394768735</v>
      </c>
      <c r="R268" s="58" t="n">
        <f aca="false">'E3 Belawan Output'!R38*$E$268</f>
        <v>-1.12341008061297</v>
      </c>
      <c r="S268" s="58" t="n">
        <f aca="false">'E3 Belawan Output'!S38*$E$268</f>
        <v>-1.16976384998758</v>
      </c>
    </row>
    <row r="269" customFormat="false" ht="15" hidden="false" customHeight="false" outlineLevel="0" collapsed="false">
      <c r="B269" s="77" t="s">
        <v>40</v>
      </c>
      <c r="C269" s="25" t="s">
        <v>170</v>
      </c>
      <c r="E269" s="55" t="n">
        <f aca="false">'Global Inputs'!$K$92</f>
        <v>1</v>
      </c>
      <c r="F269" s="58" t="n">
        <f aca="false">'E4 WIN Output'!F38*$E$269</f>
        <v>-8.52010176605575</v>
      </c>
      <c r="G269" s="58" t="n">
        <f aca="false">'E4 WIN Output'!G38*$E$269</f>
        <v>-5.8329021734588</v>
      </c>
      <c r="H269" s="58" t="n">
        <f aca="false">'E4 WIN Output'!H38*$E$269</f>
        <v>-4.035467032063</v>
      </c>
      <c r="I269" s="58" t="n">
        <f aca="false">'E4 WIN Output'!I38*$E$269</f>
        <v>-3.52821487041006</v>
      </c>
      <c r="J269" s="58" t="n">
        <f aca="false">'E4 WIN Output'!J38*$E$269</f>
        <v>-3.78619701737733</v>
      </c>
      <c r="K269" s="58" t="n">
        <f aca="false">'E4 WIN Output'!K38*$E$269</f>
        <v>-4.05260935905214</v>
      </c>
      <c r="L269" s="58" t="n">
        <f aca="false">'E4 WIN Output'!L38*$E$269</f>
        <v>-4.36226797265366</v>
      </c>
      <c r="M269" s="58" t="n">
        <f aca="false">'E4 WIN Output'!M38*$E$269</f>
        <v>-4.68348820765252</v>
      </c>
      <c r="N269" s="58" t="n">
        <f aca="false">'E4 WIN Output'!N38*$E$269</f>
        <v>-5.02912430410222</v>
      </c>
      <c r="O269" s="58" t="n">
        <f aca="false">'E4 WIN Output'!O38*$E$269</f>
        <v>-5.38630714268224</v>
      </c>
      <c r="P269" s="58" t="n">
        <f aca="false">'E4 WIN Output'!P38*$E$269</f>
        <v>-5.80134305130062</v>
      </c>
      <c r="Q269" s="58" t="n">
        <f aca="false">'E4 WIN Output'!Q38*$E$269</f>
        <v>-4.88658968174031</v>
      </c>
      <c r="R269" s="58" t="n">
        <f aca="false">'E4 WIN Output'!R38*$E$269</f>
        <v>-5.1147388756384</v>
      </c>
      <c r="S269" s="58" t="n">
        <f aca="false">'E4 WIN Output'!S38*$E$269</f>
        <v>-5.33905844262141</v>
      </c>
    </row>
    <row r="270" customFormat="false" ht="15" hidden="false" customHeight="false" outlineLevel="0" collapsed="false">
      <c r="B270" s="77" t="s">
        <v>43</v>
      </c>
      <c r="C270" s="25" t="s">
        <v>170</v>
      </c>
      <c r="E270" s="55" t="n">
        <f aca="false">'Global Inputs'!$K$93</f>
        <v>1</v>
      </c>
      <c r="F270" s="58" t="n">
        <f aca="false">'P01 CigWharf2 Output'!F38*$E$270</f>
        <v>-0</v>
      </c>
      <c r="G270" s="58" t="n">
        <f aca="false">'P01 CigWharf2 Output'!G38*$E$270</f>
        <v>-0</v>
      </c>
      <c r="H270" s="58" t="n">
        <f aca="false">'P01 CigWharf2 Output'!H38*$E$270</f>
        <v>-0.782050086277868</v>
      </c>
      <c r="I270" s="58" t="n">
        <f aca="false">'P01 CigWharf2 Output'!I38*$E$270</f>
        <v>-0.824466432641779</v>
      </c>
      <c r="J270" s="58" t="n">
        <f aca="false">'P01 CigWharf2 Output'!J38*$E$270</f>
        <v>-0.869465934499253</v>
      </c>
      <c r="K270" s="58" t="n">
        <f aca="false">'P01 CigWharf2 Output'!K38*$E$270</f>
        <v>-0.914699878954218</v>
      </c>
      <c r="L270" s="58" t="n">
        <f aca="false">'P01 CigWharf2 Output'!L38*$E$270</f>
        <v>-0.967853241806044</v>
      </c>
      <c r="M270" s="58" t="n">
        <f aca="false">'P01 CigWharf2 Output'!M38*$E$270</f>
        <v>-1.02158500034162</v>
      </c>
      <c r="N270" s="58" t="n">
        <f aca="false">'P01 CigWharf2 Output'!N38*$E$270</f>
        <v>-1.07858902297201</v>
      </c>
      <c r="O270" s="58" t="n">
        <f aca="false">'P01 CigWharf2 Output'!O38*$E$270</f>
        <v>-1.13595239224568</v>
      </c>
      <c r="P270" s="58" t="n">
        <f aca="false">'P01 CigWharf2 Output'!P38*$E$270</f>
        <v>-1.20322312025655</v>
      </c>
      <c r="Q270" s="58" t="n">
        <f aca="false">'P01 CigWharf2 Output'!Q38*$E$270</f>
        <v>-1.27128890438976</v>
      </c>
      <c r="R270" s="58" t="n">
        <f aca="false">'P01 CigWharf2 Output'!R38*$E$270</f>
        <v>-1.34349989477669</v>
      </c>
      <c r="S270" s="58" t="n">
        <f aca="false">'P01 CigWharf2 Output'!S38*$E$270</f>
        <v>-1.41622845651512</v>
      </c>
    </row>
    <row r="271" customFormat="false" ht="15" hidden="false" customHeight="false" outlineLevel="0" collapsed="false">
      <c r="B271" s="77" t="s">
        <v>46</v>
      </c>
      <c r="C271" s="25" t="s">
        <v>170</v>
      </c>
      <c r="E271" s="55" t="n">
        <f aca="false">'Global Inputs'!$K$94</f>
        <v>1</v>
      </c>
      <c r="F271" s="58" t="n">
        <f aca="false">'P02 CigConveyor Output'!F38*$E$271</f>
        <v>-0</v>
      </c>
      <c r="G271" s="58" t="n">
        <f aca="false">'P02 CigConveyor Output'!G38*$E$271</f>
        <v>-0</v>
      </c>
      <c r="H271" s="58" t="n">
        <f aca="false">'P02 CigConveyor Output'!H38*$E$271</f>
        <v>-0.199489656218372</v>
      </c>
      <c r="I271" s="58" t="n">
        <f aca="false">'P02 CigConveyor Output'!I38*$E$271</f>
        <v>-0.208382011350564</v>
      </c>
      <c r="J271" s="58" t="n">
        <f aca="false">'P02 CigConveyor Output'!J38*$E$271</f>
        <v>-0.217815910910306</v>
      </c>
      <c r="K271" s="58" t="n">
        <f aca="false">'P02 CigConveyor Output'!K38*$E$271</f>
        <v>-0.227201864092709</v>
      </c>
      <c r="L271" s="58" t="n">
        <f aca="false">'P02 CigConveyor Output'!L38*$E$271</f>
        <v>-0.238442272020382</v>
      </c>
      <c r="M271" s="58" t="n">
        <f aca="false">'P02 CigConveyor Output'!M38*$E$271</f>
        <v>-0.249706841454917</v>
      </c>
      <c r="N271" s="58" t="n">
        <f aca="false">'P02 CigConveyor Output'!N38*$E$271</f>
        <v>-0.261657423168014</v>
      </c>
      <c r="O271" s="58" t="n">
        <f aca="false">'P02 CigConveyor Output'!O38*$E$271</f>
        <v>-0.273586243954141</v>
      </c>
      <c r="P271" s="58" t="n">
        <f aca="false">'P02 CigConveyor Output'!P38*$E$271</f>
        <v>-0.287786280310156</v>
      </c>
      <c r="Q271" s="58" t="n">
        <f aca="false">'P02 CigConveyor Output'!Q38*$E$271</f>
        <v>-0.302055899849537</v>
      </c>
      <c r="R271" s="58" t="n">
        <f aca="false">'P02 CigConveyor Output'!R38*$E$271</f>
        <v>-0.317194539218867</v>
      </c>
      <c r="S271" s="58" t="n">
        <f aca="false">'P02 CigConveyor Output'!S38*$E$271</f>
        <v>-0.33234458860632</v>
      </c>
    </row>
    <row r="272" customFormat="false" ht="15" hidden="false" customHeight="false" outlineLevel="0" collapsed="false">
      <c r="B272" s="77" t="s">
        <v>48</v>
      </c>
      <c r="C272" s="25" t="s">
        <v>170</v>
      </c>
      <c r="E272" s="55" t="n">
        <f aca="false">'Global Inputs'!$K$95</f>
        <v>1</v>
      </c>
      <c r="F272" s="58" t="n">
        <f aca="false">'P03 KBSWarehouse Output'!F38*$E$272</f>
        <v>-0</v>
      </c>
      <c r="G272" s="58" t="n">
        <f aca="false">'P03 KBSWarehouse Output'!G38*$E$272</f>
        <v>-0</v>
      </c>
      <c r="H272" s="58" t="n">
        <f aca="false">'P03 KBSWarehouse Output'!H38*$E$272</f>
        <v>-0</v>
      </c>
      <c r="I272" s="58" t="n">
        <f aca="false">'P03 KBSWarehouse Output'!I38*$E$272</f>
        <v>-0</v>
      </c>
      <c r="J272" s="58" t="n">
        <f aca="false">'P03 KBSWarehouse Output'!J38*$E$272</f>
        <v>-0.435811906849315</v>
      </c>
      <c r="K272" s="58" t="n">
        <f aca="false">'P03 KBSWarehouse Output'!K38*$E$272</f>
        <v>-0.447659798852459</v>
      </c>
      <c r="L272" s="58" t="n">
        <f aca="false">'P03 KBSWarehouse Output'!L38*$E$272</f>
        <v>-0.462352851976438</v>
      </c>
      <c r="M272" s="58" t="n">
        <f aca="false">'P03 KBSWarehouse Output'!M38*$E$272</f>
        <v>-0.476223437535732</v>
      </c>
      <c r="N272" s="58" t="n">
        <f aca="false">'P03 KBSWarehouse Output'!N38*$E$272</f>
        <v>-0.490510140661804</v>
      </c>
      <c r="O272" s="58" t="n">
        <f aca="false">'P03 KBSWarehouse Output'!O38*$E$272</f>
        <v>-0.503845047491271</v>
      </c>
      <c r="P272" s="58" t="n">
        <f aca="false">'P03 KBSWarehouse Output'!P38*$E$272</f>
        <v>-0.520382208228107</v>
      </c>
      <c r="Q272" s="58" t="n">
        <f aca="false">'P03 KBSWarehouse Output'!Q38*$E$272</f>
        <v>-0.535993674474951</v>
      </c>
      <c r="R272" s="58" t="n">
        <f aca="false">'P03 KBSWarehouse Output'!R38*$E$272</f>
        <v>-0.552073484709199</v>
      </c>
      <c r="S272" s="58" t="n">
        <f aca="false">'P03 KBSWarehouse Output'!S38*$E$272</f>
        <v>-0.567082039826294</v>
      </c>
    </row>
    <row r="273" customFormat="false" ht="15" hidden="false" customHeight="false" outlineLevel="0" collapsed="false">
      <c r="B273" s="77" t="s">
        <v>51</v>
      </c>
      <c r="C273" s="25" t="s">
        <v>170</v>
      </c>
      <c r="E273" s="55" t="n">
        <f aca="false">'Global Inputs'!$K$96</f>
        <v>1</v>
      </c>
      <c r="F273" s="58" t="n">
        <f aca="false">'P04 TTLSilo Output'!F38*$E$273</f>
        <v>-0</v>
      </c>
      <c r="G273" s="58" t="n">
        <f aca="false">'P04 TTLSilo Output'!G38*$E$273</f>
        <v>-0</v>
      </c>
      <c r="H273" s="58" t="n">
        <f aca="false">'P04 TTLSilo Output'!H38*$E$273</f>
        <v>-0</v>
      </c>
      <c r="I273" s="58" t="n">
        <f aca="false">'P04 TTLSilo Output'!I38*$E$273</f>
        <v>-0</v>
      </c>
      <c r="J273" s="58" t="n">
        <f aca="false">'P04 TTLSilo Output'!J38*$E$273</f>
        <v>-0</v>
      </c>
      <c r="K273" s="58" t="n">
        <f aca="false">'P04 TTLSilo Output'!K38*$E$273</f>
        <v>-0</v>
      </c>
      <c r="L273" s="58" t="n">
        <f aca="false">'P04 TTLSilo Output'!L38*$E$273</f>
        <v>-0</v>
      </c>
      <c r="M273" s="58" t="n">
        <f aca="false">'P04 TTLSilo Output'!M38*$E$273</f>
        <v>-0</v>
      </c>
      <c r="N273" s="58" t="n">
        <f aca="false">'P04 TTLSilo Output'!N38*$E$273</f>
        <v>-0</v>
      </c>
      <c r="O273" s="58" t="n">
        <f aca="false">'P04 TTLSilo Output'!O38*$E$273</f>
        <v>-0</v>
      </c>
      <c r="P273" s="58" t="n">
        <f aca="false">'P04 TTLSilo Output'!P38*$E$273</f>
        <v>-0</v>
      </c>
      <c r="Q273" s="58" t="n">
        <f aca="false">'P04 TTLSilo Output'!Q38*$E$273</f>
        <v>-0</v>
      </c>
      <c r="R273" s="58" t="n">
        <f aca="false">'P04 TTLSilo Output'!R38*$E$273</f>
        <v>-0</v>
      </c>
      <c r="S273" s="58" t="n">
        <f aca="false">'P04 TTLSilo Output'!S38*$E$273</f>
        <v>-0</v>
      </c>
    </row>
    <row r="274" customFormat="false" ht="15" hidden="false" customHeight="false" outlineLevel="0" collapsed="false">
      <c r="B274" s="77" t="s">
        <v>54</v>
      </c>
      <c r="C274" s="25" t="s">
        <v>170</v>
      </c>
      <c r="E274" s="55" t="n">
        <f aca="false">'Global Inputs'!$K$97</f>
        <v>1</v>
      </c>
      <c r="F274" s="58" t="n">
        <f aca="false">'P05 Dumai Output'!F38*$E$274</f>
        <v>-0</v>
      </c>
      <c r="G274" s="58" t="n">
        <f aca="false">'P05 Dumai Output'!G38*$E$274</f>
        <v>-0</v>
      </c>
      <c r="H274" s="58" t="n">
        <f aca="false">'P05 Dumai Output'!H38*$E$274</f>
        <v>-0</v>
      </c>
      <c r="I274" s="58" t="n">
        <f aca="false">'P05 Dumai Output'!I38*$E$274</f>
        <v>-0</v>
      </c>
      <c r="J274" s="58" t="n">
        <f aca="false">'P05 Dumai Output'!J38*$E$274</f>
        <v>-0</v>
      </c>
      <c r="K274" s="58" t="n">
        <f aca="false">'P05 Dumai Output'!K38*$E$274</f>
        <v>-0</v>
      </c>
      <c r="L274" s="58" t="n">
        <f aca="false">'P05 Dumai Output'!L38*$E$274</f>
        <v>-0</v>
      </c>
      <c r="M274" s="58" t="n">
        <f aca="false">'P05 Dumai Output'!M38*$E$274</f>
        <v>-0</v>
      </c>
      <c r="N274" s="58" t="n">
        <f aca="false">'P05 Dumai Output'!N38*$E$274</f>
        <v>-0</v>
      </c>
      <c r="O274" s="58" t="n">
        <f aca="false">'P05 Dumai Output'!O38*$E$274</f>
        <v>-0</v>
      </c>
      <c r="P274" s="58" t="n">
        <f aca="false">'P05 Dumai Output'!P38*$E$274</f>
        <v>-0</v>
      </c>
      <c r="Q274" s="58" t="n">
        <f aca="false">'P05 Dumai Output'!Q38*$E$274</f>
        <v>-0</v>
      </c>
      <c r="R274" s="58" t="n">
        <f aca="false">'P05 Dumai Output'!R38*$E$274</f>
        <v>-0</v>
      </c>
      <c r="S274" s="58" t="n">
        <f aca="false">'P05 Dumai Output'!S38*$E$274</f>
        <v>-0</v>
      </c>
    </row>
    <row r="275" customFormat="false" ht="15" hidden="false" customHeight="false" outlineLevel="0" collapsed="false">
      <c r="B275" s="77" t="s">
        <v>57</v>
      </c>
      <c r="C275" s="25" t="s">
        <v>170</v>
      </c>
      <c r="E275" s="55" t="n">
        <f aca="false">'Global Inputs'!$K$98</f>
        <v>1</v>
      </c>
      <c r="F275" s="58" t="n">
        <f aca="false">'P06 Ciwandan Output'!F38*$E$275</f>
        <v>-0</v>
      </c>
      <c r="G275" s="58" t="n">
        <f aca="false">'P06 Ciwandan Output'!G38*$E$275</f>
        <v>-0</v>
      </c>
      <c r="H275" s="58" t="n">
        <f aca="false">'P06 Ciwandan Output'!H38*$E$275</f>
        <v>-0</v>
      </c>
      <c r="I275" s="58" t="n">
        <f aca="false">'P06 Ciwandan Output'!I38*$E$275</f>
        <v>-0</v>
      </c>
      <c r="J275" s="58" t="n">
        <f aca="false">'P06 Ciwandan Output'!J38*$E$275</f>
        <v>-0</v>
      </c>
      <c r="K275" s="58" t="n">
        <f aca="false">'P06 Ciwandan Output'!K38*$E$275</f>
        <v>-1.23445621741445</v>
      </c>
      <c r="L275" s="58" t="n">
        <f aca="false">'P06 Ciwandan Output'!L38*$E$275</f>
        <v>-1.50356142997951</v>
      </c>
      <c r="M275" s="58" t="n">
        <f aca="false">'P06 Ciwandan Output'!M38*$E$275</f>
        <v>-1.67107265400128</v>
      </c>
      <c r="N275" s="58" t="n">
        <f aca="false">'P06 Ciwandan Output'!N38*$E$275</f>
        <v>-1.92785990546391</v>
      </c>
      <c r="O275" s="58" t="n">
        <f aca="false">'P06 Ciwandan Output'!O38*$E$275</f>
        <v>-2.06390537285994</v>
      </c>
      <c r="P275" s="58" t="n">
        <f aca="false">'P06 Ciwandan Output'!P38*$E$275</f>
        <v>-2.21813443179548</v>
      </c>
      <c r="Q275" s="58" t="n">
        <f aca="false">'P06 Ciwandan Output'!Q38*$E$275</f>
        <v>-2.37801177645313</v>
      </c>
      <c r="R275" s="58" t="n">
        <f aca="false">'P06 Ciwandan Output'!R38*$E$275</f>
        <v>-2.70309293351164</v>
      </c>
      <c r="S275" s="58" t="n">
        <f aca="false">'P06 Ciwandan Output'!S38*$E$275</f>
        <v>-2.89152899998023</v>
      </c>
    </row>
    <row r="276" customFormat="false" ht="15" hidden="false" customHeight="false" outlineLevel="0" collapsed="false">
      <c r="B276" s="77" t="s">
        <v>60</v>
      </c>
      <c r="C276" s="25" t="s">
        <v>170</v>
      </c>
      <c r="E276" s="55" t="n">
        <f aca="false">'Global Inputs'!$K$99</f>
        <v>1</v>
      </c>
      <c r="F276" s="58" t="n">
        <f aca="false">'P08 DMSTrucking Output'!F38*$E$276</f>
        <v>-0</v>
      </c>
      <c r="G276" s="58" t="n">
        <f aca="false">'P08 DMSTrucking Output'!G38*$E$276</f>
        <v>-0</v>
      </c>
      <c r="H276" s="58" t="n">
        <f aca="false">'P08 DMSTrucking Output'!H38*$E$276</f>
        <v>-0</v>
      </c>
      <c r="I276" s="58" t="n">
        <f aca="false">'P08 DMSTrucking Output'!I38*$E$276</f>
        <v>-0</v>
      </c>
      <c r="J276" s="58" t="n">
        <f aca="false">'P08 DMSTrucking Output'!J38*$E$276</f>
        <v>-0</v>
      </c>
      <c r="K276" s="58" t="n">
        <f aca="false">'P08 DMSTrucking Output'!K38*$E$276</f>
        <v>-0</v>
      </c>
      <c r="L276" s="58" t="n">
        <f aca="false">'P08 DMSTrucking Output'!L38*$E$276</f>
        <v>-0</v>
      </c>
      <c r="M276" s="58" t="n">
        <f aca="false">'P08 DMSTrucking Output'!M38*$E$276</f>
        <v>-0</v>
      </c>
      <c r="N276" s="58" t="n">
        <f aca="false">'P08 DMSTrucking Output'!N38*$E$276</f>
        <v>-0</v>
      </c>
      <c r="O276" s="58" t="n">
        <f aca="false">'P08 DMSTrucking Output'!O38*$E$276</f>
        <v>-0</v>
      </c>
      <c r="P276" s="58" t="n">
        <f aca="false">'P08 DMSTrucking Output'!P38*$E$276</f>
        <v>-0</v>
      </c>
      <c r="Q276" s="58" t="n">
        <f aca="false">'P08 DMSTrucking Output'!Q38*$E$276</f>
        <v>-0</v>
      </c>
      <c r="R276" s="58" t="n">
        <f aca="false">'P08 DMSTrucking Output'!R38*$E$276</f>
        <v>-0</v>
      </c>
      <c r="S276" s="58" t="n">
        <f aca="false">'P08 DMSTrucking Output'!S38*$E$276</f>
        <v>-0</v>
      </c>
    </row>
    <row r="277" customFormat="false" ht="15" hidden="false" customHeight="false" outlineLevel="0" collapsed="false">
      <c r="B277" s="77" t="s">
        <v>63</v>
      </c>
      <c r="C277" s="25" t="s">
        <v>170</v>
      </c>
      <c r="E277" s="55" t="n">
        <f aca="false">'Global Inputs'!$K$100</f>
        <v>0</v>
      </c>
      <c r="F277" s="58" t="n">
        <f aca="false">'P12 BUMNOps Output'!F38*$E$277</f>
        <v>-0</v>
      </c>
      <c r="G277" s="58" t="n">
        <f aca="false">'P12 BUMNOps Output'!G38*$E$277</f>
        <v>-0</v>
      </c>
      <c r="H277" s="58" t="n">
        <f aca="false">'P12 BUMNOps Output'!H38*$E$277</f>
        <v>-0</v>
      </c>
      <c r="I277" s="58" t="n">
        <f aca="false">'P12 BUMNOps Output'!I38*$E$277</f>
        <v>-0</v>
      </c>
      <c r="J277" s="58" t="n">
        <f aca="false">'P12 BUMNOps Output'!J38*$E$277</f>
        <v>-0</v>
      </c>
      <c r="K277" s="58" t="n">
        <f aca="false">'P12 BUMNOps Output'!K38*$E$277</f>
        <v>-0</v>
      </c>
      <c r="L277" s="58" t="n">
        <f aca="false">'P12 BUMNOps Output'!L38*$E$277</f>
        <v>-0</v>
      </c>
      <c r="M277" s="58" t="n">
        <f aca="false">'P12 BUMNOps Output'!M38*$E$277</f>
        <v>-0</v>
      </c>
      <c r="N277" s="58" t="n">
        <f aca="false">'P12 BUMNOps Output'!N38*$E$277</f>
        <v>-0</v>
      </c>
      <c r="O277" s="58" t="n">
        <f aca="false">'P12 BUMNOps Output'!O38*$E$277</f>
        <v>-0</v>
      </c>
      <c r="P277" s="58" t="n">
        <f aca="false">'P12 BUMNOps Output'!P38*$E$277</f>
        <v>-0</v>
      </c>
      <c r="Q277" s="58" t="n">
        <f aca="false">'P12 BUMNOps Output'!Q38*$E$277</f>
        <v>-0</v>
      </c>
      <c r="R277" s="58" t="n">
        <f aca="false">'P12 BUMNOps Output'!R38*$E$277</f>
        <v>-0</v>
      </c>
      <c r="S277" s="58" t="n">
        <f aca="false">'P12 BUMNOps Output'!S38*$E$277</f>
        <v>-0</v>
      </c>
    </row>
    <row r="278" customFormat="false" ht="15" hidden="false" customHeight="false" outlineLevel="0" collapsed="false">
      <c r="B278" s="77" t="s">
        <v>66</v>
      </c>
      <c r="C278" s="25" t="s">
        <v>170</v>
      </c>
      <c r="E278" s="55" t="n">
        <f aca="false">'Global Inputs'!$K$101</f>
        <v>0</v>
      </c>
      <c r="F278" s="58" t="n">
        <f aca="false">'P15 TBM Output'!F38*$E$278</f>
        <v>-0</v>
      </c>
      <c r="G278" s="58" t="n">
        <f aca="false">'P15 TBM Output'!G38*$E$278</f>
        <v>-0</v>
      </c>
      <c r="H278" s="58" t="n">
        <f aca="false">'P15 TBM Output'!H38*$E$278</f>
        <v>-0</v>
      </c>
      <c r="I278" s="58" t="n">
        <f aca="false">'P15 TBM Output'!I38*$E$278</f>
        <v>-0</v>
      </c>
      <c r="J278" s="58" t="n">
        <f aca="false">'P15 TBM Output'!J38*$E$278</f>
        <v>-0</v>
      </c>
      <c r="K278" s="58" t="n">
        <f aca="false">'P15 TBM Output'!K38*$E$278</f>
        <v>-0</v>
      </c>
      <c r="L278" s="58" t="n">
        <f aca="false">'P15 TBM Output'!L38*$E$278</f>
        <v>-0</v>
      </c>
      <c r="M278" s="58" t="n">
        <f aca="false">'P15 TBM Output'!M38*$E$278</f>
        <v>-0</v>
      </c>
      <c r="N278" s="58" t="n">
        <f aca="false">'P15 TBM Output'!N38*$E$278</f>
        <v>-0</v>
      </c>
      <c r="O278" s="58" t="n">
        <f aca="false">'P15 TBM Output'!O38*$E$278</f>
        <v>-0</v>
      </c>
      <c r="P278" s="58" t="n">
        <f aca="false">'P15 TBM Output'!P38*$E$278</f>
        <v>-0</v>
      </c>
      <c r="Q278" s="58" t="n">
        <f aca="false">'P15 TBM Output'!Q38*$E$278</f>
        <v>-0</v>
      </c>
      <c r="R278" s="58" t="n">
        <f aca="false">'P15 TBM Output'!R38*$E$278</f>
        <v>-0</v>
      </c>
      <c r="S278" s="58" t="n">
        <f aca="false">'P15 TBM Output'!S38*$E$278</f>
        <v>-0</v>
      </c>
    </row>
    <row r="279" customFormat="false" ht="15" hidden="false" customHeight="false" outlineLevel="0" collapsed="false">
      <c r="B279" s="77" t="s">
        <v>69</v>
      </c>
      <c r="C279" s="25" t="s">
        <v>170</v>
      </c>
      <c r="E279" s="55" t="n">
        <f aca="false">'Global Inputs'!$K$102</f>
        <v>0</v>
      </c>
      <c r="F279" s="58" t="n">
        <f aca="false">'P19 Badas Output'!F38*$E$279</f>
        <v>-0</v>
      </c>
      <c r="G279" s="58" t="n">
        <f aca="false">'P19 Badas Output'!G38*$E$279</f>
        <v>-0</v>
      </c>
      <c r="H279" s="58" t="n">
        <f aca="false">'P19 Badas Output'!H38*$E$279</f>
        <v>-0</v>
      </c>
      <c r="I279" s="58" t="n">
        <f aca="false">'P19 Badas Output'!I38*$E$279</f>
        <v>-0</v>
      </c>
      <c r="J279" s="58" t="n">
        <f aca="false">'P19 Badas Output'!J38*$E$279</f>
        <v>-0</v>
      </c>
      <c r="K279" s="58" t="n">
        <f aca="false">'P19 Badas Output'!K38*$E$279</f>
        <v>-0</v>
      </c>
      <c r="L279" s="58" t="n">
        <f aca="false">'P19 Badas Output'!L38*$E$279</f>
        <v>-0</v>
      </c>
      <c r="M279" s="58" t="n">
        <f aca="false">'P19 Badas Output'!M38*$E$279</f>
        <v>-0</v>
      </c>
      <c r="N279" s="58" t="n">
        <f aca="false">'P19 Badas Output'!N38*$E$279</f>
        <v>-0</v>
      </c>
      <c r="O279" s="58" t="n">
        <f aca="false">'P19 Badas Output'!O38*$E$279</f>
        <v>-0</v>
      </c>
      <c r="P279" s="58" t="n">
        <f aca="false">'P19 Badas Output'!P38*$E$279</f>
        <v>-0</v>
      </c>
      <c r="Q279" s="58" t="n">
        <f aca="false">'P19 Badas Output'!Q38*$E$279</f>
        <v>-0</v>
      </c>
      <c r="R279" s="58" t="n">
        <f aca="false">'P19 Badas Output'!R38*$E$279</f>
        <v>-0</v>
      </c>
      <c r="S279" s="58" t="n">
        <f aca="false">'P19 Badas Output'!S38*$E$279</f>
        <v>-0</v>
      </c>
    </row>
    <row r="280" customFormat="false" ht="15" hidden="false" customHeight="false" outlineLevel="0" collapsed="false">
      <c r="B280" s="69" t="s">
        <v>466</v>
      </c>
      <c r="C280" s="25" t="s">
        <v>170</v>
      </c>
      <c r="E280" s="70" t="n">
        <f aca="false">SUM(F280:S280)</f>
        <v>-190.225293688511</v>
      </c>
      <c r="F280" s="68" t="n">
        <f aca="false">F266+F267+F268+F269+F270+F271+F272+F273+F274+F275+F276+F277+F278+F279</f>
        <v>-14.6719859829049</v>
      </c>
      <c r="G280" s="68" t="n">
        <f aca="false">G266+G267+G268+G269+G270+G271+G272+G273+G274+G275+G276+G277+G278+G279</f>
        <v>-10.0445113542653</v>
      </c>
      <c r="H280" s="68" t="n">
        <f aca="false">H266+H267+H268+H269+H270+H271+H272+H273+H274+H275+H276+H277+H278+H279</f>
        <v>-9.42400616913743</v>
      </c>
      <c r="I280" s="68" t="n">
        <f aca="false">I266+I267+I268+I269+I270+I271+I272+I273+I274+I275+I276+I277+I278+I279</f>
        <v>-9.22396802675108</v>
      </c>
      <c r="J280" s="68" t="n">
        <f aca="false">J266+J267+J268+J269+J270+J271+J272+J273+J274+J275+J276+J277+J278+J279</f>
        <v>-10.2395434317493</v>
      </c>
      <c r="K280" s="68" t="n">
        <f aca="false">K266+K267+K268+K269+K270+K271+K272+K273+K274+K275+K276+K277+K278+K279</f>
        <v>-12.0274509594241</v>
      </c>
      <c r="L280" s="68" t="n">
        <f aca="false">L266+L267+L268+L269+L270+L271+L272+L273+L274+L275+L276+L277+L278+L279</f>
        <v>-12.9504923455377</v>
      </c>
      <c r="M280" s="68" t="n">
        <f aca="false">M266+M267+M268+M269+M270+M271+M272+M273+M274+M275+M276+M277+M278+M279</f>
        <v>-13.7772410451066</v>
      </c>
      <c r="N280" s="68" t="n">
        <f aca="false">N266+N267+N268+N269+N270+N271+N272+N273+N274+N275+N276+N277+N278+N279</f>
        <v>-14.735268663127</v>
      </c>
      <c r="O280" s="68" t="n">
        <f aca="false">O266+O267+O268+O269+O270+O271+O272+O273+O274+O275+O276+O277+O278+O279</f>
        <v>-15.5848330838599</v>
      </c>
      <c r="P280" s="68" t="n">
        <f aca="false">P266+P267+P268+P269+P270+P271+P272+P273+P274+P275+P276+P277+P278+P279</f>
        <v>-16.5700803100055</v>
      </c>
      <c r="Q280" s="68" t="n">
        <f aca="false">Q266+Q267+Q268+Q269+Q270+Q271+Q272+Q273+Q274+Q275+Q276+Q277+Q278+Q279</f>
        <v>-16.229515425039</v>
      </c>
      <c r="R280" s="68" t="n">
        <f aca="false">R266+R267+R268+R269+R270+R271+R272+R273+R274+R275+R276+R277+R278+R279</f>
        <v>-16.9651588003286</v>
      </c>
      <c r="S280" s="68" t="n">
        <f aca="false">S266+S267+S268+S269+S270+S271+S272+S273+S274+S275+S276+S277+S278+S279</f>
        <v>-17.7812380912747</v>
      </c>
    </row>
    <row r="281" customFormat="false" ht="15" hidden="false" customHeight="false" outlineLevel="0" collapsed="false">
      <c r="B281" s="78" t="s">
        <v>467</v>
      </c>
      <c r="C281" s="79"/>
      <c r="D281" s="79"/>
      <c r="E281" s="79"/>
      <c r="F281" s="79"/>
      <c r="G281" s="79"/>
      <c r="H281" s="79"/>
      <c r="I281" s="79"/>
      <c r="J281" s="79"/>
      <c r="K281" s="79"/>
      <c r="L281" s="79"/>
      <c r="M281" s="79"/>
      <c r="N281" s="79"/>
      <c r="O281" s="79"/>
      <c r="P281" s="79"/>
      <c r="Q281" s="79"/>
      <c r="R281" s="79"/>
      <c r="S281" s="79"/>
    </row>
    <row r="282" customFormat="false" ht="15" hidden="false" customHeight="false" outlineLevel="0" collapsed="false">
      <c r="B282" s="77" t="s">
        <v>31</v>
      </c>
      <c r="C282" s="25" t="s">
        <v>170</v>
      </c>
      <c r="E282" s="55" t="n">
        <f aca="false">'Global Inputs'!$K$89</f>
        <v>1</v>
      </c>
      <c r="F282" s="58" t="n">
        <f aca="false">'E1 TelukLamong Output'!F36*$E$282</f>
        <v>0</v>
      </c>
      <c r="G282" s="58" t="n">
        <f aca="false">'E1 TelukLamong Output'!G36*$E$282</f>
        <v>0</v>
      </c>
      <c r="H282" s="58" t="n">
        <f aca="false">'E1 TelukLamong Output'!H36*$E$282</f>
        <v>0</v>
      </c>
      <c r="I282" s="58" t="n">
        <f aca="false">'E1 TelukLamong Output'!I36*$E$282</f>
        <v>0</v>
      </c>
      <c r="J282" s="58" t="n">
        <f aca="false">'E1 TelukLamong Output'!J36*$E$282</f>
        <v>0</v>
      </c>
      <c r="K282" s="58" t="n">
        <f aca="false">'E1 TelukLamong Output'!K36*$E$282</f>
        <v>0</v>
      </c>
      <c r="L282" s="58" t="n">
        <f aca="false">'E1 TelukLamong Output'!L36*$E$282</f>
        <v>0</v>
      </c>
      <c r="M282" s="58" t="n">
        <f aca="false">'E1 TelukLamong Output'!M36*$E$282</f>
        <v>0</v>
      </c>
      <c r="N282" s="58" t="n">
        <f aca="false">'E1 TelukLamong Output'!N36*$E$282</f>
        <v>0</v>
      </c>
      <c r="O282" s="58" t="n">
        <f aca="false">'E1 TelukLamong Output'!O36*$E$282</f>
        <v>0</v>
      </c>
      <c r="P282" s="58" t="n">
        <f aca="false">'E1 TelukLamong Output'!P36*$E$282</f>
        <v>0</v>
      </c>
      <c r="Q282" s="58" t="n">
        <f aca="false">'E1 TelukLamong Output'!Q36*$E$282</f>
        <v>0</v>
      </c>
      <c r="R282" s="58" t="n">
        <f aca="false">'E1 TelukLamong Output'!R36*$E$282</f>
        <v>0</v>
      </c>
      <c r="S282" s="58" t="n">
        <f aca="false">'E1 TelukLamong Output'!S36*$E$282</f>
        <v>0</v>
      </c>
    </row>
    <row r="283" customFormat="false" ht="15" hidden="false" customHeight="false" outlineLevel="0" collapsed="false">
      <c r="B283" s="77" t="s">
        <v>34</v>
      </c>
      <c r="C283" s="25" t="s">
        <v>170</v>
      </c>
      <c r="E283" s="55" t="n">
        <f aca="false">'Global Inputs'!$K$90</f>
        <v>1</v>
      </c>
      <c r="F283" s="58" t="n">
        <f aca="false">'E2 CigadingExist Output'!F36*$E$283</f>
        <v>0</v>
      </c>
      <c r="G283" s="58" t="n">
        <f aca="false">'E2 CigadingExist Output'!G36*$E$283</f>
        <v>0</v>
      </c>
      <c r="H283" s="58" t="n">
        <f aca="false">'E2 CigadingExist Output'!H36*$E$283</f>
        <v>0</v>
      </c>
      <c r="I283" s="58" t="n">
        <f aca="false">'E2 CigadingExist Output'!I36*$E$283</f>
        <v>0</v>
      </c>
      <c r="J283" s="58" t="n">
        <f aca="false">'E2 CigadingExist Output'!J36*$E$283</f>
        <v>0</v>
      </c>
      <c r="K283" s="58" t="n">
        <f aca="false">'E2 CigadingExist Output'!K36*$E$283</f>
        <v>0</v>
      </c>
      <c r="L283" s="58" t="n">
        <f aca="false">'E2 CigadingExist Output'!L36*$E$283</f>
        <v>0</v>
      </c>
      <c r="M283" s="58" t="n">
        <f aca="false">'E2 CigadingExist Output'!M36*$E$283</f>
        <v>0</v>
      </c>
      <c r="N283" s="58" t="n">
        <f aca="false">'E2 CigadingExist Output'!N36*$E$283</f>
        <v>0</v>
      </c>
      <c r="O283" s="58" t="n">
        <f aca="false">'E2 CigadingExist Output'!O36*$E$283</f>
        <v>0</v>
      </c>
      <c r="P283" s="58" t="n">
        <f aca="false">'E2 CigadingExist Output'!P36*$E$283</f>
        <v>0</v>
      </c>
      <c r="Q283" s="58" t="n">
        <f aca="false">'E2 CigadingExist Output'!Q36*$E$283</f>
        <v>0</v>
      </c>
      <c r="R283" s="58" t="n">
        <f aca="false">'E2 CigadingExist Output'!R36*$E$283</f>
        <v>0</v>
      </c>
      <c r="S283" s="58" t="n">
        <f aca="false">'E2 CigadingExist Output'!S36*$E$283</f>
        <v>0</v>
      </c>
    </row>
    <row r="284" customFormat="false" ht="15" hidden="false" customHeight="false" outlineLevel="0" collapsed="false">
      <c r="B284" s="77" t="s">
        <v>37</v>
      </c>
      <c r="C284" s="25" t="s">
        <v>170</v>
      </c>
      <c r="E284" s="55" t="n">
        <f aca="false">'Global Inputs'!$K$91</f>
        <v>1</v>
      </c>
      <c r="F284" s="58" t="n">
        <f aca="false">'E3 Belawan Output'!F36*$E$284</f>
        <v>0</v>
      </c>
      <c r="G284" s="58" t="n">
        <f aca="false">'E3 Belawan Output'!G36*$E$284</f>
        <v>0</v>
      </c>
      <c r="H284" s="58" t="n">
        <f aca="false">'E3 Belawan Output'!H36*$E$284</f>
        <v>0</v>
      </c>
      <c r="I284" s="58" t="n">
        <f aca="false">'E3 Belawan Output'!I36*$E$284</f>
        <v>107.6853375</v>
      </c>
      <c r="J284" s="58" t="n">
        <f aca="false">'E3 Belawan Output'!J36*$E$284</f>
        <v>208.4240125</v>
      </c>
      <c r="K284" s="58" t="n">
        <f aca="false">'E3 Belawan Output'!K36*$E$284</f>
        <v>195.3076875</v>
      </c>
      <c r="L284" s="58" t="n">
        <f aca="false">'E3 Belawan Output'!L36*$E$284</f>
        <v>182.1913625</v>
      </c>
      <c r="M284" s="58" t="n">
        <f aca="false">'E3 Belawan Output'!M36*$E$284</f>
        <v>169.0750375</v>
      </c>
      <c r="N284" s="58" t="n">
        <f aca="false">'E3 Belawan Output'!N36*$E$284</f>
        <v>155.9587125</v>
      </c>
      <c r="O284" s="58" t="n">
        <f aca="false">'E3 Belawan Output'!O36*$E$284</f>
        <v>142.8423875</v>
      </c>
      <c r="P284" s="58" t="n">
        <f aca="false">'E3 Belawan Output'!P36*$E$284</f>
        <v>129.7260625</v>
      </c>
      <c r="Q284" s="58" t="n">
        <f aca="false">'E3 Belawan Output'!Q36*$E$284</f>
        <v>118.037925</v>
      </c>
      <c r="R284" s="58" t="n">
        <f aca="false">'E3 Belawan Output'!R36*$E$284</f>
        <v>107.772975</v>
      </c>
      <c r="S284" s="58" t="n">
        <f aca="false">'E3 Belawan Output'!S36*$E$284</f>
        <v>97.508025</v>
      </c>
    </row>
    <row r="285" customFormat="false" ht="15" hidden="false" customHeight="false" outlineLevel="0" collapsed="false">
      <c r="B285" s="77" t="s">
        <v>40</v>
      </c>
      <c r="C285" s="25" t="s">
        <v>170</v>
      </c>
      <c r="E285" s="55" t="n">
        <f aca="false">'Global Inputs'!$K$92</f>
        <v>1</v>
      </c>
      <c r="F285" s="58" t="n">
        <f aca="false">'E4 WIN Output'!F36*$E$285</f>
        <v>0</v>
      </c>
      <c r="G285" s="58" t="n">
        <f aca="false">'E4 WIN Output'!G36*$E$285</f>
        <v>0</v>
      </c>
      <c r="H285" s="58" t="n">
        <f aca="false">'E4 WIN Output'!H36*$E$285</f>
        <v>0</v>
      </c>
      <c r="I285" s="58" t="n">
        <f aca="false">'E4 WIN Output'!I36*$E$285</f>
        <v>0</v>
      </c>
      <c r="J285" s="58" t="n">
        <f aca="false">'E4 WIN Output'!J36*$E$285</f>
        <v>0</v>
      </c>
      <c r="K285" s="58" t="n">
        <f aca="false">'E4 WIN Output'!K36*$E$285</f>
        <v>0</v>
      </c>
      <c r="L285" s="58" t="n">
        <f aca="false">'E4 WIN Output'!L36*$E$285</f>
        <v>0</v>
      </c>
      <c r="M285" s="58" t="n">
        <f aca="false">'E4 WIN Output'!M36*$E$285</f>
        <v>0</v>
      </c>
      <c r="N285" s="58" t="n">
        <f aca="false">'E4 WIN Output'!N36*$E$285</f>
        <v>0</v>
      </c>
      <c r="O285" s="58" t="n">
        <f aca="false">'E4 WIN Output'!O36*$E$285</f>
        <v>0</v>
      </c>
      <c r="P285" s="58" t="n">
        <f aca="false">'E4 WIN Output'!P36*$E$285</f>
        <v>0</v>
      </c>
      <c r="Q285" s="58" t="n">
        <f aca="false">'E4 WIN Output'!Q36*$E$285</f>
        <v>0</v>
      </c>
      <c r="R285" s="58" t="n">
        <f aca="false">'E4 WIN Output'!R36*$E$285</f>
        <v>0</v>
      </c>
      <c r="S285" s="58" t="n">
        <f aca="false">'E4 WIN Output'!S36*$E$285</f>
        <v>0</v>
      </c>
    </row>
    <row r="286" customFormat="false" ht="15" hidden="false" customHeight="false" outlineLevel="0" collapsed="false">
      <c r="B286" s="77" t="s">
        <v>43</v>
      </c>
      <c r="C286" s="25" t="s">
        <v>170</v>
      </c>
      <c r="E286" s="55" t="n">
        <f aca="false">'Global Inputs'!$K$93</f>
        <v>1</v>
      </c>
      <c r="F286" s="58" t="n">
        <f aca="false">'P01 CigWharf2 Output'!F36*$E$286</f>
        <v>162.65</v>
      </c>
      <c r="G286" s="58" t="n">
        <f aca="false">'P01 CigWharf2 Output'!G36*$E$286</f>
        <v>200.0595</v>
      </c>
      <c r="H286" s="58" t="n">
        <f aca="false">'P01 CigWharf2 Output'!H36*$E$286</f>
        <v>190.393464136878</v>
      </c>
      <c r="I286" s="58" t="n">
        <f aca="false">'P01 CigWharf2 Output'!I36*$E$286</f>
        <v>172.594928273756</v>
      </c>
      <c r="J286" s="58" t="n">
        <f aca="false">'P01 CigWharf2 Output'!J36*$E$286</f>
        <v>154.796392410634</v>
      </c>
      <c r="K286" s="58" t="n">
        <f aca="false">'P01 CigWharf2 Output'!K36*$E$286</f>
        <v>136.997856547512</v>
      </c>
      <c r="L286" s="58" t="n">
        <f aca="false">'P01 CigWharf2 Output'!L36*$E$286</f>
        <v>119.19932068439</v>
      </c>
      <c r="M286" s="58" t="n">
        <f aca="false">'P01 CigWharf2 Output'!M36*$E$286</f>
        <v>101.400784821268</v>
      </c>
      <c r="N286" s="58" t="n">
        <f aca="false">'P01 CigWharf2 Output'!N36*$E$286</f>
        <v>83.6022489581462</v>
      </c>
      <c r="O286" s="58" t="n">
        <f aca="false">'P01 CigWharf2 Output'!O36*$E$286</f>
        <v>65.8037130950242</v>
      </c>
      <c r="P286" s="58" t="n">
        <f aca="false">'P01 CigWharf2 Output'!P36*$E$286</f>
        <v>60.3200703371055</v>
      </c>
      <c r="Q286" s="58" t="n">
        <f aca="false">'P01 CigWharf2 Output'!Q36*$E$286</f>
        <v>54.8364275791868</v>
      </c>
      <c r="R286" s="58" t="n">
        <f aca="false">'P01 CigWharf2 Output'!R36*$E$286</f>
        <v>49.3527848212682</v>
      </c>
      <c r="S286" s="58" t="n">
        <f aca="false">'P01 CigWharf2 Output'!S36*$E$286</f>
        <v>43.8691420633495</v>
      </c>
    </row>
    <row r="287" customFormat="false" ht="15" hidden="false" customHeight="false" outlineLevel="0" collapsed="false">
      <c r="B287" s="77" t="s">
        <v>46</v>
      </c>
      <c r="C287" s="25" t="s">
        <v>170</v>
      </c>
      <c r="E287" s="55" t="n">
        <f aca="false">'Global Inputs'!$K$94</f>
        <v>1</v>
      </c>
      <c r="F287" s="58" t="n">
        <f aca="false">'P02 CigConveyor Output'!F36*$E$287</f>
        <v>35.783</v>
      </c>
      <c r="G287" s="58" t="n">
        <f aca="false">'P02 CigConveyor Output'!G36*$E$287</f>
        <v>123.614</v>
      </c>
      <c r="H287" s="58" t="n">
        <f aca="false">'P02 CigConveyor Output'!H36*$E$287</f>
        <v>122.699980194834</v>
      </c>
      <c r="I287" s="58" t="n">
        <f aca="false">'P02 CigConveyor Output'!I36*$E$287</f>
        <v>115.279960389668</v>
      </c>
      <c r="J287" s="58" t="n">
        <f aca="false">'P02 CigConveyor Output'!J36*$E$287</f>
        <v>107.859940584501</v>
      </c>
      <c r="K287" s="58" t="n">
        <f aca="false">'P02 CigConveyor Output'!K36*$E$287</f>
        <v>100.439920779335</v>
      </c>
      <c r="L287" s="58" t="n">
        <f aca="false">'P02 CigConveyor Output'!L36*$E$287</f>
        <v>93.019900974169</v>
      </c>
      <c r="M287" s="58" t="n">
        <f aca="false">'P02 CigConveyor Output'!M36*$E$287</f>
        <v>85.5998811690028</v>
      </c>
      <c r="N287" s="58" t="n">
        <f aca="false">'P02 CigConveyor Output'!N36*$E$287</f>
        <v>78.1798613638366</v>
      </c>
      <c r="O287" s="58" t="n">
        <f aca="false">'P02 CigConveyor Output'!O36*$E$287</f>
        <v>70.7598415586704</v>
      </c>
      <c r="P287" s="58" t="n">
        <f aca="false">'P02 CigConveyor Output'!P36*$E$287</f>
        <v>64.8631880954478</v>
      </c>
      <c r="Q287" s="58" t="n">
        <f aca="false">'P02 CigConveyor Output'!Q36*$E$287</f>
        <v>58.9665346322253</v>
      </c>
      <c r="R287" s="58" t="n">
        <f aca="false">'P02 CigConveyor Output'!R36*$E$287</f>
        <v>53.0698811690028</v>
      </c>
      <c r="S287" s="58" t="n">
        <f aca="false">'P02 CigConveyor Output'!S36*$E$287</f>
        <v>47.1732277057802</v>
      </c>
    </row>
    <row r="288" customFormat="false" ht="15" hidden="false" customHeight="false" outlineLevel="0" collapsed="false">
      <c r="B288" s="77" t="s">
        <v>48</v>
      </c>
      <c r="C288" s="25" t="s">
        <v>170</v>
      </c>
      <c r="E288" s="55" t="n">
        <f aca="false">'Global Inputs'!$K$95</f>
        <v>1</v>
      </c>
      <c r="F288" s="58" t="n">
        <f aca="false">'P03 KBSWarehouse Output'!F36*$E$288</f>
        <v>0</v>
      </c>
      <c r="G288" s="58" t="n">
        <f aca="false">'P03 KBSWarehouse Output'!G36*$E$288</f>
        <v>0</v>
      </c>
      <c r="H288" s="58" t="n">
        <f aca="false">'P03 KBSWarehouse Output'!H36*$E$288</f>
        <v>0</v>
      </c>
      <c r="I288" s="58" t="n">
        <f aca="false">'P03 KBSWarehouse Output'!I36*$E$288</f>
        <v>97.98995635</v>
      </c>
      <c r="J288" s="58" t="n">
        <f aca="false">'P03 KBSWarehouse Output'!J36*$E$288</f>
        <v>93.0904585325</v>
      </c>
      <c r="K288" s="58" t="n">
        <f aca="false">'P03 KBSWarehouse Output'!K36*$E$288</f>
        <v>88.190960715</v>
      </c>
      <c r="L288" s="58" t="n">
        <f aca="false">'P03 KBSWarehouse Output'!L36*$E$288</f>
        <v>83.2914628975</v>
      </c>
      <c r="M288" s="58" t="n">
        <f aca="false">'P03 KBSWarehouse Output'!M36*$E$288</f>
        <v>78.39196508</v>
      </c>
      <c r="N288" s="58" t="n">
        <f aca="false">'P03 KBSWarehouse Output'!N36*$E$288</f>
        <v>73.4924672625</v>
      </c>
      <c r="O288" s="58" t="n">
        <f aca="false">'P03 KBSWarehouse Output'!O36*$E$288</f>
        <v>68.592969445</v>
      </c>
      <c r="P288" s="58" t="n">
        <f aca="false">'P03 KBSWarehouse Output'!P36*$E$288</f>
        <v>63.6934716275</v>
      </c>
      <c r="Q288" s="58" t="n">
        <f aca="false">'P03 KBSWarehouse Output'!Q36*$E$288</f>
        <v>58.79397381</v>
      </c>
      <c r="R288" s="58" t="n">
        <f aca="false">'P03 KBSWarehouse Output'!R36*$E$288</f>
        <v>53.8944759925</v>
      </c>
      <c r="S288" s="58" t="n">
        <f aca="false">'P03 KBSWarehouse Output'!S36*$E$288</f>
        <v>48.994978175</v>
      </c>
    </row>
    <row r="289" customFormat="false" ht="15" hidden="false" customHeight="false" outlineLevel="0" collapsed="false">
      <c r="B289" s="77" t="s">
        <v>51</v>
      </c>
      <c r="C289" s="25" t="s">
        <v>170</v>
      </c>
      <c r="E289" s="55" t="n">
        <f aca="false">'Global Inputs'!$K$96</f>
        <v>1</v>
      </c>
      <c r="F289" s="58" t="n">
        <f aca="false">'P04 TTLSilo Output'!F36*$E$289</f>
        <v>0</v>
      </c>
      <c r="G289" s="58" t="n">
        <f aca="false">'P04 TTLSilo Output'!G36*$E$289</f>
        <v>0</v>
      </c>
      <c r="H289" s="58" t="n">
        <f aca="false">'P04 TTLSilo Output'!H36*$E$289</f>
        <v>0</v>
      </c>
      <c r="I289" s="58" t="n">
        <f aca="false">'P04 TTLSilo Output'!I36*$E$289</f>
        <v>61.1938095</v>
      </c>
      <c r="J289" s="58" t="n">
        <f aca="false">'P04 TTLSilo Output'!J36*$E$289</f>
        <v>57.00203354925</v>
      </c>
      <c r="K289" s="58" t="n">
        <f aca="false">'P04 TTLSilo Output'!K36*$E$289</f>
        <v>52.8102575985</v>
      </c>
      <c r="L289" s="58" t="n">
        <f aca="false">'P04 TTLSilo Output'!L36*$E$289</f>
        <v>48.61848164775</v>
      </c>
      <c r="M289" s="58" t="n">
        <f aca="false">'P04 TTLSilo Output'!M36*$E$289</f>
        <v>44.426705697</v>
      </c>
      <c r="N289" s="58" t="n">
        <f aca="false">'P04 TTLSilo Output'!N36*$E$289</f>
        <v>40.23492974625</v>
      </c>
      <c r="O289" s="58" t="n">
        <f aca="false">'P04 TTLSilo Output'!O36*$E$289</f>
        <v>36.0431537955</v>
      </c>
      <c r="P289" s="58" t="n">
        <f aca="false">'P04 TTLSilo Output'!P36*$E$289</f>
        <v>31.85137784475</v>
      </c>
      <c r="Q289" s="58" t="n">
        <f aca="false">'P04 TTLSilo Output'!Q36*$E$289</f>
        <v>27.659601894</v>
      </c>
      <c r="R289" s="58" t="n">
        <f aca="false">'P04 TTLSilo Output'!R36*$E$289</f>
        <v>23.46782594325</v>
      </c>
      <c r="S289" s="58" t="n">
        <f aca="false">'P04 TTLSilo Output'!S36*$E$289</f>
        <v>19.2760499925</v>
      </c>
    </row>
    <row r="290" customFormat="false" ht="15" hidden="false" customHeight="false" outlineLevel="0" collapsed="false">
      <c r="B290" s="77" t="s">
        <v>54</v>
      </c>
      <c r="C290" s="25" t="s">
        <v>170</v>
      </c>
      <c r="E290" s="55" t="n">
        <f aca="false">'Global Inputs'!$K$97</f>
        <v>1</v>
      </c>
      <c r="F290" s="58" t="n">
        <f aca="false">'P05 Dumai Output'!F36*$E$290</f>
        <v>0</v>
      </c>
      <c r="G290" s="58" t="n">
        <f aca="false">'P05 Dumai Output'!G36*$E$290</f>
        <v>0</v>
      </c>
      <c r="H290" s="58" t="n">
        <f aca="false">'P05 Dumai Output'!H36*$E$290</f>
        <v>0</v>
      </c>
      <c r="I290" s="58" t="n">
        <f aca="false">'P05 Dumai Output'!I36*$E$290</f>
        <v>97.0331173809524</v>
      </c>
      <c r="J290" s="58" t="n">
        <f aca="false">'P05 Dumai Output'!J36*$E$290</f>
        <v>93.45869</v>
      </c>
      <c r="K290" s="58" t="n">
        <f aca="false">'P05 Dumai Output'!K36*$E$290</f>
        <v>84.5981376190476</v>
      </c>
      <c r="L290" s="58" t="n">
        <f aca="false">'P05 Dumai Output'!L36*$E$290</f>
        <v>75.7375852380952</v>
      </c>
      <c r="M290" s="58" t="n">
        <f aca="false">'P05 Dumai Output'!M36*$E$290</f>
        <v>66.8770328571428</v>
      </c>
      <c r="N290" s="58" t="n">
        <f aca="false">'P05 Dumai Output'!N36*$E$290</f>
        <v>58.0164804761905</v>
      </c>
      <c r="O290" s="58" t="n">
        <f aca="false">'P05 Dumai Output'!O36*$E$290</f>
        <v>49.1559280952381</v>
      </c>
      <c r="P290" s="58" t="n">
        <f aca="false">'P05 Dumai Output'!P36*$E$290</f>
        <v>40.2953757142857</v>
      </c>
      <c r="Q290" s="58" t="n">
        <f aca="false">'P05 Dumai Output'!Q36*$E$290</f>
        <v>36.7083623214285</v>
      </c>
      <c r="R290" s="58" t="n">
        <f aca="false">'P05 Dumai Output'!R36*$E$290</f>
        <v>33.3856551785714</v>
      </c>
      <c r="S290" s="58" t="n">
        <f aca="false">'P05 Dumai Output'!S36*$E$290</f>
        <v>30.0629480357143</v>
      </c>
    </row>
    <row r="291" customFormat="false" ht="15" hidden="false" customHeight="false" outlineLevel="0" collapsed="false">
      <c r="B291" s="77" t="s">
        <v>57</v>
      </c>
      <c r="C291" s="25" t="s">
        <v>170</v>
      </c>
      <c r="E291" s="55" t="n">
        <f aca="false">'Global Inputs'!$K$98</f>
        <v>1</v>
      </c>
      <c r="F291" s="58" t="n">
        <f aca="false">'P06 Ciwandan Output'!F36*$E$291</f>
        <v>0</v>
      </c>
      <c r="G291" s="58" t="n">
        <f aca="false">'P06 Ciwandan Output'!G36*$E$291</f>
        <v>0</v>
      </c>
      <c r="H291" s="58" t="n">
        <f aca="false">'P06 Ciwandan Output'!H36*$E$291</f>
        <v>0</v>
      </c>
      <c r="I291" s="58" t="n">
        <f aca="false">'P06 Ciwandan Output'!I36*$E$291</f>
        <v>40.8625</v>
      </c>
      <c r="J291" s="58" t="n">
        <f aca="false">'P06 Ciwandan Output'!J36*$E$291</f>
        <v>81.725</v>
      </c>
      <c r="K291" s="58" t="n">
        <f aca="false">'P06 Ciwandan Output'!K36*$E$291</f>
        <v>74.5740625</v>
      </c>
      <c r="L291" s="58" t="n">
        <f aca="false">'P06 Ciwandan Output'!L36*$E$291</f>
        <v>67.423125</v>
      </c>
      <c r="M291" s="58" t="n">
        <f aca="false">'P06 Ciwandan Output'!M36*$E$291</f>
        <v>60.2721875</v>
      </c>
      <c r="N291" s="58" t="n">
        <f aca="false">'P06 Ciwandan Output'!N36*$E$291</f>
        <v>53.12125</v>
      </c>
      <c r="O291" s="58" t="n">
        <f aca="false">'P06 Ciwandan Output'!O36*$E$291</f>
        <v>45.9703125</v>
      </c>
      <c r="P291" s="58" t="n">
        <f aca="false">'P06 Ciwandan Output'!P36*$E$291</f>
        <v>38.819375</v>
      </c>
      <c r="Q291" s="58" t="n">
        <f aca="false">'P06 Ciwandan Output'!Q36*$E$291</f>
        <v>31.6684375</v>
      </c>
      <c r="R291" s="58" t="n">
        <f aca="false">'P06 Ciwandan Output'!R36*$E$291</f>
        <v>24.5175</v>
      </c>
      <c r="S291" s="58" t="n">
        <f aca="false">'P06 Ciwandan Output'!S36*$E$291</f>
        <v>22.474375</v>
      </c>
    </row>
    <row r="292" customFormat="false" ht="15" hidden="false" customHeight="false" outlineLevel="0" collapsed="false">
      <c r="B292" s="77" t="s">
        <v>60</v>
      </c>
      <c r="C292" s="25" t="s">
        <v>170</v>
      </c>
      <c r="E292" s="55" t="n">
        <f aca="false">'Global Inputs'!$K$99</f>
        <v>1</v>
      </c>
      <c r="F292" s="58" t="n">
        <f aca="false">'P08 DMSTrucking Output'!F36*$E$292</f>
        <v>0</v>
      </c>
      <c r="G292" s="58" t="n">
        <f aca="false">'P08 DMSTrucking Output'!G36*$E$292</f>
        <v>0</v>
      </c>
      <c r="H292" s="58" t="n">
        <f aca="false">'P08 DMSTrucking Output'!H36*$E$292</f>
        <v>0</v>
      </c>
      <c r="I292" s="58" t="n">
        <f aca="false">'P08 DMSTrucking Output'!I36*$E$292</f>
        <v>0</v>
      </c>
      <c r="J292" s="58" t="n">
        <f aca="false">'P08 DMSTrucking Output'!J36*$E$292</f>
        <v>0</v>
      </c>
      <c r="K292" s="58" t="n">
        <f aca="false">'P08 DMSTrucking Output'!K36*$E$292</f>
        <v>0</v>
      </c>
      <c r="L292" s="58" t="n">
        <f aca="false">'P08 DMSTrucking Output'!L36*$E$292</f>
        <v>0</v>
      </c>
      <c r="M292" s="58" t="n">
        <f aca="false">'P08 DMSTrucking Output'!M36*$E$292</f>
        <v>0</v>
      </c>
      <c r="N292" s="58" t="n">
        <f aca="false">'P08 DMSTrucking Output'!N36*$E$292</f>
        <v>0</v>
      </c>
      <c r="O292" s="58" t="n">
        <f aca="false">'P08 DMSTrucking Output'!O36*$E$292</f>
        <v>0</v>
      </c>
      <c r="P292" s="58" t="n">
        <f aca="false">'P08 DMSTrucking Output'!P36*$E$292</f>
        <v>0</v>
      </c>
      <c r="Q292" s="58" t="n">
        <f aca="false">'P08 DMSTrucking Output'!Q36*$E$292</f>
        <v>0</v>
      </c>
      <c r="R292" s="58" t="n">
        <f aca="false">'P08 DMSTrucking Output'!R36*$E$292</f>
        <v>0</v>
      </c>
      <c r="S292" s="58" t="n">
        <f aca="false">'P08 DMSTrucking Output'!S36*$E$292</f>
        <v>0</v>
      </c>
    </row>
    <row r="293" customFormat="false" ht="15" hidden="false" customHeight="false" outlineLevel="0" collapsed="false">
      <c r="B293" s="77" t="s">
        <v>63</v>
      </c>
      <c r="C293" s="25" t="s">
        <v>170</v>
      </c>
      <c r="E293" s="55" t="n">
        <f aca="false">'Global Inputs'!$K$100</f>
        <v>0</v>
      </c>
      <c r="F293" s="58" t="n">
        <f aca="false">'P12 BUMNOps Output'!F36*$E$293</f>
        <v>0</v>
      </c>
      <c r="G293" s="58" t="n">
        <f aca="false">'P12 BUMNOps Output'!G36*$E$293</f>
        <v>0</v>
      </c>
      <c r="H293" s="58" t="n">
        <f aca="false">'P12 BUMNOps Output'!H36*$E$293</f>
        <v>0</v>
      </c>
      <c r="I293" s="58" t="n">
        <f aca="false">'P12 BUMNOps Output'!I36*$E$293</f>
        <v>0</v>
      </c>
      <c r="J293" s="58" t="n">
        <f aca="false">'P12 BUMNOps Output'!J36*$E$293</f>
        <v>0</v>
      </c>
      <c r="K293" s="58" t="n">
        <f aca="false">'P12 BUMNOps Output'!K36*$E$293</f>
        <v>0</v>
      </c>
      <c r="L293" s="58" t="n">
        <f aca="false">'P12 BUMNOps Output'!L36*$E$293</f>
        <v>0</v>
      </c>
      <c r="M293" s="58" t="n">
        <f aca="false">'P12 BUMNOps Output'!M36*$E$293</f>
        <v>0</v>
      </c>
      <c r="N293" s="58" t="n">
        <f aca="false">'P12 BUMNOps Output'!N36*$E$293</f>
        <v>0</v>
      </c>
      <c r="O293" s="58" t="n">
        <f aca="false">'P12 BUMNOps Output'!O36*$E$293</f>
        <v>0</v>
      </c>
      <c r="P293" s="58" t="n">
        <f aca="false">'P12 BUMNOps Output'!P36*$E$293</f>
        <v>0</v>
      </c>
      <c r="Q293" s="58" t="n">
        <f aca="false">'P12 BUMNOps Output'!Q36*$E$293</f>
        <v>0</v>
      </c>
      <c r="R293" s="58" t="n">
        <f aca="false">'P12 BUMNOps Output'!R36*$E$293</f>
        <v>0</v>
      </c>
      <c r="S293" s="58" t="n">
        <f aca="false">'P12 BUMNOps Output'!S36*$E$293</f>
        <v>0</v>
      </c>
    </row>
    <row r="294" customFormat="false" ht="15" hidden="false" customHeight="false" outlineLevel="0" collapsed="false">
      <c r="B294" s="77" t="s">
        <v>66</v>
      </c>
      <c r="C294" s="25" t="s">
        <v>170</v>
      </c>
      <c r="E294" s="55" t="n">
        <f aca="false">'Global Inputs'!$K$101</f>
        <v>0</v>
      </c>
      <c r="F294" s="58" t="n">
        <f aca="false">'P15 TBM Output'!F36*$E$294</f>
        <v>0</v>
      </c>
      <c r="G294" s="58" t="n">
        <f aca="false">'P15 TBM Output'!G36*$E$294</f>
        <v>0</v>
      </c>
      <c r="H294" s="58" t="n">
        <f aca="false">'P15 TBM Output'!H36*$E$294</f>
        <v>0</v>
      </c>
      <c r="I294" s="58" t="n">
        <f aca="false">'P15 TBM Output'!I36*$E$294</f>
        <v>0</v>
      </c>
      <c r="J294" s="58" t="n">
        <f aca="false">'P15 TBM Output'!J36*$E$294</f>
        <v>0</v>
      </c>
      <c r="K294" s="58" t="n">
        <f aca="false">'P15 TBM Output'!K36*$E$294</f>
        <v>0</v>
      </c>
      <c r="L294" s="58" t="n">
        <f aca="false">'P15 TBM Output'!L36*$E$294</f>
        <v>0</v>
      </c>
      <c r="M294" s="58" t="n">
        <f aca="false">'P15 TBM Output'!M36*$E$294</f>
        <v>0</v>
      </c>
      <c r="N294" s="58" t="n">
        <f aca="false">'P15 TBM Output'!N36*$E$294</f>
        <v>0</v>
      </c>
      <c r="O294" s="58" t="n">
        <f aca="false">'P15 TBM Output'!O36*$E$294</f>
        <v>0</v>
      </c>
      <c r="P294" s="58" t="n">
        <f aca="false">'P15 TBM Output'!P36*$E$294</f>
        <v>0</v>
      </c>
      <c r="Q294" s="58" t="n">
        <f aca="false">'P15 TBM Output'!Q36*$E$294</f>
        <v>0</v>
      </c>
      <c r="R294" s="58" t="n">
        <f aca="false">'P15 TBM Output'!R36*$E$294</f>
        <v>0</v>
      </c>
      <c r="S294" s="58" t="n">
        <f aca="false">'P15 TBM Output'!S36*$E$294</f>
        <v>0</v>
      </c>
    </row>
    <row r="295" customFormat="false" ht="15" hidden="false" customHeight="false" outlineLevel="0" collapsed="false">
      <c r="B295" s="77" t="s">
        <v>69</v>
      </c>
      <c r="C295" s="25" t="s">
        <v>170</v>
      </c>
      <c r="E295" s="55" t="n">
        <f aca="false">'Global Inputs'!$K$102</f>
        <v>0</v>
      </c>
      <c r="F295" s="58" t="n">
        <f aca="false">'P19 Badas Output'!F36*$E$295</f>
        <v>0</v>
      </c>
      <c r="G295" s="58" t="n">
        <f aca="false">'P19 Badas Output'!G36*$E$295</f>
        <v>0</v>
      </c>
      <c r="H295" s="58" t="n">
        <f aca="false">'P19 Badas Output'!H36*$E$295</f>
        <v>0</v>
      </c>
      <c r="I295" s="58" t="n">
        <f aca="false">'P19 Badas Output'!I36*$E$295</f>
        <v>0</v>
      </c>
      <c r="J295" s="58" t="n">
        <f aca="false">'P19 Badas Output'!J36*$E$295</f>
        <v>0</v>
      </c>
      <c r="K295" s="58" t="n">
        <f aca="false">'P19 Badas Output'!K36*$E$295</f>
        <v>0</v>
      </c>
      <c r="L295" s="58" t="n">
        <f aca="false">'P19 Badas Output'!L36*$E$295</f>
        <v>0</v>
      </c>
      <c r="M295" s="58" t="n">
        <f aca="false">'P19 Badas Output'!M36*$E$295</f>
        <v>0</v>
      </c>
      <c r="N295" s="58" t="n">
        <f aca="false">'P19 Badas Output'!N36*$E$295</f>
        <v>0</v>
      </c>
      <c r="O295" s="58" t="n">
        <f aca="false">'P19 Badas Output'!O36*$E$295</f>
        <v>0</v>
      </c>
      <c r="P295" s="58" t="n">
        <f aca="false">'P19 Badas Output'!P36*$E$295</f>
        <v>0</v>
      </c>
      <c r="Q295" s="58" t="n">
        <f aca="false">'P19 Badas Output'!Q36*$E$295</f>
        <v>0</v>
      </c>
      <c r="R295" s="58" t="n">
        <f aca="false">'P19 Badas Output'!R36*$E$295</f>
        <v>0</v>
      </c>
      <c r="S295" s="58" t="n">
        <f aca="false">'P19 Badas Output'!S36*$E$295</f>
        <v>0</v>
      </c>
    </row>
    <row r="296" customFormat="false" ht="15" hidden="false" customHeight="false" outlineLevel="0" collapsed="false">
      <c r="B296" s="69" t="s">
        <v>468</v>
      </c>
      <c r="C296" s="25" t="s">
        <v>170</v>
      </c>
      <c r="E296" s="70" t="n">
        <f aca="false">SUM(F296:S296)</f>
        <v>6825.47408235791</v>
      </c>
      <c r="F296" s="68" t="n">
        <f aca="false">F282+F283+F284+F285+F286+F287+F288+F289+F290+F291+F292+F293+F294+F295</f>
        <v>198.433</v>
      </c>
      <c r="G296" s="68" t="n">
        <f aca="false">G282+G283+G284+G285+G286+G287+G288+G289+G290+G291+G292+G293+G294+G295</f>
        <v>323.6735</v>
      </c>
      <c r="H296" s="68" t="n">
        <f aca="false">H282+H283+H284+H285+H286+H287+H288+H289+H290+H291+H292+H293+H294+H295</f>
        <v>313.093444331712</v>
      </c>
      <c r="I296" s="68" t="n">
        <f aca="false">I282+I283+I284+I285+I286+I287+I288+I289+I290+I291+I292+I293+I294+I295</f>
        <v>692.639609394376</v>
      </c>
      <c r="J296" s="68" t="n">
        <f aca="false">J282+J283+J284+J285+J286+J287+J288+J289+J290+J291+J292+J293+J294+J295</f>
        <v>796.356527576886</v>
      </c>
      <c r="K296" s="68" t="n">
        <f aca="false">K282+K283+K284+K285+K286+K287+K288+K289+K290+K291+K292+K293+K294+K295</f>
        <v>732.918883259395</v>
      </c>
      <c r="L296" s="68" t="n">
        <f aca="false">L282+L283+L284+L285+L286+L287+L288+L289+L290+L291+L292+L293+L294+L295</f>
        <v>669.481238941904</v>
      </c>
      <c r="M296" s="68" t="n">
        <f aca="false">M282+M283+M284+M285+M286+M287+M288+M289+M290+M291+M292+M293+M294+M295</f>
        <v>606.043594624414</v>
      </c>
      <c r="N296" s="68" t="n">
        <f aca="false">N282+N283+N284+N285+N286+N287+N288+N289+N290+N291+N292+N293+N294+N295</f>
        <v>542.605950306923</v>
      </c>
      <c r="O296" s="68" t="n">
        <f aca="false">O282+O283+O284+O285+O286+O287+O288+O289+O290+O291+O292+O293+O294+O295</f>
        <v>479.168305989433</v>
      </c>
      <c r="P296" s="68" t="n">
        <f aca="false">P282+P283+P284+P285+P286+P287+P288+P289+P290+P291+P292+P293+P294+P295</f>
        <v>429.568921119089</v>
      </c>
      <c r="Q296" s="68" t="n">
        <f aca="false">Q282+Q283+Q284+Q285+Q286+Q287+Q288+Q289+Q290+Q291+Q292+Q293+Q294+Q295</f>
        <v>386.671262736841</v>
      </c>
      <c r="R296" s="68" t="n">
        <f aca="false">R282+R283+R284+R285+R286+R287+R288+R289+R290+R291+R292+R293+R294+R295</f>
        <v>345.461098104592</v>
      </c>
      <c r="S296" s="68" t="n">
        <f aca="false">S282+S283+S284+S285+S286+S287+S288+S289+S290+S291+S292+S293+S294+S295</f>
        <v>309.358745972344</v>
      </c>
    </row>
    <row r="297" customFormat="false" ht="15" hidden="false" customHeight="false" outlineLevel="0" collapsed="false">
      <c r="B297" s="78" t="s">
        <v>469</v>
      </c>
      <c r="C297" s="79"/>
      <c r="D297" s="79"/>
      <c r="E297" s="79"/>
      <c r="F297" s="79"/>
      <c r="G297" s="79"/>
      <c r="H297" s="79"/>
      <c r="I297" s="79"/>
      <c r="J297" s="79"/>
      <c r="K297" s="79"/>
      <c r="L297" s="79"/>
      <c r="M297" s="79"/>
      <c r="N297" s="79"/>
      <c r="O297" s="79"/>
      <c r="P297" s="79"/>
      <c r="Q297" s="79"/>
      <c r="R297" s="79"/>
      <c r="S297" s="79"/>
    </row>
    <row r="298" customFormat="false" ht="15" hidden="false" customHeight="false" outlineLevel="0" collapsed="false">
      <c r="B298" s="77" t="s">
        <v>31</v>
      </c>
      <c r="C298" s="25" t="s">
        <v>170</v>
      </c>
      <c r="E298" s="55" t="n">
        <f aca="false">'Global Inputs'!$K$89</f>
        <v>1</v>
      </c>
      <c r="F298" s="58" t="n">
        <f aca="false">('E1 TelukLamong Calc'!F93-'E1 TelukLamong Calc'!F91)*$E$298</f>
        <v>0</v>
      </c>
      <c r="G298" s="58" t="n">
        <f aca="false">('E1 TelukLamong Calc'!G93-'E1 TelukLamong Calc'!G91)*$E$298</f>
        <v>41.7407824824223</v>
      </c>
      <c r="H298" s="58" t="n">
        <f aca="false">('E1 TelukLamong Calc'!H93-'E1 TelukLamong Calc'!H91)*$E$298</f>
        <v>41.7462566184223</v>
      </c>
      <c r="I298" s="58" t="n">
        <f aca="false">('E1 TelukLamong Calc'!I93-'E1 TelukLamong Calc'!I91)*$E$298</f>
        <v>42.7518402371423</v>
      </c>
      <c r="J298" s="58" t="n">
        <f aca="false">('E1 TelukLamong Calc'!J93-'E1 TelukLamong Calc'!J91)*$E$298</f>
        <v>42.7575355282367</v>
      </c>
      <c r="K298" s="58" t="n">
        <f aca="false">('E1 TelukLamong Calc'!K93-'E1 TelukLamong Calc'!K91)*$E$298</f>
        <v>42.763344725153</v>
      </c>
      <c r="L298" s="58" t="n">
        <f aca="false">('E1 TelukLamong Calc'!L93-'E1 TelukLamong Calc'!L91)*$E$298</f>
        <v>43.7692701060076</v>
      </c>
      <c r="M298" s="58" t="n">
        <f aca="false">('E1 TelukLamong Calc'!M93-'E1 TelukLamong Calc'!M91)*$E$298</f>
        <v>43.7753139944793</v>
      </c>
      <c r="N298" s="58" t="n">
        <f aca="false">('E1 TelukLamong Calc'!N93-'E1 TelukLamong Calc'!N91)*$E$298</f>
        <v>43.7814787607205</v>
      </c>
      <c r="O298" s="58" t="n">
        <f aca="false">('E1 TelukLamong Calc'!O93-'E1 TelukLamong Calc'!O91)*$E$298</f>
        <v>44.7877668222864</v>
      </c>
      <c r="P298" s="58" t="n">
        <f aca="false">('E1 TelukLamong Calc'!P93-'E1 TelukLamong Calc'!P91)*$E$298</f>
        <v>44.7941806450837</v>
      </c>
      <c r="Q298" s="58" t="n">
        <f aca="false">('E1 TelukLamong Calc'!Q93-'E1 TelukLamong Calc'!Q91)*$E$298</f>
        <v>44.8007227443369</v>
      </c>
      <c r="R298" s="58" t="n">
        <f aca="false">('E1 TelukLamong Calc'!R93-'E1 TelukLamong Calc'!R91)*$E$298</f>
        <v>44.8073956855752</v>
      </c>
      <c r="S298" s="58" t="n">
        <f aca="false">('E1 TelukLamong Calc'!S93-'E1 TelukLamong Calc'!S91)*$E$298</f>
        <v>44.8142020856383</v>
      </c>
    </row>
    <row r="299" customFormat="false" ht="15" hidden="false" customHeight="false" outlineLevel="0" collapsed="false">
      <c r="B299" s="77" t="s">
        <v>34</v>
      </c>
      <c r="C299" s="25" t="s">
        <v>170</v>
      </c>
      <c r="E299" s="55" t="n">
        <f aca="false">'Global Inputs'!$K$90</f>
        <v>1</v>
      </c>
      <c r="F299" s="58" t="n">
        <f aca="false">('E2 CigadingExist Calc'!F87-'E2 CigadingExist Calc'!F85)*$E$299</f>
        <v>0</v>
      </c>
      <c r="G299" s="58" t="n">
        <f aca="false">('E2 CigadingExist Calc'!G87-'E2 CigadingExist Calc'!G85)*$E$299</f>
        <v>40.95884914</v>
      </c>
      <c r="H299" s="58" t="n">
        <f aca="false">('E2 CigadingExist Calc'!H87-'E2 CigadingExist Calc'!H85)*$E$299</f>
        <v>40.9614421228</v>
      </c>
      <c r="I299" s="58" t="n">
        <f aca="false">('E2 CigadingExist Calc'!I87-'E2 CigadingExist Calc'!I85)*$E$299</f>
        <v>41.964086965256</v>
      </c>
      <c r="J299" s="58" t="n">
        <f aca="false">('E2 CigadingExist Calc'!J87-'E2 CigadingExist Calc'!J85)*$E$299</f>
        <v>41.9667847045611</v>
      </c>
      <c r="K299" s="58" t="n">
        <f aca="false">('E2 CigadingExist Calc'!K87-'E2 CigadingExist Calc'!K85)*$E$299</f>
        <v>41.9695363986523</v>
      </c>
      <c r="L299" s="58" t="n">
        <f aca="false">('E2 CigadingExist Calc'!L87-'E2 CigadingExist Calc'!L85)*$E$299</f>
        <v>42.9723431266254</v>
      </c>
      <c r="M299" s="58" t="n">
        <f aca="false">('E2 CigadingExist Calc'!M87-'E2 CigadingExist Calc'!M85)*$E$299</f>
        <v>42.9752059891579</v>
      </c>
      <c r="N299" s="58" t="n">
        <f aca="false">('E2 CigadingExist Calc'!N87-'E2 CigadingExist Calc'!N85)*$E$299</f>
        <v>42.9781261089411</v>
      </c>
      <c r="O299" s="58" t="n">
        <f aca="false">('E2 CigadingExist Calc'!O87-'E2 CigadingExist Calc'!O85)*$E$299</f>
        <v>43.9811046311199</v>
      </c>
      <c r="P299" s="58" t="n">
        <f aca="false">('E2 CigadingExist Calc'!P87-'E2 CigadingExist Calc'!P85)*$E$299</f>
        <v>43.9841427237423</v>
      </c>
      <c r="Q299" s="58" t="n">
        <f aca="false">('E2 CigadingExist Calc'!Q87-'E2 CigadingExist Calc'!Q85)*$E$299</f>
        <v>43.9872415782171</v>
      </c>
      <c r="R299" s="58" t="n">
        <f aca="false">('E2 CigadingExist Calc'!R87-'E2 CigadingExist Calc'!R85)*$E$299</f>
        <v>43.9904024097815</v>
      </c>
      <c r="S299" s="58" t="n">
        <f aca="false">('E2 CigadingExist Calc'!S87-'E2 CigadingExist Calc'!S85)*$E$299</f>
        <v>43.9936264579771</v>
      </c>
    </row>
    <row r="300" customFormat="false" ht="15" hidden="false" customHeight="false" outlineLevel="0" collapsed="false">
      <c r="B300" s="77" t="s">
        <v>37</v>
      </c>
      <c r="C300" s="25" t="s">
        <v>170</v>
      </c>
      <c r="E300" s="55" t="n">
        <f aca="false">'Global Inputs'!$K$91</f>
        <v>1</v>
      </c>
      <c r="F300" s="58" t="n">
        <f aca="false">('E3 Belawan Calc'!F92-'E3 Belawan Calc'!F89)*$E$300</f>
        <v>0</v>
      </c>
      <c r="G300" s="58" t="n">
        <f aca="false">('E3 Belawan Calc'!G92-'E3 Belawan Calc'!G89)*$E$300</f>
        <v>5.23397421343</v>
      </c>
      <c r="H300" s="58" t="n">
        <f aca="false">('E3 Belawan Calc'!H92-'E3 Belawan Calc'!H89)*$E$300</f>
        <v>5.23397421343</v>
      </c>
      <c r="I300" s="58" t="n">
        <f aca="false">('E3 Belawan Calc'!I92-'E3 Belawan Calc'!I89)*$E$300</f>
        <v>2.616987106715</v>
      </c>
      <c r="J300" s="58" t="n">
        <f aca="false">('E3 Belawan Calc'!J92-'E3 Belawan Calc'!J89)*$E$300</f>
        <v>0</v>
      </c>
      <c r="K300" s="58" t="n">
        <f aca="false">('E3 Belawan Calc'!K92-'E3 Belawan Calc'!K89)*$E$300</f>
        <v>0</v>
      </c>
      <c r="L300" s="58" t="n">
        <f aca="false">('E3 Belawan Calc'!L92-'E3 Belawan Calc'!L89)*$E$300</f>
        <v>0</v>
      </c>
      <c r="M300" s="58" t="n">
        <f aca="false">('E3 Belawan Calc'!M92-'E3 Belawan Calc'!M89)*$E$300</f>
        <v>0</v>
      </c>
      <c r="N300" s="58" t="n">
        <f aca="false">('E3 Belawan Calc'!N92-'E3 Belawan Calc'!N89)*$E$300</f>
        <v>0</v>
      </c>
      <c r="O300" s="58" t="n">
        <f aca="false">('E3 Belawan Calc'!O92-'E3 Belawan Calc'!O89)*$E$300</f>
        <v>0</v>
      </c>
      <c r="P300" s="58" t="n">
        <f aca="false">('E3 Belawan Calc'!P92-'E3 Belawan Calc'!P89)*$E$300</f>
        <v>0</v>
      </c>
      <c r="Q300" s="58" t="n">
        <f aca="false">('E3 Belawan Calc'!Q92-'E3 Belawan Calc'!Q89)*$E$300</f>
        <v>0</v>
      </c>
      <c r="R300" s="58" t="n">
        <f aca="false">('E3 Belawan Calc'!R92-'E3 Belawan Calc'!R89)*$E$300</f>
        <v>0</v>
      </c>
      <c r="S300" s="58" t="n">
        <f aca="false">('E3 Belawan Calc'!S92-'E3 Belawan Calc'!S89)*$E$300</f>
        <v>0</v>
      </c>
    </row>
    <row r="301" customFormat="false" ht="15" hidden="false" customHeight="false" outlineLevel="0" collapsed="false">
      <c r="B301" s="77" t="s">
        <v>40</v>
      </c>
      <c r="C301" s="25" t="s">
        <v>170</v>
      </c>
      <c r="E301" s="55" t="n">
        <f aca="false">'Global Inputs'!$K$92</f>
        <v>1</v>
      </c>
      <c r="F301" s="58" t="n">
        <f aca="false">('E4 WIN Calc'!F203-'E4 WIN Calc'!F201)*$E$301</f>
        <v>0</v>
      </c>
      <c r="G301" s="58" t="n">
        <f aca="false">('E4 WIN Calc'!G203-'E4 WIN Calc'!G201)*$E$301</f>
        <v>0.43948041535</v>
      </c>
      <c r="H301" s="58" t="n">
        <f aca="false">('E4 WIN Calc'!H203-'E4 WIN Calc'!H201)*$E$301</f>
        <v>0.43948041535</v>
      </c>
      <c r="I301" s="58" t="n">
        <f aca="false">('E4 WIN Calc'!I203-'E4 WIN Calc'!I201)*$E$301</f>
        <v>0.43948041535</v>
      </c>
      <c r="J301" s="58" t="n">
        <f aca="false">('E4 WIN Calc'!J203-'E4 WIN Calc'!J201)*$E$301</f>
        <v>0.43948041535</v>
      </c>
      <c r="K301" s="58" t="n">
        <f aca="false">('E4 WIN Calc'!K203-'E4 WIN Calc'!K201)*$E$301</f>
        <v>0.43948041535</v>
      </c>
      <c r="L301" s="58" t="n">
        <f aca="false">('E4 WIN Calc'!L203-'E4 WIN Calc'!L201)*$E$301</f>
        <v>0.43948041535</v>
      </c>
      <c r="M301" s="58" t="n">
        <f aca="false">('E4 WIN Calc'!M203-'E4 WIN Calc'!M201)*$E$301</f>
        <v>0.43948041535</v>
      </c>
      <c r="N301" s="58" t="n">
        <f aca="false">('E4 WIN Calc'!N203-'E4 WIN Calc'!N201)*$E$301</f>
        <v>0.43948041535</v>
      </c>
      <c r="O301" s="58" t="n">
        <f aca="false">('E4 WIN Calc'!O203-'E4 WIN Calc'!O201)*$E$301</f>
        <v>0.43948041535</v>
      </c>
      <c r="P301" s="58" t="n">
        <f aca="false">('E4 WIN Calc'!P203-'E4 WIN Calc'!P201)*$E$301</f>
        <v>0.43948041535</v>
      </c>
      <c r="Q301" s="58" t="n">
        <f aca="false">('E4 WIN Calc'!Q203-'E4 WIN Calc'!Q201)*$E$301</f>
        <v>0.43948041535</v>
      </c>
      <c r="R301" s="58" t="n">
        <f aca="false">('E4 WIN Calc'!R203-'E4 WIN Calc'!R201)*$E$301</f>
        <v>0.43948041535</v>
      </c>
      <c r="S301" s="58" t="n">
        <f aca="false">('E4 WIN Calc'!S203-'E4 WIN Calc'!S201)*$E$301</f>
        <v>0.43948041535</v>
      </c>
    </row>
    <row r="302" customFormat="false" ht="15" hidden="false" customHeight="false" outlineLevel="0" collapsed="false">
      <c r="B302" s="77" t="s">
        <v>43</v>
      </c>
      <c r="C302" s="25" t="s">
        <v>170</v>
      </c>
      <c r="E302" s="55" t="n">
        <f aca="false">'Global Inputs'!$K$93</f>
        <v>1</v>
      </c>
      <c r="F302" s="58" t="n">
        <f aca="false">('P01 CigWharf2 Calc'!F44-'P01 CigWharf2 Calc'!F41)*$E$302</f>
        <v>0</v>
      </c>
      <c r="G302" s="58" t="n">
        <f aca="false">('P01 CigWharf2 Calc'!G44-'P01 CigWharf2 Calc'!G41)*$E$302</f>
        <v>0</v>
      </c>
      <c r="H302" s="58" t="n">
        <f aca="false">('P01 CigWharf2 Calc'!H44-'P01 CigWharf2 Calc'!H41)*$E$302</f>
        <v>0</v>
      </c>
      <c r="I302" s="58" t="n">
        <f aca="false">('P01 CigWharf2 Calc'!I44-'P01 CigWharf2 Calc'!I41)*$E$302</f>
        <v>0</v>
      </c>
      <c r="J302" s="58" t="n">
        <f aca="false">('P01 CigWharf2 Calc'!J44-'P01 CigWharf2 Calc'!J41)*$E$302</f>
        <v>0</v>
      </c>
      <c r="K302" s="58" t="n">
        <f aca="false">('P01 CigWharf2 Calc'!K44-'P01 CigWharf2 Calc'!K41)*$E$302</f>
        <v>0</v>
      </c>
      <c r="L302" s="58" t="n">
        <f aca="false">('P01 CigWharf2 Calc'!L44-'P01 CigWharf2 Calc'!L41)*$E$302</f>
        <v>0</v>
      </c>
      <c r="M302" s="58" t="n">
        <f aca="false">('P01 CigWharf2 Calc'!M44-'P01 CigWharf2 Calc'!M41)*$E$302</f>
        <v>0</v>
      </c>
      <c r="N302" s="58" t="n">
        <f aca="false">('P01 CigWharf2 Calc'!N44-'P01 CigWharf2 Calc'!N41)*$E$302</f>
        <v>0</v>
      </c>
      <c r="O302" s="58" t="n">
        <f aca="false">('P01 CigWharf2 Calc'!O44-'P01 CigWharf2 Calc'!O41)*$E$302</f>
        <v>0</v>
      </c>
      <c r="P302" s="58" t="n">
        <f aca="false">('P01 CigWharf2 Calc'!P44-'P01 CigWharf2 Calc'!P41)*$E$302</f>
        <v>0</v>
      </c>
      <c r="Q302" s="58" t="n">
        <f aca="false">('P01 CigWharf2 Calc'!Q44-'P01 CigWharf2 Calc'!Q41)*$E$302</f>
        <v>0</v>
      </c>
      <c r="R302" s="58" t="n">
        <f aca="false">('P01 CigWharf2 Calc'!R44-'P01 CigWharf2 Calc'!R41)*$E$302</f>
        <v>0</v>
      </c>
      <c r="S302" s="58" t="n">
        <f aca="false">('P01 CigWharf2 Calc'!S44-'P01 CigWharf2 Calc'!S41)*$E$302</f>
        <v>0</v>
      </c>
    </row>
    <row r="303" customFormat="false" ht="15" hidden="false" customHeight="false" outlineLevel="0" collapsed="false">
      <c r="B303" s="77" t="s">
        <v>46</v>
      </c>
      <c r="C303" s="25" t="s">
        <v>170</v>
      </c>
      <c r="E303" s="55" t="n">
        <f aca="false">'Global Inputs'!$K$94</f>
        <v>1</v>
      </c>
      <c r="F303" s="58" t="n">
        <f aca="false">('P02 CigConveyor Calc'!F39-'P02 CigConveyor Calc'!F36)*$E$303</f>
        <v>0</v>
      </c>
      <c r="G303" s="58" t="n">
        <f aca="false">('P02 CigConveyor Calc'!G39-'P02 CigConveyor Calc'!G36)*$E$303</f>
        <v>0</v>
      </c>
      <c r="H303" s="58" t="n">
        <f aca="false">('P02 CigConveyor Calc'!H39-'P02 CigConveyor Calc'!H36)*$E$303</f>
        <v>0</v>
      </c>
      <c r="I303" s="58" t="n">
        <f aca="false">('P02 CigConveyor Calc'!I39-'P02 CigConveyor Calc'!I36)*$E$303</f>
        <v>0</v>
      </c>
      <c r="J303" s="58" t="n">
        <f aca="false">('P02 CigConveyor Calc'!J39-'P02 CigConveyor Calc'!J36)*$E$303</f>
        <v>0</v>
      </c>
      <c r="K303" s="58" t="n">
        <f aca="false">('P02 CigConveyor Calc'!K39-'P02 CigConveyor Calc'!K36)*$E$303</f>
        <v>0</v>
      </c>
      <c r="L303" s="58" t="n">
        <f aca="false">('P02 CigConveyor Calc'!L39-'P02 CigConveyor Calc'!L36)*$E$303</f>
        <v>0</v>
      </c>
      <c r="M303" s="58" t="n">
        <f aca="false">('P02 CigConveyor Calc'!M39-'P02 CigConveyor Calc'!M36)*$E$303</f>
        <v>0</v>
      </c>
      <c r="N303" s="58" t="n">
        <f aca="false">('P02 CigConveyor Calc'!N39-'P02 CigConveyor Calc'!N36)*$E$303</f>
        <v>0</v>
      </c>
      <c r="O303" s="58" t="n">
        <f aca="false">('P02 CigConveyor Calc'!O39-'P02 CigConveyor Calc'!O36)*$E$303</f>
        <v>0</v>
      </c>
      <c r="P303" s="58" t="n">
        <f aca="false">('P02 CigConveyor Calc'!P39-'P02 CigConveyor Calc'!P36)*$E$303</f>
        <v>0</v>
      </c>
      <c r="Q303" s="58" t="n">
        <f aca="false">('P02 CigConveyor Calc'!Q39-'P02 CigConveyor Calc'!Q36)*$E$303</f>
        <v>0</v>
      </c>
      <c r="R303" s="58" t="n">
        <f aca="false">('P02 CigConveyor Calc'!R39-'P02 CigConveyor Calc'!R36)*$E$303</f>
        <v>0</v>
      </c>
      <c r="S303" s="58" t="n">
        <f aca="false">('P02 CigConveyor Calc'!S39-'P02 CigConveyor Calc'!S36)*$E$303</f>
        <v>0</v>
      </c>
    </row>
    <row r="304" customFormat="false" ht="15" hidden="false" customHeight="false" outlineLevel="0" collapsed="false">
      <c r="B304" s="77" t="s">
        <v>48</v>
      </c>
      <c r="C304" s="25" t="s">
        <v>170</v>
      </c>
      <c r="E304" s="55" t="n">
        <f aca="false">'Global Inputs'!$K$95</f>
        <v>1</v>
      </c>
      <c r="F304" s="58" t="n">
        <f aca="false">('P03 KBSWarehouse Calc'!F39-'P03 KBSWarehouse Calc'!F36)*$E$304</f>
        <v>0</v>
      </c>
      <c r="G304" s="58" t="n">
        <f aca="false">('P03 KBSWarehouse Calc'!G39-'P03 KBSWarehouse Calc'!G36)*$E$304</f>
        <v>0</v>
      </c>
      <c r="H304" s="58" t="n">
        <f aca="false">('P03 KBSWarehouse Calc'!H39-'P03 KBSWarehouse Calc'!H36)*$E$304</f>
        <v>0</v>
      </c>
      <c r="I304" s="58" t="n">
        <f aca="false">('P03 KBSWarehouse Calc'!I39-'P03 KBSWarehouse Calc'!I36)*$E$304</f>
        <v>0</v>
      </c>
      <c r="J304" s="58" t="n">
        <f aca="false">('P03 KBSWarehouse Calc'!J39-'P03 KBSWarehouse Calc'!J36)*$E$304</f>
        <v>0</v>
      </c>
      <c r="K304" s="58" t="n">
        <f aca="false">('P03 KBSWarehouse Calc'!K39-'P03 KBSWarehouse Calc'!K36)*$E$304</f>
        <v>0</v>
      </c>
      <c r="L304" s="58" t="n">
        <f aca="false">('P03 KBSWarehouse Calc'!L39-'P03 KBSWarehouse Calc'!L36)*$E$304</f>
        <v>0</v>
      </c>
      <c r="M304" s="58" t="n">
        <f aca="false">('P03 KBSWarehouse Calc'!M39-'P03 KBSWarehouse Calc'!M36)*$E$304</f>
        <v>0</v>
      </c>
      <c r="N304" s="58" t="n">
        <f aca="false">('P03 KBSWarehouse Calc'!N39-'P03 KBSWarehouse Calc'!N36)*$E$304</f>
        <v>0</v>
      </c>
      <c r="O304" s="58" t="n">
        <f aca="false">('P03 KBSWarehouse Calc'!O39-'P03 KBSWarehouse Calc'!O36)*$E$304</f>
        <v>0</v>
      </c>
      <c r="P304" s="58" t="n">
        <f aca="false">('P03 KBSWarehouse Calc'!P39-'P03 KBSWarehouse Calc'!P36)*$E$304</f>
        <v>0</v>
      </c>
      <c r="Q304" s="58" t="n">
        <f aca="false">('P03 KBSWarehouse Calc'!Q39-'P03 KBSWarehouse Calc'!Q36)*$E$304</f>
        <v>0</v>
      </c>
      <c r="R304" s="58" t="n">
        <f aca="false">('P03 KBSWarehouse Calc'!R39-'P03 KBSWarehouse Calc'!R36)*$E$304</f>
        <v>0</v>
      </c>
      <c r="S304" s="58" t="n">
        <f aca="false">('P03 KBSWarehouse Calc'!S39-'P03 KBSWarehouse Calc'!S36)*$E$304</f>
        <v>0</v>
      </c>
    </row>
    <row r="305" customFormat="false" ht="15" hidden="false" customHeight="false" outlineLevel="0" collapsed="false">
      <c r="B305" s="77" t="s">
        <v>51</v>
      </c>
      <c r="C305" s="25" t="s">
        <v>170</v>
      </c>
      <c r="E305" s="55" t="n">
        <f aca="false">'Global Inputs'!$K$96</f>
        <v>1</v>
      </c>
      <c r="F305" s="58" t="n">
        <f aca="false">('P04 TTLSilo Calc'!F45-'P04 TTLSilo Calc'!F42)*$E$305</f>
        <v>0</v>
      </c>
      <c r="G305" s="58" t="n">
        <f aca="false">('P04 TTLSilo Calc'!G45-'P04 TTLSilo Calc'!G42)*$E$305</f>
        <v>0</v>
      </c>
      <c r="H305" s="58" t="n">
        <f aca="false">('P04 TTLSilo Calc'!H45-'P04 TTLSilo Calc'!H42)*$E$305</f>
        <v>0</v>
      </c>
      <c r="I305" s="58" t="n">
        <f aca="false">('P04 TTLSilo Calc'!I45-'P04 TTLSilo Calc'!I42)*$E$305</f>
        <v>0</v>
      </c>
      <c r="J305" s="58" t="n">
        <f aca="false">('P04 TTLSilo Calc'!J45-'P04 TTLSilo Calc'!J42)*$E$305</f>
        <v>0</v>
      </c>
      <c r="K305" s="58" t="n">
        <f aca="false">('P04 TTLSilo Calc'!K45-'P04 TTLSilo Calc'!K42)*$E$305</f>
        <v>0</v>
      </c>
      <c r="L305" s="58" t="n">
        <f aca="false">('P04 TTLSilo Calc'!L45-'P04 TTLSilo Calc'!L42)*$E$305</f>
        <v>0</v>
      </c>
      <c r="M305" s="58" t="n">
        <f aca="false">('P04 TTLSilo Calc'!M45-'P04 TTLSilo Calc'!M42)*$E$305</f>
        <v>0</v>
      </c>
      <c r="N305" s="58" t="n">
        <f aca="false">('P04 TTLSilo Calc'!N45-'P04 TTLSilo Calc'!N42)*$E$305</f>
        <v>0</v>
      </c>
      <c r="O305" s="58" t="n">
        <f aca="false">('P04 TTLSilo Calc'!O45-'P04 TTLSilo Calc'!O42)*$E$305</f>
        <v>0</v>
      </c>
      <c r="P305" s="58" t="n">
        <f aca="false">('P04 TTLSilo Calc'!P45-'P04 TTLSilo Calc'!P42)*$E$305</f>
        <v>0</v>
      </c>
      <c r="Q305" s="58" t="n">
        <f aca="false">('P04 TTLSilo Calc'!Q45-'P04 TTLSilo Calc'!Q42)*$E$305</f>
        <v>0</v>
      </c>
      <c r="R305" s="58" t="n">
        <f aca="false">('P04 TTLSilo Calc'!R45-'P04 TTLSilo Calc'!R42)*$E$305</f>
        <v>0</v>
      </c>
      <c r="S305" s="58" t="n">
        <f aca="false">('P04 TTLSilo Calc'!S45-'P04 TTLSilo Calc'!S42)*$E$305</f>
        <v>0</v>
      </c>
    </row>
    <row r="306" customFormat="false" ht="15" hidden="false" customHeight="false" outlineLevel="0" collapsed="false">
      <c r="B306" s="77" t="s">
        <v>54</v>
      </c>
      <c r="C306" s="25" t="s">
        <v>170</v>
      </c>
      <c r="E306" s="55" t="n">
        <f aca="false">'Global Inputs'!$K$97</f>
        <v>1</v>
      </c>
      <c r="F306" s="58" t="n">
        <f aca="false">('P05 Dumai Calc'!F49-'P05 Dumai Calc'!F46)*$E$306</f>
        <v>0</v>
      </c>
      <c r="G306" s="58" t="n">
        <f aca="false">('P05 Dumai Calc'!G49-'P05 Dumai Calc'!G46)*$E$306</f>
        <v>0</v>
      </c>
      <c r="H306" s="58" t="n">
        <f aca="false">('P05 Dumai Calc'!H49-'P05 Dumai Calc'!H46)*$E$306</f>
        <v>0</v>
      </c>
      <c r="I306" s="58" t="n">
        <f aca="false">('P05 Dumai Calc'!I49-'P05 Dumai Calc'!I46)*$E$306</f>
        <v>0</v>
      </c>
      <c r="J306" s="58" t="n">
        <f aca="false">('P05 Dumai Calc'!J49-'P05 Dumai Calc'!J46)*$E$306</f>
        <v>0</v>
      </c>
      <c r="K306" s="58" t="n">
        <f aca="false">('P05 Dumai Calc'!K49-'P05 Dumai Calc'!K46)*$E$306</f>
        <v>0</v>
      </c>
      <c r="L306" s="58" t="n">
        <f aca="false">('P05 Dumai Calc'!L49-'P05 Dumai Calc'!L46)*$E$306</f>
        <v>0</v>
      </c>
      <c r="M306" s="58" t="n">
        <f aca="false">('P05 Dumai Calc'!M49-'P05 Dumai Calc'!M46)*$E$306</f>
        <v>0</v>
      </c>
      <c r="N306" s="58" t="n">
        <f aca="false">('P05 Dumai Calc'!N49-'P05 Dumai Calc'!N46)*$E$306</f>
        <v>0</v>
      </c>
      <c r="O306" s="58" t="n">
        <f aca="false">('P05 Dumai Calc'!O49-'P05 Dumai Calc'!O46)*$E$306</f>
        <v>0</v>
      </c>
      <c r="P306" s="58" t="n">
        <f aca="false">('P05 Dumai Calc'!P49-'P05 Dumai Calc'!P46)*$E$306</f>
        <v>0</v>
      </c>
      <c r="Q306" s="58" t="n">
        <f aca="false">('P05 Dumai Calc'!Q49-'P05 Dumai Calc'!Q46)*$E$306</f>
        <v>0</v>
      </c>
      <c r="R306" s="58" t="n">
        <f aca="false">('P05 Dumai Calc'!R49-'P05 Dumai Calc'!R46)*$E$306</f>
        <v>0</v>
      </c>
      <c r="S306" s="58" t="n">
        <f aca="false">('P05 Dumai Calc'!S49-'P05 Dumai Calc'!S46)*$E$306</f>
        <v>0</v>
      </c>
    </row>
    <row r="307" customFormat="false" ht="15" hidden="false" customHeight="false" outlineLevel="0" collapsed="false">
      <c r="B307" s="77" t="s">
        <v>57</v>
      </c>
      <c r="C307" s="25" t="s">
        <v>170</v>
      </c>
      <c r="E307" s="55" t="n">
        <f aca="false">'Global Inputs'!$K$98</f>
        <v>1</v>
      </c>
      <c r="F307" s="58" t="n">
        <f aca="false">('P06 Ciwandan Calc'!F43-'P06 Ciwandan Calc'!F40)*$E$307</f>
        <v>0</v>
      </c>
      <c r="G307" s="58" t="n">
        <f aca="false">('P06 Ciwandan Calc'!G43-'P06 Ciwandan Calc'!G40)*$E$307</f>
        <v>0</v>
      </c>
      <c r="H307" s="58" t="n">
        <f aca="false">('P06 Ciwandan Calc'!H43-'P06 Ciwandan Calc'!H40)*$E$307</f>
        <v>0</v>
      </c>
      <c r="I307" s="58" t="n">
        <f aca="false">('P06 Ciwandan Calc'!I43-'P06 Ciwandan Calc'!I40)*$E$307</f>
        <v>0</v>
      </c>
      <c r="J307" s="58" t="n">
        <f aca="false">('P06 Ciwandan Calc'!J43-'P06 Ciwandan Calc'!J40)*$E$307</f>
        <v>0</v>
      </c>
      <c r="K307" s="58" t="n">
        <f aca="false">('P06 Ciwandan Calc'!K43-'P06 Ciwandan Calc'!K40)*$E$307</f>
        <v>0</v>
      </c>
      <c r="L307" s="58" t="n">
        <f aca="false">('P06 Ciwandan Calc'!L43-'P06 Ciwandan Calc'!L40)*$E$307</f>
        <v>0</v>
      </c>
      <c r="M307" s="58" t="n">
        <f aca="false">('P06 Ciwandan Calc'!M43-'P06 Ciwandan Calc'!M40)*$E$307</f>
        <v>0</v>
      </c>
      <c r="N307" s="58" t="n">
        <f aca="false">('P06 Ciwandan Calc'!N43-'P06 Ciwandan Calc'!N40)*$E$307</f>
        <v>0</v>
      </c>
      <c r="O307" s="58" t="n">
        <f aca="false">('P06 Ciwandan Calc'!O43-'P06 Ciwandan Calc'!O40)*$E$307</f>
        <v>0</v>
      </c>
      <c r="P307" s="58" t="n">
        <f aca="false">('P06 Ciwandan Calc'!P43-'P06 Ciwandan Calc'!P40)*$E$307</f>
        <v>0</v>
      </c>
      <c r="Q307" s="58" t="n">
        <f aca="false">('P06 Ciwandan Calc'!Q43-'P06 Ciwandan Calc'!Q40)*$E$307</f>
        <v>0</v>
      </c>
      <c r="R307" s="58" t="n">
        <f aca="false">('P06 Ciwandan Calc'!R43-'P06 Ciwandan Calc'!R40)*$E$307</f>
        <v>0</v>
      </c>
      <c r="S307" s="58" t="n">
        <f aca="false">('P06 Ciwandan Calc'!S43-'P06 Ciwandan Calc'!S40)*$E$307</f>
        <v>0</v>
      </c>
    </row>
    <row r="308" customFormat="false" ht="15" hidden="false" customHeight="false" outlineLevel="0" collapsed="false">
      <c r="B308" s="77" t="s">
        <v>60</v>
      </c>
      <c r="C308" s="25" t="s">
        <v>170</v>
      </c>
      <c r="E308" s="55" t="n">
        <f aca="false">'Global Inputs'!$K$99</f>
        <v>1</v>
      </c>
      <c r="F308" s="58" t="n">
        <f aca="false">('P08 DMSTrucking Calc'!F65-'P08 DMSTrucking Calc'!F63)*$E$308</f>
        <v>0</v>
      </c>
      <c r="G308" s="58" t="n">
        <f aca="false">('P08 DMSTrucking Calc'!G65-'P08 DMSTrucking Calc'!G63)*$E$308</f>
        <v>0</v>
      </c>
      <c r="H308" s="58" t="n">
        <f aca="false">('P08 DMSTrucking Calc'!H65-'P08 DMSTrucking Calc'!H63)*$E$308</f>
        <v>0</v>
      </c>
      <c r="I308" s="58" t="n">
        <f aca="false">('P08 DMSTrucking Calc'!I65-'P08 DMSTrucking Calc'!I63)*$E$308</f>
        <v>0</v>
      </c>
      <c r="J308" s="58" t="n">
        <f aca="false">('P08 DMSTrucking Calc'!J65-'P08 DMSTrucking Calc'!J63)*$E$308</f>
        <v>0.39036</v>
      </c>
      <c r="K308" s="58" t="n">
        <f aca="false">('P08 DMSTrucking Calc'!K65-'P08 DMSTrucking Calc'!K63)*$E$308</f>
        <v>0.48795</v>
      </c>
      <c r="L308" s="58" t="n">
        <f aca="false">('P08 DMSTrucking Calc'!L65-'P08 DMSTrucking Calc'!L63)*$E$308</f>
        <v>0.48795</v>
      </c>
      <c r="M308" s="58" t="n">
        <f aca="false">('P08 DMSTrucking Calc'!M65-'P08 DMSTrucking Calc'!M63)*$E$308</f>
        <v>0.48795</v>
      </c>
      <c r="N308" s="58" t="n">
        <f aca="false">('P08 DMSTrucking Calc'!N65-'P08 DMSTrucking Calc'!N63)*$E$308</f>
        <v>0.48795</v>
      </c>
      <c r="O308" s="58" t="n">
        <f aca="false">('P08 DMSTrucking Calc'!O65-'P08 DMSTrucking Calc'!O63)*$E$308</f>
        <v>0.48795</v>
      </c>
      <c r="P308" s="58" t="n">
        <f aca="false">('P08 DMSTrucking Calc'!P65-'P08 DMSTrucking Calc'!P63)*$E$308</f>
        <v>0.48795</v>
      </c>
      <c r="Q308" s="58" t="n">
        <f aca="false">('P08 DMSTrucking Calc'!Q65-'P08 DMSTrucking Calc'!Q63)*$E$308</f>
        <v>0.48795</v>
      </c>
      <c r="R308" s="58" t="n">
        <f aca="false">('P08 DMSTrucking Calc'!R65-'P08 DMSTrucking Calc'!R63)*$E$308</f>
        <v>0.48795</v>
      </c>
      <c r="S308" s="58" t="n">
        <f aca="false">('P08 DMSTrucking Calc'!S65-'P08 DMSTrucking Calc'!S63)*$E$308</f>
        <v>0.48795</v>
      </c>
    </row>
    <row r="309" customFormat="false" ht="15" hidden="false" customHeight="false" outlineLevel="0" collapsed="false">
      <c r="B309" s="77" t="s">
        <v>63</v>
      </c>
      <c r="C309" s="25" t="s">
        <v>170</v>
      </c>
      <c r="E309" s="55" t="n">
        <f aca="false">'Global Inputs'!$K$100</f>
        <v>0</v>
      </c>
      <c r="F309" s="58" t="n">
        <f aca="false">('P12 BUMNOps Calc'!F69-'P12 BUMNOps Calc'!F67)*$E$309</f>
        <v>0</v>
      </c>
      <c r="G309" s="58" t="n">
        <f aca="false">('P12 BUMNOps Calc'!G69-'P12 BUMNOps Calc'!G67)*$E$309</f>
        <v>0</v>
      </c>
      <c r="H309" s="58" t="n">
        <f aca="false">('P12 BUMNOps Calc'!H69-'P12 BUMNOps Calc'!H67)*$E$309</f>
        <v>0</v>
      </c>
      <c r="I309" s="58" t="n">
        <f aca="false">('P12 BUMNOps Calc'!I69-'P12 BUMNOps Calc'!I67)*$E$309</f>
        <v>0</v>
      </c>
      <c r="J309" s="58" t="n">
        <f aca="false">('P12 BUMNOps Calc'!J69-'P12 BUMNOps Calc'!J67)*$E$309</f>
        <v>0</v>
      </c>
      <c r="K309" s="58" t="n">
        <f aca="false">('P12 BUMNOps Calc'!K69-'P12 BUMNOps Calc'!K67)*$E$309</f>
        <v>0</v>
      </c>
      <c r="L309" s="58" t="n">
        <f aca="false">('P12 BUMNOps Calc'!L69-'P12 BUMNOps Calc'!L67)*$E$309</f>
        <v>0</v>
      </c>
      <c r="M309" s="58" t="n">
        <f aca="false">('P12 BUMNOps Calc'!M69-'P12 BUMNOps Calc'!M67)*$E$309</f>
        <v>0</v>
      </c>
      <c r="N309" s="58" t="n">
        <f aca="false">('P12 BUMNOps Calc'!N69-'P12 BUMNOps Calc'!N67)*$E$309</f>
        <v>0</v>
      </c>
      <c r="O309" s="58" t="n">
        <f aca="false">('P12 BUMNOps Calc'!O69-'P12 BUMNOps Calc'!O67)*$E$309</f>
        <v>0</v>
      </c>
      <c r="P309" s="58" t="n">
        <f aca="false">('P12 BUMNOps Calc'!P69-'P12 BUMNOps Calc'!P67)*$E$309</f>
        <v>0</v>
      </c>
      <c r="Q309" s="58" t="n">
        <f aca="false">('P12 BUMNOps Calc'!Q69-'P12 BUMNOps Calc'!Q67)*$E$309</f>
        <v>0</v>
      </c>
      <c r="R309" s="58" t="n">
        <f aca="false">('P12 BUMNOps Calc'!R69-'P12 BUMNOps Calc'!R67)*$E$309</f>
        <v>0</v>
      </c>
      <c r="S309" s="58" t="n">
        <f aca="false">('P12 BUMNOps Calc'!S69-'P12 BUMNOps Calc'!S67)*$E$309</f>
        <v>0</v>
      </c>
    </row>
    <row r="310" customFormat="false" ht="15" hidden="false" customHeight="false" outlineLevel="0" collapsed="false">
      <c r="B310" s="77" t="s">
        <v>66</v>
      </c>
      <c r="C310" s="25" t="s">
        <v>170</v>
      </c>
      <c r="E310" s="55" t="n">
        <f aca="false">'Global Inputs'!$K$101</f>
        <v>0</v>
      </c>
      <c r="F310" s="58" t="n">
        <f aca="false">('P15 TBM Calc'!F66-'P15 TBM Calc'!F63)*$E$310</f>
        <v>0</v>
      </c>
      <c r="G310" s="58" t="n">
        <f aca="false">('P15 TBM Calc'!G66-'P15 TBM Calc'!G63)*$E$310</f>
        <v>0</v>
      </c>
      <c r="H310" s="58" t="n">
        <f aca="false">('P15 TBM Calc'!H66-'P15 TBM Calc'!H63)*$E$310</f>
        <v>0</v>
      </c>
      <c r="I310" s="58" t="n">
        <f aca="false">('P15 TBM Calc'!I66-'P15 TBM Calc'!I63)*$E$310</f>
        <v>0</v>
      </c>
      <c r="J310" s="58" t="n">
        <f aca="false">('P15 TBM Calc'!J66-'P15 TBM Calc'!J63)*$E$310</f>
        <v>0</v>
      </c>
      <c r="K310" s="58" t="n">
        <f aca="false">('P15 TBM Calc'!K66-'P15 TBM Calc'!K63)*$E$310</f>
        <v>0</v>
      </c>
      <c r="L310" s="58" t="n">
        <f aca="false">('P15 TBM Calc'!L66-'P15 TBM Calc'!L63)*$E$310</f>
        <v>0</v>
      </c>
      <c r="M310" s="58" t="n">
        <f aca="false">('P15 TBM Calc'!M66-'P15 TBM Calc'!M63)*$E$310</f>
        <v>0</v>
      </c>
      <c r="N310" s="58" t="n">
        <f aca="false">('P15 TBM Calc'!N66-'P15 TBM Calc'!N63)*$E$310</f>
        <v>0</v>
      </c>
      <c r="O310" s="58" t="n">
        <f aca="false">('P15 TBM Calc'!O66-'P15 TBM Calc'!O63)*$E$310</f>
        <v>0</v>
      </c>
      <c r="P310" s="58" t="n">
        <f aca="false">('P15 TBM Calc'!P66-'P15 TBM Calc'!P63)*$E$310</f>
        <v>0</v>
      </c>
      <c r="Q310" s="58" t="n">
        <f aca="false">('P15 TBM Calc'!Q66-'P15 TBM Calc'!Q63)*$E$310</f>
        <v>0</v>
      </c>
      <c r="R310" s="58" t="n">
        <f aca="false">('P15 TBM Calc'!R66-'P15 TBM Calc'!R63)*$E$310</f>
        <v>0</v>
      </c>
      <c r="S310" s="58" t="n">
        <f aca="false">('P15 TBM Calc'!S66-'P15 TBM Calc'!S63)*$E$310</f>
        <v>0</v>
      </c>
    </row>
    <row r="311" customFormat="false" ht="15" hidden="false" customHeight="false" outlineLevel="0" collapsed="false">
      <c r="B311" s="77" t="s">
        <v>69</v>
      </c>
      <c r="C311" s="25" t="s">
        <v>170</v>
      </c>
      <c r="E311" s="55" t="n">
        <f aca="false">'Global Inputs'!$K$102</f>
        <v>0</v>
      </c>
      <c r="F311" s="58" t="n">
        <f aca="false">('P19 Badas Calculation'!F57-'P19 Badas Calculation'!F54)*$E$311</f>
        <v>0</v>
      </c>
      <c r="G311" s="58" t="n">
        <f aca="false">('P19 Badas Calculation'!G57-'P19 Badas Calculation'!G54)*$E$311</f>
        <v>0</v>
      </c>
      <c r="H311" s="58" t="n">
        <f aca="false">('P19 Badas Calculation'!H57-'P19 Badas Calculation'!H54)*$E$311</f>
        <v>0</v>
      </c>
      <c r="I311" s="58" t="n">
        <f aca="false">('P19 Badas Calculation'!I57-'P19 Badas Calculation'!I54)*$E$311</f>
        <v>0</v>
      </c>
      <c r="J311" s="58" t="n">
        <f aca="false">('P19 Badas Calculation'!J57-'P19 Badas Calculation'!J54)*$E$311</f>
        <v>0</v>
      </c>
      <c r="K311" s="58" t="n">
        <f aca="false">('P19 Badas Calculation'!K57-'P19 Badas Calculation'!K54)*$E$311</f>
        <v>0</v>
      </c>
      <c r="L311" s="58" t="n">
        <f aca="false">('P19 Badas Calculation'!L57-'P19 Badas Calculation'!L54)*$E$311</f>
        <v>0</v>
      </c>
      <c r="M311" s="58" t="n">
        <f aca="false">('P19 Badas Calculation'!M57-'P19 Badas Calculation'!M54)*$E$311</f>
        <v>0</v>
      </c>
      <c r="N311" s="58" t="n">
        <f aca="false">('P19 Badas Calculation'!N57-'P19 Badas Calculation'!N54)*$E$311</f>
        <v>0</v>
      </c>
      <c r="O311" s="58" t="n">
        <f aca="false">('P19 Badas Calculation'!O57-'P19 Badas Calculation'!O54)*$E$311</f>
        <v>0</v>
      </c>
      <c r="P311" s="58" t="n">
        <f aca="false">('P19 Badas Calculation'!P57-'P19 Badas Calculation'!P54)*$E$311</f>
        <v>0</v>
      </c>
      <c r="Q311" s="58" t="n">
        <f aca="false">('P19 Badas Calculation'!Q57-'P19 Badas Calculation'!Q54)*$E$311</f>
        <v>0</v>
      </c>
      <c r="R311" s="58" t="n">
        <f aca="false">('P19 Badas Calculation'!R57-'P19 Badas Calculation'!R54)*$E$311</f>
        <v>0</v>
      </c>
      <c r="S311" s="58" t="n">
        <f aca="false">('P19 Badas Calculation'!S57-'P19 Badas Calculation'!S54)*$E$311</f>
        <v>0</v>
      </c>
    </row>
    <row r="312" customFormat="false" ht="15" hidden="false" customHeight="false" outlineLevel="0" collapsed="false">
      <c r="B312" s="69" t="s">
        <v>470</v>
      </c>
      <c r="C312" s="25" t="s">
        <v>170</v>
      </c>
      <c r="E312" s="70" t="n">
        <f aca="false">SUM(F312:S312)</f>
        <v>1147.35307372546</v>
      </c>
      <c r="F312" s="68" t="n">
        <f aca="false">F298+F299+F300+F301+F302+F303+F304+F305+F306+F307+F308+F309+F310+F311</f>
        <v>0</v>
      </c>
      <c r="G312" s="68" t="n">
        <f aca="false">G298+G299+G300+G301+G302+G303+G304+G305+G306+G307+G308+G309+G310+G311</f>
        <v>88.3730862512023</v>
      </c>
      <c r="H312" s="68" t="n">
        <f aca="false">H298+H299+H300+H301+H302+H303+H304+H305+H306+H307+H308+H309+H310+H311</f>
        <v>88.3811533700023</v>
      </c>
      <c r="I312" s="68" t="n">
        <f aca="false">I298+I299+I300+I301+I302+I303+I304+I305+I306+I307+I308+I309+I310+I311</f>
        <v>87.7723947244633</v>
      </c>
      <c r="J312" s="68" t="n">
        <f aca="false">J298+J299+J300+J301+J302+J303+J304+J305+J306+J307+J308+J309+J310+J311</f>
        <v>85.5541606481478</v>
      </c>
      <c r="K312" s="68" t="n">
        <f aca="false">K298+K299+K300+K301+K302+K303+K304+K305+K306+K307+K308+K309+K310+K311</f>
        <v>85.6603115391553</v>
      </c>
      <c r="L312" s="68" t="n">
        <f aca="false">L298+L299+L300+L301+L302+L303+L304+L305+L306+L307+L308+L309+L310+L311</f>
        <v>87.669043647983</v>
      </c>
      <c r="M312" s="68" t="n">
        <f aca="false">M298+M299+M300+M301+M302+M303+M304+M305+M306+M307+M308+M309+M310+M311</f>
        <v>87.6779503989872</v>
      </c>
      <c r="N312" s="68" t="n">
        <f aca="false">N298+N299+N300+N301+N302+N303+N304+N305+N306+N307+N308+N309+N310+N311</f>
        <v>87.6870352850115</v>
      </c>
      <c r="O312" s="68" t="n">
        <f aca="false">O298+O299+O300+O301+O302+O303+O304+O305+O306+O307+O308+O309+O310+O311</f>
        <v>89.6963018687563</v>
      </c>
      <c r="P312" s="68" t="n">
        <f aca="false">P298+P299+P300+P301+P302+P303+P304+P305+P306+P307+P308+P309+P310+P311</f>
        <v>89.705753784176</v>
      </c>
      <c r="Q312" s="68" t="n">
        <f aca="false">Q298+Q299+Q300+Q301+Q302+Q303+Q304+Q305+Q306+Q307+Q308+Q309+Q310+Q311</f>
        <v>89.715394737904</v>
      </c>
      <c r="R312" s="68" t="n">
        <f aca="false">R298+R299+R300+R301+R302+R303+R304+R305+R306+R307+R308+R309+R310+R311</f>
        <v>89.7252285107067</v>
      </c>
      <c r="S312" s="68" t="n">
        <f aca="false">S298+S299+S300+S301+S302+S303+S304+S305+S306+S307+S308+S309+S310+S311</f>
        <v>89.7352589589654</v>
      </c>
    </row>
    <row r="313" customFormat="false" ht="15" hidden="false" customHeight="false" outlineLevel="0" collapsed="false">
      <c r="B313" s="78" t="s">
        <v>353</v>
      </c>
      <c r="C313" s="79"/>
      <c r="D313" s="79"/>
      <c r="E313" s="79"/>
      <c r="F313" s="79"/>
      <c r="G313" s="79"/>
      <c r="H313" s="79"/>
      <c r="I313" s="79"/>
      <c r="J313" s="79"/>
      <c r="K313" s="79"/>
      <c r="L313" s="79"/>
      <c r="M313" s="79"/>
      <c r="N313" s="79"/>
      <c r="O313" s="79"/>
      <c r="P313" s="79"/>
      <c r="Q313" s="79"/>
      <c r="R313" s="79"/>
      <c r="S313" s="79"/>
    </row>
    <row r="314" customFormat="false" ht="15" hidden="false" customHeight="false" outlineLevel="0" collapsed="false">
      <c r="B314" s="77" t="s">
        <v>31</v>
      </c>
      <c r="C314" s="25" t="s">
        <v>170</v>
      </c>
      <c r="E314" s="55" t="n">
        <f aca="false">'Global Inputs'!$K$89</f>
        <v>1</v>
      </c>
      <c r="F314" s="58" t="n">
        <f aca="false">'E1 TelukLamong Output'!F28*$E$314</f>
        <v>0</v>
      </c>
      <c r="G314" s="58" t="n">
        <f aca="false">'E1 TelukLamong Output'!G28*$E$314</f>
        <v>99.6359143152692</v>
      </c>
      <c r="H314" s="58" t="n">
        <f aca="false">'E1 TelukLamong Output'!H28*$E$314</f>
        <v>98.6994174663888</v>
      </c>
      <c r="I314" s="58" t="n">
        <f aca="false">'E1 TelukLamong Output'!I28*$E$314</f>
        <v>101.253907298589</v>
      </c>
      <c r="J314" s="58" t="n">
        <f aca="false">'E1 TelukLamong Output'!J28*$E$314</f>
        <v>103.600818221715</v>
      </c>
      <c r="K314" s="58" t="n">
        <f aca="false">'E1 TelukLamong Output'!K28*$E$314</f>
        <v>106.045943858656</v>
      </c>
      <c r="L314" s="58" t="n">
        <f aca="false">'E1 TelukLamong Output'!L28*$E$314</f>
        <v>112.160468778096</v>
      </c>
      <c r="M314" s="58" t="n">
        <f aca="false">'E1 TelukLamong Output'!M28*$E$314</f>
        <v>115.471678209207</v>
      </c>
      <c r="N314" s="58" t="n">
        <f aca="false">'E1 TelukLamong Output'!N28*$E$314</f>
        <v>118.130430326507</v>
      </c>
      <c r="O314" s="58" t="n">
        <f aca="false">'E1 TelukLamong Output'!O28*$E$314</f>
        <v>125.124716335916</v>
      </c>
      <c r="P314" s="58" t="n">
        <f aca="false">'E1 TelukLamong Output'!P28*$E$314</f>
        <v>128.630444471493</v>
      </c>
      <c r="Q314" s="58" t="n">
        <f aca="false">'E1 TelukLamong Output'!Q28*$E$314</f>
        <v>131.639412134673</v>
      </c>
      <c r="R314" s="58" t="n">
        <f aca="false">'E1 TelukLamong Output'!R28*$E$314</f>
        <v>134.637772992991</v>
      </c>
      <c r="S314" s="58" t="n">
        <f aca="false">'E1 TelukLamong Output'!S28*$E$314</f>
        <v>137.753867350256</v>
      </c>
    </row>
    <row r="315" customFormat="false" ht="15" hidden="false" customHeight="false" outlineLevel="0" collapsed="false">
      <c r="B315" s="77" t="s">
        <v>34</v>
      </c>
      <c r="C315" s="25" t="s">
        <v>170</v>
      </c>
      <c r="E315" s="55" t="n">
        <f aca="false">'Global Inputs'!$K$90</f>
        <v>1</v>
      </c>
      <c r="F315" s="58" t="n">
        <f aca="false">'E2 CigadingExist Output'!F28*$E$315</f>
        <v>0</v>
      </c>
      <c r="G315" s="58" t="n">
        <f aca="false">'E2 CigadingExist Output'!G28*$E$315</f>
        <v>16.5219765642192</v>
      </c>
      <c r="H315" s="58" t="n">
        <f aca="false">'E2 CigadingExist Output'!H28*$E$315</f>
        <v>22.0704121135938</v>
      </c>
      <c r="I315" s="58" t="n">
        <f aca="false">'E2 CigadingExist Output'!I28*$E$315</f>
        <v>23.3657198268632</v>
      </c>
      <c r="J315" s="58" t="n">
        <f aca="false">'E2 CigadingExist Output'!J28*$E$315</f>
        <v>32.527040284347</v>
      </c>
      <c r="K315" s="58" t="n">
        <f aca="false">'E2 CigadingExist Output'!K28*$E$315</f>
        <v>34.5561243399768</v>
      </c>
      <c r="L315" s="58" t="n">
        <f aca="false">'E2 CigadingExist Output'!L28*$E$315</f>
        <v>40.8321758712327</v>
      </c>
      <c r="M315" s="58" t="n">
        <f aca="false">'E2 CigadingExist Output'!M28*$E$315</f>
        <v>42.6443318937596</v>
      </c>
      <c r="N315" s="58" t="n">
        <f aca="false">'E2 CigadingExist Output'!N28*$E$315</f>
        <v>46.3855635633837</v>
      </c>
      <c r="O315" s="58" t="n">
        <f aca="false">'E2 CigadingExist Output'!O28*$E$315</f>
        <v>48.0782641549865</v>
      </c>
      <c r="P315" s="58" t="n">
        <f aca="false">'E2 CigadingExist Output'!P28*$E$315</f>
        <v>52.2352005183309</v>
      </c>
      <c r="Q315" s="58" t="n">
        <f aca="false">'E2 CigadingExist Output'!Q28*$E$315</f>
        <v>53.945803566953</v>
      </c>
      <c r="R315" s="58" t="n">
        <f aca="false">'E2 CigadingExist Output'!R28*$E$315</f>
        <v>55.0636328622892</v>
      </c>
      <c r="S315" s="58" t="n">
        <f aca="false">'E2 CigadingExist Output'!S28*$E$315</f>
        <v>56.2290301543192</v>
      </c>
    </row>
    <row r="316" customFormat="false" ht="15" hidden="false" customHeight="false" outlineLevel="0" collapsed="false">
      <c r="B316" s="77" t="s">
        <v>37</v>
      </c>
      <c r="C316" s="25" t="s">
        <v>170</v>
      </c>
      <c r="E316" s="55" t="n">
        <f aca="false">'Global Inputs'!$K$91</f>
        <v>1</v>
      </c>
      <c r="F316" s="58" t="n">
        <f aca="false">'E3 Belawan Output'!F28*$E$316</f>
        <v>0</v>
      </c>
      <c r="G316" s="58" t="n">
        <f aca="false">'E3 Belawan Output'!G28*$E$316</f>
        <v>10.0858338264791</v>
      </c>
      <c r="H316" s="58" t="n">
        <f aca="false">'E3 Belawan Output'!H28*$E$316</f>
        <v>9.97954625430167</v>
      </c>
      <c r="I316" s="58" t="n">
        <f aca="false">'E3 Belawan Output'!I28*$E$316</f>
        <v>-96.2339926558447</v>
      </c>
      <c r="J316" s="58" t="n">
        <f aca="false">'E3 Belawan Output'!J28*$E$316</f>
        <v>-87.9826924440988</v>
      </c>
      <c r="K316" s="58" t="n">
        <f aca="false">'E3 Belawan Output'!K28*$E$316</f>
        <v>29.5801973003833</v>
      </c>
      <c r="L316" s="58" t="n">
        <f aca="false">'E3 Belawan Output'!L28*$E$316</f>
        <v>32.8127316613259</v>
      </c>
      <c r="M316" s="58" t="n">
        <f aca="false">'E3 Belawan Output'!M28*$E$316</f>
        <v>36.2842977024336</v>
      </c>
      <c r="N316" s="58" t="n">
        <f aca="false">'E3 Belawan Output'!N28*$E$316</f>
        <v>39.948628900156</v>
      </c>
      <c r="O316" s="58" t="n">
        <f aca="false">'E3 Belawan Output'!O28*$E$316</f>
        <v>43.8516849343983</v>
      </c>
      <c r="P316" s="58" t="n">
        <f aca="false">'E3 Belawan Output'!P28*$E$316</f>
        <v>47.9215663686452</v>
      </c>
      <c r="Q316" s="58" t="n">
        <f aca="false">'E3 Belawan Output'!Q28*$E$316</f>
        <v>51.9813978954446</v>
      </c>
      <c r="R316" s="58" t="n">
        <f aca="false">'E3 Belawan Output'!R28*$E$316</f>
        <v>36.4929459295205</v>
      </c>
      <c r="S316" s="58" t="n">
        <f aca="false">'E3 Belawan Output'!S28*$E$316</f>
        <v>35.2303058711774</v>
      </c>
    </row>
    <row r="317" customFormat="false" ht="15" hidden="false" customHeight="false" outlineLevel="0" collapsed="false">
      <c r="B317" s="77" t="s">
        <v>40</v>
      </c>
      <c r="C317" s="25" t="s">
        <v>170</v>
      </c>
      <c r="E317" s="55" t="n">
        <f aca="false">'Global Inputs'!$K$92</f>
        <v>1</v>
      </c>
      <c r="F317" s="58" t="n">
        <f aca="false">'E4 WIN Output'!F28*$E$317</f>
        <v>0</v>
      </c>
      <c r="G317" s="58" t="n">
        <f aca="false">'E4 WIN Output'!G28*$E$317</f>
        <v>10.8663752257492</v>
      </c>
      <c r="H317" s="58" t="n">
        <f aca="false">'E4 WIN Output'!H28*$E$317</f>
        <v>11.9323874396738</v>
      </c>
      <c r="I317" s="58" t="n">
        <f aca="false">'E4 WIN Output'!I28*$E$317</f>
        <v>13.0504858674346</v>
      </c>
      <c r="J317" s="58" t="n">
        <f aca="false">'E4 WIN Output'!J28*$E$317</f>
        <v>14.1307492946678</v>
      </c>
      <c r="K317" s="58" t="n">
        <f aca="false">'E4 WIN Output'!K28*$E$317</f>
        <v>15.5603847822086</v>
      </c>
      <c r="L317" s="58" t="n">
        <f aca="false">'E4 WIN Output'!L28*$E$317</f>
        <v>17.0712579091374</v>
      </c>
      <c r="M317" s="58" t="n">
        <f aca="false">'E4 WIN Output'!M28*$E$317</f>
        <v>18.7524292728089</v>
      </c>
      <c r="N317" s="58" t="n">
        <f aca="false">'E4 WIN Output'!N28*$E$317</f>
        <v>20.5618970219182</v>
      </c>
      <c r="O317" s="58" t="n">
        <f aca="false">'E4 WIN Output'!O28*$E$317</f>
        <v>22.5425870984983</v>
      </c>
      <c r="P317" s="58" t="n">
        <f aca="false">'E4 WIN Output'!P28*$E$317</f>
        <v>24.6345916319703</v>
      </c>
      <c r="Q317" s="58" t="n">
        <f aca="false">'E4 WIN Output'!Q28*$E$317</f>
        <v>25.0098834941203</v>
      </c>
      <c r="R317" s="58" t="n">
        <f aca="false">'E4 WIN Output'!R28*$E$317</f>
        <v>25.452360484581</v>
      </c>
      <c r="S317" s="58" t="n">
        <f aca="false">'E4 WIN Output'!S28*$E$317</f>
        <v>26.8733900482765</v>
      </c>
    </row>
    <row r="318" customFormat="false" ht="15" hidden="false" customHeight="false" outlineLevel="0" collapsed="false">
      <c r="B318" s="77" t="s">
        <v>43</v>
      </c>
      <c r="C318" s="25" t="s">
        <v>170</v>
      </c>
      <c r="E318" s="55" t="n">
        <f aca="false">'Global Inputs'!$K$93</f>
        <v>1</v>
      </c>
      <c r="F318" s="58" t="n">
        <f aca="false">'P01 CigWharf2 Output'!F28*$E$318</f>
        <v>-162.65</v>
      </c>
      <c r="G318" s="58" t="n">
        <f aca="false">'P01 CigWharf2 Output'!G28*$E$318</f>
        <v>-37.4095</v>
      </c>
      <c r="H318" s="58" t="n">
        <f aca="false">'P01 CigWharf2 Output'!H28*$E$318</f>
        <v>39.3711324777166</v>
      </c>
      <c r="I318" s="58" t="n">
        <f aca="false">'P01 CigWharf2 Output'!I28*$E$318</f>
        <v>60.2355530611139</v>
      </c>
      <c r="J318" s="58" t="n">
        <f aca="false">'P01 CigWharf2 Output'!J28*$E$318</f>
        <v>72.3914239447765</v>
      </c>
      <c r="K318" s="58" t="n">
        <f aca="false">'P01 CigWharf2 Output'!K28*$E$318</f>
        <v>76.9074586668569</v>
      </c>
      <c r="L318" s="58" t="n">
        <f aca="false">'P01 CigWharf2 Output'!L28*$E$318</f>
        <v>85.5781012363765</v>
      </c>
      <c r="M318" s="58" t="n">
        <f aca="false">'P01 CigWharf2 Output'!M28*$E$318</f>
        <v>89.5085637588032</v>
      </c>
      <c r="N318" s="58" t="n">
        <f aca="false">'P01 CigWharf2 Output'!N28*$E$318</f>
        <v>96.5778549067232</v>
      </c>
      <c r="O318" s="58" t="n">
        <f aca="false">'P01 CigWharf2 Output'!O28*$E$318</f>
        <v>100.317236891532</v>
      </c>
      <c r="P318" s="58" t="n">
        <f aca="false">'P01 CigWharf2 Output'!P28*$E$318</f>
        <v>105.44717559515</v>
      </c>
      <c r="Q318" s="58" t="n">
        <f aca="false">'P01 CigWharf2 Output'!Q28*$E$318</f>
        <v>109.644913005368</v>
      </c>
      <c r="R318" s="58" t="n">
        <f aca="false">'P01 CigWharf2 Output'!R28*$E$318</f>
        <v>112.576825238365</v>
      </c>
      <c r="S318" s="58" t="n">
        <f aca="false">'P01 CigWharf2 Output'!S28*$E$318</f>
        <v>115.641140147624</v>
      </c>
    </row>
    <row r="319" customFormat="false" ht="15" hidden="false" customHeight="false" outlineLevel="0" collapsed="false">
      <c r="B319" s="77" t="s">
        <v>46</v>
      </c>
      <c r="C319" s="25" t="s">
        <v>170</v>
      </c>
      <c r="E319" s="55" t="n">
        <f aca="false">'Global Inputs'!$K$94</f>
        <v>1</v>
      </c>
      <c r="F319" s="58" t="n">
        <f aca="false">'P02 CigConveyor Output'!F28*$E$319</f>
        <v>-35.783</v>
      </c>
      <c r="G319" s="58" t="n">
        <f aca="false">'P02 CigConveyor Output'!G28*$E$319</f>
        <v>-87.831</v>
      </c>
      <c r="H319" s="58" t="n">
        <f aca="false">'P02 CigConveyor Output'!H28*$E$319</f>
        <v>14.119175532007</v>
      </c>
      <c r="I319" s="58" t="n">
        <f aca="false">'P02 CigConveyor Output'!I28*$E$319</f>
        <v>24.8543445752368</v>
      </c>
      <c r="J319" s="58" t="n">
        <f aca="false">'P02 CigConveyor Output'!J28*$E$319</f>
        <v>25.521076207363</v>
      </c>
      <c r="K319" s="58" t="n">
        <f aca="false">'P02 CigConveyor Output'!K28*$E$319</f>
        <v>26.2160323792301</v>
      </c>
      <c r="L319" s="58" t="n">
        <f aca="false">'P02 CigConveyor Output'!L28*$E$319</f>
        <v>26.8956741513036</v>
      </c>
      <c r="M319" s="58" t="n">
        <f aca="false">'P02 CigConveyor Output'!M28*$E$319</f>
        <v>27.6261855213855</v>
      </c>
      <c r="N319" s="58" t="n">
        <f aca="false">'P02 CigConveyor Output'!N28*$E$319</f>
        <v>28.3640275488134</v>
      </c>
      <c r="O319" s="58" t="n">
        <f aca="false">'P02 CigConveyor Output'!O28*$E$319</f>
        <v>29.1328220582874</v>
      </c>
      <c r="P319" s="58" t="n">
        <f aca="false">'P02 CigConveyor Output'!P28*$E$319</f>
        <v>29.5485741933704</v>
      </c>
      <c r="Q319" s="58" t="n">
        <f aca="false">'P02 CigConveyor Output'!Q28*$E$319</f>
        <v>30.3557126275717</v>
      </c>
      <c r="R319" s="58" t="n">
        <f aca="false">'P02 CigConveyor Output'!R28*$E$319</f>
        <v>31.1702366518576</v>
      </c>
      <c r="S319" s="58" t="n">
        <f aca="false">'P02 CigConveyor Output'!S28*$E$319</f>
        <v>32.0185613089214</v>
      </c>
    </row>
    <row r="320" customFormat="false" ht="15" hidden="false" customHeight="false" outlineLevel="0" collapsed="false">
      <c r="B320" s="77" t="s">
        <v>48</v>
      </c>
      <c r="C320" s="25" t="s">
        <v>170</v>
      </c>
      <c r="E320" s="55" t="n">
        <f aca="false">'Global Inputs'!$K$95</f>
        <v>1</v>
      </c>
      <c r="F320" s="58" t="n">
        <f aca="false">'P03 KBSWarehouse Output'!F28*$E$320</f>
        <v>0</v>
      </c>
      <c r="G320" s="58" t="n">
        <f aca="false">'P03 KBSWarehouse Output'!G28*$E$320</f>
        <v>0</v>
      </c>
      <c r="H320" s="58" t="n">
        <f aca="false">'P03 KBSWarehouse Output'!H28*$E$320</f>
        <v>0</v>
      </c>
      <c r="I320" s="58" t="n">
        <f aca="false">'P03 KBSWarehouse Output'!I28*$E$320</f>
        <v>-97.98995635</v>
      </c>
      <c r="J320" s="58" t="n">
        <f aca="false">'P03 KBSWarehouse Output'!J28*$E$320</f>
        <v>11.5199428079596</v>
      </c>
      <c r="K320" s="58" t="n">
        <f aca="false">'P03 KBSWarehouse Output'!K28*$E$320</f>
        <v>17.951741615326</v>
      </c>
      <c r="L320" s="58" t="n">
        <f aca="false">'P03 KBSWarehouse Output'!L28*$E$320</f>
        <v>18.4231010371399</v>
      </c>
      <c r="M320" s="58" t="n">
        <f aca="false">'P03 KBSWarehouse Output'!M28*$E$320</f>
        <v>18.9611430108763</v>
      </c>
      <c r="N320" s="58" t="n">
        <f aca="false">'P03 KBSWarehouse Output'!N28*$E$320</f>
        <v>19.4976406156071</v>
      </c>
      <c r="O320" s="58" t="n">
        <f aca="false">'P03 KBSWarehouse Output'!O28*$E$320</f>
        <v>20.0695587119452</v>
      </c>
      <c r="P320" s="58" t="n">
        <f aca="false">'P03 KBSWarehouse Output'!P28*$E$320</f>
        <v>20.6000778938732</v>
      </c>
      <c r="Q320" s="58" t="n">
        <f aca="false">'P03 KBSWarehouse Output'!Q28*$E$320</f>
        <v>21.2056488754633</v>
      </c>
      <c r="R320" s="58" t="n">
        <f aca="false">'P03 KBSWarehouse Output'!R28*$E$320</f>
        <v>21.8094816561317</v>
      </c>
      <c r="S320" s="58" t="n">
        <f aca="false">'P03 KBSWarehouse Output'!S28*$E$320</f>
        <v>22.4531805121587</v>
      </c>
    </row>
    <row r="321" customFormat="false" ht="15" hidden="false" customHeight="false" outlineLevel="0" collapsed="false">
      <c r="B321" s="77" t="s">
        <v>51</v>
      </c>
      <c r="C321" s="25" t="s">
        <v>170</v>
      </c>
      <c r="E321" s="55" t="n">
        <f aca="false">'Global Inputs'!$K$96</f>
        <v>1</v>
      </c>
      <c r="F321" s="58" t="n">
        <f aca="false">'P04 TTLSilo Output'!F28*$E$321</f>
        <v>0</v>
      </c>
      <c r="G321" s="58" t="n">
        <f aca="false">'P04 TTLSilo Output'!G28*$E$321</f>
        <v>0</v>
      </c>
      <c r="H321" s="58" t="n">
        <f aca="false">'P04 TTLSilo Output'!H28*$E$321</f>
        <v>0</v>
      </c>
      <c r="I321" s="58" t="n">
        <f aca="false">'P04 TTLSilo Output'!I28*$E$321</f>
        <v>-61.1938095</v>
      </c>
      <c r="J321" s="58" t="n">
        <f aca="false">'P04 TTLSilo Output'!J28*$E$321</f>
        <v>9.58246018861706</v>
      </c>
      <c r="K321" s="58" t="n">
        <f aca="false">'P04 TTLSilo Output'!K28*$E$321</f>
        <v>11.2217213608605</v>
      </c>
      <c r="L321" s="58" t="n">
        <f aca="false">'P04 TTLSilo Output'!L28*$E$321</f>
        <v>11.2127880574695</v>
      </c>
      <c r="M321" s="58" t="n">
        <f aca="false">'P04 TTLSilo Output'!M28*$E$321</f>
        <v>11.217254709165</v>
      </c>
      <c r="N321" s="58" t="n">
        <f aca="false">'P04 TTLSilo Output'!N28*$E$321</f>
        <v>11.217254709165</v>
      </c>
      <c r="O321" s="58" t="n">
        <f aca="false">'P04 TTLSilo Output'!O28*$E$321</f>
        <v>11.2217213608605</v>
      </c>
      <c r="P321" s="58" t="n">
        <f aca="false">'P04 TTLSilo Output'!P28*$E$321</f>
        <v>11.2127880574695</v>
      </c>
      <c r="Q321" s="58" t="n">
        <f aca="false">'P04 TTLSilo Output'!Q28*$E$321</f>
        <v>11.217254709165</v>
      </c>
      <c r="R321" s="58" t="n">
        <f aca="false">'P04 TTLSilo Output'!R28*$E$321</f>
        <v>11.217254709165</v>
      </c>
      <c r="S321" s="58" t="n">
        <f aca="false">'P04 TTLSilo Output'!S28*$E$321</f>
        <v>11.2217213608605</v>
      </c>
    </row>
    <row r="322" customFormat="false" ht="15" hidden="false" customHeight="false" outlineLevel="0" collapsed="false">
      <c r="B322" s="77" t="s">
        <v>54</v>
      </c>
      <c r="C322" s="25" t="s">
        <v>170</v>
      </c>
      <c r="E322" s="55" t="n">
        <f aca="false">'Global Inputs'!$K$97</f>
        <v>1</v>
      </c>
      <c r="F322" s="58" t="n">
        <f aca="false">'P05 Dumai Output'!F28*$E$322</f>
        <v>0</v>
      </c>
      <c r="G322" s="58" t="n">
        <f aca="false">'P05 Dumai Output'!G28*$E$322</f>
        <v>0</v>
      </c>
      <c r="H322" s="58" t="n">
        <f aca="false">'P05 Dumai Output'!H28*$E$322</f>
        <v>0</v>
      </c>
      <c r="I322" s="58" t="n">
        <f aca="false">'P05 Dumai Output'!I28*$E$322</f>
        <v>-89.4589934275323</v>
      </c>
      <c r="J322" s="58" t="n">
        <f aca="false">'P05 Dumai Output'!J28*$E$322</f>
        <v>16.3497283979769</v>
      </c>
      <c r="K322" s="58" t="n">
        <f aca="false">'P05 Dumai Output'!K28*$E$322</f>
        <v>21.2429725922845</v>
      </c>
      <c r="L322" s="58" t="n">
        <f aca="false">'P05 Dumai Output'!L28*$E$322</f>
        <v>22.6226495817981</v>
      </c>
      <c r="M322" s="58" t="n">
        <f aca="false">'P05 Dumai Output'!M28*$E$322</f>
        <v>22.2693545617857</v>
      </c>
      <c r="N322" s="58" t="n">
        <f aca="false">'P05 Dumai Output'!N28*$E$322</f>
        <v>21.9924079286537</v>
      </c>
      <c r="O322" s="58" t="n">
        <f aca="false">'P05 Dumai Output'!O28*$E$322</f>
        <v>21.5507564596218</v>
      </c>
      <c r="P322" s="58" t="n">
        <f aca="false">'P05 Dumai Output'!P28*$E$322</f>
        <v>22.9867846705396</v>
      </c>
      <c r="Q322" s="58" t="n">
        <f aca="false">'P05 Dumai Output'!Q28*$E$322</f>
        <v>21.7914347466191</v>
      </c>
      <c r="R322" s="58" t="n">
        <f aca="false">'P05 Dumai Output'!R28*$E$322</f>
        <v>20.8890085223254</v>
      </c>
      <c r="S322" s="58" t="n">
        <f aca="false">'P05 Dumai Output'!S28*$E$322</f>
        <v>20.7000775355884</v>
      </c>
    </row>
    <row r="323" customFormat="false" ht="15" hidden="false" customHeight="false" outlineLevel="0" collapsed="false">
      <c r="B323" s="77" t="s">
        <v>57</v>
      </c>
      <c r="C323" s="25" t="s">
        <v>170</v>
      </c>
      <c r="E323" s="55" t="n">
        <f aca="false">'Global Inputs'!$K$98</f>
        <v>1</v>
      </c>
      <c r="F323" s="58" t="n">
        <f aca="false">'P06 Ciwandan Output'!F28*$E$323</f>
        <v>0</v>
      </c>
      <c r="G323" s="58" t="n">
        <f aca="false">'P06 Ciwandan Output'!G28*$E$323</f>
        <v>0</v>
      </c>
      <c r="H323" s="58" t="n">
        <f aca="false">'P06 Ciwandan Output'!H28*$E$323</f>
        <v>0</v>
      </c>
      <c r="I323" s="58" t="n">
        <f aca="false">'P06 Ciwandan Output'!I28*$E$323</f>
        <v>-40.8625</v>
      </c>
      <c r="J323" s="58" t="n">
        <f aca="false">'P06 Ciwandan Output'!J28*$E$323</f>
        <v>-40.8625</v>
      </c>
      <c r="K323" s="58" t="n">
        <f aca="false">'P06 Ciwandan Output'!K28*$E$323</f>
        <v>21.4675114972037</v>
      </c>
      <c r="L323" s="58" t="n">
        <f aca="false">'P06 Ciwandan Output'!L28*$E$323</f>
        <v>35.771792685535</v>
      </c>
      <c r="M323" s="58" t="n">
        <f aca="false">'P06 Ciwandan Output'!M28*$E$323</f>
        <v>40.4795227252258</v>
      </c>
      <c r="N323" s="58" t="n">
        <f aca="false">'P06 Ciwandan Output'!N28*$E$323</f>
        <v>49.2432296164788</v>
      </c>
      <c r="O323" s="58" t="n">
        <f aca="false">'P06 Ciwandan Output'!O28*$E$323</f>
        <v>53.2935416768089</v>
      </c>
      <c r="P323" s="58" t="n">
        <f aca="false">'P06 Ciwandan Output'!P28*$E$323</f>
        <v>60.6020037993356</v>
      </c>
      <c r="Q323" s="58" t="n">
        <f aca="false">'P06 Ciwandan Output'!Q28*$E$323</f>
        <v>64.7439519488697</v>
      </c>
      <c r="R323" s="58" t="n">
        <f aca="false">'P06 Ciwandan Output'!R28*$E$323</f>
        <v>71.4102254387299</v>
      </c>
      <c r="S323" s="58" t="n">
        <f aca="false">'P06 Ciwandan Output'!S28*$E$323</f>
        <v>75.0234940264715</v>
      </c>
    </row>
    <row r="324" customFormat="false" ht="15" hidden="false" customHeight="false" outlineLevel="0" collapsed="false">
      <c r="B324" s="77" t="s">
        <v>60</v>
      </c>
      <c r="C324" s="25" t="s">
        <v>170</v>
      </c>
      <c r="E324" s="55" t="n">
        <f aca="false">'Global Inputs'!$K$99</f>
        <v>1</v>
      </c>
      <c r="F324" s="58" t="n">
        <f aca="false">'P08 DMSTrucking Output'!F28*$E$324</f>
        <v>0</v>
      </c>
      <c r="G324" s="58" t="n">
        <f aca="false">'P08 DMSTrucking Output'!G28*$E$324</f>
        <v>0</v>
      </c>
      <c r="H324" s="58" t="n">
        <f aca="false">'P08 DMSTrucking Output'!H28*$E$324</f>
        <v>0</v>
      </c>
      <c r="I324" s="58" t="n">
        <f aca="false">'P08 DMSTrucking Output'!I28*$E$324</f>
        <v>0</v>
      </c>
      <c r="J324" s="58" t="n">
        <f aca="false">'P08 DMSTrucking Output'!J28*$E$324</f>
        <v>1.46403959332913</v>
      </c>
      <c r="K324" s="58" t="n">
        <f aca="false">'P08 DMSTrucking Output'!K28*$E$324</f>
        <v>2.10053480995688</v>
      </c>
      <c r="L324" s="58" t="n">
        <f aca="false">'P08 DMSTrucking Output'!L28*$E$324</f>
        <v>2.23266510395025</v>
      </c>
      <c r="M324" s="58" t="n">
        <f aca="false">'P08 DMSTrucking Output'!M28*$E$324</f>
        <v>2.32058684686117</v>
      </c>
      <c r="N324" s="58" t="n">
        <f aca="false">'P08 DMSTrucking Output'!N28*$E$324</f>
        <v>2.41219039927523</v>
      </c>
      <c r="O324" s="58" t="n">
        <f aca="false">'P08 DMSTrucking Output'!O28*$E$324</f>
        <v>2.49787965939361</v>
      </c>
      <c r="P324" s="58" t="n">
        <f aca="false">'P08 DMSTrucking Output'!P28*$E$324</f>
        <v>2.58020049973608</v>
      </c>
      <c r="Q324" s="58" t="n">
        <f aca="false">'P08 DMSTrucking Output'!Q28*$E$324</f>
        <v>2.66969161510117</v>
      </c>
      <c r="R324" s="58" t="n">
        <f aca="false">'P08 DMSTrucking Output'!R28*$E$324</f>
        <v>2.76130064233206</v>
      </c>
      <c r="S324" s="58" t="n">
        <f aca="false">'P08 DMSTrucking Output'!S28*$E$324</f>
        <v>2.85796915027703</v>
      </c>
    </row>
    <row r="325" customFormat="false" ht="15" hidden="false" customHeight="false" outlineLevel="0" collapsed="false">
      <c r="B325" s="77" t="s">
        <v>63</v>
      </c>
      <c r="C325" s="25" t="s">
        <v>170</v>
      </c>
      <c r="E325" s="55" t="n">
        <f aca="false">'Global Inputs'!$K$100</f>
        <v>0</v>
      </c>
      <c r="F325" s="58" t="n">
        <f aca="false">'P12 BUMNOps Output'!F28*$E$325</f>
        <v>0</v>
      </c>
      <c r="G325" s="58" t="n">
        <f aca="false">'P12 BUMNOps Output'!G28*$E$325</f>
        <v>0</v>
      </c>
      <c r="H325" s="58" t="n">
        <f aca="false">'P12 BUMNOps Output'!H28*$E$325</f>
        <v>0</v>
      </c>
      <c r="I325" s="58" t="n">
        <f aca="false">'P12 BUMNOps Output'!I28*$E$325</f>
        <v>0</v>
      </c>
      <c r="J325" s="58" t="n">
        <f aca="false">'P12 BUMNOps Output'!J28*$E$325</f>
        <v>0</v>
      </c>
      <c r="K325" s="58" t="n">
        <f aca="false">'P12 BUMNOps Output'!K28*$E$325</f>
        <v>0</v>
      </c>
      <c r="L325" s="58" t="n">
        <f aca="false">'P12 BUMNOps Output'!L28*$E$325</f>
        <v>0</v>
      </c>
      <c r="M325" s="58" t="n">
        <f aca="false">'P12 BUMNOps Output'!M28*$E$325</f>
        <v>0</v>
      </c>
      <c r="N325" s="58" t="n">
        <f aca="false">'P12 BUMNOps Output'!N28*$E$325</f>
        <v>0</v>
      </c>
      <c r="O325" s="58" t="n">
        <f aca="false">'P12 BUMNOps Output'!O28*$E$325</f>
        <v>0</v>
      </c>
      <c r="P325" s="58" t="n">
        <f aca="false">'P12 BUMNOps Output'!P28*$E$325</f>
        <v>0</v>
      </c>
      <c r="Q325" s="58" t="n">
        <f aca="false">'P12 BUMNOps Output'!Q28*$E$325</f>
        <v>0</v>
      </c>
      <c r="R325" s="58" t="n">
        <f aca="false">'P12 BUMNOps Output'!R28*$E$325</f>
        <v>0</v>
      </c>
      <c r="S325" s="58" t="n">
        <f aca="false">'P12 BUMNOps Output'!S28*$E$325</f>
        <v>0</v>
      </c>
    </row>
    <row r="326" customFormat="false" ht="15" hidden="false" customHeight="false" outlineLevel="0" collapsed="false">
      <c r="B326" s="77" t="s">
        <v>66</v>
      </c>
      <c r="C326" s="25" t="s">
        <v>170</v>
      </c>
      <c r="E326" s="55" t="n">
        <f aca="false">'Global Inputs'!$K$101</f>
        <v>0</v>
      </c>
      <c r="F326" s="58" t="n">
        <f aca="false">'P15 TBM Output'!F28*$E$326</f>
        <v>0</v>
      </c>
      <c r="G326" s="58" t="n">
        <f aca="false">'P15 TBM Output'!G28*$E$326</f>
        <v>0</v>
      </c>
      <c r="H326" s="58" t="n">
        <f aca="false">'P15 TBM Output'!H28*$E$326</f>
        <v>-0</v>
      </c>
      <c r="I326" s="58" t="n">
        <f aca="false">'P15 TBM Output'!I28*$E$326</f>
        <v>-0</v>
      </c>
      <c r="J326" s="58" t="n">
        <f aca="false">'P15 TBM Output'!J28*$E$326</f>
        <v>0</v>
      </c>
      <c r="K326" s="58" t="n">
        <f aca="false">'P15 TBM Output'!K28*$E$326</f>
        <v>0</v>
      </c>
      <c r="L326" s="58" t="n">
        <f aca="false">'P15 TBM Output'!L28*$E$326</f>
        <v>0</v>
      </c>
      <c r="M326" s="58" t="n">
        <f aca="false">'P15 TBM Output'!M28*$E$326</f>
        <v>0</v>
      </c>
      <c r="N326" s="58" t="n">
        <f aca="false">'P15 TBM Output'!N28*$E$326</f>
        <v>0</v>
      </c>
      <c r="O326" s="58" t="n">
        <f aca="false">'P15 TBM Output'!O28*$E$326</f>
        <v>0</v>
      </c>
      <c r="P326" s="58" t="n">
        <f aca="false">'P15 TBM Output'!P28*$E$326</f>
        <v>0</v>
      </c>
      <c r="Q326" s="58" t="n">
        <f aca="false">'P15 TBM Output'!Q28*$E$326</f>
        <v>0</v>
      </c>
      <c r="R326" s="58" t="n">
        <f aca="false">'P15 TBM Output'!R28*$E$326</f>
        <v>0</v>
      </c>
      <c r="S326" s="58" t="n">
        <f aca="false">'P15 TBM Output'!S28*$E$326</f>
        <v>0</v>
      </c>
    </row>
    <row r="327" customFormat="false" ht="15" hidden="false" customHeight="false" outlineLevel="0" collapsed="false">
      <c r="B327" s="77" t="s">
        <v>69</v>
      </c>
      <c r="C327" s="25" t="s">
        <v>170</v>
      </c>
      <c r="E327" s="55" t="n">
        <f aca="false">'Global Inputs'!$K$102</f>
        <v>0</v>
      </c>
      <c r="F327" s="58" t="n">
        <f aca="false">'P19 Badas Output'!F28*$E$327</f>
        <v>0</v>
      </c>
      <c r="G327" s="58" t="n">
        <f aca="false">'P19 Badas Output'!G28*$E$327</f>
        <v>0</v>
      </c>
      <c r="H327" s="58" t="n">
        <f aca="false">'P19 Badas Output'!H28*$E$327</f>
        <v>0</v>
      </c>
      <c r="I327" s="58" t="n">
        <f aca="false">'P19 Badas Output'!I28*$E$327</f>
        <v>0</v>
      </c>
      <c r="J327" s="58" t="n">
        <f aca="false">'P19 Badas Output'!J28*$E$327</f>
        <v>-0</v>
      </c>
      <c r="K327" s="58" t="n">
        <f aca="false">'P19 Badas Output'!K28*$E$327</f>
        <v>-0</v>
      </c>
      <c r="L327" s="58" t="n">
        <f aca="false">'P19 Badas Output'!L28*$E$327</f>
        <v>0</v>
      </c>
      <c r="M327" s="58" t="n">
        <f aca="false">'P19 Badas Output'!M28*$E$327</f>
        <v>0</v>
      </c>
      <c r="N327" s="58" t="n">
        <f aca="false">'P19 Badas Output'!N28*$E$327</f>
        <v>0</v>
      </c>
      <c r="O327" s="58" t="n">
        <f aca="false">'P19 Badas Output'!O28*$E$327</f>
        <v>0</v>
      </c>
      <c r="P327" s="58" t="n">
        <f aca="false">'P19 Badas Output'!P28*$E$327</f>
        <v>0</v>
      </c>
      <c r="Q327" s="58" t="n">
        <f aca="false">'P19 Badas Output'!Q28*$E$327</f>
        <v>0</v>
      </c>
      <c r="R327" s="58" t="n">
        <f aca="false">'P19 Badas Output'!R28*$E$327</f>
        <v>0</v>
      </c>
      <c r="S327" s="58" t="n">
        <f aca="false">'P19 Badas Output'!S28*$E$327</f>
        <v>0</v>
      </c>
    </row>
    <row r="328" customFormat="false" ht="15" hidden="false" customHeight="false" outlineLevel="0" collapsed="false">
      <c r="B328" s="69" t="s">
        <v>471</v>
      </c>
      <c r="C328" s="25" t="s">
        <v>170</v>
      </c>
      <c r="E328" s="70" t="n">
        <f aca="false">SUM(F328:S328)</f>
        <v>4220.97108368894</v>
      </c>
      <c r="F328" s="68" t="n">
        <f aca="false">F314+F315+F316+F317+F318+F319+F320+F321+F322+F323+F324+F325+F326+F327</f>
        <v>-198.433</v>
      </c>
      <c r="G328" s="68" t="n">
        <f aca="false">G314+G315+G316+G317+G318+G319+G320+G321+G322+G323+G324+G325+G326+G327</f>
        <v>11.8695999317167</v>
      </c>
      <c r="H328" s="68" t="n">
        <f aca="false">H314+H315+H316+H317+H318+H319+H320+H321+H322+H323+H324+H325+H326+H327</f>
        <v>196.172071283682</v>
      </c>
      <c r="I328" s="68" t="n">
        <f aca="false">I314+I315+I316+I317+I318+I319+I320+I321+I322+I323+I324+I325+I326+I327</f>
        <v>-162.979241304139</v>
      </c>
      <c r="J328" s="68" t="n">
        <f aca="false">J314+J315+J316+J317+J318+J319+J320+J321+J322+J323+J324+J325+J326+J327</f>
        <v>158.242086496653</v>
      </c>
      <c r="K328" s="68" t="n">
        <f aca="false">K314+K315+K316+K317+K318+K319+K320+K321+K322+K323+K324+K325+K326+K327</f>
        <v>362.850623202944</v>
      </c>
      <c r="L328" s="68" t="n">
        <f aca="false">L314+L315+L316+L317+L318+L319+L320+L321+L322+L323+L324+L325+L326+L327</f>
        <v>405.613406073365</v>
      </c>
      <c r="M328" s="68" t="n">
        <f aca="false">M314+M315+M316+M317+M318+M319+M320+M321+M322+M323+M324+M325+M326+M327</f>
        <v>425.535348212312</v>
      </c>
      <c r="N328" s="68" t="n">
        <f aca="false">N314+N315+N316+N317+N318+N319+N320+N321+N322+N323+N324+N325+N326+N327</f>
        <v>454.331125536681</v>
      </c>
      <c r="O328" s="68" t="n">
        <f aca="false">O314+O315+O316+O317+O318+O319+O320+O321+O322+O323+O324+O325+O326+O327</f>
        <v>477.680769342249</v>
      </c>
      <c r="P328" s="68" t="n">
        <f aca="false">P314+P315+P316+P317+P318+P319+P320+P321+P322+P323+P324+P325+P326+P327</f>
        <v>506.399407699914</v>
      </c>
      <c r="Q328" s="68" t="n">
        <f aca="false">Q314+Q315+Q316+Q317+Q318+Q319+Q320+Q321+Q322+Q323+Q324+Q325+Q326+Q327</f>
        <v>524.205104619349</v>
      </c>
      <c r="R328" s="68" t="n">
        <f aca="false">R314+R315+R316+R317+R318+R319+R320+R321+R322+R323+R324+R325+R326+R327</f>
        <v>523.481045128288</v>
      </c>
      <c r="S328" s="68" t="n">
        <f aca="false">S314+S315+S316+S317+S318+S319+S320+S321+S322+S323+S324+S325+S326+S327</f>
        <v>536.002737465931</v>
      </c>
    </row>
    <row r="329" customFormat="false" ht="15" hidden="false" customHeight="false" outlineLevel="0" collapsed="false">
      <c r="B329" s="78" t="s">
        <v>472</v>
      </c>
      <c r="C329" s="79"/>
      <c r="D329" s="79"/>
      <c r="E329" s="79"/>
      <c r="F329" s="79"/>
      <c r="G329" s="79"/>
      <c r="H329" s="79"/>
      <c r="I329" s="79"/>
      <c r="J329" s="79"/>
      <c r="K329" s="79"/>
      <c r="L329" s="79"/>
      <c r="M329" s="79"/>
      <c r="N329" s="79"/>
      <c r="O329" s="79"/>
      <c r="P329" s="79"/>
      <c r="Q329" s="79"/>
      <c r="R329" s="79"/>
      <c r="S329" s="79"/>
    </row>
    <row r="330" customFormat="false" ht="15" hidden="false" customHeight="false" outlineLevel="0" collapsed="false">
      <c r="B330" s="77" t="s">
        <v>31</v>
      </c>
      <c r="C330" s="25" t="s">
        <v>170</v>
      </c>
      <c r="E330" s="55" t="n">
        <f aca="false">'Global Inputs'!$K$89</f>
        <v>1</v>
      </c>
      <c r="F330" s="58" t="n">
        <f aca="false">'E1 TelukLamong Output'!F31*$E$330</f>
        <v>-0</v>
      </c>
      <c r="G330" s="58" t="n">
        <f aca="false">'E1 TelukLamong Output'!G31*$E$330</f>
        <v>0</v>
      </c>
      <c r="H330" s="58" t="n">
        <f aca="false">'E1 TelukLamong Output'!H31*$E$330</f>
        <v>0</v>
      </c>
      <c r="I330" s="58" t="n">
        <f aca="false">'E1 TelukLamong Output'!I31*$E$330</f>
        <v>0</v>
      </c>
      <c r="J330" s="58" t="n">
        <f aca="false">'E1 TelukLamong Output'!J31*$E$330</f>
        <v>0</v>
      </c>
      <c r="K330" s="58" t="n">
        <f aca="false">'E1 TelukLamong Output'!K31*$E$330</f>
        <v>0</v>
      </c>
      <c r="L330" s="58" t="n">
        <f aca="false">'E1 TelukLamong Output'!L31*$E$330</f>
        <v>0</v>
      </c>
      <c r="M330" s="58" t="n">
        <f aca="false">'E1 TelukLamong Output'!M31*$E$330</f>
        <v>0</v>
      </c>
      <c r="N330" s="58" t="n">
        <f aca="false">'E1 TelukLamong Output'!N31*$E$330</f>
        <v>0</v>
      </c>
      <c r="O330" s="58" t="n">
        <f aca="false">'E1 TelukLamong Output'!O31*$E$330</f>
        <v>0</v>
      </c>
      <c r="P330" s="58" t="n">
        <f aca="false">'E1 TelukLamong Output'!P31*$E$330</f>
        <v>0</v>
      </c>
      <c r="Q330" s="58" t="n">
        <f aca="false">'E1 TelukLamong Output'!Q31*$E$330</f>
        <v>0</v>
      </c>
      <c r="R330" s="58" t="n">
        <f aca="false">'E1 TelukLamong Output'!R31*$E$330</f>
        <v>0</v>
      </c>
      <c r="S330" s="58" t="n">
        <f aca="false">'E1 TelukLamong Output'!S31*$E$330</f>
        <v>0</v>
      </c>
    </row>
    <row r="331" customFormat="false" ht="15" hidden="false" customHeight="false" outlineLevel="0" collapsed="false">
      <c r="B331" s="77" t="s">
        <v>34</v>
      </c>
      <c r="C331" s="25" t="s">
        <v>170</v>
      </c>
      <c r="E331" s="55" t="n">
        <f aca="false">'Global Inputs'!$K$90</f>
        <v>1</v>
      </c>
      <c r="F331" s="58" t="n">
        <f aca="false">'E2 CigadingExist Output'!F31*$E$331</f>
        <v>-0</v>
      </c>
      <c r="G331" s="58" t="n">
        <f aca="false">'E2 CigadingExist Output'!G31*$E$331</f>
        <v>0</v>
      </c>
      <c r="H331" s="58" t="n">
        <f aca="false">'E2 CigadingExist Output'!H31*$E$331</f>
        <v>0</v>
      </c>
      <c r="I331" s="58" t="n">
        <f aca="false">'E2 CigadingExist Output'!I31*$E$331</f>
        <v>0</v>
      </c>
      <c r="J331" s="58" t="n">
        <f aca="false">'E2 CigadingExist Output'!J31*$E$331</f>
        <v>0</v>
      </c>
      <c r="K331" s="58" t="n">
        <f aca="false">'E2 CigadingExist Output'!K31*$E$331</f>
        <v>0</v>
      </c>
      <c r="L331" s="58" t="n">
        <f aca="false">'E2 CigadingExist Output'!L31*$E$331</f>
        <v>0</v>
      </c>
      <c r="M331" s="58" t="n">
        <f aca="false">'E2 CigadingExist Output'!M31*$E$331</f>
        <v>0</v>
      </c>
      <c r="N331" s="58" t="n">
        <f aca="false">'E2 CigadingExist Output'!N31*$E$331</f>
        <v>0</v>
      </c>
      <c r="O331" s="58" t="n">
        <f aca="false">'E2 CigadingExist Output'!O31*$E$331</f>
        <v>0</v>
      </c>
      <c r="P331" s="58" t="n">
        <f aca="false">'E2 CigadingExist Output'!P31*$E$331</f>
        <v>0</v>
      </c>
      <c r="Q331" s="58" t="n">
        <f aca="false">'E2 CigadingExist Output'!Q31*$E$331</f>
        <v>0</v>
      </c>
      <c r="R331" s="58" t="n">
        <f aca="false">'E2 CigadingExist Output'!R31*$E$331</f>
        <v>0</v>
      </c>
      <c r="S331" s="58" t="n">
        <f aca="false">'E2 CigadingExist Output'!S31*$E$331</f>
        <v>0</v>
      </c>
    </row>
    <row r="332" customFormat="false" ht="15" hidden="false" customHeight="false" outlineLevel="0" collapsed="false">
      <c r="B332" s="77" t="s">
        <v>37</v>
      </c>
      <c r="C332" s="25" t="s">
        <v>170</v>
      </c>
      <c r="E332" s="55" t="n">
        <f aca="false">'Global Inputs'!$K$91</f>
        <v>1</v>
      </c>
      <c r="F332" s="58" t="n">
        <f aca="false">'E3 Belawan Output'!F31*$E$332</f>
        <v>-0</v>
      </c>
      <c r="G332" s="58" t="n">
        <f aca="false">'E3 Belawan Output'!G31*$E$332</f>
        <v>0</v>
      </c>
      <c r="H332" s="58" t="n">
        <f aca="false">'E3 Belawan Output'!H31*$E$332</f>
        <v>0</v>
      </c>
      <c r="I332" s="58" t="n">
        <f aca="false">'E3 Belawan Output'!I31*$E$332</f>
        <v>96.2339926558447</v>
      </c>
      <c r="J332" s="58" t="n">
        <f aca="false">'E3 Belawan Output'!J31*$E$332</f>
        <v>87.9826924440988</v>
      </c>
      <c r="K332" s="58" t="n">
        <f aca="false">'E3 Belawan Output'!K31*$E$332</f>
        <v>0</v>
      </c>
      <c r="L332" s="58" t="n">
        <f aca="false">'E3 Belawan Output'!L31*$E$332</f>
        <v>0</v>
      </c>
      <c r="M332" s="58" t="n">
        <f aca="false">'E3 Belawan Output'!M31*$E$332</f>
        <v>0</v>
      </c>
      <c r="N332" s="58" t="n">
        <f aca="false">'E3 Belawan Output'!N31*$E$332</f>
        <v>0</v>
      </c>
      <c r="O332" s="58" t="n">
        <f aca="false">'E3 Belawan Output'!O31*$E$332</f>
        <v>0</v>
      </c>
      <c r="P332" s="58" t="n">
        <f aca="false">'E3 Belawan Output'!P31*$E$332</f>
        <v>0</v>
      </c>
      <c r="Q332" s="58" t="n">
        <f aca="false">'E3 Belawan Output'!Q31*$E$332</f>
        <v>0</v>
      </c>
      <c r="R332" s="58" t="n">
        <f aca="false">'E3 Belawan Output'!R31*$E$332</f>
        <v>0</v>
      </c>
      <c r="S332" s="58" t="n">
        <f aca="false">'E3 Belawan Output'!S31*$E$332</f>
        <v>0</v>
      </c>
    </row>
    <row r="333" customFormat="false" ht="15" hidden="false" customHeight="false" outlineLevel="0" collapsed="false">
      <c r="B333" s="77" t="s">
        <v>40</v>
      </c>
      <c r="C333" s="25" t="s">
        <v>170</v>
      </c>
      <c r="E333" s="55" t="n">
        <f aca="false">'Global Inputs'!$K$92</f>
        <v>1</v>
      </c>
      <c r="F333" s="58" t="n">
        <f aca="false">'E4 WIN Output'!F31*$E$333</f>
        <v>-0</v>
      </c>
      <c r="G333" s="58" t="n">
        <f aca="false">'E4 WIN Output'!G31*$E$333</f>
        <v>0</v>
      </c>
      <c r="H333" s="58" t="n">
        <f aca="false">'E4 WIN Output'!H31*$E$333</f>
        <v>0</v>
      </c>
      <c r="I333" s="58" t="n">
        <f aca="false">'E4 WIN Output'!I31*$E$333</f>
        <v>0</v>
      </c>
      <c r="J333" s="58" t="n">
        <f aca="false">'E4 WIN Output'!J31*$E$333</f>
        <v>0</v>
      </c>
      <c r="K333" s="58" t="n">
        <f aca="false">'E4 WIN Output'!K31*$E$333</f>
        <v>0</v>
      </c>
      <c r="L333" s="58" t="n">
        <f aca="false">'E4 WIN Output'!L31*$E$333</f>
        <v>0</v>
      </c>
      <c r="M333" s="58" t="n">
        <f aca="false">'E4 WIN Output'!M31*$E$333</f>
        <v>0</v>
      </c>
      <c r="N333" s="58" t="n">
        <f aca="false">'E4 WIN Output'!N31*$E$333</f>
        <v>0</v>
      </c>
      <c r="O333" s="58" t="n">
        <f aca="false">'E4 WIN Output'!O31*$E$333</f>
        <v>0</v>
      </c>
      <c r="P333" s="58" t="n">
        <f aca="false">'E4 WIN Output'!P31*$E$333</f>
        <v>0</v>
      </c>
      <c r="Q333" s="58" t="n">
        <f aca="false">'E4 WIN Output'!Q31*$E$333</f>
        <v>0</v>
      </c>
      <c r="R333" s="58" t="n">
        <f aca="false">'E4 WIN Output'!R31*$E$333</f>
        <v>0</v>
      </c>
      <c r="S333" s="58" t="n">
        <f aca="false">'E4 WIN Output'!S31*$E$333</f>
        <v>0</v>
      </c>
    </row>
    <row r="334" customFormat="false" ht="15" hidden="false" customHeight="false" outlineLevel="0" collapsed="false">
      <c r="B334" s="77" t="s">
        <v>43</v>
      </c>
      <c r="C334" s="25" t="s">
        <v>170</v>
      </c>
      <c r="E334" s="55" t="n">
        <f aca="false">'Global Inputs'!$K$93</f>
        <v>1</v>
      </c>
      <c r="F334" s="58" t="n">
        <f aca="false">'P01 CigWharf2 Output'!F31*$E$334</f>
        <v>162.65</v>
      </c>
      <c r="G334" s="58" t="n">
        <f aca="false">'P01 CigWharf2 Output'!G31*$E$334</f>
        <v>37.4095</v>
      </c>
      <c r="H334" s="58" t="n">
        <f aca="false">'P01 CigWharf2 Output'!H31*$E$334</f>
        <v>0</v>
      </c>
      <c r="I334" s="58" t="n">
        <f aca="false">'P01 CigWharf2 Output'!I31*$E$334</f>
        <v>0</v>
      </c>
      <c r="J334" s="58" t="n">
        <f aca="false">'P01 CigWharf2 Output'!J31*$E$334</f>
        <v>0</v>
      </c>
      <c r="K334" s="58" t="n">
        <f aca="false">'P01 CigWharf2 Output'!K31*$E$334</f>
        <v>0</v>
      </c>
      <c r="L334" s="58" t="n">
        <f aca="false">'P01 CigWharf2 Output'!L31*$E$334</f>
        <v>0</v>
      </c>
      <c r="M334" s="58" t="n">
        <f aca="false">'P01 CigWharf2 Output'!M31*$E$334</f>
        <v>0</v>
      </c>
      <c r="N334" s="58" t="n">
        <f aca="false">'P01 CigWharf2 Output'!N31*$E$334</f>
        <v>0</v>
      </c>
      <c r="O334" s="58" t="n">
        <f aca="false">'P01 CigWharf2 Output'!O31*$E$334</f>
        <v>0</v>
      </c>
      <c r="P334" s="58" t="n">
        <f aca="false">'P01 CigWharf2 Output'!P31*$E$334</f>
        <v>0</v>
      </c>
      <c r="Q334" s="58" t="n">
        <f aca="false">'P01 CigWharf2 Output'!Q31*$E$334</f>
        <v>0</v>
      </c>
      <c r="R334" s="58" t="n">
        <f aca="false">'P01 CigWharf2 Output'!R31*$E$334</f>
        <v>0</v>
      </c>
      <c r="S334" s="58" t="n">
        <f aca="false">'P01 CigWharf2 Output'!S31*$E$334</f>
        <v>0</v>
      </c>
    </row>
    <row r="335" customFormat="false" ht="15" hidden="false" customHeight="false" outlineLevel="0" collapsed="false">
      <c r="B335" s="77" t="s">
        <v>46</v>
      </c>
      <c r="C335" s="25" t="s">
        <v>170</v>
      </c>
      <c r="E335" s="55" t="n">
        <f aca="false">'Global Inputs'!$K$94</f>
        <v>1</v>
      </c>
      <c r="F335" s="58" t="n">
        <f aca="false">'P02 CigConveyor Output'!F31*$E$335</f>
        <v>35.783</v>
      </c>
      <c r="G335" s="58" t="n">
        <f aca="false">'P02 CigConveyor Output'!G31*$E$335</f>
        <v>87.831</v>
      </c>
      <c r="H335" s="58" t="n">
        <f aca="false">'P02 CigConveyor Output'!H31*$E$335</f>
        <v>0</v>
      </c>
      <c r="I335" s="58" t="n">
        <f aca="false">'P02 CigConveyor Output'!I31*$E$335</f>
        <v>0</v>
      </c>
      <c r="J335" s="58" t="n">
        <f aca="false">'P02 CigConveyor Output'!J31*$E$335</f>
        <v>0</v>
      </c>
      <c r="K335" s="58" t="n">
        <f aca="false">'P02 CigConveyor Output'!K31*$E$335</f>
        <v>0</v>
      </c>
      <c r="L335" s="58" t="n">
        <f aca="false">'P02 CigConveyor Output'!L31*$E$335</f>
        <v>0</v>
      </c>
      <c r="M335" s="58" t="n">
        <f aca="false">'P02 CigConveyor Output'!M31*$E$335</f>
        <v>0</v>
      </c>
      <c r="N335" s="58" t="n">
        <f aca="false">'P02 CigConveyor Output'!N31*$E$335</f>
        <v>0</v>
      </c>
      <c r="O335" s="58" t="n">
        <f aca="false">'P02 CigConveyor Output'!O31*$E$335</f>
        <v>0</v>
      </c>
      <c r="P335" s="58" t="n">
        <f aca="false">'P02 CigConveyor Output'!P31*$E$335</f>
        <v>0</v>
      </c>
      <c r="Q335" s="58" t="n">
        <f aca="false">'P02 CigConveyor Output'!Q31*$E$335</f>
        <v>0</v>
      </c>
      <c r="R335" s="58" t="n">
        <f aca="false">'P02 CigConveyor Output'!R31*$E$335</f>
        <v>0</v>
      </c>
      <c r="S335" s="58" t="n">
        <f aca="false">'P02 CigConveyor Output'!S31*$E$335</f>
        <v>0</v>
      </c>
    </row>
    <row r="336" customFormat="false" ht="15" hidden="false" customHeight="false" outlineLevel="0" collapsed="false">
      <c r="B336" s="77" t="s">
        <v>48</v>
      </c>
      <c r="C336" s="25" t="s">
        <v>170</v>
      </c>
      <c r="E336" s="55" t="n">
        <f aca="false">'Global Inputs'!$K$95</f>
        <v>1</v>
      </c>
      <c r="F336" s="58" t="n">
        <f aca="false">'P03 KBSWarehouse Output'!F31*$E$336</f>
        <v>-0</v>
      </c>
      <c r="G336" s="58" t="n">
        <f aca="false">'P03 KBSWarehouse Output'!G31*$E$336</f>
        <v>-0</v>
      </c>
      <c r="H336" s="58" t="n">
        <f aca="false">'P03 KBSWarehouse Output'!H31*$E$336</f>
        <v>-0</v>
      </c>
      <c r="I336" s="58" t="n">
        <f aca="false">'P03 KBSWarehouse Output'!I31*$E$336</f>
        <v>97.98995635</v>
      </c>
      <c r="J336" s="58" t="n">
        <f aca="false">'P03 KBSWarehouse Output'!J31*$E$336</f>
        <v>0</v>
      </c>
      <c r="K336" s="58" t="n">
        <f aca="false">'P03 KBSWarehouse Output'!K31*$E$336</f>
        <v>0</v>
      </c>
      <c r="L336" s="58" t="n">
        <f aca="false">'P03 KBSWarehouse Output'!L31*$E$336</f>
        <v>0</v>
      </c>
      <c r="M336" s="58" t="n">
        <f aca="false">'P03 KBSWarehouse Output'!M31*$E$336</f>
        <v>0</v>
      </c>
      <c r="N336" s="58" t="n">
        <f aca="false">'P03 KBSWarehouse Output'!N31*$E$336</f>
        <v>0</v>
      </c>
      <c r="O336" s="58" t="n">
        <f aca="false">'P03 KBSWarehouse Output'!O31*$E$336</f>
        <v>0</v>
      </c>
      <c r="P336" s="58" t="n">
        <f aca="false">'P03 KBSWarehouse Output'!P31*$E$336</f>
        <v>0</v>
      </c>
      <c r="Q336" s="58" t="n">
        <f aca="false">'P03 KBSWarehouse Output'!Q31*$E$336</f>
        <v>0</v>
      </c>
      <c r="R336" s="58" t="n">
        <f aca="false">'P03 KBSWarehouse Output'!R31*$E$336</f>
        <v>0</v>
      </c>
      <c r="S336" s="58" t="n">
        <f aca="false">'P03 KBSWarehouse Output'!S31*$E$336</f>
        <v>0</v>
      </c>
    </row>
    <row r="337" customFormat="false" ht="15" hidden="false" customHeight="false" outlineLevel="0" collapsed="false">
      <c r="B337" s="77" t="s">
        <v>51</v>
      </c>
      <c r="C337" s="25" t="s">
        <v>170</v>
      </c>
      <c r="E337" s="55" t="n">
        <f aca="false">'Global Inputs'!$K$96</f>
        <v>1</v>
      </c>
      <c r="F337" s="58" t="n">
        <f aca="false">'P04 TTLSilo Output'!F31*$E$337</f>
        <v>-0</v>
      </c>
      <c r="G337" s="58" t="n">
        <f aca="false">'P04 TTLSilo Output'!G31*$E$337</f>
        <v>-0</v>
      </c>
      <c r="H337" s="58" t="n">
        <f aca="false">'P04 TTLSilo Output'!H31*$E$337</f>
        <v>-0</v>
      </c>
      <c r="I337" s="58" t="n">
        <f aca="false">'P04 TTLSilo Output'!I31*$E$337</f>
        <v>61.1938095</v>
      </c>
      <c r="J337" s="58" t="n">
        <f aca="false">'P04 TTLSilo Output'!J31*$E$337</f>
        <v>0</v>
      </c>
      <c r="K337" s="58" t="n">
        <f aca="false">'P04 TTLSilo Output'!K31*$E$337</f>
        <v>0</v>
      </c>
      <c r="L337" s="58" t="n">
        <f aca="false">'P04 TTLSilo Output'!L31*$E$337</f>
        <v>0</v>
      </c>
      <c r="M337" s="58" t="n">
        <f aca="false">'P04 TTLSilo Output'!M31*$E$337</f>
        <v>0</v>
      </c>
      <c r="N337" s="58" t="n">
        <f aca="false">'P04 TTLSilo Output'!N31*$E$337</f>
        <v>0</v>
      </c>
      <c r="O337" s="58" t="n">
        <f aca="false">'P04 TTLSilo Output'!O31*$E$337</f>
        <v>0</v>
      </c>
      <c r="P337" s="58" t="n">
        <f aca="false">'P04 TTLSilo Output'!P31*$E$337</f>
        <v>0</v>
      </c>
      <c r="Q337" s="58" t="n">
        <f aca="false">'P04 TTLSilo Output'!Q31*$E$337</f>
        <v>0</v>
      </c>
      <c r="R337" s="58" t="n">
        <f aca="false">'P04 TTLSilo Output'!R31*$E$337</f>
        <v>0</v>
      </c>
      <c r="S337" s="58" t="n">
        <f aca="false">'P04 TTLSilo Output'!S31*$E$337</f>
        <v>0</v>
      </c>
    </row>
    <row r="338" customFormat="false" ht="15" hidden="false" customHeight="false" outlineLevel="0" collapsed="false">
      <c r="B338" s="77" t="s">
        <v>54</v>
      </c>
      <c r="C338" s="25" t="s">
        <v>170</v>
      </c>
      <c r="E338" s="55" t="n">
        <f aca="false">'Global Inputs'!$K$97</f>
        <v>1</v>
      </c>
      <c r="F338" s="58" t="n">
        <f aca="false">'P05 Dumai Output'!F31*$E$338</f>
        <v>-0</v>
      </c>
      <c r="G338" s="58" t="n">
        <f aca="false">'P05 Dumai Output'!G31*$E$338</f>
        <v>-0</v>
      </c>
      <c r="H338" s="58" t="n">
        <f aca="false">'P05 Dumai Output'!H31*$E$338</f>
        <v>-0</v>
      </c>
      <c r="I338" s="58" t="n">
        <f aca="false">'P05 Dumai Output'!I31*$E$338</f>
        <v>89.4589934275323</v>
      </c>
      <c r="J338" s="58" t="n">
        <f aca="false">'P05 Dumai Output'!J31*$E$338</f>
        <v>0</v>
      </c>
      <c r="K338" s="58" t="n">
        <f aca="false">'P05 Dumai Output'!K31*$E$338</f>
        <v>0</v>
      </c>
      <c r="L338" s="58" t="n">
        <f aca="false">'P05 Dumai Output'!L31*$E$338</f>
        <v>0</v>
      </c>
      <c r="M338" s="58" t="n">
        <f aca="false">'P05 Dumai Output'!M31*$E$338</f>
        <v>0</v>
      </c>
      <c r="N338" s="58" t="n">
        <f aca="false">'P05 Dumai Output'!N31*$E$338</f>
        <v>0</v>
      </c>
      <c r="O338" s="58" t="n">
        <f aca="false">'P05 Dumai Output'!O31*$E$338</f>
        <v>0</v>
      </c>
      <c r="P338" s="58" t="n">
        <f aca="false">'P05 Dumai Output'!P31*$E$338</f>
        <v>0</v>
      </c>
      <c r="Q338" s="58" t="n">
        <f aca="false">'P05 Dumai Output'!Q31*$E$338</f>
        <v>0</v>
      </c>
      <c r="R338" s="58" t="n">
        <f aca="false">'P05 Dumai Output'!R31*$E$338</f>
        <v>0</v>
      </c>
      <c r="S338" s="58" t="n">
        <f aca="false">'P05 Dumai Output'!S31*$E$338</f>
        <v>0</v>
      </c>
    </row>
    <row r="339" customFormat="false" ht="15" hidden="false" customHeight="false" outlineLevel="0" collapsed="false">
      <c r="B339" s="77" t="s">
        <v>57</v>
      </c>
      <c r="C339" s="25" t="s">
        <v>170</v>
      </c>
      <c r="E339" s="55" t="n">
        <f aca="false">'Global Inputs'!$K$98</f>
        <v>1</v>
      </c>
      <c r="F339" s="58" t="n">
        <f aca="false">'P06 Ciwandan Output'!F31*$E$339</f>
        <v>-0</v>
      </c>
      <c r="G339" s="58" t="n">
        <f aca="false">'P06 Ciwandan Output'!G31*$E$339</f>
        <v>-0</v>
      </c>
      <c r="H339" s="58" t="n">
        <f aca="false">'P06 Ciwandan Output'!H31*$E$339</f>
        <v>-0</v>
      </c>
      <c r="I339" s="58" t="n">
        <f aca="false">'P06 Ciwandan Output'!I31*$E$339</f>
        <v>40.8625</v>
      </c>
      <c r="J339" s="58" t="n">
        <f aca="false">'P06 Ciwandan Output'!J31*$E$339</f>
        <v>40.8625</v>
      </c>
      <c r="K339" s="58" t="n">
        <f aca="false">'P06 Ciwandan Output'!K31*$E$339</f>
        <v>0</v>
      </c>
      <c r="L339" s="58" t="n">
        <f aca="false">'P06 Ciwandan Output'!L31*$E$339</f>
        <v>0</v>
      </c>
      <c r="M339" s="58" t="n">
        <f aca="false">'P06 Ciwandan Output'!M31*$E$339</f>
        <v>0</v>
      </c>
      <c r="N339" s="58" t="n">
        <f aca="false">'P06 Ciwandan Output'!N31*$E$339</f>
        <v>0</v>
      </c>
      <c r="O339" s="58" t="n">
        <f aca="false">'P06 Ciwandan Output'!O31*$E$339</f>
        <v>0</v>
      </c>
      <c r="P339" s="58" t="n">
        <f aca="false">'P06 Ciwandan Output'!P31*$E$339</f>
        <v>0</v>
      </c>
      <c r="Q339" s="58" t="n">
        <f aca="false">'P06 Ciwandan Output'!Q31*$E$339</f>
        <v>0</v>
      </c>
      <c r="R339" s="58" t="n">
        <f aca="false">'P06 Ciwandan Output'!R31*$E$339</f>
        <v>0</v>
      </c>
      <c r="S339" s="58" t="n">
        <f aca="false">'P06 Ciwandan Output'!S31*$E$339</f>
        <v>0</v>
      </c>
    </row>
    <row r="340" customFormat="false" ht="15" hidden="false" customHeight="false" outlineLevel="0" collapsed="false">
      <c r="B340" s="77" t="s">
        <v>60</v>
      </c>
      <c r="C340" s="25" t="s">
        <v>170</v>
      </c>
      <c r="E340" s="55" t="n">
        <f aca="false">'Global Inputs'!$K$99</f>
        <v>1</v>
      </c>
      <c r="F340" s="58" t="n">
        <f aca="false">'P08 DMSTrucking Output'!F31*$E$340</f>
        <v>-0</v>
      </c>
      <c r="G340" s="58" t="n">
        <f aca="false">'P08 DMSTrucking Output'!G31*$E$340</f>
        <v>-0</v>
      </c>
      <c r="H340" s="58" t="n">
        <f aca="false">'P08 DMSTrucking Output'!H31*$E$340</f>
        <v>-0</v>
      </c>
      <c r="I340" s="58" t="n">
        <f aca="false">'P08 DMSTrucking Output'!I31*$E$340</f>
        <v>-0</v>
      </c>
      <c r="J340" s="58" t="n">
        <f aca="false">'P08 DMSTrucking Output'!J31*$E$340</f>
        <v>0</v>
      </c>
      <c r="K340" s="58" t="n">
        <f aca="false">'P08 DMSTrucking Output'!K31*$E$340</f>
        <v>0</v>
      </c>
      <c r="L340" s="58" t="n">
        <f aca="false">'P08 DMSTrucking Output'!L31*$E$340</f>
        <v>0</v>
      </c>
      <c r="M340" s="58" t="n">
        <f aca="false">'P08 DMSTrucking Output'!M31*$E$340</f>
        <v>0</v>
      </c>
      <c r="N340" s="58" t="n">
        <f aca="false">'P08 DMSTrucking Output'!N31*$E$340</f>
        <v>0</v>
      </c>
      <c r="O340" s="58" t="n">
        <f aca="false">'P08 DMSTrucking Output'!O31*$E$340</f>
        <v>0</v>
      </c>
      <c r="P340" s="58" t="n">
        <f aca="false">'P08 DMSTrucking Output'!P31*$E$340</f>
        <v>0</v>
      </c>
      <c r="Q340" s="58" t="n">
        <f aca="false">'P08 DMSTrucking Output'!Q31*$E$340</f>
        <v>0</v>
      </c>
      <c r="R340" s="58" t="n">
        <f aca="false">'P08 DMSTrucking Output'!R31*$E$340</f>
        <v>0</v>
      </c>
      <c r="S340" s="58" t="n">
        <f aca="false">'P08 DMSTrucking Output'!S31*$E$340</f>
        <v>0</v>
      </c>
    </row>
    <row r="341" customFormat="false" ht="15" hidden="false" customHeight="false" outlineLevel="0" collapsed="false">
      <c r="B341" s="77" t="s">
        <v>63</v>
      </c>
      <c r="C341" s="25" t="s">
        <v>170</v>
      </c>
      <c r="E341" s="55" t="n">
        <f aca="false">'Global Inputs'!$K$100</f>
        <v>0</v>
      </c>
      <c r="F341" s="58" t="n">
        <f aca="false">'P12 BUMNOps Output'!F31*$E$341</f>
        <v>-0</v>
      </c>
      <c r="G341" s="58" t="n">
        <f aca="false">'P12 BUMNOps Output'!G31*$E$341</f>
        <v>-0</v>
      </c>
      <c r="H341" s="58" t="n">
        <f aca="false">'P12 BUMNOps Output'!H31*$E$341</f>
        <v>-0</v>
      </c>
      <c r="I341" s="58" t="n">
        <f aca="false">'P12 BUMNOps Output'!I31*$E$341</f>
        <v>0</v>
      </c>
      <c r="J341" s="58" t="n">
        <f aca="false">'P12 BUMNOps Output'!J31*$E$341</f>
        <v>0</v>
      </c>
      <c r="K341" s="58" t="n">
        <f aca="false">'P12 BUMNOps Output'!K31*$E$341</f>
        <v>0</v>
      </c>
      <c r="L341" s="58" t="n">
        <f aca="false">'P12 BUMNOps Output'!L31*$E$341</f>
        <v>0</v>
      </c>
      <c r="M341" s="58" t="n">
        <f aca="false">'P12 BUMNOps Output'!M31*$E$341</f>
        <v>0</v>
      </c>
      <c r="N341" s="58" t="n">
        <f aca="false">'P12 BUMNOps Output'!N31*$E$341</f>
        <v>0</v>
      </c>
      <c r="O341" s="58" t="n">
        <f aca="false">'P12 BUMNOps Output'!O31*$E$341</f>
        <v>0</v>
      </c>
      <c r="P341" s="58" t="n">
        <f aca="false">'P12 BUMNOps Output'!P31*$E$341</f>
        <v>0</v>
      </c>
      <c r="Q341" s="58" t="n">
        <f aca="false">'P12 BUMNOps Output'!Q31*$E$341</f>
        <v>0</v>
      </c>
      <c r="R341" s="58" t="n">
        <f aca="false">'P12 BUMNOps Output'!R31*$E$341</f>
        <v>0</v>
      </c>
      <c r="S341" s="58" t="n">
        <f aca="false">'P12 BUMNOps Output'!S31*$E$341</f>
        <v>0</v>
      </c>
    </row>
    <row r="342" customFormat="false" ht="15" hidden="false" customHeight="false" outlineLevel="0" collapsed="false">
      <c r="B342" s="77" t="s">
        <v>66</v>
      </c>
      <c r="C342" s="25" t="s">
        <v>170</v>
      </c>
      <c r="E342" s="55" t="n">
        <f aca="false">'Global Inputs'!$K$101</f>
        <v>0</v>
      </c>
      <c r="F342" s="58" t="n">
        <f aca="false">'P15 TBM Output'!F31*$E$342</f>
        <v>-0</v>
      </c>
      <c r="G342" s="58" t="n">
        <f aca="false">'P15 TBM Output'!G31*$E$342</f>
        <v>-0</v>
      </c>
      <c r="H342" s="58" t="n">
        <f aca="false">'P15 TBM Output'!H31*$E$342</f>
        <v>0</v>
      </c>
      <c r="I342" s="58" t="n">
        <f aca="false">'P15 TBM Output'!I31*$E$342</f>
        <v>0</v>
      </c>
      <c r="J342" s="58" t="n">
        <f aca="false">'P15 TBM Output'!J31*$E$342</f>
        <v>-0</v>
      </c>
      <c r="K342" s="58" t="n">
        <f aca="false">'P15 TBM Output'!K31*$E$342</f>
        <v>-0</v>
      </c>
      <c r="L342" s="58" t="n">
        <f aca="false">'P15 TBM Output'!L31*$E$342</f>
        <v>0</v>
      </c>
      <c r="M342" s="58" t="n">
        <f aca="false">'P15 TBM Output'!M31*$E$342</f>
        <v>0</v>
      </c>
      <c r="N342" s="58" t="n">
        <f aca="false">'P15 TBM Output'!N31*$E$342</f>
        <v>0</v>
      </c>
      <c r="O342" s="58" t="n">
        <f aca="false">'P15 TBM Output'!O31*$E$342</f>
        <v>0</v>
      </c>
      <c r="P342" s="58" t="n">
        <f aca="false">'P15 TBM Output'!P31*$E$342</f>
        <v>0</v>
      </c>
      <c r="Q342" s="58" t="n">
        <f aca="false">'P15 TBM Output'!Q31*$E$342</f>
        <v>0</v>
      </c>
      <c r="R342" s="58" t="n">
        <f aca="false">'P15 TBM Output'!R31*$E$342</f>
        <v>0</v>
      </c>
      <c r="S342" s="58" t="n">
        <f aca="false">'P15 TBM Output'!S31*$E$342</f>
        <v>0</v>
      </c>
    </row>
    <row r="343" customFormat="false" ht="15" hidden="false" customHeight="false" outlineLevel="0" collapsed="false">
      <c r="B343" s="77" t="s">
        <v>69</v>
      </c>
      <c r="C343" s="25" t="s">
        <v>170</v>
      </c>
      <c r="E343" s="55" t="n">
        <f aca="false">'Global Inputs'!$K$102</f>
        <v>0</v>
      </c>
      <c r="F343" s="58" t="n">
        <f aca="false">'P19 Badas Output'!F31*$E$343</f>
        <v>-0</v>
      </c>
      <c r="G343" s="58" t="n">
        <f aca="false">'P19 Badas Output'!G31*$E$343</f>
        <v>-0</v>
      </c>
      <c r="H343" s="58" t="n">
        <f aca="false">'P19 Badas Output'!H31*$E$343</f>
        <v>-0</v>
      </c>
      <c r="I343" s="58" t="n">
        <f aca="false">'P19 Badas Output'!I31*$E$343</f>
        <v>-0</v>
      </c>
      <c r="J343" s="58" t="n">
        <f aca="false">'P19 Badas Output'!J31*$E$343</f>
        <v>0</v>
      </c>
      <c r="K343" s="58" t="n">
        <f aca="false">'P19 Badas Output'!K31*$E$343</f>
        <v>0</v>
      </c>
      <c r="L343" s="58" t="n">
        <f aca="false">'P19 Badas Output'!L31*$E$343</f>
        <v>0</v>
      </c>
      <c r="M343" s="58" t="n">
        <f aca="false">'P19 Badas Output'!M31*$E$343</f>
        <v>0</v>
      </c>
      <c r="N343" s="58" t="n">
        <f aca="false">'P19 Badas Output'!N31*$E$343</f>
        <v>0</v>
      </c>
      <c r="O343" s="58" t="n">
        <f aca="false">'P19 Badas Output'!O31*$E$343</f>
        <v>0</v>
      </c>
      <c r="P343" s="58" t="n">
        <f aca="false">'P19 Badas Output'!P31*$E$343</f>
        <v>0</v>
      </c>
      <c r="Q343" s="58" t="n">
        <f aca="false">'P19 Badas Output'!Q31*$E$343</f>
        <v>0</v>
      </c>
      <c r="R343" s="58" t="n">
        <f aca="false">'P19 Badas Output'!R31*$E$343</f>
        <v>0</v>
      </c>
      <c r="S343" s="58" t="n">
        <f aca="false">'P19 Badas Output'!S31*$E$343</f>
        <v>0</v>
      </c>
    </row>
    <row r="344" customFormat="false" ht="15" hidden="false" customHeight="false" outlineLevel="0" collapsed="false">
      <c r="B344" s="69" t="s">
        <v>473</v>
      </c>
      <c r="C344" s="25" t="s">
        <v>170</v>
      </c>
      <c r="E344" s="70" t="n">
        <f aca="false">SUM(F344:S344)</f>
        <v>838.257944377476</v>
      </c>
      <c r="F344" s="68" t="n">
        <f aca="false">F330+F331+F332+F333+F334+F335+F336+F337+F338+F339+F340+F341+F342+F343</f>
        <v>198.433</v>
      </c>
      <c r="G344" s="68" t="n">
        <f aca="false">G330+G331+G332+G333+G334+G335+G336+G337+G338+G339+G340+G341+G342+G343</f>
        <v>125.2405</v>
      </c>
      <c r="H344" s="68" t="n">
        <f aca="false">H330+H331+H332+H333+H334+H335+H336+H337+H338+H339+H340+H341+H342+H343</f>
        <v>0</v>
      </c>
      <c r="I344" s="68" t="n">
        <f aca="false">I330+I331+I332+I333+I334+I335+I336+I337+I338+I339+I340+I341+I342+I343</f>
        <v>385.739251933377</v>
      </c>
      <c r="J344" s="68" t="n">
        <f aca="false">J330+J331+J332+J333+J334+J335+J336+J337+J338+J339+J340+J341+J342+J343</f>
        <v>128.845192444099</v>
      </c>
      <c r="K344" s="68" t="n">
        <f aca="false">K330+K331+K332+K333+K334+K335+K336+K337+K338+K339+K340+K341+K342+K343</f>
        <v>0</v>
      </c>
      <c r="L344" s="68" t="n">
        <f aca="false">L330+L331+L332+L333+L334+L335+L336+L337+L338+L339+L340+L341+L342+L343</f>
        <v>0</v>
      </c>
      <c r="M344" s="68" t="n">
        <f aca="false">M330+M331+M332+M333+M334+M335+M336+M337+M338+M339+M340+M341+M342+M343</f>
        <v>0</v>
      </c>
      <c r="N344" s="68" t="n">
        <f aca="false">N330+N331+N332+N333+N334+N335+N336+N337+N338+N339+N340+N341+N342+N343</f>
        <v>0</v>
      </c>
      <c r="O344" s="68" t="n">
        <f aca="false">O330+O331+O332+O333+O334+O335+O336+O337+O338+O339+O340+O341+O342+O343</f>
        <v>0</v>
      </c>
      <c r="P344" s="68" t="n">
        <f aca="false">P330+P331+P332+P333+P334+P335+P336+P337+P338+P339+P340+P341+P342+P343</f>
        <v>0</v>
      </c>
      <c r="Q344" s="68" t="n">
        <f aca="false">Q330+Q331+Q332+Q333+Q334+Q335+Q336+Q337+Q338+Q339+Q340+Q341+Q342+Q343</f>
        <v>0</v>
      </c>
      <c r="R344" s="68" t="n">
        <f aca="false">R330+R331+R332+R333+R334+R335+R336+R337+R338+R339+R340+R341+R342+R343</f>
        <v>0</v>
      </c>
      <c r="S344" s="68" t="n">
        <f aca="false">S330+S331+S332+S333+S334+S335+S336+S337+S338+S339+S340+S341+S342+S343</f>
        <v>0</v>
      </c>
    </row>
  </sheetData>
  <hyperlinks>
    <hyperlink ref="C3" r:id="rId1" location="'Navigation'!A1" display="Navigation"/>
    <hyperlink ref="D3" r:id="rId2" location="'Global%20Inputs'!A1" display="Global Inputs"/>
    <hyperlink ref="E3" r:id="rId3" location="'Project%20Summary'!A1" display="Project Summary"/>
    <hyperlink ref="F3" r:id="rId4" location="'Funding%20Requirement'!A1" display="Funding"/>
    <hyperlink ref="G3" r:id="rId5" location="'FSL%20Financials%20—%20Without%20BUMN'!A1" display="FSL w/o BUMN"/>
    <hyperlink ref="H3" r:id="rId6" location="'FSL%20Financials%20—%20With%20BUMN'!A1" display="FSL w/ BUMN"/>
    <hyperlink ref="I3" r:id="rId7" location="'Valuation%20—%20Without%20BUMN'!A1" display="Val w/o BUMN"/>
    <hyperlink ref="J3" r:id="rId8" location="'Valuation%20—%20With%20BUMN'!A1" display="Val w/ BUMN"/>
    <hyperlink ref="K3" r:id="rId9" location="'Checks'!A1" display="Checks"/>
    <hyperlink ref="L3" r:id="rId10" location="'Model%20Flow'!A1" display="Model Flow"/>
  </hyperlink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B9BD5"/>
    <pageSetUpPr fitToPage="true"/>
  </sheetPr>
  <dimension ref="B1:U34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5" ySplit="9" topLeftCell="F10" activePane="bottomRight" state="frozen"/>
      <selection pane="topLeft" activeCell="A1" activeCellId="0" sqref="A1"/>
      <selection pane="topRight" activeCell="F1" activeCellId="0" sqref="F1"/>
      <selection pane="bottomLeft" activeCell="A10" activeCellId="0" sqref="A10"/>
      <selection pane="bottomRigh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66"/>
    <col collapsed="false" customWidth="true" hidden="false" outlineLevel="0" max="3" min="3" style="0" width="11"/>
    <col collapsed="false" customWidth="true" hidden="false" outlineLevel="0" max="4" min="4" style="0" width="12"/>
    <col collapsed="false" customWidth="true" hidden="false" outlineLevel="0" max="5" min="5" style="0" width="13"/>
    <col collapsed="false" customWidth="true" hidden="false" outlineLevel="0" max="19" min="6" style="0" width="11.5"/>
    <col collapsed="false" customWidth="true" hidden="false" outlineLevel="0" max="20" min="20" style="0" width="40"/>
    <col collapsed="false" customWidth="true" hidden="false" outlineLevel="0" max="21" min="21" style="0" width="48"/>
  </cols>
  <sheetData>
    <row r="1" customFormat="false" ht="21.75" hidden="false" customHeight="true" outlineLevel="0" collapsed="false">
      <c r="B1" s="1" t="s">
        <v>474</v>
      </c>
    </row>
    <row r="2" customFormat="false" ht="15" hidden="false" customHeight="false" outlineLevel="0" collapsed="false">
      <c r="B2" s="2" t="s">
        <v>475</v>
      </c>
    </row>
    <row r="3" customFormat="false" ht="15" hidden="false" customHeight="false" outlineLevel="0" collapsed="false">
      <c r="B3" s="5" t="s">
        <v>112</v>
      </c>
      <c r="C3" s="17" t="s">
        <v>113</v>
      </c>
      <c r="D3" s="17" t="s">
        <v>5</v>
      </c>
      <c r="E3" s="17" t="s">
        <v>7</v>
      </c>
      <c r="F3" s="17" t="s">
        <v>114</v>
      </c>
      <c r="G3" s="17" t="s">
        <v>115</v>
      </c>
      <c r="H3" s="17" t="s">
        <v>116</v>
      </c>
      <c r="I3" s="17" t="s">
        <v>117</v>
      </c>
      <c r="J3" s="17" t="s">
        <v>118</v>
      </c>
      <c r="K3" s="17" t="s">
        <v>21</v>
      </c>
      <c r="L3" s="17" t="s">
        <v>3</v>
      </c>
    </row>
    <row r="5" customFormat="false" ht="15" hidden="false" customHeight="false" outlineLevel="0" collapsed="false">
      <c r="B5" s="6" t="s">
        <v>119</v>
      </c>
      <c r="C5" s="6" t="s">
        <v>120</v>
      </c>
      <c r="D5" s="6" t="s">
        <v>121</v>
      </c>
      <c r="E5" s="6" t="s">
        <v>380</v>
      </c>
      <c r="F5" s="18" t="n">
        <f aca="false">'Global Inputs'!F$5</f>
        <v>2023</v>
      </c>
      <c r="G5" s="18" t="n">
        <f aca="false">'Global Inputs'!G$5</f>
        <v>2024</v>
      </c>
      <c r="H5" s="18" t="n">
        <f aca="false">'Global Inputs'!H$5</f>
        <v>2025</v>
      </c>
      <c r="I5" s="18" t="n">
        <f aca="false">'Global Inputs'!I$5</f>
        <v>2026</v>
      </c>
      <c r="J5" s="18" t="n">
        <f aca="false">'Global Inputs'!J$5</f>
        <v>2027</v>
      </c>
      <c r="K5" s="18" t="n">
        <f aca="false">'Global Inputs'!K$5</f>
        <v>2028</v>
      </c>
      <c r="L5" s="18" t="n">
        <f aca="false">'Global Inputs'!L$5</f>
        <v>2029</v>
      </c>
      <c r="M5" s="18" t="n">
        <f aca="false">'Global Inputs'!M$5</f>
        <v>2030</v>
      </c>
      <c r="N5" s="18" t="n">
        <f aca="false">'Global Inputs'!N$5</f>
        <v>2031</v>
      </c>
      <c r="O5" s="18" t="n">
        <f aca="false">'Global Inputs'!O$5</f>
        <v>2032</v>
      </c>
      <c r="P5" s="18" t="n">
        <f aca="false">'Global Inputs'!P$5</f>
        <v>2033</v>
      </c>
      <c r="Q5" s="18" t="n">
        <f aca="false">'Global Inputs'!Q$5</f>
        <v>2034</v>
      </c>
      <c r="R5" s="18" t="n">
        <f aca="false">'Global Inputs'!R$5</f>
        <v>2035</v>
      </c>
      <c r="S5" s="18" t="n">
        <f aca="false">'Global Inputs'!S$5</f>
        <v>2036</v>
      </c>
      <c r="T5" s="6" t="s">
        <v>123</v>
      </c>
      <c r="U5" s="6" t="s">
        <v>124</v>
      </c>
    </row>
    <row r="6" customFormat="false" ht="15" hidden="false" customHeight="false" outlineLevel="0" collapsed="false">
      <c r="B6" s="19" t="s">
        <v>125</v>
      </c>
      <c r="F6" s="20" t="n">
        <f aca="false">'Global Inputs'!F$6</f>
        <v>45291</v>
      </c>
      <c r="G6" s="20" t="n">
        <f aca="false">'Global Inputs'!G$6</f>
        <v>45657</v>
      </c>
      <c r="H6" s="20" t="n">
        <f aca="false">'Global Inputs'!H$6</f>
        <v>46022</v>
      </c>
      <c r="I6" s="20" t="n">
        <f aca="false">'Global Inputs'!I$6</f>
        <v>46387</v>
      </c>
      <c r="J6" s="20" t="n">
        <f aca="false">'Global Inputs'!J$6</f>
        <v>46752</v>
      </c>
      <c r="K6" s="20" t="n">
        <f aca="false">'Global Inputs'!K$6</f>
        <v>47118</v>
      </c>
      <c r="L6" s="20" t="n">
        <f aca="false">'Global Inputs'!L$6</f>
        <v>47483</v>
      </c>
      <c r="M6" s="20" t="n">
        <f aca="false">'Global Inputs'!M$6</f>
        <v>47848</v>
      </c>
      <c r="N6" s="20" t="n">
        <f aca="false">'Global Inputs'!N$6</f>
        <v>48213</v>
      </c>
      <c r="O6" s="20" t="n">
        <f aca="false">'Global Inputs'!O$6</f>
        <v>48579</v>
      </c>
      <c r="P6" s="20" t="n">
        <f aca="false">'Global Inputs'!P$6</f>
        <v>48944</v>
      </c>
      <c r="Q6" s="20" t="n">
        <f aca="false">'Global Inputs'!Q$6</f>
        <v>49309</v>
      </c>
      <c r="R6" s="20" t="n">
        <f aca="false">'Global Inputs'!R$6</f>
        <v>49674</v>
      </c>
      <c r="S6" s="20" t="n">
        <f aca="false">'Global Inputs'!S$6</f>
        <v>50040</v>
      </c>
    </row>
    <row r="7" customFormat="false" ht="15" hidden="false" customHeight="false" outlineLevel="0" collapsed="false">
      <c r="B7" s="19" t="s">
        <v>126</v>
      </c>
      <c r="F7" s="21" t="n">
        <f aca="false">'Global Inputs'!F$7</f>
        <v>365</v>
      </c>
      <c r="G7" s="21" t="n">
        <f aca="false">'Global Inputs'!G$7</f>
        <v>366</v>
      </c>
      <c r="H7" s="21" t="n">
        <f aca="false">'Global Inputs'!H$7</f>
        <v>365</v>
      </c>
      <c r="I7" s="21" t="n">
        <f aca="false">'Global Inputs'!I$7</f>
        <v>365</v>
      </c>
      <c r="J7" s="21" t="n">
        <f aca="false">'Global Inputs'!J$7</f>
        <v>365</v>
      </c>
      <c r="K7" s="21" t="n">
        <f aca="false">'Global Inputs'!K$7</f>
        <v>366</v>
      </c>
      <c r="L7" s="21" t="n">
        <f aca="false">'Global Inputs'!L$7</f>
        <v>365</v>
      </c>
      <c r="M7" s="21" t="n">
        <f aca="false">'Global Inputs'!M$7</f>
        <v>365</v>
      </c>
      <c r="N7" s="21" t="n">
        <f aca="false">'Global Inputs'!N$7</f>
        <v>365</v>
      </c>
      <c r="O7" s="21" t="n">
        <f aca="false">'Global Inputs'!O$7</f>
        <v>366</v>
      </c>
      <c r="P7" s="21" t="n">
        <f aca="false">'Global Inputs'!P$7</f>
        <v>365</v>
      </c>
      <c r="Q7" s="21" t="n">
        <f aca="false">'Global Inputs'!Q$7</f>
        <v>365</v>
      </c>
      <c r="R7" s="21" t="n">
        <f aca="false">'Global Inputs'!R$7</f>
        <v>365</v>
      </c>
      <c r="S7" s="21" t="n">
        <f aca="false">'Global Inputs'!S$7</f>
        <v>366</v>
      </c>
    </row>
    <row r="8" customFormat="false" ht="15" hidden="false" customHeight="false" outlineLevel="0" collapsed="false">
      <c r="B8" s="19" t="s">
        <v>127</v>
      </c>
      <c r="F8" s="21" t="n">
        <f aca="false">'Global Inputs'!F$8</f>
        <v>0</v>
      </c>
      <c r="G8" s="21" t="n">
        <f aca="false">'Global Inputs'!G$8</f>
        <v>1</v>
      </c>
      <c r="H8" s="21" t="n">
        <f aca="false">'Global Inputs'!H$8</f>
        <v>1</v>
      </c>
      <c r="I8" s="21" t="n">
        <f aca="false">'Global Inputs'!I$8</f>
        <v>1</v>
      </c>
      <c r="J8" s="21" t="n">
        <f aca="false">'Global Inputs'!J$8</f>
        <v>1</v>
      </c>
      <c r="K8" s="21" t="n">
        <f aca="false">'Global Inputs'!K$8</f>
        <v>1</v>
      </c>
      <c r="L8" s="21" t="n">
        <f aca="false">'Global Inputs'!L$8</f>
        <v>1</v>
      </c>
      <c r="M8" s="21" t="n">
        <f aca="false">'Global Inputs'!M$8</f>
        <v>1</v>
      </c>
      <c r="N8" s="21" t="n">
        <f aca="false">'Global Inputs'!N$8</f>
        <v>1</v>
      </c>
      <c r="O8" s="21" t="n">
        <f aca="false">'Global Inputs'!O$8</f>
        <v>1</v>
      </c>
      <c r="P8" s="21" t="n">
        <f aca="false">'Global Inputs'!P$8</f>
        <v>1</v>
      </c>
      <c r="Q8" s="21" t="n">
        <f aca="false">'Global Inputs'!Q$8</f>
        <v>1</v>
      </c>
      <c r="R8" s="21" t="n">
        <f aca="false">'Global Inputs'!R$8</f>
        <v>1</v>
      </c>
      <c r="S8" s="21" t="n">
        <f aca="false">'Global Inputs'!S$8</f>
        <v>1</v>
      </c>
    </row>
    <row r="10" customFormat="false" ht="15" hidden="false" customHeight="false" outlineLevel="0" collapsed="false">
      <c r="B10" s="22" t="s">
        <v>476</v>
      </c>
      <c r="C10" s="23"/>
      <c r="D10" s="23"/>
      <c r="E10" s="23"/>
      <c r="F10" s="23"/>
      <c r="G10" s="23"/>
      <c r="H10" s="23"/>
      <c r="I10" s="23"/>
      <c r="J10" s="23"/>
      <c r="K10" s="23"/>
      <c r="L10" s="23"/>
      <c r="M10" s="23"/>
      <c r="N10" s="23"/>
      <c r="O10" s="23"/>
      <c r="P10" s="23"/>
      <c r="Q10" s="23"/>
      <c r="R10" s="23"/>
      <c r="S10" s="23"/>
    </row>
    <row r="11" customFormat="false" ht="15" hidden="false" customHeight="false" outlineLevel="0" collapsed="false">
      <c r="B11" s="69" t="s">
        <v>382</v>
      </c>
      <c r="E11" s="24" t="s">
        <v>477</v>
      </c>
    </row>
    <row r="12" customFormat="false" ht="15" hidden="false" customHeight="false" outlineLevel="0" collapsed="false">
      <c r="B12" s="24" t="s">
        <v>384</v>
      </c>
      <c r="C12" s="25" t="s">
        <v>385</v>
      </c>
      <c r="E12" s="29" t="n">
        <f aca="false">'Global Inputs'!$L$89+'Global Inputs'!$L$90+'Global Inputs'!$L$91+'Global Inputs'!$L$92+'Global Inputs'!$L$93+'Global Inputs'!$L$94+'Global Inputs'!$L$95+'Global Inputs'!$L$96+'Global Inputs'!$L$97+'Global Inputs'!$L$98+'Global Inputs'!$L$99+'Global Inputs'!$L$100+'Global Inputs'!$L$101+'Global Inputs'!$L$102</f>
        <v>12</v>
      </c>
    </row>
    <row r="13" customFormat="false" ht="15" hidden="false" customHeight="false" outlineLevel="0" collapsed="false">
      <c r="B13" s="24" t="s">
        <v>386</v>
      </c>
      <c r="E13" s="24" t="s">
        <v>478</v>
      </c>
    </row>
    <row r="14" customFormat="false" ht="15" hidden="false" customHeight="false" outlineLevel="0" collapsed="false">
      <c r="B14" s="24" t="s">
        <v>388</v>
      </c>
      <c r="C14" s="25" t="s">
        <v>180</v>
      </c>
      <c r="E14" s="29" t="n">
        <f aca="false">IF('Global Inputs'!$E$36=2,1,0)</f>
        <v>0</v>
      </c>
    </row>
    <row r="15" customFormat="false" ht="15" hidden="false" customHeight="false" outlineLevel="0" collapsed="false">
      <c r="B15" s="5" t="s">
        <v>389</v>
      </c>
    </row>
    <row r="17" customFormat="false" ht="15" hidden="false" customHeight="false" outlineLevel="0" collapsed="false">
      <c r="B17" s="22" t="s">
        <v>390</v>
      </c>
      <c r="C17" s="23"/>
      <c r="D17" s="23"/>
      <c r="E17" s="23"/>
      <c r="F17" s="23"/>
      <c r="G17" s="23"/>
      <c r="H17" s="23"/>
      <c r="I17" s="23"/>
      <c r="J17" s="23"/>
      <c r="K17" s="23"/>
      <c r="L17" s="23"/>
      <c r="M17" s="23"/>
      <c r="N17" s="23"/>
      <c r="O17" s="23"/>
      <c r="P17" s="23"/>
      <c r="Q17" s="23"/>
      <c r="R17" s="23"/>
      <c r="S17" s="23"/>
    </row>
    <row r="18" customFormat="false" ht="15" hidden="false" customHeight="false" outlineLevel="0" collapsed="false">
      <c r="B18" s="24" t="s">
        <v>345</v>
      </c>
      <c r="C18" s="25" t="s">
        <v>170</v>
      </c>
      <c r="E18" s="47" t="n">
        <f aca="false">SUM(F18:S18)</f>
        <v>11598.728293575</v>
      </c>
      <c r="F18" s="47" t="n">
        <f aca="false">F104</f>
        <v>0</v>
      </c>
      <c r="G18" s="47" t="n">
        <f aca="false">G104</f>
        <v>305.288412360754</v>
      </c>
      <c r="H18" s="47" t="n">
        <f aca="false">H104</f>
        <v>427.60263552932</v>
      </c>
      <c r="I18" s="47" t="n">
        <f aca="false">I104</f>
        <v>622.064556538699</v>
      </c>
      <c r="J18" s="47" t="n">
        <f aca="false">J104</f>
        <v>754.462492082283</v>
      </c>
      <c r="K18" s="47" t="n">
        <f aca="false">K104</f>
        <v>841.309226008467</v>
      </c>
      <c r="L18" s="47" t="n">
        <f aca="false">L104</f>
        <v>917.906667885605</v>
      </c>
      <c r="M18" s="47" t="n">
        <f aca="false">M104</f>
        <v>957.016498746665</v>
      </c>
      <c r="N18" s="47" t="n">
        <f aca="false">N104</f>
        <v>1021.44271773182</v>
      </c>
      <c r="O18" s="47" t="n">
        <f aca="false">O104</f>
        <v>1068.32870482927</v>
      </c>
      <c r="P18" s="47" t="n">
        <f aca="false">P104</f>
        <v>1137.22151236596</v>
      </c>
      <c r="Q18" s="47" t="n">
        <f aca="false">Q104</f>
        <v>1162.58168525456</v>
      </c>
      <c r="R18" s="47" t="n">
        <f aca="false">R104</f>
        <v>1171.21401861933</v>
      </c>
      <c r="S18" s="47" t="n">
        <f aca="false">S104</f>
        <v>1212.2891656223</v>
      </c>
    </row>
    <row r="19" customFormat="false" ht="15" hidden="false" customHeight="false" outlineLevel="0" collapsed="false">
      <c r="B19" s="24" t="s">
        <v>391</v>
      </c>
      <c r="C19" s="25" t="s">
        <v>170</v>
      </c>
      <c r="E19" s="47" t="n">
        <f aca="false">SUM(F19:S19)</f>
        <v>-2137.7465115345</v>
      </c>
      <c r="F19" s="47" t="n">
        <f aca="false">F120</f>
        <v>0</v>
      </c>
      <c r="G19" s="47" t="n">
        <f aca="false">G120</f>
        <v>-122.543038522037</v>
      </c>
      <c r="H19" s="47" t="n">
        <f aca="false">H120</f>
        <v>-114.658741724505</v>
      </c>
      <c r="I19" s="47" t="n">
        <f aca="false">I120</f>
        <v>-112.224944325471</v>
      </c>
      <c r="J19" s="47" t="n">
        <f aca="false">J120</f>
        <v>-124.581111752949</v>
      </c>
      <c r="K19" s="47" t="n">
        <f aca="false">K120</f>
        <v>-146.734901704974</v>
      </c>
      <c r="L19" s="47" t="n">
        <f aca="false">L120</f>
        <v>-157.564323537375</v>
      </c>
      <c r="M19" s="47" t="n">
        <f aca="false">M120</f>
        <v>-167.623099382131</v>
      </c>
      <c r="N19" s="47" t="n">
        <f aca="false">N120</f>
        <v>-179.279102068045</v>
      </c>
      <c r="O19" s="47" t="n">
        <f aca="false">O120</f>
        <v>-190.13496362309</v>
      </c>
      <c r="P19" s="47" t="n">
        <f aca="false">P120</f>
        <v>-201.602643771733</v>
      </c>
      <c r="Q19" s="47" t="n">
        <f aca="false">Q120</f>
        <v>-197.459104337975</v>
      </c>
      <c r="R19" s="47" t="n">
        <f aca="false">R120</f>
        <v>-206.409432070665</v>
      </c>
      <c r="S19" s="47" t="n">
        <f aca="false">S120</f>
        <v>-216.931104713551</v>
      </c>
    </row>
    <row r="20" customFormat="false" ht="15" hidden="false" customHeight="false" outlineLevel="0" collapsed="false">
      <c r="B20" s="69" t="s">
        <v>392</v>
      </c>
      <c r="C20" s="25" t="s">
        <v>170</v>
      </c>
      <c r="E20" s="70" t="n">
        <f aca="false">SUM(F20:S20)</f>
        <v>9460.98178204054</v>
      </c>
      <c r="F20" s="68" t="n">
        <f aca="false">F18+F19</f>
        <v>0</v>
      </c>
      <c r="G20" s="68" t="n">
        <f aca="false">G18+G19</f>
        <v>182.745373838717</v>
      </c>
      <c r="H20" s="68" t="n">
        <f aca="false">H18+H19</f>
        <v>312.943893804814</v>
      </c>
      <c r="I20" s="68" t="n">
        <f aca="false">I18+I19</f>
        <v>509.839612213228</v>
      </c>
      <c r="J20" s="68" t="n">
        <f aca="false">J18+J19</f>
        <v>629.881380329334</v>
      </c>
      <c r="K20" s="68" t="n">
        <f aca="false">K18+K19</f>
        <v>694.574324303492</v>
      </c>
      <c r="L20" s="68" t="n">
        <f aca="false">L18+L19</f>
        <v>760.34234434823</v>
      </c>
      <c r="M20" s="68" t="n">
        <f aca="false">M18+M19</f>
        <v>789.393399364534</v>
      </c>
      <c r="N20" s="68" t="n">
        <f aca="false">N18+N19</f>
        <v>842.16361566377</v>
      </c>
      <c r="O20" s="68" t="n">
        <f aca="false">O18+O19</f>
        <v>878.193741206181</v>
      </c>
      <c r="P20" s="68" t="n">
        <f aca="false">P18+P19</f>
        <v>935.618868594231</v>
      </c>
      <c r="Q20" s="68" t="n">
        <f aca="false">Q18+Q19</f>
        <v>965.122580916588</v>
      </c>
      <c r="R20" s="68" t="n">
        <f aca="false">R18+R19</f>
        <v>964.804586548668</v>
      </c>
      <c r="S20" s="68" t="n">
        <f aca="false">S18+S19</f>
        <v>995.358060908751</v>
      </c>
    </row>
    <row r="21" customFormat="false" ht="15" hidden="false" customHeight="false" outlineLevel="0" collapsed="false">
      <c r="B21" s="24" t="s">
        <v>393</v>
      </c>
      <c r="C21" s="25" t="s">
        <v>170</v>
      </c>
      <c r="E21" s="47" t="n">
        <f aca="false">SUM(F21:S21)</f>
        <v>-2475.66509316306</v>
      </c>
      <c r="F21" s="47" t="n">
        <f aca="false">F136</f>
        <v>0</v>
      </c>
      <c r="G21" s="47" t="n">
        <f aca="false">G136</f>
        <v>-28.5101006637158</v>
      </c>
      <c r="H21" s="47" t="n">
        <f aca="false">H136</f>
        <v>-49.3855677304474</v>
      </c>
      <c r="I21" s="47" t="n">
        <f aca="false">I136</f>
        <v>-142.349582474731</v>
      </c>
      <c r="J21" s="47" t="n">
        <f aca="false">J136</f>
        <v>-179.633513295842</v>
      </c>
      <c r="K21" s="47" t="n">
        <f aca="false">K136</f>
        <v>-195.405088551547</v>
      </c>
      <c r="L21" s="47" t="n">
        <f aca="false">L136</f>
        <v>-206.352288352617</v>
      </c>
      <c r="M21" s="47" t="n">
        <f aca="false">M136</f>
        <v>-214.027675301354</v>
      </c>
      <c r="N21" s="47" t="n">
        <f aca="false">N136</f>
        <v>-223.791221548373</v>
      </c>
      <c r="O21" s="47" t="n">
        <f aca="false">O136</f>
        <v>-231.124787453281</v>
      </c>
      <c r="P21" s="47" t="n">
        <f aca="false">P136</f>
        <v>-241.327306334338</v>
      </c>
      <c r="Q21" s="47" t="n">
        <f aca="false">Q136</f>
        <v>-249.213265906317</v>
      </c>
      <c r="R21" s="47" t="n">
        <f aca="false">R136</f>
        <v>-253.459436691751</v>
      </c>
      <c r="S21" s="47" t="n">
        <f aca="false">S136</f>
        <v>-261.085258858745</v>
      </c>
    </row>
    <row r="22" customFormat="false" ht="15" hidden="false" customHeight="false" outlineLevel="0" collapsed="false">
      <c r="B22" s="69" t="s">
        <v>346</v>
      </c>
      <c r="C22" s="25" t="s">
        <v>170</v>
      </c>
      <c r="E22" s="70" t="n">
        <f aca="false">SUM(F22:S22)</f>
        <v>6985.31668887748</v>
      </c>
      <c r="F22" s="68" t="n">
        <f aca="false">F20+F21</f>
        <v>0</v>
      </c>
      <c r="G22" s="68" t="n">
        <f aca="false">G20+G21</f>
        <v>154.235273175001</v>
      </c>
      <c r="H22" s="68" t="n">
        <f aca="false">H20+H21</f>
        <v>263.558326074367</v>
      </c>
      <c r="I22" s="68" t="n">
        <f aca="false">I20+I21</f>
        <v>367.490029738497</v>
      </c>
      <c r="J22" s="68" t="n">
        <f aca="false">J20+J21</f>
        <v>450.247867033492</v>
      </c>
      <c r="K22" s="68" t="n">
        <f aca="false">K20+K21</f>
        <v>499.169235751945</v>
      </c>
      <c r="L22" s="68" t="n">
        <f aca="false">L20+L21</f>
        <v>553.990055995613</v>
      </c>
      <c r="M22" s="68" t="n">
        <f aca="false">M20+M21</f>
        <v>575.36572406318</v>
      </c>
      <c r="N22" s="68" t="n">
        <f aca="false">N20+N21</f>
        <v>618.372394115397</v>
      </c>
      <c r="O22" s="68" t="n">
        <f aca="false">O20+O21</f>
        <v>647.0689537529</v>
      </c>
      <c r="P22" s="68" t="n">
        <f aca="false">P20+P21</f>
        <v>694.291562259893</v>
      </c>
      <c r="Q22" s="68" t="n">
        <f aca="false">Q20+Q21</f>
        <v>715.909315010271</v>
      </c>
      <c r="R22" s="68" t="n">
        <f aca="false">R20+R21</f>
        <v>711.345149856917</v>
      </c>
      <c r="S22" s="68" t="n">
        <f aca="false">S20+S21</f>
        <v>734.272802050007</v>
      </c>
    </row>
    <row r="23" customFormat="false" ht="15" hidden="false" customHeight="false" outlineLevel="0" collapsed="false">
      <c r="B23" s="24" t="s">
        <v>349</v>
      </c>
      <c r="C23" s="25" t="s">
        <v>170</v>
      </c>
      <c r="E23" s="47" t="n">
        <f aca="false">SUM(F23:S23)</f>
        <v>-1756.08199836502</v>
      </c>
      <c r="F23" s="47" t="n">
        <f aca="false">F152</f>
        <v>-0</v>
      </c>
      <c r="G23" s="47" t="n">
        <f aca="false">G152</f>
        <v>-88.3730862512023</v>
      </c>
      <c r="H23" s="47" t="n">
        <f aca="false">H152</f>
        <v>-113.599709038291</v>
      </c>
      <c r="I23" s="47" t="n">
        <f aca="false">I152</f>
        <v>-127.998275273704</v>
      </c>
      <c r="J23" s="47" t="n">
        <f aca="false">J152</f>
        <v>-141.840867465638</v>
      </c>
      <c r="K23" s="47" t="n">
        <f aca="false">K152</f>
        <v>-149.097955856646</v>
      </c>
      <c r="L23" s="47" t="n">
        <f aca="false">L152</f>
        <v>-151.106687965474</v>
      </c>
      <c r="M23" s="47" t="n">
        <f aca="false">M152</f>
        <v>-151.115594716478</v>
      </c>
      <c r="N23" s="47" t="n">
        <f aca="false">N152</f>
        <v>-151.124679602502</v>
      </c>
      <c r="O23" s="47" t="n">
        <f aca="false">O152</f>
        <v>-153.133946186247</v>
      </c>
      <c r="P23" s="47" t="n">
        <f aca="false">P152</f>
        <v>-139.30513865452</v>
      </c>
      <c r="Q23" s="47" t="n">
        <f aca="false">Q152</f>
        <v>-132.613053120152</v>
      </c>
      <c r="R23" s="47" t="n">
        <f aca="false">R152</f>
        <v>-130.935393142955</v>
      </c>
      <c r="S23" s="47" t="n">
        <f aca="false">S152</f>
        <v>-125.837611091214</v>
      </c>
    </row>
    <row r="24" customFormat="false" ht="15" hidden="false" customHeight="false" outlineLevel="0" collapsed="false">
      <c r="B24" s="69" t="s">
        <v>347</v>
      </c>
      <c r="C24" s="25" t="s">
        <v>170</v>
      </c>
      <c r="E24" s="70" t="n">
        <f aca="false">SUM(F24:S24)</f>
        <v>5229.23469051246</v>
      </c>
      <c r="F24" s="68" t="n">
        <f aca="false">F22+F23</f>
        <v>0</v>
      </c>
      <c r="G24" s="68" t="n">
        <f aca="false">G22+G23</f>
        <v>65.862186923799</v>
      </c>
      <c r="H24" s="68" t="n">
        <f aca="false">H22+H23</f>
        <v>149.958617036076</v>
      </c>
      <c r="I24" s="68" t="n">
        <f aca="false">I22+I23</f>
        <v>239.491754464793</v>
      </c>
      <c r="J24" s="68" t="n">
        <f aca="false">J22+J23</f>
        <v>308.406999567853</v>
      </c>
      <c r="K24" s="68" t="n">
        <f aca="false">K22+K23</f>
        <v>350.071279895299</v>
      </c>
      <c r="L24" s="68" t="n">
        <f aca="false">L22+L23</f>
        <v>402.883368030139</v>
      </c>
      <c r="M24" s="68" t="n">
        <f aca="false">M22+M23</f>
        <v>424.250129346702</v>
      </c>
      <c r="N24" s="68" t="n">
        <f aca="false">N22+N23</f>
        <v>467.247714512895</v>
      </c>
      <c r="O24" s="68" t="n">
        <f aca="false">O22+O23</f>
        <v>493.935007566653</v>
      </c>
      <c r="P24" s="68" t="n">
        <f aca="false">P22+P23</f>
        <v>554.986423605374</v>
      </c>
      <c r="Q24" s="68" t="n">
        <f aca="false">Q22+Q23</f>
        <v>583.296261890118</v>
      </c>
      <c r="R24" s="68" t="n">
        <f aca="false">R22+R23</f>
        <v>580.409756713962</v>
      </c>
      <c r="S24" s="68" t="n">
        <f aca="false">S22+S23</f>
        <v>608.435190958793</v>
      </c>
    </row>
    <row r="25" customFormat="false" ht="15" hidden="false" customHeight="false" outlineLevel="0" collapsed="false">
      <c r="B25" s="24" t="s">
        <v>394</v>
      </c>
      <c r="C25" s="25" t="s">
        <v>170</v>
      </c>
      <c r="E25" s="47" t="n">
        <f aca="false">SUM(F25:S25)</f>
        <v>-43.5917916870468</v>
      </c>
      <c r="F25" s="58" t="n">
        <f aca="false">-Financing!F22</f>
        <v>-0</v>
      </c>
      <c r="G25" s="58" t="n">
        <f aca="false">-Financing!G22</f>
        <v>-5.470905517661</v>
      </c>
      <c r="H25" s="58" t="n">
        <f aca="false">-Financing!H22</f>
        <v>-15.2734615278</v>
      </c>
      <c r="I25" s="58" t="n">
        <f aca="false">-Financing!I22</f>
        <v>-15.2734615278</v>
      </c>
      <c r="J25" s="58" t="n">
        <f aca="false">-Financing!J22</f>
        <v>-7.57396311378575</v>
      </c>
      <c r="K25" s="58" t="n">
        <f aca="false">-Financing!K22</f>
        <v>-0</v>
      </c>
      <c r="L25" s="58" t="n">
        <f aca="false">-Financing!L22</f>
        <v>-0</v>
      </c>
      <c r="M25" s="58" t="n">
        <f aca="false">-Financing!M22</f>
        <v>-0</v>
      </c>
      <c r="N25" s="58" t="n">
        <f aca="false">-Financing!N22</f>
        <v>-0</v>
      </c>
      <c r="O25" s="58" t="n">
        <f aca="false">-Financing!O22</f>
        <v>-0</v>
      </c>
      <c r="P25" s="58" t="n">
        <f aca="false">-Financing!P22</f>
        <v>-0</v>
      </c>
      <c r="Q25" s="58" t="n">
        <f aca="false">-Financing!Q22</f>
        <v>-0</v>
      </c>
      <c r="R25" s="58" t="n">
        <f aca="false">-Financing!R22</f>
        <v>-0</v>
      </c>
      <c r="S25" s="58" t="n">
        <f aca="false">-Financing!S22</f>
        <v>-0</v>
      </c>
    </row>
    <row r="26" customFormat="false" ht="15" hidden="false" customHeight="false" outlineLevel="0" collapsed="false">
      <c r="B26" s="69" t="s">
        <v>395</v>
      </c>
      <c r="C26" s="25" t="s">
        <v>170</v>
      </c>
      <c r="E26" s="70" t="n">
        <f aca="false">SUM(F26:S26)</f>
        <v>5185.64289882541</v>
      </c>
      <c r="F26" s="68" t="n">
        <f aca="false">F24+F25</f>
        <v>0</v>
      </c>
      <c r="G26" s="68" t="n">
        <f aca="false">G24+G25</f>
        <v>60.391281406138</v>
      </c>
      <c r="H26" s="68" t="n">
        <f aca="false">H24+H25</f>
        <v>134.685155508276</v>
      </c>
      <c r="I26" s="68" t="n">
        <f aca="false">I24+I25</f>
        <v>224.218292936993</v>
      </c>
      <c r="J26" s="68" t="n">
        <f aca="false">J24+J25</f>
        <v>300.833036454067</v>
      </c>
      <c r="K26" s="68" t="n">
        <f aca="false">K24+K25</f>
        <v>350.071279895299</v>
      </c>
      <c r="L26" s="68" t="n">
        <f aca="false">L24+L25</f>
        <v>402.883368030139</v>
      </c>
      <c r="M26" s="68" t="n">
        <f aca="false">M24+M25</f>
        <v>424.250129346702</v>
      </c>
      <c r="N26" s="68" t="n">
        <f aca="false">N24+N25</f>
        <v>467.247714512895</v>
      </c>
      <c r="O26" s="68" t="n">
        <f aca="false">O24+O25</f>
        <v>493.935007566653</v>
      </c>
      <c r="P26" s="68" t="n">
        <f aca="false">P24+P25</f>
        <v>554.986423605374</v>
      </c>
      <c r="Q26" s="68" t="n">
        <f aca="false">Q24+Q25</f>
        <v>583.296261890118</v>
      </c>
      <c r="R26" s="68" t="n">
        <f aca="false">R24+R25</f>
        <v>580.409756713962</v>
      </c>
      <c r="S26" s="68" t="n">
        <f aca="false">S24+S25</f>
        <v>608.435190958793</v>
      </c>
    </row>
    <row r="27" customFormat="false" ht="15" hidden="false" customHeight="false" outlineLevel="0" collapsed="false">
      <c r="B27" s="77" t="s">
        <v>396</v>
      </c>
      <c r="C27" s="25" t="s">
        <v>170</v>
      </c>
      <c r="E27" s="47" t="n">
        <f aca="false">SUM(F27:S27)</f>
        <v>-1167.58992375646</v>
      </c>
      <c r="F27" s="47" t="n">
        <f aca="false">F168</f>
        <v>-0</v>
      </c>
      <c r="G27" s="47" t="n">
        <f aca="false">G168</f>
        <v>-19.9622380784868</v>
      </c>
      <c r="H27" s="47" t="n">
        <f aca="false">H168</f>
        <v>-36.9445769942651</v>
      </c>
      <c r="I27" s="47" t="n">
        <f aca="false">I168</f>
        <v>-56.7526933177888</v>
      </c>
      <c r="J27" s="47" t="n">
        <f aca="false">J168</f>
        <v>-69.6309195661956</v>
      </c>
      <c r="K27" s="47" t="n">
        <f aca="false">K168</f>
        <v>-78.6132946643785</v>
      </c>
      <c r="L27" s="47" t="n">
        <f aca="false">L168</f>
        <v>-88.8941212015764</v>
      </c>
      <c r="M27" s="47" t="n">
        <f aca="false">M168</f>
        <v>-93.3638017792526</v>
      </c>
      <c r="N27" s="47" t="n">
        <f aca="false">N168</f>
        <v>-102.794497192837</v>
      </c>
      <c r="O27" s="47" t="n">
        <f aca="false">O168</f>
        <v>-108.665701664664</v>
      </c>
      <c r="P27" s="47" t="n">
        <f aca="false">P168</f>
        <v>-122.097013193182</v>
      </c>
      <c r="Q27" s="47" t="n">
        <f aca="false">Q168</f>
        <v>-128.325177615826</v>
      </c>
      <c r="R27" s="47" t="n">
        <f aca="false">R168</f>
        <v>-127.690146477072</v>
      </c>
      <c r="S27" s="47" t="n">
        <f aca="false">S168</f>
        <v>-133.855742010935</v>
      </c>
    </row>
    <row r="28" customFormat="false" ht="15" hidden="false" customHeight="false" outlineLevel="0" collapsed="false">
      <c r="B28" s="77" t="s">
        <v>397</v>
      </c>
      <c r="C28" s="25" t="s">
        <v>170</v>
      </c>
      <c r="E28" s="47" t="n">
        <f aca="false">SUM(F28:S28)</f>
        <v>9.59019417115029</v>
      </c>
      <c r="F28" s="58" t="n">
        <f aca="false">Financing!F23</f>
        <v>0</v>
      </c>
      <c r="G28" s="58" t="n">
        <f aca="false">Financing!G23</f>
        <v>1.20359921388542</v>
      </c>
      <c r="H28" s="58" t="n">
        <f aca="false">Financing!H23</f>
        <v>3.360161536116</v>
      </c>
      <c r="I28" s="58" t="n">
        <f aca="false">Financing!I23</f>
        <v>3.360161536116</v>
      </c>
      <c r="J28" s="58" t="n">
        <f aca="false">Financing!J23</f>
        <v>1.66627188503287</v>
      </c>
      <c r="K28" s="58" t="n">
        <f aca="false">Financing!K23</f>
        <v>0</v>
      </c>
      <c r="L28" s="58" t="n">
        <f aca="false">Financing!L23</f>
        <v>0</v>
      </c>
      <c r="M28" s="58" t="n">
        <f aca="false">Financing!M23</f>
        <v>0</v>
      </c>
      <c r="N28" s="58" t="n">
        <f aca="false">Financing!N23</f>
        <v>0</v>
      </c>
      <c r="O28" s="58" t="n">
        <f aca="false">Financing!O23</f>
        <v>0</v>
      </c>
      <c r="P28" s="58" t="n">
        <f aca="false">Financing!P23</f>
        <v>0</v>
      </c>
      <c r="Q28" s="58" t="n">
        <f aca="false">Financing!Q23</f>
        <v>0</v>
      </c>
      <c r="R28" s="58" t="n">
        <f aca="false">Financing!R23</f>
        <v>0</v>
      </c>
      <c r="S28" s="58" t="n">
        <f aca="false">Financing!S23</f>
        <v>0</v>
      </c>
    </row>
    <row r="29" customFormat="false" ht="15" hidden="false" customHeight="false" outlineLevel="0" collapsed="false">
      <c r="B29" s="24" t="s">
        <v>398</v>
      </c>
      <c r="C29" s="25" t="s">
        <v>170</v>
      </c>
      <c r="E29" s="47" t="n">
        <f aca="false">SUM(F29:S29)</f>
        <v>-1157.99972958531</v>
      </c>
      <c r="F29" s="47" t="n">
        <f aca="false">F27+F28</f>
        <v>0</v>
      </c>
      <c r="G29" s="47" t="n">
        <f aca="false">G27+G28</f>
        <v>-18.7586388646014</v>
      </c>
      <c r="H29" s="47" t="n">
        <f aca="false">H27+H28</f>
        <v>-33.5844154581491</v>
      </c>
      <c r="I29" s="47" t="n">
        <f aca="false">I27+I28</f>
        <v>-53.3925317816728</v>
      </c>
      <c r="J29" s="47" t="n">
        <f aca="false">J27+J28</f>
        <v>-67.9646476811628</v>
      </c>
      <c r="K29" s="47" t="n">
        <f aca="false">K27+K28</f>
        <v>-78.6132946643785</v>
      </c>
      <c r="L29" s="47" t="n">
        <f aca="false">L27+L28</f>
        <v>-88.8941212015764</v>
      </c>
      <c r="M29" s="47" t="n">
        <f aca="false">M27+M28</f>
        <v>-93.3638017792526</v>
      </c>
      <c r="N29" s="47" t="n">
        <f aca="false">N27+N28</f>
        <v>-102.794497192837</v>
      </c>
      <c r="O29" s="47" t="n">
        <f aca="false">O27+O28</f>
        <v>-108.665701664664</v>
      </c>
      <c r="P29" s="47" t="n">
        <f aca="false">P27+P28</f>
        <v>-122.097013193182</v>
      </c>
      <c r="Q29" s="47" t="n">
        <f aca="false">Q27+Q28</f>
        <v>-128.325177615826</v>
      </c>
      <c r="R29" s="47" t="n">
        <f aca="false">R27+R28</f>
        <v>-127.690146477072</v>
      </c>
      <c r="S29" s="47" t="n">
        <f aca="false">S27+S28</f>
        <v>-133.855742010935</v>
      </c>
    </row>
    <row r="30" customFormat="false" ht="15" hidden="false" customHeight="false" outlineLevel="0" collapsed="false">
      <c r="B30" s="69" t="s">
        <v>399</v>
      </c>
      <c r="C30" s="25" t="s">
        <v>170</v>
      </c>
      <c r="E30" s="70" t="n">
        <f aca="false">SUM(F30:S30)</f>
        <v>4027.6431692401</v>
      </c>
      <c r="F30" s="68" t="n">
        <f aca="false">F26+F29</f>
        <v>0</v>
      </c>
      <c r="G30" s="68" t="n">
        <f aca="false">G26+G29</f>
        <v>41.6326425415366</v>
      </c>
      <c r="H30" s="68" t="n">
        <f aca="false">H26+H29</f>
        <v>101.100740050127</v>
      </c>
      <c r="I30" s="68" t="n">
        <f aca="false">I26+I29</f>
        <v>170.82576115532</v>
      </c>
      <c r="J30" s="68" t="n">
        <f aca="false">J26+J29</f>
        <v>232.868388772905</v>
      </c>
      <c r="K30" s="68" t="n">
        <f aca="false">K26+K29</f>
        <v>271.457985230921</v>
      </c>
      <c r="L30" s="68" t="n">
        <f aca="false">L26+L29</f>
        <v>313.989246828563</v>
      </c>
      <c r="M30" s="68" t="n">
        <f aca="false">M26+M29</f>
        <v>330.88632756745</v>
      </c>
      <c r="N30" s="68" t="n">
        <f aca="false">N26+N29</f>
        <v>364.453217320058</v>
      </c>
      <c r="O30" s="68" t="n">
        <f aca="false">O26+O29</f>
        <v>385.269305901989</v>
      </c>
      <c r="P30" s="68" t="n">
        <f aca="false">P26+P29</f>
        <v>432.889410412191</v>
      </c>
      <c r="Q30" s="68" t="n">
        <f aca="false">Q26+Q29</f>
        <v>454.971084274292</v>
      </c>
      <c r="R30" s="68" t="n">
        <f aca="false">R26+R29</f>
        <v>452.71961023689</v>
      </c>
      <c r="S30" s="68" t="n">
        <f aca="false">S26+S29</f>
        <v>474.579448947858</v>
      </c>
    </row>
    <row r="31" customFormat="false" ht="15" hidden="false" customHeight="false" outlineLevel="0" collapsed="false">
      <c r="B31" s="77" t="s">
        <v>400</v>
      </c>
      <c r="C31" s="25" t="s">
        <v>170</v>
      </c>
      <c r="E31" s="47" t="n">
        <f aca="false">SUM(F31:S31)</f>
        <v>332.862947530845</v>
      </c>
      <c r="F31" s="47" t="n">
        <f aca="false">F200</f>
        <v>0</v>
      </c>
      <c r="G31" s="47" t="n">
        <f aca="false">G200</f>
        <v>19.320159155041</v>
      </c>
      <c r="H31" s="47" t="n">
        <f aca="false">H200</f>
        <v>20.1125562482986</v>
      </c>
      <c r="I31" s="47" t="n">
        <f aca="false">I200</f>
        <v>20.6420142676228</v>
      </c>
      <c r="J31" s="47" t="n">
        <f aca="false">J200</f>
        <v>21.4661686345109</v>
      </c>
      <c r="K31" s="47" t="n">
        <f aca="false">K200</f>
        <v>22.3061797337796</v>
      </c>
      <c r="L31" s="47" t="n">
        <f aca="false">L200</f>
        <v>24.368473053569</v>
      </c>
      <c r="M31" s="47" t="n">
        <f aca="false">M200</f>
        <v>25.2845572350386</v>
      </c>
      <c r="N31" s="47" t="n">
        <f aca="false">N200</f>
        <v>26.2175649795056</v>
      </c>
      <c r="O31" s="47" t="n">
        <f aca="false">O200</f>
        <v>28.5602689399555</v>
      </c>
      <c r="P31" s="47" t="n">
        <f aca="false">P200</f>
        <v>29.5768557966095</v>
      </c>
      <c r="Q31" s="47" t="n">
        <f aca="false">Q200</f>
        <v>30.6113632230258</v>
      </c>
      <c r="R31" s="47" t="n">
        <f aca="false">R200</f>
        <v>31.663572778423</v>
      </c>
      <c r="S31" s="47" t="n">
        <f aca="false">S200</f>
        <v>32.733213485465</v>
      </c>
    </row>
    <row r="32" customFormat="false" ht="15" hidden="false" customHeight="false" outlineLevel="0" collapsed="false">
      <c r="B32" s="77" t="s">
        <v>401</v>
      </c>
      <c r="C32" s="25" t="s">
        <v>170</v>
      </c>
      <c r="E32" s="47" t="n">
        <f aca="false">SUM(F32:S32)</f>
        <v>3694.78022170926</v>
      </c>
      <c r="F32" s="47" t="n">
        <f aca="false">F30-F31</f>
        <v>0</v>
      </c>
      <c r="G32" s="47" t="n">
        <f aca="false">G30-G31</f>
        <v>22.3124833864956</v>
      </c>
      <c r="H32" s="47" t="n">
        <f aca="false">H30-H31</f>
        <v>80.9881838018287</v>
      </c>
      <c r="I32" s="47" t="n">
        <f aca="false">I30-I31</f>
        <v>150.183746887698</v>
      </c>
      <c r="J32" s="47" t="n">
        <f aca="false">J30-J31</f>
        <v>211.402220138394</v>
      </c>
      <c r="K32" s="47" t="n">
        <f aca="false">K30-K31</f>
        <v>249.151805497141</v>
      </c>
      <c r="L32" s="47" t="n">
        <f aca="false">L30-L31</f>
        <v>289.620773774994</v>
      </c>
      <c r="M32" s="47" t="n">
        <f aca="false">M30-M31</f>
        <v>305.601770332411</v>
      </c>
      <c r="N32" s="47" t="n">
        <f aca="false">N30-N31</f>
        <v>338.235652340553</v>
      </c>
      <c r="O32" s="47" t="n">
        <f aca="false">O30-O31</f>
        <v>356.709036962034</v>
      </c>
      <c r="P32" s="47" t="n">
        <f aca="false">P30-P31</f>
        <v>403.312554615582</v>
      </c>
      <c r="Q32" s="47" t="n">
        <f aca="false">Q30-Q31</f>
        <v>424.359721051267</v>
      </c>
      <c r="R32" s="47" t="n">
        <f aca="false">R30-R31</f>
        <v>421.056037458467</v>
      </c>
      <c r="S32" s="47" t="n">
        <f aca="false">S30-S31</f>
        <v>441.846235462393</v>
      </c>
    </row>
    <row r="33" customFormat="false" ht="15" hidden="false" customHeight="false" outlineLevel="0" collapsed="false">
      <c r="B33" s="24" t="s">
        <v>402</v>
      </c>
      <c r="C33" s="25" t="s">
        <v>160</v>
      </c>
      <c r="F33" s="49" t="n">
        <f aca="false">IF(F18=0,0,F22/F18)</f>
        <v>0</v>
      </c>
      <c r="G33" s="49" t="n">
        <f aca="false">IF(G18=0,0,G22/G18)</f>
        <v>0.505211684853417</v>
      </c>
      <c r="H33" s="49" t="n">
        <f aca="false">IF(H18=0,0,H22/H18)</f>
        <v>0.616362725987678</v>
      </c>
      <c r="I33" s="49" t="n">
        <f aca="false">IF(I18=0,0,I22/I18)</f>
        <v>0.590758669459149</v>
      </c>
      <c r="J33" s="49" t="n">
        <f aca="false">IF(J18=0,0,J22/J18)</f>
        <v>0.596779656720678</v>
      </c>
      <c r="K33" s="49" t="n">
        <f aca="false">IF(K18=0,0,K22/K18)</f>
        <v>0.593324333456105</v>
      </c>
      <c r="L33" s="49" t="n">
        <f aca="false">IF(L18=0,0,L22/L18)</f>
        <v>0.603536367451962</v>
      </c>
      <c r="M33" s="49" t="n">
        <f aca="false">IF(M18=0,0,M22/M18)</f>
        <v>0.601207737606086</v>
      </c>
      <c r="N33" s="49" t="n">
        <f aca="false">IF(N18=0,0,N22/N18)</f>
        <v>0.605391162304761</v>
      </c>
      <c r="O33" s="49" t="n">
        <f aca="false">IF(O18=0,0,O22/O18)</f>
        <v>0.605683392038322</v>
      </c>
      <c r="P33" s="49" t="n">
        <f aca="false">IF(P18=0,0,P22/P18)</f>
        <v>0.610515677649674</v>
      </c>
      <c r="Q33" s="49" t="n">
        <f aca="false">IF(Q18=0,0,Q22/Q18)</f>
        <v>0.615792700066071</v>
      </c>
      <c r="R33" s="49" t="n">
        <f aca="false">IF(R18=0,0,R22/R18)</f>
        <v>0.607357100024703</v>
      </c>
      <c r="S33" s="49" t="n">
        <f aca="false">IF(S18=0,0,S22/S18)</f>
        <v>0.605691136135068</v>
      </c>
    </row>
    <row r="34" customFormat="false" ht="15" hidden="false" customHeight="false" outlineLevel="0" collapsed="false">
      <c r="B34" s="24" t="s">
        <v>403</v>
      </c>
      <c r="C34" s="25" t="s">
        <v>160</v>
      </c>
      <c r="F34" s="49" t="n">
        <f aca="false">IF(F18=0,0,F30/F18)</f>
        <v>0</v>
      </c>
      <c r="G34" s="49" t="n">
        <f aca="false">IF(G18=0,0,G30/G18)</f>
        <v>0.136371512497304</v>
      </c>
      <c r="H34" s="49" t="n">
        <f aca="false">IF(H18=0,0,H30/H18)</f>
        <v>0.236436194844723</v>
      </c>
      <c r="I34" s="49" t="n">
        <f aca="false">IF(I18=0,0,I30/I18)</f>
        <v>0.274610985885182</v>
      </c>
      <c r="J34" s="49" t="n">
        <f aca="false">IF(J18=0,0,J30/J18)</f>
        <v>0.308654692866438</v>
      </c>
      <c r="K34" s="49" t="n">
        <f aca="false">IF(K18=0,0,K30/K18)</f>
        <v>0.322661367353398</v>
      </c>
      <c r="L34" s="49" t="n">
        <f aca="false">IF(L18=0,0,L30/L18)</f>
        <v>0.342070994594511</v>
      </c>
      <c r="M34" s="49" t="n">
        <f aca="false">IF(M18=0,0,M30/M18)</f>
        <v>0.345747777599224</v>
      </c>
      <c r="N34" s="49" t="n">
        <f aca="false">IF(N18=0,0,N30/N18)</f>
        <v>0.356802404083268</v>
      </c>
      <c r="O34" s="49" t="n">
        <f aca="false">IF(O18=0,0,O30/O18)</f>
        <v>0.360628057788224</v>
      </c>
      <c r="P34" s="49" t="n">
        <f aca="false">IF(P18=0,0,P30/P18)</f>
        <v>0.380655312711747</v>
      </c>
      <c r="Q34" s="49" t="n">
        <f aca="false">IF(Q18=0,0,Q30/Q18)</f>
        <v>0.391345477091935</v>
      </c>
      <c r="R34" s="49" t="n">
        <f aca="false">IF(R18=0,0,R30/R18)</f>
        <v>0.386538756401304</v>
      </c>
      <c r="S34" s="49" t="n">
        <f aca="false">IF(S18=0,0,S30/S18)</f>
        <v>0.391473802130569</v>
      </c>
    </row>
    <row r="36" customFormat="false" ht="15" hidden="false" customHeight="false" outlineLevel="0" collapsed="false">
      <c r="B36" s="22" t="s">
        <v>404</v>
      </c>
      <c r="C36" s="23"/>
      <c r="D36" s="23"/>
      <c r="E36" s="23"/>
      <c r="F36" s="23"/>
      <c r="G36" s="23"/>
      <c r="H36" s="23"/>
      <c r="I36" s="23"/>
      <c r="J36" s="23"/>
      <c r="K36" s="23"/>
      <c r="L36" s="23"/>
      <c r="M36" s="23"/>
      <c r="N36" s="23"/>
      <c r="O36" s="23"/>
      <c r="P36" s="23"/>
      <c r="Q36" s="23"/>
      <c r="R36" s="23"/>
      <c r="S36" s="23"/>
    </row>
    <row r="37" customFormat="false" ht="15" hidden="false" customHeight="false" outlineLevel="0" collapsed="false">
      <c r="B37" s="24" t="s">
        <v>214</v>
      </c>
      <c r="C37" s="25" t="s">
        <v>170</v>
      </c>
      <c r="F37" s="47" t="n">
        <f aca="false">F66</f>
        <v>60.6389</v>
      </c>
      <c r="G37" s="47" t="n">
        <f aca="false">G66</f>
        <v>32.2094486119924</v>
      </c>
      <c r="H37" s="47" t="n">
        <f aca="false">H66</f>
        <v>192.171764763442</v>
      </c>
      <c r="I37" s="47" t="n">
        <f aca="false">I66</f>
        <v>3.00000000000003</v>
      </c>
      <c r="J37" s="47" t="n">
        <f aca="false">J66</f>
        <v>198.18</v>
      </c>
      <c r="K37" s="47" t="n">
        <f aca="false">K66</f>
        <v>535.354571712009</v>
      </c>
      <c r="L37" s="47" t="n">
        <f aca="false">L66</f>
        <v>904.760399202382</v>
      </c>
      <c r="M37" s="47" t="n">
        <f aca="false">M66</f>
        <v>1291.08677911698</v>
      </c>
      <c r="N37" s="47" t="n">
        <f aca="false">N66</f>
        <v>1698.20904945038</v>
      </c>
      <c r="O37" s="47" t="n">
        <f aca="false">O66</f>
        <v>2125.02855889965</v>
      </c>
      <c r="P37" s="47" t="n">
        <f aca="false">P66</f>
        <v>2568.36108681033</v>
      </c>
      <c r="Q37" s="47" t="n">
        <f aca="false">Q66</f>
        <v>3025.17014634693</v>
      </c>
      <c r="R37" s="47" t="n">
        <f aca="false">R66</f>
        <v>3482.17972158667</v>
      </c>
      <c r="S37" s="47" t="n">
        <f aca="false">S66</f>
        <v>3946.20329255594</v>
      </c>
    </row>
    <row r="38" customFormat="false" ht="15" hidden="false" customHeight="false" outlineLevel="0" collapsed="false">
      <c r="B38" s="24" t="s">
        <v>405</v>
      </c>
      <c r="C38" s="25" t="s">
        <v>170</v>
      </c>
      <c r="F38" s="72" t="n">
        <f aca="false">'Global Inputs'!$E$30</f>
        <v>0.519811</v>
      </c>
      <c r="G38" s="72" t="n">
        <f aca="false">'Global Inputs'!$E$30</f>
        <v>0.519811</v>
      </c>
      <c r="H38" s="72" t="n">
        <f aca="false">'Global Inputs'!$E$30</f>
        <v>0.519811</v>
      </c>
      <c r="I38" s="72" t="n">
        <f aca="false">'Global Inputs'!$E$30</f>
        <v>0.519811</v>
      </c>
      <c r="J38" s="72" t="n">
        <f aca="false">'Global Inputs'!$E$30</f>
        <v>0.519811</v>
      </c>
      <c r="K38" s="72" t="n">
        <f aca="false">'Global Inputs'!$E$30</f>
        <v>0.519811</v>
      </c>
      <c r="L38" s="72" t="n">
        <f aca="false">'Global Inputs'!$E$30</f>
        <v>0.519811</v>
      </c>
      <c r="M38" s="72" t="n">
        <f aca="false">'Global Inputs'!$E$30</f>
        <v>0.519811</v>
      </c>
      <c r="N38" s="72" t="n">
        <f aca="false">'Global Inputs'!$E$30</f>
        <v>0.519811</v>
      </c>
      <c r="O38" s="72" t="n">
        <f aca="false">'Global Inputs'!$E$30</f>
        <v>0.519811</v>
      </c>
      <c r="P38" s="72" t="n">
        <f aca="false">'Global Inputs'!$E$30</f>
        <v>0.519811</v>
      </c>
      <c r="Q38" s="72" t="n">
        <f aca="false">'Global Inputs'!$E$30</f>
        <v>0.519811</v>
      </c>
      <c r="R38" s="72" t="n">
        <f aca="false">'Global Inputs'!$E$30</f>
        <v>0.519811</v>
      </c>
      <c r="S38" s="72" t="n">
        <f aca="false">'Global Inputs'!$E$30</f>
        <v>0.519811</v>
      </c>
    </row>
    <row r="39" customFormat="false" ht="15" hidden="false" customHeight="false" outlineLevel="0" collapsed="false">
      <c r="B39" s="24" t="s">
        <v>406</v>
      </c>
      <c r="C39" s="25" t="s">
        <v>170</v>
      </c>
      <c r="F39" s="47" t="n">
        <f aca="false">F264</f>
        <v>45</v>
      </c>
      <c r="G39" s="47" t="n">
        <f aca="false">G264</f>
        <v>37.5354605361583</v>
      </c>
      <c r="H39" s="47" t="n">
        <f aca="false">H264</f>
        <v>52.7181331474504</v>
      </c>
      <c r="I39" s="47" t="n">
        <f aca="false">I264</f>
        <v>76.6928905321684</v>
      </c>
      <c r="J39" s="47" t="n">
        <f aca="false">J264</f>
        <v>93.0159236813773</v>
      </c>
      <c r="K39" s="47" t="n">
        <f aca="false">K264</f>
        <v>103.439658935467</v>
      </c>
      <c r="L39" s="47" t="n">
        <f aca="false">L264</f>
        <v>113.166575492746</v>
      </c>
      <c r="M39" s="47" t="n">
        <f aca="false">M264</f>
        <v>117.988335461918</v>
      </c>
      <c r="N39" s="47" t="n">
        <f aca="false">N264</f>
        <v>125.931293966936</v>
      </c>
      <c r="O39" s="47" t="n">
        <f aca="false">O264</f>
        <v>131.351889938025</v>
      </c>
      <c r="P39" s="47" t="n">
        <f aca="false">P264</f>
        <v>140.20539193553</v>
      </c>
      <c r="Q39" s="47" t="n">
        <f aca="false">Q264</f>
        <v>143.331988593028</v>
      </c>
      <c r="R39" s="47" t="n">
        <f aca="false">R264</f>
        <v>144.396248870877</v>
      </c>
      <c r="S39" s="47" t="n">
        <f aca="false">S264</f>
        <v>149.051946592906</v>
      </c>
    </row>
    <row r="40" customFormat="false" ht="15" hidden="false" customHeight="false" outlineLevel="0" collapsed="false">
      <c r="B40" s="24" t="s">
        <v>407</v>
      </c>
      <c r="C40" s="25" t="s">
        <v>170</v>
      </c>
      <c r="F40" s="47" t="n">
        <f aca="false">'Global Inputs'!$E$61</f>
        <v>826.022</v>
      </c>
      <c r="G40" s="47" t="n">
        <f aca="false">F40-G312</f>
        <v>737.648913748798</v>
      </c>
      <c r="H40" s="47" t="n">
        <f aca="false">G40-H312</f>
        <v>649.267760378796</v>
      </c>
      <c r="I40" s="47" t="n">
        <f aca="false">H40-I312</f>
        <v>561.495365654332</v>
      </c>
      <c r="J40" s="47" t="n">
        <f aca="false">I40-J312</f>
        <v>475.941205006184</v>
      </c>
      <c r="K40" s="47" t="n">
        <f aca="false">J40-K312</f>
        <v>390.280893467029</v>
      </c>
      <c r="L40" s="47" t="n">
        <f aca="false">K40-L312</f>
        <v>302.611849819046</v>
      </c>
      <c r="M40" s="47" t="n">
        <f aca="false">L40-M312</f>
        <v>214.933899420059</v>
      </c>
      <c r="N40" s="47" t="n">
        <f aca="false">M40-N312</f>
        <v>127.246864135047</v>
      </c>
      <c r="O40" s="47" t="n">
        <f aca="false">N40-O312</f>
        <v>37.550562266291</v>
      </c>
      <c r="P40" s="47" t="n">
        <f aca="false">O40-P312</f>
        <v>-52.1551915178849</v>
      </c>
      <c r="Q40" s="47" t="n">
        <f aca="false">P40-Q312</f>
        <v>-141.870586255789</v>
      </c>
      <c r="R40" s="47" t="n">
        <f aca="false">Q40-R312</f>
        <v>-231.595814766496</v>
      </c>
      <c r="S40" s="47" t="n">
        <f aca="false">R40-S312</f>
        <v>-321.331073725461</v>
      </c>
    </row>
    <row r="41" customFormat="false" ht="15" hidden="false" customHeight="false" outlineLevel="0" collapsed="false">
      <c r="B41" s="24" t="s">
        <v>408</v>
      </c>
      <c r="C41" s="25" t="s">
        <v>170</v>
      </c>
      <c r="F41" s="47" t="n">
        <f aca="false">F296</f>
        <v>198.433</v>
      </c>
      <c r="G41" s="47" t="n">
        <f aca="false">G296</f>
        <v>323.6735</v>
      </c>
      <c r="H41" s="47" t="n">
        <f aca="false">H296</f>
        <v>313.093444331712</v>
      </c>
      <c r="I41" s="47" t="n">
        <f aca="false">I296</f>
        <v>692.639609394376</v>
      </c>
      <c r="J41" s="47" t="n">
        <f aca="false">J296</f>
        <v>796.356527576886</v>
      </c>
      <c r="K41" s="47" t="n">
        <f aca="false">K296</f>
        <v>732.918883259395</v>
      </c>
      <c r="L41" s="47" t="n">
        <f aca="false">L296</f>
        <v>669.481238941904</v>
      </c>
      <c r="M41" s="47" t="n">
        <f aca="false">M296</f>
        <v>606.043594624414</v>
      </c>
      <c r="N41" s="47" t="n">
        <f aca="false">N296</f>
        <v>542.605950306923</v>
      </c>
      <c r="O41" s="47" t="n">
        <f aca="false">O296</f>
        <v>479.168305989433</v>
      </c>
      <c r="P41" s="47" t="n">
        <f aca="false">P296</f>
        <v>429.568921119089</v>
      </c>
      <c r="Q41" s="47" t="n">
        <f aca="false">Q296</f>
        <v>386.671262736841</v>
      </c>
      <c r="R41" s="47" t="n">
        <f aca="false">R296</f>
        <v>345.461098104592</v>
      </c>
      <c r="S41" s="47" t="n">
        <f aca="false">S296</f>
        <v>309.358745972344</v>
      </c>
    </row>
    <row r="42" customFormat="false" ht="15" hidden="false" customHeight="false" outlineLevel="0" collapsed="false">
      <c r="B42" s="24" t="s">
        <v>409</v>
      </c>
      <c r="C42" s="25" t="s">
        <v>170</v>
      </c>
      <c r="F42" s="58" t="n">
        <f aca="false">'Global Inputs'!$E$109</f>
        <v>132.83</v>
      </c>
      <c r="G42" s="58" t="n">
        <f aca="false">'Global Inputs'!$E$109</f>
        <v>132.83</v>
      </c>
      <c r="H42" s="58" t="n">
        <f aca="false">'Global Inputs'!$E$109</f>
        <v>132.83</v>
      </c>
      <c r="I42" s="58" t="n">
        <f aca="false">'Global Inputs'!$E$109</f>
        <v>132.83</v>
      </c>
      <c r="J42" s="58" t="n">
        <f aca="false">'Global Inputs'!$E$109</f>
        <v>132.83</v>
      </c>
      <c r="K42" s="58" t="n">
        <f aca="false">'Global Inputs'!$E$109</f>
        <v>132.83</v>
      </c>
      <c r="L42" s="58" t="n">
        <f aca="false">'Global Inputs'!$E$109</f>
        <v>132.83</v>
      </c>
      <c r="M42" s="58" t="n">
        <f aca="false">'Global Inputs'!$E$109</f>
        <v>132.83</v>
      </c>
      <c r="N42" s="58" t="n">
        <f aca="false">'Global Inputs'!$E$109</f>
        <v>132.83</v>
      </c>
      <c r="O42" s="58" t="n">
        <f aca="false">'Global Inputs'!$E$109</f>
        <v>132.83</v>
      </c>
      <c r="P42" s="58" t="n">
        <f aca="false">'Global Inputs'!$E$109</f>
        <v>132.83</v>
      </c>
      <c r="Q42" s="58" t="n">
        <f aca="false">'Global Inputs'!$E$109</f>
        <v>132.83</v>
      </c>
      <c r="R42" s="58" t="n">
        <f aca="false">'Global Inputs'!$E$109</f>
        <v>132.83</v>
      </c>
      <c r="S42" s="58" t="n">
        <f aca="false">'Global Inputs'!$E$109</f>
        <v>132.83</v>
      </c>
    </row>
    <row r="43" customFormat="false" ht="15" hidden="false" customHeight="false" outlineLevel="0" collapsed="false">
      <c r="B43" s="69" t="s">
        <v>410</v>
      </c>
      <c r="C43" s="25" t="s">
        <v>170</v>
      </c>
      <c r="F43" s="68" t="n">
        <f aca="false">F37+F38+F39+F40+F41+F42</f>
        <v>1263.443711</v>
      </c>
      <c r="G43" s="68" t="n">
        <f aca="false">G37+G38+G39+G40+G41+G42</f>
        <v>1264.41713389695</v>
      </c>
      <c r="H43" s="68" t="n">
        <f aca="false">H37+H38+H39+H40+H41+H42</f>
        <v>1340.6009136214</v>
      </c>
      <c r="I43" s="68" t="n">
        <f aca="false">I37+I38+I39+I40+I41+I42</f>
        <v>1467.17767658088</v>
      </c>
      <c r="J43" s="68" t="n">
        <f aca="false">J37+J38+J39+J40+J41+J42</f>
        <v>1696.84346726445</v>
      </c>
      <c r="K43" s="68" t="n">
        <f aca="false">K37+K38+K39+K40+K41+K42</f>
        <v>1895.3438183739</v>
      </c>
      <c r="L43" s="68" t="n">
        <f aca="false">L37+L38+L39+L40+L41+L42</f>
        <v>2123.36987445608</v>
      </c>
      <c r="M43" s="68" t="n">
        <f aca="false">M37+M38+M39+M40+M41+M42</f>
        <v>2363.40241962337</v>
      </c>
      <c r="N43" s="68" t="n">
        <f aca="false">N37+N38+N39+N40+N41+N42</f>
        <v>2627.34296885929</v>
      </c>
      <c r="O43" s="68" t="n">
        <f aca="false">O37+O38+O39+O40+O41+O42</f>
        <v>2906.4491280934</v>
      </c>
      <c r="P43" s="68" t="n">
        <f aca="false">P37+P38+P39+P40+P41+P42</f>
        <v>3219.33001934706</v>
      </c>
      <c r="Q43" s="68" t="n">
        <f aca="false">Q37+Q38+Q39+Q40+Q41+Q42</f>
        <v>3546.65262242101</v>
      </c>
      <c r="R43" s="68" t="n">
        <f aca="false">R37+R38+R39+R40+R41+R42</f>
        <v>3873.79106479565</v>
      </c>
      <c r="S43" s="68" t="n">
        <f aca="false">S37+S38+S39+S40+S41+S42</f>
        <v>4216.63272239573</v>
      </c>
    </row>
    <row r="44" customFormat="false" ht="15" hidden="false" customHeight="false" outlineLevel="0" collapsed="false">
      <c r="B44" s="24" t="s">
        <v>411</v>
      </c>
      <c r="C44" s="25" t="s">
        <v>170</v>
      </c>
      <c r="F44" s="47" t="n">
        <f aca="false">-F280</f>
        <v>14.6719859829049</v>
      </c>
      <c r="G44" s="47" t="n">
        <f aca="false">-G280</f>
        <v>10.0445113542653</v>
      </c>
      <c r="H44" s="47" t="n">
        <f aca="false">-H280</f>
        <v>9.42400616913743</v>
      </c>
      <c r="I44" s="47" t="n">
        <f aca="false">-I280</f>
        <v>9.22396802675108</v>
      </c>
      <c r="J44" s="47" t="n">
        <f aca="false">-J280</f>
        <v>10.2395434317493</v>
      </c>
      <c r="K44" s="47" t="n">
        <f aca="false">-K280</f>
        <v>12.0274509594241</v>
      </c>
      <c r="L44" s="47" t="n">
        <f aca="false">-L280</f>
        <v>12.9504923455377</v>
      </c>
      <c r="M44" s="47" t="n">
        <f aca="false">-M280</f>
        <v>13.7772410451066</v>
      </c>
      <c r="N44" s="47" t="n">
        <f aca="false">-N280</f>
        <v>14.735268663127</v>
      </c>
      <c r="O44" s="47" t="n">
        <f aca="false">-O280</f>
        <v>15.5848330838599</v>
      </c>
      <c r="P44" s="47" t="n">
        <f aca="false">-P280</f>
        <v>16.5700803100055</v>
      </c>
      <c r="Q44" s="47" t="n">
        <f aca="false">-Q280</f>
        <v>16.229515425039</v>
      </c>
      <c r="R44" s="47" t="n">
        <f aca="false">-R280</f>
        <v>16.9651588003286</v>
      </c>
      <c r="S44" s="47" t="n">
        <f aca="false">-S280</f>
        <v>17.7812380912747</v>
      </c>
    </row>
    <row r="45" customFormat="false" ht="15" hidden="false" customHeight="false" outlineLevel="0" collapsed="false">
      <c r="B45" s="24" t="s">
        <v>412</v>
      </c>
      <c r="C45" s="25" t="s">
        <v>170</v>
      </c>
      <c r="F45" s="58" t="n">
        <f aca="false">Financing!F24</f>
        <v>224.518</v>
      </c>
      <c r="G45" s="58" t="n">
        <f aca="false">Financing!G24</f>
        <v>195.18</v>
      </c>
      <c r="H45" s="58" t="n">
        <f aca="false">Financing!H24</f>
        <v>195.18</v>
      </c>
      <c r="I45" s="58" t="n">
        <f aca="false">Financing!I24</f>
        <v>195.18</v>
      </c>
      <c r="J45" s="58" t="n">
        <f aca="false">Financing!J24</f>
        <v>0</v>
      </c>
      <c r="K45" s="58" t="n">
        <f aca="false">Financing!K24</f>
        <v>0</v>
      </c>
      <c r="L45" s="58" t="n">
        <f aca="false">Financing!L24</f>
        <v>0</v>
      </c>
      <c r="M45" s="58" t="n">
        <f aca="false">Financing!M24</f>
        <v>0</v>
      </c>
      <c r="N45" s="58" t="n">
        <f aca="false">Financing!N24</f>
        <v>0</v>
      </c>
      <c r="O45" s="58" t="n">
        <f aca="false">Financing!O24</f>
        <v>0</v>
      </c>
      <c r="P45" s="58" t="n">
        <f aca="false">Financing!P24</f>
        <v>0</v>
      </c>
      <c r="Q45" s="58" t="n">
        <f aca="false">Financing!Q24</f>
        <v>0</v>
      </c>
      <c r="R45" s="58" t="n">
        <f aca="false">Financing!R24</f>
        <v>0</v>
      </c>
      <c r="S45" s="58" t="n">
        <f aca="false">Financing!S24</f>
        <v>0</v>
      </c>
    </row>
    <row r="46" customFormat="false" ht="15" hidden="false" customHeight="false" outlineLevel="0" collapsed="false">
      <c r="B46" s="24" t="s">
        <v>413</v>
      </c>
      <c r="C46" s="25" t="s">
        <v>170</v>
      </c>
      <c r="F46" s="58" t="n">
        <f aca="false">'Global Inputs'!$E$65</f>
        <v>55.9245</v>
      </c>
      <c r="G46" s="58" t="n">
        <f aca="false">'Global Inputs'!$E$65</f>
        <v>55.9245</v>
      </c>
      <c r="H46" s="58" t="n">
        <f aca="false">'Global Inputs'!$E$65</f>
        <v>55.9245</v>
      </c>
      <c r="I46" s="58" t="n">
        <f aca="false">'Global Inputs'!$E$65</f>
        <v>55.9245</v>
      </c>
      <c r="J46" s="58" t="n">
        <f aca="false">'Global Inputs'!$E$65</f>
        <v>55.9245</v>
      </c>
      <c r="K46" s="58" t="n">
        <f aca="false">'Global Inputs'!$E$65</f>
        <v>55.9245</v>
      </c>
      <c r="L46" s="58" t="n">
        <f aca="false">'Global Inputs'!$E$65</f>
        <v>55.9245</v>
      </c>
      <c r="M46" s="58" t="n">
        <f aca="false">'Global Inputs'!$E$65</f>
        <v>55.9245</v>
      </c>
      <c r="N46" s="58" t="n">
        <f aca="false">'Global Inputs'!$E$65</f>
        <v>55.9245</v>
      </c>
      <c r="O46" s="58" t="n">
        <f aca="false">'Global Inputs'!$E$65</f>
        <v>55.9245</v>
      </c>
      <c r="P46" s="58" t="n">
        <f aca="false">'Global Inputs'!$E$65</f>
        <v>55.9245</v>
      </c>
      <c r="Q46" s="58" t="n">
        <f aca="false">'Global Inputs'!$E$65</f>
        <v>55.9245</v>
      </c>
      <c r="R46" s="58" t="n">
        <f aca="false">'Global Inputs'!$E$65</f>
        <v>55.9245</v>
      </c>
      <c r="S46" s="58" t="n">
        <f aca="false">'Global Inputs'!$E$65</f>
        <v>55.9245</v>
      </c>
    </row>
    <row r="47" customFormat="false" ht="15" hidden="false" customHeight="false" outlineLevel="0" collapsed="false">
      <c r="B47" s="69" t="s">
        <v>414</v>
      </c>
      <c r="C47" s="25" t="s">
        <v>170</v>
      </c>
      <c r="F47" s="68" t="n">
        <f aca="false">F44+F45+F46</f>
        <v>295.114485982905</v>
      </c>
      <c r="G47" s="68" t="n">
        <f aca="false">G44+G45+G46</f>
        <v>261.149011354265</v>
      </c>
      <c r="H47" s="68" t="n">
        <f aca="false">H44+H45+H46</f>
        <v>260.528506169138</v>
      </c>
      <c r="I47" s="68" t="n">
        <f aca="false">I44+I45+I46</f>
        <v>260.328468026751</v>
      </c>
      <c r="J47" s="68" t="n">
        <f aca="false">J44+J45+J46</f>
        <v>66.1640434317493</v>
      </c>
      <c r="K47" s="68" t="n">
        <f aca="false">K44+K45+K46</f>
        <v>67.9519509594241</v>
      </c>
      <c r="L47" s="68" t="n">
        <f aca="false">L44+L45+L46</f>
        <v>68.8749923455377</v>
      </c>
      <c r="M47" s="68" t="n">
        <f aca="false">M44+M45+M46</f>
        <v>69.7017410451066</v>
      </c>
      <c r="N47" s="68" t="n">
        <f aca="false">N44+N45+N46</f>
        <v>70.659768663127</v>
      </c>
      <c r="O47" s="68" t="n">
        <f aca="false">O44+O45+O46</f>
        <v>71.5093330838599</v>
      </c>
      <c r="P47" s="68" t="n">
        <f aca="false">P44+P45+P46</f>
        <v>72.4945803100055</v>
      </c>
      <c r="Q47" s="68" t="n">
        <f aca="false">Q44+Q45+Q46</f>
        <v>72.154015425039</v>
      </c>
      <c r="R47" s="68" t="n">
        <f aca="false">R44+R45+R46</f>
        <v>72.8896588003286</v>
      </c>
      <c r="S47" s="68" t="n">
        <f aca="false">S44+S45+S46</f>
        <v>73.7057380912747</v>
      </c>
    </row>
    <row r="48" customFormat="false" ht="15" hidden="false" customHeight="false" outlineLevel="0" collapsed="false">
      <c r="B48" s="24" t="s">
        <v>415</v>
      </c>
      <c r="C48" s="25" t="s">
        <v>170</v>
      </c>
      <c r="F48" s="58" t="n">
        <f aca="false">Financing!F36</f>
        <v>677.731</v>
      </c>
      <c r="G48" s="58" t="n">
        <f aca="false">Financing!G36</f>
        <v>677.731</v>
      </c>
      <c r="H48" s="58" t="n">
        <f aca="false">Financing!H36</f>
        <v>677.731</v>
      </c>
      <c r="I48" s="58" t="n">
        <f aca="false">Financing!I36</f>
        <v>677.731</v>
      </c>
      <c r="J48" s="58" t="n">
        <f aca="false">Financing!J36</f>
        <v>872.911</v>
      </c>
      <c r="K48" s="58" t="n">
        <f aca="false">Financing!K36</f>
        <v>872.911</v>
      </c>
      <c r="L48" s="58" t="n">
        <f aca="false">Financing!L36</f>
        <v>872.911</v>
      </c>
      <c r="M48" s="58" t="n">
        <f aca="false">Financing!M36</f>
        <v>872.911</v>
      </c>
      <c r="N48" s="58" t="n">
        <f aca="false">Financing!N36</f>
        <v>872.911</v>
      </c>
      <c r="O48" s="58" t="n">
        <f aca="false">Financing!O36</f>
        <v>872.911</v>
      </c>
      <c r="P48" s="58" t="n">
        <f aca="false">Financing!P36</f>
        <v>872.911</v>
      </c>
      <c r="Q48" s="58" t="n">
        <f aca="false">Financing!Q36</f>
        <v>872.911</v>
      </c>
      <c r="R48" s="58" t="n">
        <f aca="false">Financing!R36</f>
        <v>872.911</v>
      </c>
      <c r="S48" s="58" t="n">
        <f aca="false">Financing!S36</f>
        <v>872.911</v>
      </c>
    </row>
    <row r="49" customFormat="false" ht="15" hidden="false" customHeight="false" outlineLevel="0" collapsed="false">
      <c r="B49" s="24" t="s">
        <v>234</v>
      </c>
      <c r="C49" s="25" t="s">
        <v>170</v>
      </c>
      <c r="F49" s="47" t="n">
        <f aca="false">'Global Inputs'!$E$67</f>
        <v>290.592</v>
      </c>
      <c r="G49" s="47" t="n">
        <f aca="false">F49+G30+G79</f>
        <v>325.530897525588</v>
      </c>
      <c r="H49" s="47" t="n">
        <f aca="false">G49+H30+H79</f>
        <v>402.335182435167</v>
      </c>
      <c r="I49" s="47" t="n">
        <f aca="false">H49+I30+I79</f>
        <v>529.111983537031</v>
      </c>
      <c r="J49" s="47" t="n">
        <f aca="false">I49+J30+J79</f>
        <v>757.762198815603</v>
      </c>
      <c r="K49" s="47" t="n">
        <f aca="false">J49+K30+K79</f>
        <v>954.474642397381</v>
      </c>
      <c r="L49" s="47" t="n">
        <f aca="false">K49+L30+L79</f>
        <v>1181.57765709345</v>
      </c>
      <c r="M49" s="47" t="n">
        <f aca="false">L49+M30+M79</f>
        <v>1420.78345356117</v>
      </c>
      <c r="N49" s="47" t="n">
        <f aca="false">M49+N30+N79</f>
        <v>1683.76597517906</v>
      </c>
      <c r="O49" s="47" t="n">
        <f aca="false">N49+O30+O79</f>
        <v>1962.02256999244</v>
      </c>
      <c r="P49" s="47" t="n">
        <f aca="false">O49+P30+P79</f>
        <v>2273.91821401996</v>
      </c>
      <c r="Q49" s="47" t="n">
        <f aca="false">P49+Q30+Q79</f>
        <v>2601.58138197887</v>
      </c>
      <c r="R49" s="47" t="n">
        <f aca="false">Q49+R30+R79</f>
        <v>2927.98418097822</v>
      </c>
      <c r="S49" s="47" t="n">
        <f aca="false">R49+S30+S79</f>
        <v>3270.00975928736</v>
      </c>
    </row>
    <row r="50" customFormat="false" ht="15" hidden="false" customHeight="false" outlineLevel="0" collapsed="false">
      <c r="B50" s="69" t="s">
        <v>416</v>
      </c>
      <c r="C50" s="25" t="s">
        <v>170</v>
      </c>
      <c r="F50" s="68" t="n">
        <f aca="false">F48+F49</f>
        <v>968.323</v>
      </c>
      <c r="G50" s="68" t="n">
        <f aca="false">G48+G49</f>
        <v>1003.26189752559</v>
      </c>
      <c r="H50" s="68" t="n">
        <f aca="false">H48+H49</f>
        <v>1080.06618243517</v>
      </c>
      <c r="I50" s="68" t="n">
        <f aca="false">I48+I49</f>
        <v>1206.84298353703</v>
      </c>
      <c r="J50" s="68" t="n">
        <f aca="false">J48+J49</f>
        <v>1630.6731988156</v>
      </c>
      <c r="K50" s="68" t="n">
        <f aca="false">K48+K49</f>
        <v>1827.38564239738</v>
      </c>
      <c r="L50" s="68" t="n">
        <f aca="false">L48+L49</f>
        <v>2054.48865709345</v>
      </c>
      <c r="M50" s="68" t="n">
        <f aca="false">M48+M49</f>
        <v>2293.69445356117</v>
      </c>
      <c r="N50" s="68" t="n">
        <f aca="false">N48+N49</f>
        <v>2556.67697517906</v>
      </c>
      <c r="O50" s="68" t="n">
        <f aca="false">O48+O49</f>
        <v>2834.93356999244</v>
      </c>
      <c r="P50" s="68" t="n">
        <f aca="false">P48+P49</f>
        <v>3146.82921401996</v>
      </c>
      <c r="Q50" s="68" t="n">
        <f aca="false">Q48+Q49</f>
        <v>3474.49238197887</v>
      </c>
      <c r="R50" s="68" t="n">
        <f aca="false">R48+R49</f>
        <v>3800.89518097822</v>
      </c>
      <c r="S50" s="68" t="n">
        <f aca="false">S48+S49</f>
        <v>4142.92075928736</v>
      </c>
    </row>
    <row r="51" customFormat="false" ht="15" hidden="false" customHeight="false" outlineLevel="0" collapsed="false">
      <c r="B51" s="24" t="s">
        <v>417</v>
      </c>
      <c r="C51" s="25" t="s">
        <v>170</v>
      </c>
      <c r="F51" s="32" t="n">
        <f aca="false">F43-F47-F50</f>
        <v>0.00622501709506196</v>
      </c>
      <c r="G51" s="32" t="n">
        <f aca="false">G43-G47-G50</f>
        <v>0.00622501709517564</v>
      </c>
      <c r="H51" s="32" t="n">
        <f aca="false">H43-H47-H50</f>
        <v>0.00622501709540302</v>
      </c>
      <c r="I51" s="32" t="n">
        <f aca="false">I43-I47-I50</f>
        <v>0.00622501709494827</v>
      </c>
      <c r="J51" s="32" t="n">
        <f aca="false">J43-J47-J50</f>
        <v>0.00622501709494827</v>
      </c>
      <c r="K51" s="32" t="n">
        <f aca="false">K43-K47-K50</f>
        <v>0.00622501709517564</v>
      </c>
      <c r="L51" s="32" t="n">
        <f aca="false">L43-L47-L50</f>
        <v>0.00622501709540302</v>
      </c>
      <c r="M51" s="32" t="n">
        <f aca="false">M43-M47-M50</f>
        <v>0.00622501709494827</v>
      </c>
      <c r="N51" s="32" t="n">
        <f aca="false">N43-N47-N50</f>
        <v>0.00622501709494827</v>
      </c>
      <c r="O51" s="32" t="n">
        <f aca="false">O43-O47-O50</f>
        <v>0.00622501709494827</v>
      </c>
      <c r="P51" s="32" t="n">
        <f aca="false">P43-P47-P50</f>
        <v>0.00622501709540302</v>
      </c>
      <c r="Q51" s="32" t="n">
        <f aca="false">Q43-Q47-Q50</f>
        <v>0.00622501709449352</v>
      </c>
      <c r="R51" s="32" t="n">
        <f aca="false">R43-R47-R50</f>
        <v>0.00622501709494827</v>
      </c>
      <c r="S51" s="32" t="n">
        <f aca="false">S43-S47-S50</f>
        <v>0.00622501709403878</v>
      </c>
    </row>
    <row r="53" customFormat="false" ht="15" hidden="false" customHeight="false" outlineLevel="0" collapsed="false">
      <c r="B53" s="22" t="s">
        <v>418</v>
      </c>
      <c r="C53" s="23"/>
      <c r="D53" s="23"/>
      <c r="E53" s="23"/>
      <c r="F53" s="23"/>
      <c r="G53" s="23"/>
      <c r="H53" s="23"/>
      <c r="I53" s="23"/>
      <c r="J53" s="23"/>
      <c r="K53" s="23"/>
      <c r="L53" s="23"/>
      <c r="M53" s="23"/>
      <c r="N53" s="23"/>
      <c r="O53" s="23"/>
      <c r="P53" s="23"/>
      <c r="Q53" s="23"/>
      <c r="R53" s="23"/>
      <c r="S53" s="23"/>
    </row>
    <row r="54" customFormat="false" ht="15" hidden="false" customHeight="false" outlineLevel="0" collapsed="false">
      <c r="B54" s="24" t="s">
        <v>399</v>
      </c>
      <c r="C54" s="25" t="s">
        <v>170</v>
      </c>
      <c r="E54" s="47" t="n">
        <f aca="false">SUM(F54:S54)</f>
        <v>4027.6431692401</v>
      </c>
      <c r="F54" s="47" t="n">
        <f aca="false">F30</f>
        <v>0</v>
      </c>
      <c r="G54" s="47" t="n">
        <f aca="false">G30</f>
        <v>41.6326425415366</v>
      </c>
      <c r="H54" s="47" t="n">
        <f aca="false">H30</f>
        <v>101.100740050127</v>
      </c>
      <c r="I54" s="47" t="n">
        <f aca="false">I30</f>
        <v>170.82576115532</v>
      </c>
      <c r="J54" s="47" t="n">
        <f aca="false">J30</f>
        <v>232.868388772905</v>
      </c>
      <c r="K54" s="47" t="n">
        <f aca="false">K30</f>
        <v>271.457985230921</v>
      </c>
      <c r="L54" s="47" t="n">
        <f aca="false">L30</f>
        <v>313.989246828563</v>
      </c>
      <c r="M54" s="47" t="n">
        <f aca="false">M30</f>
        <v>330.88632756745</v>
      </c>
      <c r="N54" s="47" t="n">
        <f aca="false">N30</f>
        <v>364.453217320058</v>
      </c>
      <c r="O54" s="47" t="n">
        <f aca="false">O30</f>
        <v>385.269305901989</v>
      </c>
      <c r="P54" s="47" t="n">
        <f aca="false">P30</f>
        <v>432.889410412191</v>
      </c>
      <c r="Q54" s="47" t="n">
        <f aca="false">Q30</f>
        <v>454.971084274292</v>
      </c>
      <c r="R54" s="47" t="n">
        <f aca="false">R30</f>
        <v>452.71961023689</v>
      </c>
      <c r="S54" s="47" t="n">
        <f aca="false">S30</f>
        <v>474.579448947858</v>
      </c>
    </row>
    <row r="55" customFormat="false" ht="15" hidden="false" customHeight="false" outlineLevel="0" collapsed="false">
      <c r="B55" s="24" t="s">
        <v>419</v>
      </c>
      <c r="C55" s="25" t="s">
        <v>170</v>
      </c>
      <c r="E55" s="47" t="n">
        <f aca="false">SUM(F55:S55)</f>
        <v>1756.08199836502</v>
      </c>
      <c r="F55" s="47" t="n">
        <f aca="false">-F23</f>
        <v>0</v>
      </c>
      <c r="G55" s="47" t="n">
        <f aca="false">-G23</f>
        <v>88.3730862512023</v>
      </c>
      <c r="H55" s="47" t="n">
        <f aca="false">-H23</f>
        <v>113.599709038291</v>
      </c>
      <c r="I55" s="47" t="n">
        <f aca="false">-I23</f>
        <v>127.998275273704</v>
      </c>
      <c r="J55" s="47" t="n">
        <f aca="false">-J23</f>
        <v>141.840867465638</v>
      </c>
      <c r="K55" s="47" t="n">
        <f aca="false">-K23</f>
        <v>149.097955856646</v>
      </c>
      <c r="L55" s="47" t="n">
        <f aca="false">-L23</f>
        <v>151.106687965474</v>
      </c>
      <c r="M55" s="47" t="n">
        <f aca="false">-M23</f>
        <v>151.115594716478</v>
      </c>
      <c r="N55" s="47" t="n">
        <f aca="false">-N23</f>
        <v>151.124679602502</v>
      </c>
      <c r="O55" s="47" t="n">
        <f aca="false">-O23</f>
        <v>153.133946186247</v>
      </c>
      <c r="P55" s="47" t="n">
        <f aca="false">-P23</f>
        <v>139.30513865452</v>
      </c>
      <c r="Q55" s="47" t="n">
        <f aca="false">-Q23</f>
        <v>132.613053120152</v>
      </c>
      <c r="R55" s="47" t="n">
        <f aca="false">-R23</f>
        <v>130.935393142955</v>
      </c>
      <c r="S55" s="47" t="n">
        <f aca="false">-S23</f>
        <v>125.837611091214</v>
      </c>
    </row>
    <row r="56" customFormat="false" ht="15" hidden="false" customHeight="false" outlineLevel="0" collapsed="false">
      <c r="B56" s="24" t="s">
        <v>352</v>
      </c>
      <c r="C56" s="25" t="s">
        <v>170</v>
      </c>
      <c r="E56" s="47" t="n">
        <f aca="false">SUM(F56:S56)</f>
        <v>-100.942694484536</v>
      </c>
      <c r="F56" s="47" t="n">
        <f aca="false">-F248</f>
        <v>-0</v>
      </c>
      <c r="G56" s="47" t="n">
        <f aca="false">-G248</f>
        <v>2.83706483520217</v>
      </c>
      <c r="H56" s="47" t="n">
        <f aca="false">-H248</f>
        <v>-15.80317779642</v>
      </c>
      <c r="I56" s="47" t="n">
        <f aca="false">-I248</f>
        <v>-24.1747955271044</v>
      </c>
      <c r="J56" s="47" t="n">
        <f aca="false">-J248</f>
        <v>-15.3074577442108</v>
      </c>
      <c r="K56" s="47" t="n">
        <f aca="false">-K248</f>
        <v>-8.63582772641501</v>
      </c>
      <c r="L56" s="47" t="n">
        <f aca="false">-L248</f>
        <v>-8.80387517116507</v>
      </c>
      <c r="M56" s="47" t="n">
        <f aca="false">-M248</f>
        <v>-3.99501126960277</v>
      </c>
      <c r="N56" s="47" t="n">
        <f aca="false">-N248</f>
        <v>-6.98493088699822</v>
      </c>
      <c r="O56" s="47" t="n">
        <f aca="false">-O248</f>
        <v>-4.57103155035614</v>
      </c>
      <c r="P56" s="47" t="n">
        <f aca="false">-P248</f>
        <v>-7.86825477135907</v>
      </c>
      <c r="Q56" s="47" t="n">
        <f aca="false">-Q248</f>
        <v>-3.46716154246492</v>
      </c>
      <c r="R56" s="47" t="n">
        <f aca="false">-R248</f>
        <v>-0.328616902558818</v>
      </c>
      <c r="S56" s="47" t="n">
        <f aca="false">-S248</f>
        <v>-3.83961843108331</v>
      </c>
    </row>
    <row r="57" customFormat="false" ht="15" hidden="false" customHeight="false" outlineLevel="0" collapsed="false">
      <c r="B57" s="69" t="s">
        <v>420</v>
      </c>
      <c r="C57" s="25" t="s">
        <v>170</v>
      </c>
      <c r="E57" s="70" t="n">
        <f aca="false">SUM(F57:S57)</f>
        <v>5682.78247312059</v>
      </c>
      <c r="F57" s="68" t="n">
        <f aca="false">F54+F55+F56</f>
        <v>0</v>
      </c>
      <c r="G57" s="68" t="n">
        <f aca="false">G54+G55+G56</f>
        <v>132.842793627941</v>
      </c>
      <c r="H57" s="68" t="n">
        <f aca="false">H54+H55+H56</f>
        <v>198.897271291998</v>
      </c>
      <c r="I57" s="68" t="n">
        <f aca="false">I54+I55+I56</f>
        <v>274.64924090192</v>
      </c>
      <c r="J57" s="68" t="n">
        <f aca="false">J54+J55+J56</f>
        <v>359.401798494332</v>
      </c>
      <c r="K57" s="68" t="n">
        <f aca="false">K54+K55+K56</f>
        <v>411.920113361151</v>
      </c>
      <c r="L57" s="68" t="n">
        <f aca="false">L54+L55+L56</f>
        <v>456.292059622871</v>
      </c>
      <c r="M57" s="68" t="n">
        <f aca="false">M54+M55+M56</f>
        <v>478.006911014325</v>
      </c>
      <c r="N57" s="68" t="n">
        <f aca="false">N54+N55+N56</f>
        <v>508.592966035562</v>
      </c>
      <c r="O57" s="68" t="n">
        <f aca="false">O54+O55+O56</f>
        <v>533.83222053788</v>
      </c>
      <c r="P57" s="68" t="n">
        <f aca="false">P54+P55+P56</f>
        <v>564.326294295352</v>
      </c>
      <c r="Q57" s="68" t="n">
        <f aca="false">Q54+Q55+Q56</f>
        <v>584.11697585198</v>
      </c>
      <c r="R57" s="68" t="n">
        <f aca="false">R54+R55+R56</f>
        <v>583.326386477287</v>
      </c>
      <c r="S57" s="68" t="n">
        <f aca="false">S54+S55+S56</f>
        <v>596.577441607989</v>
      </c>
    </row>
    <row r="58" customFormat="false" ht="15" hidden="false" customHeight="false" outlineLevel="0" collapsed="false">
      <c r="B58" s="24" t="s">
        <v>421</v>
      </c>
      <c r="C58" s="25" t="s">
        <v>170</v>
      </c>
      <c r="E58" s="47" t="n">
        <f aca="false">SUM(F58:S58)</f>
        <v>-918.087670611905</v>
      </c>
      <c r="F58" s="47" t="n">
        <f aca="false">-F216</f>
        <v>-198.433</v>
      </c>
      <c r="G58" s="47" t="n">
        <f aca="false">-G216</f>
        <v>-125.2405</v>
      </c>
      <c r="H58" s="47" t="n">
        <f aca="false">-H216</f>
        <v>-14.6385</v>
      </c>
      <c r="I58" s="47" t="n">
        <f aca="false">-I216</f>
        <v>-419.772045611905</v>
      </c>
      <c r="J58" s="47" t="n">
        <f aca="false">-J216</f>
        <v>-160.003625</v>
      </c>
      <c r="K58" s="47" t="n">
        <f aca="false">-K216</f>
        <v>-0</v>
      </c>
      <c r="L58" s="47" t="n">
        <f aca="false">-L216</f>
        <v>-0</v>
      </c>
      <c r="M58" s="47" t="n">
        <f aca="false">-M216</f>
        <v>-0</v>
      </c>
      <c r="N58" s="47" t="n">
        <f aca="false">-N216</f>
        <v>-0</v>
      </c>
      <c r="O58" s="47" t="n">
        <f aca="false">-O216</f>
        <v>-0</v>
      </c>
      <c r="P58" s="47" t="n">
        <f aca="false">-P216</f>
        <v>-0</v>
      </c>
      <c r="Q58" s="47" t="n">
        <f aca="false">-Q216</f>
        <v>-0</v>
      </c>
      <c r="R58" s="47" t="n">
        <f aca="false">-R216</f>
        <v>-0</v>
      </c>
      <c r="S58" s="47" t="n">
        <f aca="false">-S216</f>
        <v>-0</v>
      </c>
    </row>
    <row r="59" customFormat="false" ht="15" hidden="false" customHeight="false" outlineLevel="0" collapsed="false">
      <c r="B59" s="69" t="s">
        <v>422</v>
      </c>
      <c r="C59" s="25" t="s">
        <v>170</v>
      </c>
      <c r="E59" s="70" t="n">
        <f aca="false">SUM(F59:S59)</f>
        <v>-918.087670611905</v>
      </c>
      <c r="F59" s="68" t="n">
        <f aca="false">F58</f>
        <v>-198.433</v>
      </c>
      <c r="G59" s="68" t="n">
        <f aca="false">G58</f>
        <v>-125.2405</v>
      </c>
      <c r="H59" s="68" t="n">
        <f aca="false">H58</f>
        <v>-14.6385</v>
      </c>
      <c r="I59" s="68" t="n">
        <f aca="false">I58</f>
        <v>-419.772045611905</v>
      </c>
      <c r="J59" s="68" t="n">
        <f aca="false">J58</f>
        <v>-160.003625</v>
      </c>
      <c r="K59" s="68" t="n">
        <f aca="false">K58</f>
        <v>-0</v>
      </c>
      <c r="L59" s="68" t="n">
        <f aca="false">L58</f>
        <v>-0</v>
      </c>
      <c r="M59" s="68" t="n">
        <f aca="false">M58</f>
        <v>-0</v>
      </c>
      <c r="N59" s="68" t="n">
        <f aca="false">N58</f>
        <v>-0</v>
      </c>
      <c r="O59" s="68" t="n">
        <f aca="false">O58</f>
        <v>-0</v>
      </c>
      <c r="P59" s="68" t="n">
        <f aca="false">P58</f>
        <v>-0</v>
      </c>
      <c r="Q59" s="68" t="n">
        <f aca="false">Q58</f>
        <v>-0</v>
      </c>
      <c r="R59" s="68" t="n">
        <f aca="false">R58</f>
        <v>-0</v>
      </c>
      <c r="S59" s="68" t="n">
        <f aca="false">S58</f>
        <v>-0</v>
      </c>
    </row>
    <row r="60" customFormat="false" ht="15" hidden="false" customHeight="false" outlineLevel="0" collapsed="false">
      <c r="B60" s="24" t="s">
        <v>423</v>
      </c>
      <c r="C60" s="25" t="s">
        <v>170</v>
      </c>
      <c r="E60" s="47" t="n">
        <f aca="false">SUM(F60:S60)</f>
        <v>195.18</v>
      </c>
      <c r="F60" s="58" t="n">
        <f aca="false">Financing!F33</f>
        <v>0</v>
      </c>
      <c r="G60" s="58" t="n">
        <f aca="false">Financing!G33</f>
        <v>0</v>
      </c>
      <c r="H60" s="58" t="n">
        <f aca="false">Financing!H33</f>
        <v>0</v>
      </c>
      <c r="I60" s="58" t="n">
        <f aca="false">Financing!I33</f>
        <v>0</v>
      </c>
      <c r="J60" s="58" t="n">
        <f aca="false">Financing!J33</f>
        <v>195.18</v>
      </c>
      <c r="K60" s="58" t="n">
        <f aca="false">Financing!K33</f>
        <v>0</v>
      </c>
      <c r="L60" s="58" t="n">
        <f aca="false">Financing!L33</f>
        <v>0</v>
      </c>
      <c r="M60" s="58" t="n">
        <f aca="false">Financing!M33</f>
        <v>0</v>
      </c>
      <c r="N60" s="58" t="n">
        <f aca="false">Financing!N33</f>
        <v>0</v>
      </c>
      <c r="O60" s="58" t="n">
        <f aca="false">Financing!O33</f>
        <v>0</v>
      </c>
      <c r="P60" s="58" t="n">
        <f aca="false">Financing!P33</f>
        <v>0</v>
      </c>
      <c r="Q60" s="58" t="n">
        <f aca="false">Financing!Q33</f>
        <v>0</v>
      </c>
      <c r="R60" s="58" t="n">
        <f aca="false">Financing!R33</f>
        <v>0</v>
      </c>
      <c r="S60" s="58" t="n">
        <f aca="false">Financing!S33</f>
        <v>0</v>
      </c>
    </row>
    <row r="61" customFormat="false" ht="15" hidden="false" customHeight="false" outlineLevel="0" collapsed="false">
      <c r="B61" s="24" t="s">
        <v>424</v>
      </c>
      <c r="C61" s="25" t="s">
        <v>170</v>
      </c>
      <c r="E61" s="47" t="n">
        <f aca="false">SUM(F61:S61)</f>
        <v>-224.518</v>
      </c>
      <c r="F61" s="58" t="n">
        <f aca="false">-Financing!F25</f>
        <v>-0</v>
      </c>
      <c r="G61" s="58" t="n">
        <f aca="false">-Financing!G25</f>
        <v>-29.338</v>
      </c>
      <c r="H61" s="58" t="n">
        <f aca="false">-Financing!H25</f>
        <v>-0</v>
      </c>
      <c r="I61" s="58" t="n">
        <f aca="false">-Financing!I25</f>
        <v>-0</v>
      </c>
      <c r="J61" s="58" t="n">
        <f aca="false">-Financing!J25</f>
        <v>-195.18</v>
      </c>
      <c r="K61" s="58" t="n">
        <f aca="false">-Financing!K25</f>
        <v>-0</v>
      </c>
      <c r="L61" s="58" t="n">
        <f aca="false">-Financing!L25</f>
        <v>-0</v>
      </c>
      <c r="M61" s="58" t="n">
        <f aca="false">-Financing!M25</f>
        <v>-0</v>
      </c>
      <c r="N61" s="58" t="n">
        <f aca="false">-Financing!N25</f>
        <v>-0</v>
      </c>
      <c r="O61" s="58" t="n">
        <f aca="false">-Financing!O25</f>
        <v>-0</v>
      </c>
      <c r="P61" s="58" t="n">
        <f aca="false">-Financing!P25</f>
        <v>-0</v>
      </c>
      <c r="Q61" s="58" t="n">
        <f aca="false">-Financing!Q25</f>
        <v>-0</v>
      </c>
      <c r="R61" s="58" t="n">
        <f aca="false">-Financing!R25</f>
        <v>-0</v>
      </c>
      <c r="S61" s="58" t="n">
        <f aca="false">-Financing!S25</f>
        <v>-0</v>
      </c>
    </row>
    <row r="62" customFormat="false" ht="15" hidden="false" customHeight="false" outlineLevel="0" collapsed="false">
      <c r="B62" s="24" t="s">
        <v>425</v>
      </c>
      <c r="C62" s="25" t="s">
        <v>170</v>
      </c>
      <c r="E62" s="47" t="n">
        <f aca="false">SUM(F62:S62)</f>
        <v>-1048.22540995274</v>
      </c>
      <c r="F62" s="47" t="n">
        <f aca="false">F79</f>
        <v>0</v>
      </c>
      <c r="G62" s="47" t="n">
        <f aca="false">G79</f>
        <v>-6.69374501594868</v>
      </c>
      <c r="H62" s="47" t="n">
        <f aca="false">H79</f>
        <v>-24.2964551405486</v>
      </c>
      <c r="I62" s="47" t="n">
        <f aca="false">I79</f>
        <v>-44.0489600534566</v>
      </c>
      <c r="J62" s="47" t="n">
        <f aca="false">J79</f>
        <v>-4.21817349433223</v>
      </c>
      <c r="K62" s="47" t="n">
        <f aca="false">K79</f>
        <v>-74.7455416491423</v>
      </c>
      <c r="L62" s="47" t="n">
        <f aca="false">L79</f>
        <v>-86.8862321324982</v>
      </c>
      <c r="M62" s="47" t="n">
        <f aca="false">M79</f>
        <v>-91.6805310997233</v>
      </c>
      <c r="N62" s="47" t="n">
        <f aca="false">N79</f>
        <v>-101.470695702166</v>
      </c>
      <c r="O62" s="47" t="n">
        <f aca="false">O79</f>
        <v>-107.01271108861</v>
      </c>
      <c r="P62" s="47" t="n">
        <f aca="false">P79</f>
        <v>-120.993766384675</v>
      </c>
      <c r="Q62" s="47" t="n">
        <f aca="false">Q79</f>
        <v>-127.30791631538</v>
      </c>
      <c r="R62" s="47" t="n">
        <f aca="false">R79</f>
        <v>-126.31681123754</v>
      </c>
      <c r="S62" s="47" t="n">
        <f aca="false">S79</f>
        <v>-132.553870638718</v>
      </c>
    </row>
    <row r="63" customFormat="false" ht="15" hidden="false" customHeight="false" outlineLevel="0" collapsed="false">
      <c r="B63" s="69" t="s">
        <v>426</v>
      </c>
      <c r="C63" s="25" t="s">
        <v>170</v>
      </c>
      <c r="E63" s="70" t="n">
        <f aca="false">SUM(F63:S63)</f>
        <v>-1077.56340995274</v>
      </c>
      <c r="F63" s="68" t="n">
        <f aca="false">F60+F61+F62</f>
        <v>0</v>
      </c>
      <c r="G63" s="68" t="n">
        <f aca="false">G60+G61+G62</f>
        <v>-36.0317450159487</v>
      </c>
      <c r="H63" s="68" t="n">
        <f aca="false">H60+H61+H62</f>
        <v>-24.2964551405486</v>
      </c>
      <c r="I63" s="68" t="n">
        <f aca="false">I60+I61+I62</f>
        <v>-44.0489600534566</v>
      </c>
      <c r="J63" s="68" t="n">
        <f aca="false">J60+J61+J62</f>
        <v>-4.21817349433223</v>
      </c>
      <c r="K63" s="68" t="n">
        <f aca="false">K60+K61+K62</f>
        <v>-74.7455416491423</v>
      </c>
      <c r="L63" s="68" t="n">
        <f aca="false">L60+L61+L62</f>
        <v>-86.8862321324982</v>
      </c>
      <c r="M63" s="68" t="n">
        <f aca="false">M60+M61+M62</f>
        <v>-91.6805310997233</v>
      </c>
      <c r="N63" s="68" t="n">
        <f aca="false">N60+N61+N62</f>
        <v>-101.470695702166</v>
      </c>
      <c r="O63" s="68" t="n">
        <f aca="false">O60+O61+O62</f>
        <v>-107.01271108861</v>
      </c>
      <c r="P63" s="68" t="n">
        <f aca="false">P60+P61+P62</f>
        <v>-120.993766384675</v>
      </c>
      <c r="Q63" s="68" t="n">
        <f aca="false">Q60+Q61+Q62</f>
        <v>-127.30791631538</v>
      </c>
      <c r="R63" s="68" t="n">
        <f aca="false">R60+R61+R62</f>
        <v>-126.31681123754</v>
      </c>
      <c r="S63" s="68" t="n">
        <f aca="false">S60+S61+S62</f>
        <v>-132.553870638718</v>
      </c>
    </row>
    <row r="64" customFormat="false" ht="15" hidden="false" customHeight="false" outlineLevel="0" collapsed="false">
      <c r="B64" s="69" t="s">
        <v>427</v>
      </c>
      <c r="C64" s="25" t="s">
        <v>170</v>
      </c>
      <c r="E64" s="70" t="n">
        <f aca="false">SUM(F64:S64)</f>
        <v>3687.13139255594</v>
      </c>
      <c r="F64" s="68" t="n">
        <f aca="false">F57+F59+F63</f>
        <v>-198.433</v>
      </c>
      <c r="G64" s="68" t="n">
        <f aca="false">G57+G59+G63</f>
        <v>-28.4294513880076</v>
      </c>
      <c r="H64" s="68" t="n">
        <f aca="false">H57+H59+H63</f>
        <v>159.962316151449</v>
      </c>
      <c r="I64" s="68" t="n">
        <f aca="false">I57+I59+I63</f>
        <v>-189.171764763442</v>
      </c>
      <c r="J64" s="68" t="n">
        <f aca="false">J57+J59+J63</f>
        <v>195.18</v>
      </c>
      <c r="K64" s="68" t="n">
        <f aca="false">K57+K59+K63</f>
        <v>337.174571712009</v>
      </c>
      <c r="L64" s="68" t="n">
        <f aca="false">L57+L59+L63</f>
        <v>369.405827490373</v>
      </c>
      <c r="M64" s="68" t="n">
        <f aca="false">M57+M59+M63</f>
        <v>386.326379914601</v>
      </c>
      <c r="N64" s="68" t="n">
        <f aca="false">N57+N59+N63</f>
        <v>407.122270333396</v>
      </c>
      <c r="O64" s="68" t="n">
        <f aca="false">O57+O59+O63</f>
        <v>426.81950944927</v>
      </c>
      <c r="P64" s="68" t="n">
        <f aca="false">P57+P59+P63</f>
        <v>443.332527910677</v>
      </c>
      <c r="Q64" s="68" t="n">
        <f aca="false">Q57+Q59+Q63</f>
        <v>456.8090595366</v>
      </c>
      <c r="R64" s="68" t="n">
        <f aca="false">R57+R59+R63</f>
        <v>457.009575239746</v>
      </c>
      <c r="S64" s="68" t="n">
        <f aca="false">S57+S59+S63</f>
        <v>464.023570969271</v>
      </c>
    </row>
    <row r="65" customFormat="false" ht="15" hidden="false" customHeight="false" outlineLevel="0" collapsed="false">
      <c r="B65" s="24" t="s">
        <v>428</v>
      </c>
      <c r="C65" s="25" t="s">
        <v>170</v>
      </c>
      <c r="F65" s="47" t="n">
        <f aca="false">E66</f>
        <v>0</v>
      </c>
      <c r="G65" s="47" t="n">
        <f aca="false">F66</f>
        <v>60.6389</v>
      </c>
      <c r="H65" s="47" t="n">
        <f aca="false">G66</f>
        <v>32.2094486119924</v>
      </c>
      <c r="I65" s="47" t="n">
        <f aca="false">H66</f>
        <v>192.171764763442</v>
      </c>
      <c r="J65" s="47" t="n">
        <f aca="false">I66</f>
        <v>3.00000000000003</v>
      </c>
      <c r="K65" s="47" t="n">
        <f aca="false">J66</f>
        <v>198.18</v>
      </c>
      <c r="L65" s="47" t="n">
        <f aca="false">K66</f>
        <v>535.354571712009</v>
      </c>
      <c r="M65" s="47" t="n">
        <f aca="false">L66</f>
        <v>904.760399202382</v>
      </c>
      <c r="N65" s="47" t="n">
        <f aca="false">M66</f>
        <v>1291.08677911698</v>
      </c>
      <c r="O65" s="47" t="n">
        <f aca="false">N66</f>
        <v>1698.20904945038</v>
      </c>
      <c r="P65" s="47" t="n">
        <f aca="false">O66</f>
        <v>2125.02855889965</v>
      </c>
      <c r="Q65" s="47" t="n">
        <f aca="false">P66</f>
        <v>2568.36108681033</v>
      </c>
      <c r="R65" s="47" t="n">
        <f aca="false">Q66</f>
        <v>3025.17014634693</v>
      </c>
      <c r="S65" s="47" t="n">
        <f aca="false">R66</f>
        <v>3482.17972158667</v>
      </c>
    </row>
    <row r="66" customFormat="false" ht="15" hidden="false" customHeight="false" outlineLevel="0" collapsed="false">
      <c r="B66" s="69" t="s">
        <v>429</v>
      </c>
      <c r="C66" s="25" t="s">
        <v>170</v>
      </c>
      <c r="F66" s="68" t="n">
        <f aca="false">'Global Inputs'!$E$58</f>
        <v>60.6389</v>
      </c>
      <c r="G66" s="68" t="n">
        <f aca="false">G65+G64</f>
        <v>32.2094486119924</v>
      </c>
      <c r="H66" s="68" t="n">
        <f aca="false">H65+H64</f>
        <v>192.171764763442</v>
      </c>
      <c r="I66" s="68" t="n">
        <f aca="false">I65+I64</f>
        <v>3.00000000000003</v>
      </c>
      <c r="J66" s="68" t="n">
        <f aca="false">J65+J64</f>
        <v>198.18</v>
      </c>
      <c r="K66" s="68" t="n">
        <f aca="false">K65+K64</f>
        <v>535.354571712009</v>
      </c>
      <c r="L66" s="68" t="n">
        <f aca="false">L65+L64</f>
        <v>904.760399202382</v>
      </c>
      <c r="M66" s="68" t="n">
        <f aca="false">M65+M64</f>
        <v>1291.08677911698</v>
      </c>
      <c r="N66" s="68" t="n">
        <f aca="false">N65+N64</f>
        <v>1698.20904945038</v>
      </c>
      <c r="O66" s="68" t="n">
        <f aca="false">O65+O64</f>
        <v>2125.02855889965</v>
      </c>
      <c r="P66" s="68" t="n">
        <f aca="false">P65+P64</f>
        <v>2568.36108681033</v>
      </c>
      <c r="Q66" s="68" t="n">
        <f aca="false">Q65+Q64</f>
        <v>3025.17014634693</v>
      </c>
      <c r="R66" s="68" t="n">
        <f aca="false">R65+R64</f>
        <v>3482.17972158667</v>
      </c>
      <c r="S66" s="68" t="n">
        <f aca="false">S65+S64</f>
        <v>3946.20329255594</v>
      </c>
    </row>
    <row r="67" customFormat="false" ht="15" hidden="false" customHeight="false" outlineLevel="0" collapsed="false">
      <c r="B67" s="24" t="s">
        <v>430</v>
      </c>
      <c r="C67" s="25" t="s">
        <v>170</v>
      </c>
      <c r="F67" s="32" t="n">
        <f aca="false">F66-(F80+Financing!F35)</f>
        <v>0</v>
      </c>
      <c r="G67" s="32" t="n">
        <f aca="false">G66-(G80+Financing!G35)</f>
        <v>0</v>
      </c>
      <c r="H67" s="32" t="n">
        <f aca="false">H66-(H80+Financing!H35)</f>
        <v>0</v>
      </c>
      <c r="I67" s="32" t="n">
        <f aca="false">I66-(I80+Financing!I35)</f>
        <v>2.8421709430404E-014</v>
      </c>
      <c r="J67" s="32" t="n">
        <f aca="false">J66-(J80+Financing!J35)</f>
        <v>0</v>
      </c>
      <c r="K67" s="32" t="n">
        <f aca="false">K66-(K80+Financing!K35)</f>
        <v>0</v>
      </c>
      <c r="L67" s="32" t="n">
        <f aca="false">L66-(L80+Financing!L35)</f>
        <v>0</v>
      </c>
      <c r="M67" s="32" t="n">
        <f aca="false">M66-(M80+Financing!M35)</f>
        <v>0</v>
      </c>
      <c r="N67" s="32" t="n">
        <f aca="false">N66-(N80+Financing!N35)</f>
        <v>0</v>
      </c>
      <c r="O67" s="32" t="n">
        <f aca="false">O66-(O80+Financing!O35)</f>
        <v>0</v>
      </c>
      <c r="P67" s="32" t="n">
        <f aca="false">P66-(P80+Financing!P35)</f>
        <v>0</v>
      </c>
      <c r="Q67" s="32" t="n">
        <f aca="false">Q66-(Q80+Financing!Q35)</f>
        <v>0</v>
      </c>
      <c r="R67" s="32" t="n">
        <f aca="false">R66-(R80+Financing!R35)</f>
        <v>0</v>
      </c>
      <c r="S67" s="32" t="n">
        <f aca="false">S66-(S80+Financing!S35)</f>
        <v>0</v>
      </c>
    </row>
    <row r="69" customFormat="false" ht="15" hidden="false" customHeight="false" outlineLevel="0" collapsed="false">
      <c r="B69" s="22" t="s">
        <v>431</v>
      </c>
      <c r="C69" s="23"/>
      <c r="D69" s="23"/>
      <c r="E69" s="23"/>
      <c r="F69" s="23"/>
      <c r="G69" s="23"/>
      <c r="H69" s="23"/>
      <c r="I69" s="23"/>
      <c r="J69" s="23"/>
      <c r="K69" s="23"/>
      <c r="L69" s="23"/>
      <c r="M69" s="23"/>
      <c r="N69" s="23"/>
      <c r="O69" s="23"/>
      <c r="P69" s="23"/>
      <c r="Q69" s="23"/>
      <c r="R69" s="23"/>
      <c r="S69" s="23"/>
    </row>
    <row r="70" customFormat="false" ht="15" hidden="false" customHeight="false" outlineLevel="0" collapsed="false">
      <c r="B70" s="24" t="s">
        <v>432</v>
      </c>
      <c r="C70" s="25" t="s">
        <v>170</v>
      </c>
      <c r="F70" s="47" t="n">
        <f aca="false">E80</f>
        <v>0</v>
      </c>
      <c r="G70" s="47" t="n">
        <f aca="false">F80</f>
        <v>60.6389</v>
      </c>
      <c r="H70" s="47" t="n">
        <f aca="false">G80</f>
        <v>32.2094486119924</v>
      </c>
      <c r="I70" s="47" t="n">
        <f aca="false">H80</f>
        <v>192.171764763442</v>
      </c>
      <c r="J70" s="47" t="n">
        <f aca="false">I80</f>
        <v>3</v>
      </c>
      <c r="K70" s="47" t="n">
        <f aca="false">J80</f>
        <v>3</v>
      </c>
      <c r="L70" s="47" t="n">
        <f aca="false">K80</f>
        <v>340.174571712009</v>
      </c>
      <c r="M70" s="47" t="n">
        <f aca="false">L80</f>
        <v>709.580399202382</v>
      </c>
      <c r="N70" s="47" t="n">
        <f aca="false">M80</f>
        <v>1095.90677911698</v>
      </c>
      <c r="O70" s="47" t="n">
        <f aca="false">N80</f>
        <v>1503.02904945038</v>
      </c>
      <c r="P70" s="47" t="n">
        <f aca="false">O80</f>
        <v>1929.84855889965</v>
      </c>
      <c r="Q70" s="47" t="n">
        <f aca="false">P80</f>
        <v>2373.18108681033</v>
      </c>
      <c r="R70" s="47" t="n">
        <f aca="false">Q80</f>
        <v>2829.99014634693</v>
      </c>
      <c r="S70" s="47" t="n">
        <f aca="false">R80</f>
        <v>3286.99972158667</v>
      </c>
    </row>
    <row r="71" customFormat="false" ht="15" hidden="false" customHeight="false" outlineLevel="0" collapsed="false">
      <c r="B71" s="24" t="s">
        <v>420</v>
      </c>
      <c r="C71" s="25" t="s">
        <v>170</v>
      </c>
      <c r="F71" s="47" t="n">
        <f aca="false">F57</f>
        <v>0</v>
      </c>
      <c r="G71" s="47" t="n">
        <f aca="false">G57</f>
        <v>132.842793627941</v>
      </c>
      <c r="H71" s="47" t="n">
        <f aca="false">H57</f>
        <v>198.897271291998</v>
      </c>
      <c r="I71" s="47" t="n">
        <f aca="false">I57</f>
        <v>274.64924090192</v>
      </c>
      <c r="J71" s="47" t="n">
        <f aca="false">J57</f>
        <v>359.401798494332</v>
      </c>
      <c r="K71" s="47" t="n">
        <f aca="false">K57</f>
        <v>411.920113361151</v>
      </c>
      <c r="L71" s="47" t="n">
        <f aca="false">L57</f>
        <v>456.292059622871</v>
      </c>
      <c r="M71" s="47" t="n">
        <f aca="false">M57</f>
        <v>478.006911014325</v>
      </c>
      <c r="N71" s="47" t="n">
        <f aca="false">N57</f>
        <v>508.592966035562</v>
      </c>
      <c r="O71" s="47" t="n">
        <f aca="false">O57</f>
        <v>533.83222053788</v>
      </c>
      <c r="P71" s="47" t="n">
        <f aca="false">P57</f>
        <v>564.326294295352</v>
      </c>
      <c r="Q71" s="47" t="n">
        <f aca="false">Q57</f>
        <v>584.11697585198</v>
      </c>
      <c r="R71" s="47" t="n">
        <f aca="false">R57</f>
        <v>583.326386477287</v>
      </c>
      <c r="S71" s="47" t="n">
        <f aca="false">S57</f>
        <v>596.577441607989</v>
      </c>
    </row>
    <row r="72" customFormat="false" ht="15" hidden="false" customHeight="false" outlineLevel="0" collapsed="false">
      <c r="B72" s="24" t="s">
        <v>433</v>
      </c>
      <c r="C72" s="25" t="s">
        <v>170</v>
      </c>
      <c r="F72" s="47" t="n">
        <f aca="false">F58</f>
        <v>-198.433</v>
      </c>
      <c r="G72" s="47" t="n">
        <f aca="false">G58</f>
        <v>-125.2405</v>
      </c>
      <c r="H72" s="47" t="n">
        <f aca="false">H58</f>
        <v>-14.6385</v>
      </c>
      <c r="I72" s="47" t="n">
        <f aca="false">I58</f>
        <v>-419.772045611905</v>
      </c>
      <c r="J72" s="47" t="n">
        <f aca="false">J58</f>
        <v>-160.003625</v>
      </c>
      <c r="K72" s="47" t="n">
        <f aca="false">K58</f>
        <v>-0</v>
      </c>
      <c r="L72" s="47" t="n">
        <f aca="false">L58</f>
        <v>-0</v>
      </c>
      <c r="M72" s="47" t="n">
        <f aca="false">M58</f>
        <v>-0</v>
      </c>
      <c r="N72" s="47" t="n">
        <f aca="false">N58</f>
        <v>-0</v>
      </c>
      <c r="O72" s="47" t="n">
        <f aca="false">O58</f>
        <v>-0</v>
      </c>
      <c r="P72" s="47" t="n">
        <f aca="false">P58</f>
        <v>-0</v>
      </c>
      <c r="Q72" s="47" t="n">
        <f aca="false">Q58</f>
        <v>-0</v>
      </c>
      <c r="R72" s="47" t="n">
        <f aca="false">R58</f>
        <v>-0</v>
      </c>
      <c r="S72" s="47" t="n">
        <f aca="false">S58</f>
        <v>-0</v>
      </c>
    </row>
    <row r="73" customFormat="false" ht="15" hidden="false" customHeight="false" outlineLevel="0" collapsed="false">
      <c r="B73" s="24" t="s">
        <v>434</v>
      </c>
      <c r="C73" s="25" t="s">
        <v>170</v>
      </c>
      <c r="F73" s="47" t="n">
        <f aca="false">F61</f>
        <v>-0</v>
      </c>
      <c r="G73" s="47" t="n">
        <f aca="false">G61</f>
        <v>-29.338</v>
      </c>
      <c r="H73" s="47" t="n">
        <f aca="false">H61</f>
        <v>-0</v>
      </c>
      <c r="I73" s="47" t="n">
        <f aca="false">I61</f>
        <v>-0</v>
      </c>
      <c r="J73" s="47" t="n">
        <f aca="false">J61</f>
        <v>-195.18</v>
      </c>
      <c r="K73" s="47" t="n">
        <f aca="false">K61</f>
        <v>-0</v>
      </c>
      <c r="L73" s="47" t="n">
        <f aca="false">L61</f>
        <v>-0</v>
      </c>
      <c r="M73" s="47" t="n">
        <f aca="false">M61</f>
        <v>-0</v>
      </c>
      <c r="N73" s="47" t="n">
        <f aca="false">N61</f>
        <v>-0</v>
      </c>
      <c r="O73" s="47" t="n">
        <f aca="false">O61</f>
        <v>-0</v>
      </c>
      <c r="P73" s="47" t="n">
        <f aca="false">P61</f>
        <v>-0</v>
      </c>
      <c r="Q73" s="47" t="n">
        <f aca="false">Q61</f>
        <v>-0</v>
      </c>
      <c r="R73" s="47" t="n">
        <f aca="false">R61</f>
        <v>-0</v>
      </c>
      <c r="S73" s="47" t="n">
        <f aca="false">S61</f>
        <v>-0</v>
      </c>
    </row>
    <row r="74" customFormat="false" ht="15" hidden="false" customHeight="false" outlineLevel="0" collapsed="false">
      <c r="B74" s="69" t="s">
        <v>435</v>
      </c>
      <c r="C74" s="25" t="s">
        <v>170</v>
      </c>
      <c r="F74" s="68" t="n">
        <f aca="false">F70+F71+F72+F73</f>
        <v>-198.433</v>
      </c>
      <c r="G74" s="68" t="n">
        <f aca="false">G70+G71+G72+G73</f>
        <v>38.9031936279411</v>
      </c>
      <c r="H74" s="68" t="n">
        <f aca="false">H70+H71+H72+H73</f>
        <v>216.46821990399</v>
      </c>
      <c r="I74" s="68" t="n">
        <f aca="false">I70+I71+I72+I73</f>
        <v>47.0489600534566</v>
      </c>
      <c r="J74" s="68" t="n">
        <f aca="false">J70+J71+J72+J73</f>
        <v>7.21817349433223</v>
      </c>
      <c r="K74" s="68" t="n">
        <f aca="false">K70+K71+K72+K73</f>
        <v>414.920113361151</v>
      </c>
      <c r="L74" s="68" t="n">
        <f aca="false">L70+L71+L72+L73</f>
        <v>796.466631334881</v>
      </c>
      <c r="M74" s="68" t="n">
        <f aca="false">M70+M71+M72+M73</f>
        <v>1187.58731021671</v>
      </c>
      <c r="N74" s="68" t="n">
        <f aca="false">N70+N71+N72+N73</f>
        <v>1604.49974515255</v>
      </c>
      <c r="O74" s="68" t="n">
        <f aca="false">O70+O71+O72+O73</f>
        <v>2036.86126998826</v>
      </c>
      <c r="P74" s="68" t="n">
        <f aca="false">P70+P71+P72+P73</f>
        <v>2494.174853195</v>
      </c>
      <c r="Q74" s="68" t="n">
        <f aca="false">Q70+Q71+Q72+Q73</f>
        <v>2957.29806266231</v>
      </c>
      <c r="R74" s="68" t="n">
        <f aca="false">R70+R71+R72+R73</f>
        <v>3413.31653282421</v>
      </c>
      <c r="S74" s="68" t="n">
        <f aca="false">S70+S71+S72+S73</f>
        <v>3883.57716319466</v>
      </c>
    </row>
    <row r="75" customFormat="false" ht="15" hidden="false" customHeight="false" outlineLevel="0" collapsed="false">
      <c r="B75" s="77" t="s">
        <v>436</v>
      </c>
      <c r="C75" s="25" t="s">
        <v>170</v>
      </c>
      <c r="F75" s="47" t="n">
        <f aca="false">MAX(0,F74-'Global Inputs'!$E$82)</f>
        <v>0</v>
      </c>
      <c r="G75" s="47" t="n">
        <f aca="false">MAX(0,G74-'Global Inputs'!$E$82)</f>
        <v>35.9031936279411</v>
      </c>
      <c r="H75" s="47" t="n">
        <f aca="false">MAX(0,H74-'Global Inputs'!$E$82)</f>
        <v>213.46821990399</v>
      </c>
      <c r="I75" s="47" t="n">
        <f aca="false">MAX(0,I74-'Global Inputs'!$E$82)</f>
        <v>44.0489600534566</v>
      </c>
      <c r="J75" s="47" t="n">
        <f aca="false">MAX(0,J74-'Global Inputs'!$E$82)</f>
        <v>4.21817349433223</v>
      </c>
      <c r="K75" s="47" t="n">
        <f aca="false">MAX(0,K74-'Global Inputs'!$E$82)</f>
        <v>411.920113361151</v>
      </c>
      <c r="L75" s="47" t="n">
        <f aca="false">MAX(0,L74-'Global Inputs'!$E$82)</f>
        <v>793.466631334881</v>
      </c>
      <c r="M75" s="47" t="n">
        <f aca="false">MAX(0,M74-'Global Inputs'!$E$82)</f>
        <v>1184.58731021671</v>
      </c>
      <c r="N75" s="47" t="n">
        <f aca="false">MAX(0,N74-'Global Inputs'!$E$82)</f>
        <v>1601.49974515255</v>
      </c>
      <c r="O75" s="47" t="n">
        <f aca="false">MAX(0,O74-'Global Inputs'!$E$82)</f>
        <v>2033.86126998826</v>
      </c>
      <c r="P75" s="47" t="n">
        <f aca="false">MAX(0,P74-'Global Inputs'!$E$82)</f>
        <v>2491.174853195</v>
      </c>
      <c r="Q75" s="47" t="n">
        <f aca="false">MAX(0,Q74-'Global Inputs'!$E$82)</f>
        <v>2954.29806266231</v>
      </c>
      <c r="R75" s="47" t="n">
        <f aca="false">MAX(0,R74-'Global Inputs'!$E$82)</f>
        <v>3410.31653282421</v>
      </c>
      <c r="S75" s="47" t="n">
        <f aca="false">MAX(0,S74-'Global Inputs'!$E$82)</f>
        <v>3880.57716319466</v>
      </c>
    </row>
    <row r="76" customFormat="false" ht="15" hidden="false" customHeight="false" outlineLevel="0" collapsed="false">
      <c r="B76" s="77" t="s">
        <v>437</v>
      </c>
      <c r="C76" s="25" t="s">
        <v>170</v>
      </c>
      <c r="F76" s="47" t="n">
        <f aca="false">F30-F31</f>
        <v>0</v>
      </c>
      <c r="G76" s="47" t="n">
        <f aca="false">G30-G31</f>
        <v>22.3124833864956</v>
      </c>
      <c r="H76" s="47" t="n">
        <f aca="false">H30-H31</f>
        <v>80.9881838018287</v>
      </c>
      <c r="I76" s="47" t="n">
        <f aca="false">I30-I31</f>
        <v>150.183746887698</v>
      </c>
      <c r="J76" s="47" t="n">
        <f aca="false">J30-J31</f>
        <v>211.402220138394</v>
      </c>
      <c r="K76" s="47" t="n">
        <f aca="false">K30-K31</f>
        <v>249.151805497141</v>
      </c>
      <c r="L76" s="47" t="n">
        <f aca="false">L30-L31</f>
        <v>289.620773774994</v>
      </c>
      <c r="M76" s="47" t="n">
        <f aca="false">M30-M31</f>
        <v>305.601770332411</v>
      </c>
      <c r="N76" s="47" t="n">
        <f aca="false">N30-N31</f>
        <v>338.235652340553</v>
      </c>
      <c r="O76" s="47" t="n">
        <f aca="false">O30-O31</f>
        <v>356.709036962034</v>
      </c>
      <c r="P76" s="47" t="n">
        <f aca="false">P30-P31</f>
        <v>403.312554615582</v>
      </c>
      <c r="Q76" s="47" t="n">
        <f aca="false">Q30-Q31</f>
        <v>424.359721051267</v>
      </c>
      <c r="R76" s="47" t="n">
        <f aca="false">R30-R31</f>
        <v>421.056037458467</v>
      </c>
      <c r="S76" s="47" t="n">
        <f aca="false">S30-S31</f>
        <v>441.846235462393</v>
      </c>
    </row>
    <row r="77" customFormat="false" ht="15" hidden="false" customHeight="false" outlineLevel="0" collapsed="false">
      <c r="B77" s="77" t="s">
        <v>438</v>
      </c>
      <c r="C77" s="25" t="s">
        <v>170</v>
      </c>
      <c r="F77" s="47" t="n">
        <f aca="false">MAX(0,'Global Inputs'!$E$83*F76)</f>
        <v>0</v>
      </c>
      <c r="G77" s="47" t="n">
        <f aca="false">MAX(0,'Global Inputs'!$E$83*G76)</f>
        <v>6.69374501594868</v>
      </c>
      <c r="H77" s="47" t="n">
        <f aca="false">MAX(0,'Global Inputs'!$E$83*H76)</f>
        <v>24.2964551405486</v>
      </c>
      <c r="I77" s="47" t="n">
        <f aca="false">MAX(0,'Global Inputs'!$E$83*I76)</f>
        <v>45.0551240663093</v>
      </c>
      <c r="J77" s="47" t="n">
        <f aca="false">MAX(0,'Global Inputs'!$E$83*J76)</f>
        <v>63.4206660415181</v>
      </c>
      <c r="K77" s="47" t="n">
        <f aca="false">MAX(0,'Global Inputs'!$E$83*K76)</f>
        <v>74.7455416491423</v>
      </c>
      <c r="L77" s="47" t="n">
        <f aca="false">MAX(0,'Global Inputs'!$E$83*L76)</f>
        <v>86.8862321324982</v>
      </c>
      <c r="M77" s="47" t="n">
        <f aca="false">MAX(0,'Global Inputs'!$E$83*M76)</f>
        <v>91.6805310997233</v>
      </c>
      <c r="N77" s="47" t="n">
        <f aca="false">MAX(0,'Global Inputs'!$E$83*N76)</f>
        <v>101.470695702166</v>
      </c>
      <c r="O77" s="47" t="n">
        <f aca="false">MAX(0,'Global Inputs'!$E$83*O76)</f>
        <v>107.01271108861</v>
      </c>
      <c r="P77" s="47" t="n">
        <f aca="false">MAX(0,'Global Inputs'!$E$83*P76)</f>
        <v>120.993766384675</v>
      </c>
      <c r="Q77" s="47" t="n">
        <f aca="false">MAX(0,'Global Inputs'!$E$83*Q76)</f>
        <v>127.30791631538</v>
      </c>
      <c r="R77" s="47" t="n">
        <f aca="false">MAX(0,'Global Inputs'!$E$83*R76)</f>
        <v>126.31681123754</v>
      </c>
      <c r="S77" s="47" t="n">
        <f aca="false">MAX(0,'Global Inputs'!$E$83*S76)</f>
        <v>132.553870638718</v>
      </c>
    </row>
    <row r="78" customFormat="false" ht="15" hidden="false" customHeight="false" outlineLevel="0" collapsed="false">
      <c r="B78" s="77" t="s">
        <v>439</v>
      </c>
      <c r="C78" s="25" t="s">
        <v>170</v>
      </c>
      <c r="F78" s="47" t="n">
        <f aca="false">MAX(0,F30+E49-'Global Inputs'!$E$84*'Global Inputs'!$E$24/1000*'Global Inputs'!$E$85)</f>
        <v>0</v>
      </c>
      <c r="G78" s="47" t="n">
        <f aca="false">MAX(0,G30+F49-'Global Inputs'!$E$84*'Global Inputs'!$E$24/1000*'Global Inputs'!$E$85)</f>
        <v>273.670642541537</v>
      </c>
      <c r="H78" s="47" t="n">
        <f aca="false">MAX(0,H30+G49-'Global Inputs'!$E$84*'Global Inputs'!$E$24/1000*'Global Inputs'!$E$85)</f>
        <v>368.077637575715</v>
      </c>
      <c r="I78" s="47" t="n">
        <f aca="false">MAX(0,I30+H49-'Global Inputs'!$E$84*'Global Inputs'!$E$24/1000*'Global Inputs'!$E$85)</f>
        <v>514.606943590487</v>
      </c>
      <c r="J78" s="47" t="n">
        <f aca="false">MAX(0,J30+I49-'Global Inputs'!$E$84*'Global Inputs'!$E$24/1000*'Global Inputs'!$E$85)</f>
        <v>703.426372309935</v>
      </c>
      <c r="K78" s="47" t="n">
        <f aca="false">MAX(0,K30+J49-'Global Inputs'!$E$84*'Global Inputs'!$E$24/1000*'Global Inputs'!$E$85)</f>
        <v>970.666184046523</v>
      </c>
      <c r="L78" s="47" t="n">
        <f aca="false">MAX(0,L30+K49-'Global Inputs'!$E$84*'Global Inputs'!$E$24/1000*'Global Inputs'!$E$85)</f>
        <v>1209.90988922594</v>
      </c>
      <c r="M78" s="47" t="n">
        <f aca="false">MAX(0,M30+L49-'Global Inputs'!$E$84*'Global Inputs'!$E$24/1000*'Global Inputs'!$E$85)</f>
        <v>1453.9099846609</v>
      </c>
      <c r="N78" s="47" t="n">
        <f aca="false">MAX(0,N30+M49-'Global Inputs'!$E$84*'Global Inputs'!$E$24/1000*'Global Inputs'!$E$85)</f>
        <v>1726.68267088123</v>
      </c>
      <c r="O78" s="47" t="n">
        <f aca="false">MAX(0,O30+N49-'Global Inputs'!$E$84*'Global Inputs'!$E$24/1000*'Global Inputs'!$E$85)</f>
        <v>2010.48128108105</v>
      </c>
      <c r="P78" s="47" t="n">
        <f aca="false">MAX(0,P30+O49-'Global Inputs'!$E$84*'Global Inputs'!$E$24/1000*'Global Inputs'!$E$85)</f>
        <v>2336.35798040464</v>
      </c>
      <c r="Q78" s="47" t="n">
        <f aca="false">MAX(0,Q30+P49-'Global Inputs'!$E$84*'Global Inputs'!$E$24/1000*'Global Inputs'!$E$85)</f>
        <v>2670.33529829425</v>
      </c>
      <c r="R78" s="47" t="n">
        <f aca="false">MAX(0,R30+Q49-'Global Inputs'!$E$84*'Global Inputs'!$E$24/1000*'Global Inputs'!$E$85)</f>
        <v>2995.74699221576</v>
      </c>
      <c r="S78" s="47" t="n">
        <f aca="false">MAX(0,S30+R49-'Global Inputs'!$E$84*'Global Inputs'!$E$24/1000*'Global Inputs'!$E$85)</f>
        <v>3344.00962992608</v>
      </c>
    </row>
    <row r="79" customFormat="false" ht="15" hidden="false" customHeight="false" outlineLevel="0" collapsed="false">
      <c r="B79" s="24" t="s">
        <v>440</v>
      </c>
      <c r="C79" s="25" t="s">
        <v>170</v>
      </c>
      <c r="E79" s="47" t="n">
        <f aca="false">SUM(F79:S79)</f>
        <v>-1048.22540995274</v>
      </c>
      <c r="F79" s="47" t="n">
        <f aca="false">0</f>
        <v>0</v>
      </c>
      <c r="G79" s="47" t="n">
        <f aca="false">-MIN(G77,G78,G75)*'Global Inputs'!$E$35*G$8</f>
        <v>-6.69374501594868</v>
      </c>
      <c r="H79" s="47" t="n">
        <f aca="false">-MIN(H77,H78,H75)*'Global Inputs'!$E$35*H$8</f>
        <v>-24.2964551405486</v>
      </c>
      <c r="I79" s="47" t="n">
        <f aca="false">-MIN(I77,I78,I75)*'Global Inputs'!$E$35*I$8</f>
        <v>-44.0489600534566</v>
      </c>
      <c r="J79" s="47" t="n">
        <f aca="false">-MIN(J77,J78,J75)*'Global Inputs'!$E$35*J$8</f>
        <v>-4.21817349433223</v>
      </c>
      <c r="K79" s="47" t="n">
        <f aca="false">-MIN(K77,K78,K75)*'Global Inputs'!$E$35*K$8</f>
        <v>-74.7455416491423</v>
      </c>
      <c r="L79" s="47" t="n">
        <f aca="false">-MIN(L77,L78,L75)*'Global Inputs'!$E$35*L$8</f>
        <v>-86.8862321324982</v>
      </c>
      <c r="M79" s="47" t="n">
        <f aca="false">-MIN(M77,M78,M75)*'Global Inputs'!$E$35*M$8</f>
        <v>-91.6805310997233</v>
      </c>
      <c r="N79" s="47" t="n">
        <f aca="false">-MIN(N77,N78,N75)*'Global Inputs'!$E$35*N$8</f>
        <v>-101.470695702166</v>
      </c>
      <c r="O79" s="47" t="n">
        <f aca="false">-MIN(O77,O78,O75)*'Global Inputs'!$E$35*O$8</f>
        <v>-107.01271108861</v>
      </c>
      <c r="P79" s="47" t="n">
        <f aca="false">-MIN(P77,P78,P75)*'Global Inputs'!$E$35*P$8</f>
        <v>-120.993766384675</v>
      </c>
      <c r="Q79" s="47" t="n">
        <f aca="false">-MIN(Q77,Q78,Q75)*'Global Inputs'!$E$35*Q$8</f>
        <v>-127.30791631538</v>
      </c>
      <c r="R79" s="47" t="n">
        <f aca="false">-MIN(R77,R78,R75)*'Global Inputs'!$E$35*R$8</f>
        <v>-126.31681123754</v>
      </c>
      <c r="S79" s="47" t="n">
        <f aca="false">-MIN(S77,S78,S75)*'Global Inputs'!$E$35*S$8</f>
        <v>-132.553870638718</v>
      </c>
    </row>
    <row r="80" customFormat="false" ht="15" hidden="false" customHeight="false" outlineLevel="0" collapsed="false">
      <c r="B80" s="69" t="s">
        <v>441</v>
      </c>
      <c r="C80" s="25" t="s">
        <v>170</v>
      </c>
      <c r="F80" s="68" t="n">
        <f aca="false">'Global Inputs'!$E$58</f>
        <v>60.6389</v>
      </c>
      <c r="G80" s="68" t="n">
        <f aca="false">G74+G79</f>
        <v>32.2094486119924</v>
      </c>
      <c r="H80" s="68" t="n">
        <f aca="false">H74+H79</f>
        <v>192.171764763442</v>
      </c>
      <c r="I80" s="68" t="n">
        <f aca="false">I74+I79</f>
        <v>3</v>
      </c>
      <c r="J80" s="68" t="n">
        <f aca="false">J74+J79</f>
        <v>3</v>
      </c>
      <c r="K80" s="68" t="n">
        <f aca="false">K74+K79</f>
        <v>340.174571712009</v>
      </c>
      <c r="L80" s="68" t="n">
        <f aca="false">L74+L79</f>
        <v>709.580399202382</v>
      </c>
      <c r="M80" s="68" t="n">
        <f aca="false">M74+M79</f>
        <v>1095.90677911698</v>
      </c>
      <c r="N80" s="68" t="n">
        <f aca="false">N74+N79</f>
        <v>1503.02904945038</v>
      </c>
      <c r="O80" s="68" t="n">
        <f aca="false">O74+O79</f>
        <v>1929.84855889965</v>
      </c>
      <c r="P80" s="68" t="n">
        <f aca="false">P74+P79</f>
        <v>2373.18108681033</v>
      </c>
      <c r="Q80" s="68" t="n">
        <f aca="false">Q74+Q79</f>
        <v>2829.99014634693</v>
      </c>
      <c r="R80" s="68" t="n">
        <f aca="false">R74+R79</f>
        <v>3286.99972158667</v>
      </c>
      <c r="S80" s="68" t="n">
        <f aca="false">S74+S79</f>
        <v>3751.02329255595</v>
      </c>
    </row>
    <row r="81" customFormat="false" ht="15" hidden="false" customHeight="false" outlineLevel="0" collapsed="false">
      <c r="B81" s="24" t="s">
        <v>442</v>
      </c>
      <c r="C81" s="25" t="s">
        <v>170</v>
      </c>
      <c r="F81" s="58" t="n">
        <f aca="false">'Global Inputs'!$E$82*F$8</f>
        <v>0</v>
      </c>
      <c r="G81" s="58" t="n">
        <f aca="false">'Global Inputs'!$E$82*G$8</f>
        <v>3</v>
      </c>
      <c r="H81" s="58" t="n">
        <f aca="false">'Global Inputs'!$E$82*H$8</f>
        <v>3</v>
      </c>
      <c r="I81" s="58" t="n">
        <f aca="false">'Global Inputs'!$E$82*I$8</f>
        <v>3</v>
      </c>
      <c r="J81" s="58" t="n">
        <f aca="false">'Global Inputs'!$E$82*J$8</f>
        <v>3</v>
      </c>
      <c r="K81" s="58" t="n">
        <f aca="false">'Global Inputs'!$E$82*K$8</f>
        <v>3</v>
      </c>
      <c r="L81" s="58" t="n">
        <f aca="false">'Global Inputs'!$E$82*L$8</f>
        <v>3</v>
      </c>
      <c r="M81" s="58" t="n">
        <f aca="false">'Global Inputs'!$E$82*M$8</f>
        <v>3</v>
      </c>
      <c r="N81" s="58" t="n">
        <f aca="false">'Global Inputs'!$E$82*N$8</f>
        <v>3</v>
      </c>
      <c r="O81" s="58" t="n">
        <f aca="false">'Global Inputs'!$E$82*O$8</f>
        <v>3</v>
      </c>
      <c r="P81" s="58" t="n">
        <f aca="false">'Global Inputs'!$E$82*P$8</f>
        <v>3</v>
      </c>
      <c r="Q81" s="58" t="n">
        <f aca="false">'Global Inputs'!$E$82*Q$8</f>
        <v>3</v>
      </c>
      <c r="R81" s="58" t="n">
        <f aca="false">'Global Inputs'!$E$82*R$8</f>
        <v>3</v>
      </c>
      <c r="S81" s="58" t="n">
        <f aca="false">'Global Inputs'!$E$82*S$8</f>
        <v>3</v>
      </c>
    </row>
    <row r="82" customFormat="false" ht="15" hidden="false" customHeight="false" outlineLevel="0" collapsed="false">
      <c r="B82" s="24" t="s">
        <v>443</v>
      </c>
      <c r="C82" s="25" t="s">
        <v>170</v>
      </c>
      <c r="F82" s="47" t="n">
        <f aca="false">MAX(0,F81-F80)</f>
        <v>0</v>
      </c>
      <c r="G82" s="47" t="n">
        <f aca="false">MAX(0,G81-G80)</f>
        <v>0</v>
      </c>
      <c r="H82" s="47" t="n">
        <f aca="false">MAX(0,H81-H80)</f>
        <v>0</v>
      </c>
      <c r="I82" s="47" t="n">
        <f aca="false">MAX(0,I81-I80)</f>
        <v>0</v>
      </c>
      <c r="J82" s="47" t="n">
        <f aca="false">MAX(0,J81-J80)</f>
        <v>0</v>
      </c>
      <c r="K82" s="47" t="n">
        <f aca="false">MAX(0,K81-K80)</f>
        <v>0</v>
      </c>
      <c r="L82" s="47" t="n">
        <f aca="false">MAX(0,L81-L80)</f>
        <v>0</v>
      </c>
      <c r="M82" s="47" t="n">
        <f aca="false">MAX(0,M81-M80)</f>
        <v>0</v>
      </c>
      <c r="N82" s="47" t="n">
        <f aca="false">MAX(0,N81-N80)</f>
        <v>0</v>
      </c>
      <c r="O82" s="47" t="n">
        <f aca="false">MAX(0,O81-O80)</f>
        <v>0</v>
      </c>
      <c r="P82" s="47" t="n">
        <f aca="false">MAX(0,P81-P80)</f>
        <v>0</v>
      </c>
      <c r="Q82" s="47" t="n">
        <f aca="false">MAX(0,Q81-Q80)</f>
        <v>0</v>
      </c>
      <c r="R82" s="47" t="n">
        <f aca="false">MAX(0,R81-R80)</f>
        <v>0</v>
      </c>
      <c r="S82" s="47" t="n">
        <f aca="false">MAX(0,S81-S80)</f>
        <v>0</v>
      </c>
    </row>
    <row r="83" customFormat="false" ht="15" hidden="false" customHeight="false" outlineLevel="0" collapsed="false">
      <c r="B83" s="77" t="s">
        <v>444</v>
      </c>
      <c r="C83" s="25" t="s">
        <v>170</v>
      </c>
      <c r="F83" s="47" t="n">
        <f aca="false">IF(F$5&lt;'Global Inputs'!$E$77,F82,0)</f>
        <v>0</v>
      </c>
      <c r="G83" s="47" t="n">
        <f aca="false">IF(G$5&lt;'Global Inputs'!$E$77,G82,0)</f>
        <v>0</v>
      </c>
      <c r="H83" s="47" t="n">
        <f aca="false">IF(H$5&lt;'Global Inputs'!$E$77,H82,0)</f>
        <v>0</v>
      </c>
      <c r="I83" s="47" t="n">
        <f aca="false">IF(I$5&lt;'Global Inputs'!$E$77,I82,0)</f>
        <v>0</v>
      </c>
      <c r="J83" s="47" t="n">
        <f aca="false">IF(J$5&lt;'Global Inputs'!$E$77,J82,0)</f>
        <v>0</v>
      </c>
      <c r="K83" s="47" t="n">
        <f aca="false">IF(K$5&lt;'Global Inputs'!$E$77,K82,0)</f>
        <v>0</v>
      </c>
      <c r="L83" s="47" t="n">
        <f aca="false">IF(L$5&lt;'Global Inputs'!$E$77,L82,0)</f>
        <v>0</v>
      </c>
      <c r="M83" s="47" t="n">
        <f aca="false">IF(M$5&lt;'Global Inputs'!$E$77,M82,0)</f>
        <v>0</v>
      </c>
      <c r="N83" s="47" t="n">
        <f aca="false">IF(N$5&lt;'Global Inputs'!$E$77,N82,0)</f>
        <v>0</v>
      </c>
      <c r="O83" s="47" t="n">
        <f aca="false">IF(O$5&lt;'Global Inputs'!$E$77,O82,0)</f>
        <v>0</v>
      </c>
      <c r="P83" s="47" t="n">
        <f aca="false">IF(P$5&lt;'Global Inputs'!$E$77,P82,0)</f>
        <v>0</v>
      </c>
      <c r="Q83" s="47" t="n">
        <f aca="false">IF(Q$5&lt;'Global Inputs'!$E$77,Q82,0)</f>
        <v>0</v>
      </c>
      <c r="R83" s="47" t="n">
        <f aca="false">IF(R$5&lt;'Global Inputs'!$E$77,R82,0)</f>
        <v>0</v>
      </c>
      <c r="S83" s="47" t="n">
        <f aca="false">IF(S$5&lt;'Global Inputs'!$E$77,S82,0)</f>
        <v>0</v>
      </c>
    </row>
    <row r="84" customFormat="false" ht="15" hidden="false" customHeight="false" outlineLevel="0" collapsed="false">
      <c r="B84" s="77" t="s">
        <v>445</v>
      </c>
      <c r="C84" s="25" t="s">
        <v>170</v>
      </c>
      <c r="F84" s="47" t="n">
        <f aca="false">IF(F$5&gt;='Global Inputs'!$E$77,F82,0)</f>
        <v>0</v>
      </c>
      <c r="G84" s="47" t="n">
        <f aca="false">IF(G$5&gt;='Global Inputs'!$E$77,G82,0)</f>
        <v>0</v>
      </c>
      <c r="H84" s="47" t="n">
        <f aca="false">IF(H$5&gt;='Global Inputs'!$E$77,H82,0)</f>
        <v>0</v>
      </c>
      <c r="I84" s="47" t="n">
        <f aca="false">IF(I$5&gt;='Global Inputs'!$E$77,I82,0)</f>
        <v>0</v>
      </c>
      <c r="J84" s="47" t="n">
        <f aca="false">IF(J$5&gt;='Global Inputs'!$E$77,J82,0)</f>
        <v>0</v>
      </c>
      <c r="K84" s="47" t="n">
        <f aca="false">IF(K$5&gt;='Global Inputs'!$E$77,K82,0)</f>
        <v>0</v>
      </c>
      <c r="L84" s="47" t="n">
        <f aca="false">IF(L$5&gt;='Global Inputs'!$E$77,L82,0)</f>
        <v>0</v>
      </c>
      <c r="M84" s="47" t="n">
        <f aca="false">IF(M$5&gt;='Global Inputs'!$E$77,M82,0)</f>
        <v>0</v>
      </c>
      <c r="N84" s="47" t="n">
        <f aca="false">IF(N$5&gt;='Global Inputs'!$E$77,N82,0)</f>
        <v>0</v>
      </c>
      <c r="O84" s="47" t="n">
        <f aca="false">IF(O$5&gt;='Global Inputs'!$E$77,O82,0)</f>
        <v>0</v>
      </c>
      <c r="P84" s="47" t="n">
        <f aca="false">IF(P$5&gt;='Global Inputs'!$E$77,P82,0)</f>
        <v>0</v>
      </c>
      <c r="Q84" s="47" t="n">
        <f aca="false">IF(Q$5&gt;='Global Inputs'!$E$77,Q82,0)</f>
        <v>0</v>
      </c>
      <c r="R84" s="47" t="n">
        <f aca="false">IF(R$5&gt;='Global Inputs'!$E$77,R82,0)</f>
        <v>0</v>
      </c>
      <c r="S84" s="47" t="n">
        <f aca="false">IF(S$5&gt;='Global Inputs'!$E$77,S82,0)</f>
        <v>0</v>
      </c>
    </row>
    <row r="85" customFormat="false" ht="15" hidden="false" customHeight="false" outlineLevel="0" collapsed="false">
      <c r="B85" s="69" t="s">
        <v>446</v>
      </c>
      <c r="C85" s="25" t="s">
        <v>170</v>
      </c>
      <c r="E85" s="70" t="n">
        <f aca="false">SUM(F85:S85)</f>
        <v>195.18</v>
      </c>
      <c r="F85" s="68" t="n">
        <f aca="false">IF(F$5='Global Inputs'!$E$77,MAX(MAX($F$84:$S$84),Financing!F16),0)</f>
        <v>0</v>
      </c>
      <c r="G85" s="68" t="n">
        <f aca="false">IF(G$5='Global Inputs'!$E$77,MAX(MAX($F$84:$S$84),Financing!G16),0)</f>
        <v>0</v>
      </c>
      <c r="H85" s="68" t="n">
        <f aca="false">IF(H$5='Global Inputs'!$E$77,MAX(MAX($F$84:$S$84),Financing!H16),0)</f>
        <v>0</v>
      </c>
      <c r="I85" s="68" t="n">
        <f aca="false">IF(I$5='Global Inputs'!$E$77,MAX(MAX($F$84:$S$84),Financing!I16),0)</f>
        <v>0</v>
      </c>
      <c r="J85" s="68" t="n">
        <f aca="false">IF(J$5='Global Inputs'!$E$77,MAX(MAX($F$84:$S$84),Financing!J16),0)</f>
        <v>195.18</v>
      </c>
      <c r="K85" s="68" t="n">
        <f aca="false">IF(K$5='Global Inputs'!$E$77,MAX(MAX($F$84:$S$84),Financing!K16),0)</f>
        <v>0</v>
      </c>
      <c r="L85" s="68" t="n">
        <f aca="false">IF(L$5='Global Inputs'!$E$77,MAX(MAX($F$84:$S$84),Financing!L16),0)</f>
        <v>0</v>
      </c>
      <c r="M85" s="68" t="n">
        <f aca="false">IF(M$5='Global Inputs'!$E$77,MAX(MAX($F$84:$S$84),Financing!M16),0)</f>
        <v>0</v>
      </c>
      <c r="N85" s="68" t="n">
        <f aca="false">IF(N$5='Global Inputs'!$E$77,MAX(MAX($F$84:$S$84),Financing!N16),0)</f>
        <v>0</v>
      </c>
      <c r="O85" s="68" t="n">
        <f aca="false">IF(O$5='Global Inputs'!$E$77,MAX(MAX($F$84:$S$84),Financing!O16),0)</f>
        <v>0</v>
      </c>
      <c r="P85" s="68" t="n">
        <f aca="false">IF(P$5='Global Inputs'!$E$77,MAX(MAX($F$84:$S$84),Financing!P16),0)</f>
        <v>0</v>
      </c>
      <c r="Q85" s="68" t="n">
        <f aca="false">IF(Q$5='Global Inputs'!$E$77,MAX(MAX($F$84:$S$84),Financing!Q16),0)</f>
        <v>0</v>
      </c>
      <c r="R85" s="68" t="n">
        <f aca="false">IF(R$5='Global Inputs'!$E$77,MAX(MAX($F$84:$S$84),Financing!R16),0)</f>
        <v>0</v>
      </c>
      <c r="S85" s="68" t="n">
        <f aca="false">IF(S$5='Global Inputs'!$E$77,MAX(MAX($F$84:$S$84),Financing!S16),0)</f>
        <v>0</v>
      </c>
      <c r="U85" s="5" t="s">
        <v>447</v>
      </c>
    </row>
    <row r="86" customFormat="false" ht="15" hidden="false" customHeight="false" outlineLevel="0" collapsed="false">
      <c r="B86" s="24" t="s">
        <v>448</v>
      </c>
      <c r="C86" s="25" t="s">
        <v>170</v>
      </c>
      <c r="E86" s="47" t="n">
        <f aca="false">SUM(F86:S86)</f>
        <v>0</v>
      </c>
      <c r="F86" s="47" t="n">
        <f aca="false">MAX(0,F81-F66)*F$8</f>
        <v>0</v>
      </c>
      <c r="G86" s="47" t="n">
        <f aca="false">MAX(0,G81-G66)*G$8</f>
        <v>0</v>
      </c>
      <c r="H86" s="47" t="n">
        <f aca="false">MAX(0,H81-H66)*H$8</f>
        <v>0</v>
      </c>
      <c r="I86" s="47" t="n">
        <f aca="false">MAX(0,I81-I66)*I$8</f>
        <v>0</v>
      </c>
      <c r="J86" s="47" t="n">
        <f aca="false">MAX(0,J81-J66)*J$8</f>
        <v>0</v>
      </c>
      <c r="K86" s="47" t="n">
        <f aca="false">MAX(0,K81-K66)*K$8</f>
        <v>0</v>
      </c>
      <c r="L86" s="47" t="n">
        <f aca="false">MAX(0,L81-L66)*L$8</f>
        <v>0</v>
      </c>
      <c r="M86" s="47" t="n">
        <f aca="false">MAX(0,M81-M66)*M$8</f>
        <v>0</v>
      </c>
      <c r="N86" s="47" t="n">
        <f aca="false">MAX(0,N81-N66)*N$8</f>
        <v>0</v>
      </c>
      <c r="O86" s="47" t="n">
        <f aca="false">MAX(0,O81-O66)*O$8</f>
        <v>0</v>
      </c>
      <c r="P86" s="47" t="n">
        <f aca="false">MAX(0,P81-P66)*P$8</f>
        <v>0</v>
      </c>
      <c r="Q86" s="47" t="n">
        <f aca="false">MAX(0,Q81-Q66)*Q$8</f>
        <v>0</v>
      </c>
      <c r="R86" s="47" t="n">
        <f aca="false">MAX(0,R81-R66)*R$8</f>
        <v>0</v>
      </c>
      <c r="S86" s="47" t="n">
        <f aca="false">MAX(0,S81-S66)*S$8</f>
        <v>0</v>
      </c>
    </row>
    <row r="88" customFormat="false" ht="15" hidden="false" customHeight="false" outlineLevel="0" collapsed="false">
      <c r="B88" s="22" t="s">
        <v>449</v>
      </c>
      <c r="C88" s="23"/>
      <c r="D88" s="23"/>
      <c r="E88" s="23"/>
      <c r="F88" s="23"/>
      <c r="G88" s="23"/>
      <c r="H88" s="23"/>
      <c r="I88" s="23"/>
      <c r="J88" s="23"/>
      <c r="K88" s="23"/>
      <c r="L88" s="23"/>
      <c r="M88" s="23"/>
      <c r="N88" s="23"/>
      <c r="O88" s="23"/>
      <c r="P88" s="23"/>
      <c r="Q88" s="23"/>
      <c r="R88" s="23"/>
      <c r="S88" s="23"/>
    </row>
    <row r="89" customFormat="false" ht="15" hidden="false" customHeight="false" outlineLevel="0" collapsed="false">
      <c r="B89" s="78" t="s">
        <v>345</v>
      </c>
      <c r="C89" s="79"/>
      <c r="D89" s="79"/>
      <c r="E89" s="79"/>
      <c r="F89" s="79"/>
      <c r="G89" s="79"/>
      <c r="H89" s="79"/>
      <c r="I89" s="79"/>
      <c r="J89" s="79"/>
      <c r="K89" s="79"/>
      <c r="L89" s="79"/>
      <c r="M89" s="79"/>
      <c r="N89" s="79"/>
      <c r="O89" s="79"/>
      <c r="P89" s="79"/>
      <c r="Q89" s="79"/>
      <c r="R89" s="79"/>
      <c r="S89" s="79"/>
    </row>
    <row r="90" customFormat="false" ht="15" hidden="false" customHeight="false" outlineLevel="0" collapsed="false">
      <c r="B90" s="77" t="s">
        <v>31</v>
      </c>
      <c r="C90" s="25" t="s">
        <v>170</v>
      </c>
      <c r="E90" s="55" t="n">
        <f aca="false">'Global Inputs'!$L$89</f>
        <v>1</v>
      </c>
      <c r="F90" s="58" t="n">
        <f aca="false">'E1 TelukLamong Output'!F11*$E$90</f>
        <v>0</v>
      </c>
      <c r="G90" s="58" t="n">
        <f aca="false">'E1 TelukLamong Output'!G11*$E$90</f>
        <v>156.43828</v>
      </c>
      <c r="H90" s="58" t="n">
        <f aca="false">'E1 TelukLamong Output'!H11*$E$90</f>
        <v>161.1314284</v>
      </c>
      <c r="I90" s="58" t="n">
        <f aca="false">'E1 TelukLamong Output'!I11*$E$90</f>
        <v>165.965371252</v>
      </c>
      <c r="J90" s="58" t="n">
        <f aca="false">'E1 TelukLamong Output'!J11*$E$90</f>
        <v>170.94433238956</v>
      </c>
      <c r="K90" s="58" t="n">
        <f aca="false">'E1 TelukLamong Output'!K11*$E$90</f>
        <v>176.072662361247</v>
      </c>
      <c r="L90" s="58" t="n">
        <f aca="false">'E1 TelukLamong Output'!L11*$E$90</f>
        <v>186.795487499047</v>
      </c>
      <c r="M90" s="58" t="n">
        <f aca="false">'E1 TelukLamong Output'!M11*$E$90</f>
        <v>192.399352124018</v>
      </c>
      <c r="N90" s="58" t="n">
        <f aca="false">'E1 TelukLamong Output'!N11*$E$90</f>
        <v>198.171332687739</v>
      </c>
      <c r="O90" s="58" t="n">
        <f aca="false">'E1 TelukLamong Output'!O11*$E$90</f>
        <v>210.239966848422</v>
      </c>
      <c r="P90" s="58" t="n">
        <f aca="false">'E1 TelukLamong Output'!P11*$E$90</f>
        <v>216.547165853875</v>
      </c>
      <c r="Q90" s="58" t="n">
        <f aca="false">'E1 TelukLamong Output'!Q11*$E$90</f>
        <v>223.043580829491</v>
      </c>
      <c r="R90" s="58" t="n">
        <f aca="false">'E1 TelukLamong Output'!R11*$E$90</f>
        <v>229.734888254376</v>
      </c>
      <c r="S90" s="58" t="n">
        <f aca="false">'E1 TelukLamong Output'!S11*$E$90</f>
        <v>236.626934902007</v>
      </c>
    </row>
    <row r="91" customFormat="false" ht="15" hidden="false" customHeight="false" outlineLevel="0" collapsed="false">
      <c r="B91" s="77" t="s">
        <v>34</v>
      </c>
      <c r="C91" s="25" t="s">
        <v>170</v>
      </c>
      <c r="E91" s="55" t="n">
        <f aca="false">'Global Inputs'!$L$90</f>
        <v>1</v>
      </c>
      <c r="F91" s="58" t="n">
        <f aca="false">'E2 CigadingExist Output'!F11*$E$91</f>
        <v>0</v>
      </c>
      <c r="G91" s="58" t="n">
        <f aca="false">'E2 CigadingExist Output'!G11*$E$91</f>
        <v>38.65796</v>
      </c>
      <c r="H91" s="58" t="n">
        <f aca="false">'E2 CigadingExist Output'!H11*$E$91</f>
        <v>46.389552</v>
      </c>
      <c r="I91" s="58" t="n">
        <f aca="false">'E2 CigadingExist Output'!I11*$E$91</f>
        <v>47.78123856</v>
      </c>
      <c r="J91" s="58" t="n">
        <f aca="false">'E2 CigadingExist Output'!J11*$E$91</f>
        <v>59.05761086016</v>
      </c>
      <c r="K91" s="58" t="n">
        <f aca="false">'E2 CigadingExist Output'!K11*$E$91</f>
        <v>60.8293391859648</v>
      </c>
      <c r="L91" s="58" t="n">
        <f aca="false">'E2 CigadingExist Output'!L11*$E$91</f>
        <v>68.9196412976981</v>
      </c>
      <c r="M91" s="58" t="n">
        <f aca="false">'E2 CigadingExist Output'!M11*$E$91</f>
        <v>70.9872305366291</v>
      </c>
      <c r="N91" s="58" t="n">
        <f aca="false">'E2 CigadingExist Output'!N11*$E$91</f>
        <v>77.5038582998916</v>
      </c>
      <c r="O91" s="58" t="n">
        <f aca="false">'E2 CigadingExist Output'!O11*$E$91</f>
        <v>79.8289740488884</v>
      </c>
      <c r="P91" s="58" t="n">
        <f aca="false">'E2 CigadingExist Output'!P11*$E$91</f>
        <v>87.1572738665763</v>
      </c>
      <c r="Q91" s="58" t="n">
        <f aca="false">'E2 CigadingExist Output'!Q11*$E$91</f>
        <v>89.7719920825736</v>
      </c>
      <c r="R91" s="58" t="n">
        <f aca="false">'E2 CigadingExist Output'!R11*$E$91</f>
        <v>92.4651518450508</v>
      </c>
      <c r="S91" s="58" t="n">
        <f aca="false">'E2 CigadingExist Output'!S11*$E$91</f>
        <v>95.2391064004024</v>
      </c>
    </row>
    <row r="92" customFormat="false" ht="15" hidden="false" customHeight="false" outlineLevel="0" collapsed="false">
      <c r="B92" s="77" t="s">
        <v>37</v>
      </c>
      <c r="C92" s="25" t="s">
        <v>170</v>
      </c>
      <c r="E92" s="55" t="n">
        <f aca="false">'Global Inputs'!$L$91</f>
        <v>1</v>
      </c>
      <c r="F92" s="58" t="n">
        <f aca="false">'E3 Belawan Output'!F11*$E$92</f>
        <v>0</v>
      </c>
      <c r="G92" s="58" t="n">
        <f aca="false">'E3 Belawan Output'!G11*$E$92</f>
        <v>22.2435</v>
      </c>
      <c r="H92" s="58" t="n">
        <f aca="false">'E3 Belawan Output'!H11*$E$92</f>
        <v>22.910805</v>
      </c>
      <c r="I92" s="58" t="n">
        <f aca="false">'E3 Belawan Output'!I11*$E$92</f>
        <v>34.9679270625</v>
      </c>
      <c r="J92" s="58" t="n">
        <f aca="false">'E3 Belawan Output'!J11*$E$92</f>
        <v>44.806464874375</v>
      </c>
      <c r="K92" s="58" t="n">
        <f aca="false">'E3 Belawan Output'!K11*$E$92</f>
        <v>49.5268792852244</v>
      </c>
      <c r="L92" s="58" t="n">
        <f aca="false">'E3 Belawan Output'!L11*$E$92</f>
        <v>54.5245821005696</v>
      </c>
      <c r="M92" s="58" t="n">
        <f aca="false">'E3 Belawan Output'!M11*$E$92</f>
        <v>59.8140565636268</v>
      </c>
      <c r="N92" s="58" t="n">
        <f aca="false">'E3 Belawan Output'!N11*$E$92</f>
        <v>65.4105328962369</v>
      </c>
      <c r="O92" s="58" t="n">
        <f aca="false">'E3 Belawan Output'!O11*$E$92</f>
        <v>71.3300278493691</v>
      </c>
      <c r="P92" s="58" t="n">
        <f aca="false">'E3 Belawan Output'!P11*$E$92</f>
        <v>77.5893864308892</v>
      </c>
      <c r="Q92" s="58" t="n">
        <f aca="false">'E3 Belawan Output'!Q11*$E$92</f>
        <v>84.2064817177669</v>
      </c>
      <c r="R92" s="58" t="n">
        <f aca="false">'E3 Belawan Output'!R11*$E$92</f>
        <v>57.7967623822037</v>
      </c>
      <c r="S92" s="58" t="n">
        <f aca="false">'E3 Belawan Output'!S11*$E$92</f>
        <v>61.3165852112799</v>
      </c>
    </row>
    <row r="93" customFormat="false" ht="15" hidden="false" customHeight="false" outlineLevel="0" collapsed="false">
      <c r="B93" s="77" t="s">
        <v>40</v>
      </c>
      <c r="C93" s="25" t="s">
        <v>170</v>
      </c>
      <c r="E93" s="55" t="n">
        <f aca="false">'Global Inputs'!$L$92</f>
        <v>1</v>
      </c>
      <c r="F93" s="58" t="n">
        <f aca="false">'E4 WIN Output'!F11*$E$93</f>
        <v>0</v>
      </c>
      <c r="G93" s="58" t="n">
        <f aca="false">'E4 WIN Output'!G11*$E$93</f>
        <v>87.9486723607539</v>
      </c>
      <c r="H93" s="58" t="n">
        <f aca="false">'E4 WIN Output'!H11*$E$93</f>
        <v>65.3586410331276</v>
      </c>
      <c r="I93" s="58" t="n">
        <f aca="false">'E4 WIN Output'!I11*$E$93</f>
        <v>61.9897288255351</v>
      </c>
      <c r="J93" s="58" t="n">
        <f aca="false">'E4 WIN Output'!J11*$E$93</f>
        <v>66.8577054381607</v>
      </c>
      <c r="K93" s="58" t="n">
        <f aca="false">'E4 WIN Output'!K11*$E$93</f>
        <v>72.1093080811055</v>
      </c>
      <c r="L93" s="58" t="n">
        <f aca="false">'E4 WIN Output'!L11*$E$93</f>
        <v>77.7748685545113</v>
      </c>
      <c r="M93" s="58" t="n">
        <f aca="false">'E4 WIN Output'!M11*$E$93</f>
        <v>83.8871242192732</v>
      </c>
      <c r="N93" s="58" t="n">
        <f aca="false">'E4 WIN Output'!N11*$E$93</f>
        <v>90.4814093167961</v>
      </c>
      <c r="O93" s="58" t="n">
        <f aca="false">'E4 WIN Output'!O11*$E$93</f>
        <v>97.5958615442911</v>
      </c>
      <c r="P93" s="58" t="n">
        <f aca="false">'E4 WIN Output'!P11*$E$93</f>
        <v>105.271645104941</v>
      </c>
      <c r="Q93" s="58" t="n">
        <f aca="false">'E4 WIN Output'!Q11*$E$93</f>
        <v>93.1878419546129</v>
      </c>
      <c r="R93" s="58" t="n">
        <f aca="false">'E4 WIN Output'!R11*$E$93</f>
        <v>97.7168270689103</v>
      </c>
      <c r="S93" s="58" t="n">
        <f aca="false">'E4 WIN Output'!S11*$E$93</f>
        <v>102.467045159585</v>
      </c>
    </row>
    <row r="94" customFormat="false" ht="15" hidden="false" customHeight="false" outlineLevel="0" collapsed="false">
      <c r="B94" s="77" t="s">
        <v>43</v>
      </c>
      <c r="C94" s="25" t="s">
        <v>170</v>
      </c>
      <c r="E94" s="55" t="n">
        <f aca="false">'Global Inputs'!$L$93</f>
        <v>1</v>
      </c>
      <c r="F94" s="58" t="n">
        <f aca="false">'P01 CigWharf2 Output'!F11*$E$94</f>
        <v>0</v>
      </c>
      <c r="G94" s="58" t="n">
        <f aca="false">'P01 CigWharf2 Output'!G11*$E$94</f>
        <v>0</v>
      </c>
      <c r="H94" s="58" t="n">
        <f aca="false">'P01 CigWharf2 Output'!H11*$E$94</f>
        <v>100.312209096192</v>
      </c>
      <c r="I94" s="58" t="n">
        <f aca="false">'P01 CigWharf2 Output'!I11*$E$94</f>
        <v>103.321575369078</v>
      </c>
      <c r="J94" s="58" t="n">
        <f aca="false">'P01 CigWharf2 Output'!J11*$E$94</f>
        <v>127.70546715618</v>
      </c>
      <c r="K94" s="58" t="n">
        <f aca="false">'P01 CigWharf2 Output'!K11*$E$94</f>
        <v>131.536631170866</v>
      </c>
      <c r="L94" s="58" t="n">
        <f aca="false">'P01 CigWharf2 Output'!L11*$E$94</f>
        <v>149.031003116591</v>
      </c>
      <c r="M94" s="58" t="n">
        <f aca="false">'P01 CigWharf2 Output'!M11*$E$94</f>
        <v>153.501933210088</v>
      </c>
      <c r="N94" s="58" t="n">
        <f aca="false">'P01 CigWharf2 Output'!N11*$E$94</f>
        <v>167.593410678774</v>
      </c>
      <c r="O94" s="58" t="n">
        <f aca="false">'P01 CigWharf2 Output'!O11*$E$94</f>
        <v>172.621212999138</v>
      </c>
      <c r="P94" s="58" t="n">
        <f aca="false">'P01 CigWharf2 Output'!P11*$E$94</f>
        <v>188.467840352459</v>
      </c>
      <c r="Q94" s="58" t="n">
        <f aca="false">'P01 CigWharf2 Output'!Q11*$E$94</f>
        <v>194.121875563032</v>
      </c>
      <c r="R94" s="58" t="n">
        <f aca="false">'P01 CigWharf2 Output'!R11*$E$94</f>
        <v>199.945531829923</v>
      </c>
      <c r="S94" s="58" t="n">
        <f aca="false">'P01 CigWharf2 Output'!S11*$E$94</f>
        <v>205.943897784821</v>
      </c>
    </row>
    <row r="95" customFormat="false" ht="15" hidden="false" customHeight="false" outlineLevel="0" collapsed="false">
      <c r="B95" s="77" t="s">
        <v>46</v>
      </c>
      <c r="C95" s="25" t="s">
        <v>170</v>
      </c>
      <c r="E95" s="55" t="n">
        <f aca="false">'Global Inputs'!$L$94</f>
        <v>1</v>
      </c>
      <c r="F95" s="58" t="n">
        <f aca="false">'P02 CigConveyor Output'!F11*$E$95</f>
        <v>0</v>
      </c>
      <c r="G95" s="58" t="n">
        <f aca="false">'P02 CigConveyor Output'!G11*$E$95</f>
        <v>0</v>
      </c>
      <c r="H95" s="58" t="n">
        <f aca="false">'P02 CigConveyor Output'!H11*$E$95</f>
        <v>31.5</v>
      </c>
      <c r="I95" s="58" t="n">
        <f aca="false">'P02 CigConveyor Output'!I11*$E$95</f>
        <v>32.445</v>
      </c>
      <c r="J95" s="58" t="n">
        <f aca="false">'P02 CigConveyor Output'!J11*$E$95</f>
        <v>33.41835</v>
      </c>
      <c r="K95" s="58" t="n">
        <f aca="false">'P02 CigConveyor Output'!K11*$E$95</f>
        <v>34.4209005</v>
      </c>
      <c r="L95" s="58" t="n">
        <f aca="false">'P02 CigConveyor Output'!L11*$E$95</f>
        <v>35.453527515</v>
      </c>
      <c r="M95" s="58" t="n">
        <f aca="false">'P02 CigConveyor Output'!M11*$E$95</f>
        <v>36.51713334045</v>
      </c>
      <c r="N95" s="58" t="n">
        <f aca="false">'P02 CigConveyor Output'!N11*$E$95</f>
        <v>37.6126473406635</v>
      </c>
      <c r="O95" s="58" t="n">
        <f aca="false">'P02 CigConveyor Output'!O11*$E$95</f>
        <v>38.7410267608834</v>
      </c>
      <c r="P95" s="58" t="n">
        <f aca="false">'P02 CigConveyor Output'!P11*$E$95</f>
        <v>39.9032575637099</v>
      </c>
      <c r="Q95" s="58" t="n">
        <f aca="false">'P02 CigConveyor Output'!Q11*$E$95</f>
        <v>41.1003552906212</v>
      </c>
      <c r="R95" s="58" t="n">
        <f aca="false">'P02 CigConveyor Output'!R11*$E$95</f>
        <v>42.3333659493399</v>
      </c>
      <c r="S95" s="58" t="n">
        <f aca="false">'P02 CigConveyor Output'!S11*$E$95</f>
        <v>43.6033669278201</v>
      </c>
    </row>
    <row r="96" customFormat="false" ht="15" hidden="false" customHeight="false" outlineLevel="0" collapsed="false">
      <c r="B96" s="77" t="s">
        <v>48</v>
      </c>
      <c r="C96" s="25" t="s">
        <v>170</v>
      </c>
      <c r="E96" s="55" t="n">
        <f aca="false">'Global Inputs'!$L$95</f>
        <v>1</v>
      </c>
      <c r="F96" s="58" t="n">
        <f aca="false">'P03 KBSWarehouse Output'!F11*$E$96</f>
        <v>0</v>
      </c>
      <c r="G96" s="58" t="n">
        <f aca="false">'P03 KBSWarehouse Output'!G11*$E$96</f>
        <v>0</v>
      </c>
      <c r="H96" s="58" t="n">
        <f aca="false">'P03 KBSWarehouse Output'!H11*$E$96</f>
        <v>0</v>
      </c>
      <c r="I96" s="58" t="n">
        <f aca="false">'P03 KBSWarehouse Output'!I11*$E$96</f>
        <v>0</v>
      </c>
      <c r="J96" s="58" t="n">
        <f aca="false">'P03 KBSWarehouse Output'!J11*$E$96</f>
        <v>53.023782</v>
      </c>
      <c r="K96" s="58" t="n">
        <f aca="false">'P03 KBSWarehouse Output'!K11*$E$96</f>
        <v>54.61449546</v>
      </c>
      <c r="L96" s="58" t="n">
        <f aca="false">'P03 KBSWarehouse Output'!L11*$E$96</f>
        <v>56.2529303238</v>
      </c>
      <c r="M96" s="58" t="n">
        <f aca="false">'P03 KBSWarehouse Output'!M11*$E$96</f>
        <v>57.940518233514</v>
      </c>
      <c r="N96" s="58" t="n">
        <f aca="false">'P03 KBSWarehouse Output'!N11*$E$96</f>
        <v>59.6787337805194</v>
      </c>
      <c r="O96" s="58" t="n">
        <f aca="false">'P03 KBSWarehouse Output'!O11*$E$96</f>
        <v>61.469095793935</v>
      </c>
      <c r="P96" s="58" t="n">
        <f aca="false">'P03 KBSWarehouse Output'!P11*$E$96</f>
        <v>63.3131686677531</v>
      </c>
      <c r="Q96" s="58" t="n">
        <f aca="false">'P03 KBSWarehouse Output'!Q11*$E$96</f>
        <v>65.2125637277857</v>
      </c>
      <c r="R96" s="58" t="n">
        <f aca="false">'P03 KBSWarehouse Output'!R11*$E$96</f>
        <v>67.1689406396192</v>
      </c>
      <c r="S96" s="58" t="n">
        <f aca="false">'P03 KBSWarehouse Output'!S11*$E$96</f>
        <v>69.1840088588078</v>
      </c>
    </row>
    <row r="97" customFormat="false" ht="15" hidden="false" customHeight="false" outlineLevel="0" collapsed="false">
      <c r="B97" s="77" t="s">
        <v>51</v>
      </c>
      <c r="C97" s="25" t="s">
        <v>170</v>
      </c>
      <c r="E97" s="55" t="n">
        <f aca="false">'Global Inputs'!$L$96</f>
        <v>1</v>
      </c>
      <c r="F97" s="58" t="n">
        <f aca="false">'P04 TTLSilo Output'!F11*$E$97</f>
        <v>0</v>
      </c>
      <c r="G97" s="58" t="n">
        <f aca="false">'P04 TTLSilo Output'!G11*$E$97</f>
        <v>0</v>
      </c>
      <c r="H97" s="58" t="n">
        <f aca="false">'P04 TTLSilo Output'!H11*$E$97</f>
        <v>0</v>
      </c>
      <c r="I97" s="58" t="n">
        <f aca="false">'P04 TTLSilo Output'!I11*$E$97</f>
        <v>0</v>
      </c>
      <c r="J97" s="58" t="n">
        <f aca="false">'P04 TTLSilo Output'!J11*$E$97</f>
        <v>13.26</v>
      </c>
      <c r="K97" s="58" t="n">
        <f aca="false">'P04 TTLSilo Output'!K11*$E$97</f>
        <v>13.26</v>
      </c>
      <c r="L97" s="58" t="n">
        <f aca="false">'P04 TTLSilo Output'!L11*$E$97</f>
        <v>13.26</v>
      </c>
      <c r="M97" s="58" t="n">
        <f aca="false">'P04 TTLSilo Output'!M11*$E$97</f>
        <v>13.26</v>
      </c>
      <c r="N97" s="58" t="n">
        <f aca="false">'P04 TTLSilo Output'!N11*$E$97</f>
        <v>13.26</v>
      </c>
      <c r="O97" s="58" t="n">
        <f aca="false">'P04 TTLSilo Output'!O11*$E$97</f>
        <v>13.26</v>
      </c>
      <c r="P97" s="58" t="n">
        <f aca="false">'P04 TTLSilo Output'!P11*$E$97</f>
        <v>13.26</v>
      </c>
      <c r="Q97" s="58" t="n">
        <f aca="false">'P04 TTLSilo Output'!Q11*$E$97</f>
        <v>13.26</v>
      </c>
      <c r="R97" s="58" t="n">
        <f aca="false">'P04 TTLSilo Output'!R11*$E$97</f>
        <v>13.26</v>
      </c>
      <c r="S97" s="58" t="n">
        <f aca="false">'P04 TTLSilo Output'!S11*$E$97</f>
        <v>13.26</v>
      </c>
    </row>
    <row r="98" customFormat="false" ht="15" hidden="false" customHeight="false" outlineLevel="0" collapsed="false">
      <c r="B98" s="77" t="s">
        <v>54</v>
      </c>
      <c r="C98" s="25" t="s">
        <v>170</v>
      </c>
      <c r="E98" s="55" t="n">
        <f aca="false">'Global Inputs'!$L$97</f>
        <v>1</v>
      </c>
      <c r="F98" s="58" t="n">
        <f aca="false">'P05 Dumai Output'!F11*$E$98</f>
        <v>0</v>
      </c>
      <c r="G98" s="58" t="n">
        <f aca="false">'P05 Dumai Output'!G11*$E$98</f>
        <v>0</v>
      </c>
      <c r="H98" s="58" t="n">
        <f aca="false">'P05 Dumai Output'!H11*$E$98</f>
        <v>0</v>
      </c>
      <c r="I98" s="58" t="n">
        <f aca="false">'P05 Dumai Output'!I11*$E$98</f>
        <v>48.1</v>
      </c>
      <c r="J98" s="58" t="n">
        <f aca="false">'P05 Dumai Output'!J11*$E$98</f>
        <v>48.1</v>
      </c>
      <c r="K98" s="58" t="n">
        <f aca="false">'P05 Dumai Output'!K11*$E$98</f>
        <v>48.1</v>
      </c>
      <c r="L98" s="58" t="n">
        <f aca="false">'P05 Dumai Output'!L11*$E$98</f>
        <v>51.4176</v>
      </c>
      <c r="M98" s="58" t="n">
        <f aca="false">'P05 Dumai Output'!M11*$E$98</f>
        <v>51.4176</v>
      </c>
      <c r="N98" s="58" t="n">
        <f aca="false">'P05 Dumai Output'!N11*$E$98</f>
        <v>51.4176</v>
      </c>
      <c r="O98" s="58" t="n">
        <f aca="false">'P05 Dumai Output'!O11*$E$98</f>
        <v>51.4176</v>
      </c>
      <c r="P98" s="58" t="n">
        <f aca="false">'P05 Dumai Output'!P11*$E$98</f>
        <v>54.96819952</v>
      </c>
      <c r="Q98" s="58" t="n">
        <f aca="false">'P05 Dumai Output'!Q11*$E$98</f>
        <v>54.96819952</v>
      </c>
      <c r="R98" s="58" t="n">
        <f aca="false">'P05 Dumai Output'!R11*$E$98</f>
        <v>54.96819952</v>
      </c>
      <c r="S98" s="58" t="n">
        <f aca="false">'P05 Dumai Output'!S11*$E$98</f>
        <v>54.96819952</v>
      </c>
    </row>
    <row r="99" customFormat="false" ht="15" hidden="false" customHeight="false" outlineLevel="0" collapsed="false">
      <c r="B99" s="77" t="s">
        <v>57</v>
      </c>
      <c r="C99" s="25" t="s">
        <v>170</v>
      </c>
      <c r="E99" s="55" t="n">
        <f aca="false">'Global Inputs'!$L$98</f>
        <v>1</v>
      </c>
      <c r="F99" s="58" t="n">
        <f aca="false">'P06 Ciwandan Output'!F11*$E$99</f>
        <v>0</v>
      </c>
      <c r="G99" s="58" t="n">
        <f aca="false">'P06 Ciwandan Output'!G11*$E$99</f>
        <v>0</v>
      </c>
      <c r="H99" s="58" t="n">
        <f aca="false">'P06 Ciwandan Output'!H11*$E$99</f>
        <v>0</v>
      </c>
      <c r="I99" s="58" t="n">
        <f aca="false">'P06 Ciwandan Output'!I11*$E$99</f>
        <v>0</v>
      </c>
      <c r="J99" s="58" t="n">
        <f aca="false">'P06 Ciwandan Output'!J11*$E$99</f>
        <v>0</v>
      </c>
      <c r="K99" s="58" t="n">
        <f aca="false">'P06 Ciwandan Output'!K11*$E$99</f>
        <v>58.2578395878345</v>
      </c>
      <c r="L99" s="58" t="n">
        <f aca="false">'P06 Ciwandan Output'!L11*$E$99</f>
        <v>76.9003482559415</v>
      </c>
      <c r="M99" s="58" t="n">
        <f aca="false">'P06 Ciwandan Output'!M11*$E$99</f>
        <v>84.5903830815357</v>
      </c>
      <c r="N99" s="58" t="n">
        <f aca="false">'P06 Ciwandan Output'!N11*$E$99</f>
        <v>102.354363528658</v>
      </c>
      <c r="O99" s="58" t="n">
        <f aca="false">'P06 Ciwandan Output'!O11*$E$99</f>
        <v>108.495625340378</v>
      </c>
      <c r="P99" s="58" t="n">
        <f aca="false">'P06 Ciwandan Output'!P11*$E$99</f>
        <v>121.905684632448</v>
      </c>
      <c r="Q99" s="58" t="n">
        <f aca="false">'P06 Ciwandan Output'!Q11*$E$99</f>
        <v>129.220025710395</v>
      </c>
      <c r="R99" s="58" t="n">
        <f aca="false">'P06 Ciwandan Output'!R11*$E$99</f>
        <v>145.1916208882</v>
      </c>
      <c r="S99" s="58" t="n">
        <f aca="false">'P06 Ciwandan Output'!S11*$E$99</f>
        <v>153.903118141492</v>
      </c>
    </row>
    <row r="100" customFormat="false" ht="15" hidden="false" customHeight="false" outlineLevel="0" collapsed="false">
      <c r="B100" s="77" t="s">
        <v>60</v>
      </c>
      <c r="C100" s="25" t="s">
        <v>170</v>
      </c>
      <c r="E100" s="55" t="n">
        <f aca="false">'Global Inputs'!$L$99</f>
        <v>1</v>
      </c>
      <c r="F100" s="58" t="n">
        <f aca="false">'P08 DMSTrucking Output'!F11*$E$100</f>
        <v>0</v>
      </c>
      <c r="G100" s="58" t="n">
        <f aca="false">'P08 DMSTrucking Output'!G11*$E$100</f>
        <v>0</v>
      </c>
      <c r="H100" s="58" t="n">
        <f aca="false">'P08 DMSTrucking Output'!H11*$E$100</f>
        <v>0</v>
      </c>
      <c r="I100" s="58" t="n">
        <f aca="false">'P08 DMSTrucking Output'!I11*$E$100</f>
        <v>0</v>
      </c>
      <c r="J100" s="58" t="n">
        <f aca="false">'P08 DMSTrucking Output'!J11*$E$100</f>
        <v>2.752399559888</v>
      </c>
      <c r="K100" s="58" t="n">
        <f aca="false">'P08 DMSTrucking Output'!K11*$E$100</f>
        <v>3.30077154668464</v>
      </c>
      <c r="L100" s="58" t="n">
        <f aca="false">'P08 DMSTrucking Output'!L11*$E$100</f>
        <v>3.43407469308518</v>
      </c>
      <c r="M100" s="58" t="n">
        <f aca="false">'P08 DMSTrucking Output'!M11*$E$100</f>
        <v>3.57462493387774</v>
      </c>
      <c r="N100" s="58" t="n">
        <f aca="false">'P08 DMSTrucking Output'!N11*$E$100</f>
        <v>3.72296448189407</v>
      </c>
      <c r="O100" s="58" t="n">
        <f aca="false">'P08 DMSTrucking Output'!O11*$E$100</f>
        <v>3.85498093635089</v>
      </c>
      <c r="P100" s="58" t="n">
        <f aca="false">'P08 DMSTrucking Output'!P11*$E$100</f>
        <v>3.99206953564142</v>
      </c>
      <c r="Q100" s="58" t="n">
        <f aca="false">'P08 DMSTrucking Output'!Q11*$E$100</f>
        <v>4.13444914318266</v>
      </c>
      <c r="R100" s="58" t="n">
        <f aca="false">'P08 DMSTrucking Output'!R11*$E$100</f>
        <v>4.28234919023846</v>
      </c>
      <c r="S100" s="58" t="n">
        <f aca="false">'P08 DMSTrucking Output'!S11*$E$100</f>
        <v>4.43601023307155</v>
      </c>
    </row>
    <row r="101" customFormat="false" ht="15" hidden="false" customHeight="false" outlineLevel="0" collapsed="false">
      <c r="B101" s="77" t="s">
        <v>63</v>
      </c>
      <c r="C101" s="25" t="s">
        <v>170</v>
      </c>
      <c r="E101" s="55" t="n">
        <f aca="false">'Global Inputs'!$L$100</f>
        <v>1</v>
      </c>
      <c r="F101" s="58" t="n">
        <f aca="false">'P12 BUMNOps Output'!F11*$E$101</f>
        <v>0</v>
      </c>
      <c r="G101" s="58" t="n">
        <f aca="false">'P12 BUMNOps Output'!G11*$E$101</f>
        <v>0</v>
      </c>
      <c r="H101" s="58" t="n">
        <f aca="false">'P12 BUMNOps Output'!H11*$E$101</f>
        <v>0</v>
      </c>
      <c r="I101" s="58" t="n">
        <f aca="false">'P12 BUMNOps Output'!I11*$E$101</f>
        <v>127.493715469586</v>
      </c>
      <c r="J101" s="58" t="n">
        <f aca="false">'P12 BUMNOps Output'!J11*$E$101</f>
        <v>134.536379803959</v>
      </c>
      <c r="K101" s="58" t="n">
        <f aca="false">'P12 BUMNOps Output'!K11*$E$101</f>
        <v>139.280398829541</v>
      </c>
      <c r="L101" s="58" t="n">
        <f aca="false">'P12 BUMNOps Output'!L11*$E$101</f>
        <v>144.142604529362</v>
      </c>
      <c r="M101" s="58" t="n">
        <f aca="false">'P12 BUMNOps Output'!M11*$E$101</f>
        <v>149.126542503652</v>
      </c>
      <c r="N101" s="58" t="n">
        <f aca="false">'P12 BUMNOps Output'!N11*$E$101</f>
        <v>154.235864720642</v>
      </c>
      <c r="O101" s="58" t="n">
        <f aca="false">'P12 BUMNOps Output'!O11*$E$101</f>
        <v>159.474332707616</v>
      </c>
      <c r="P101" s="58" t="n">
        <f aca="false">'P12 BUMNOps Output'!P11*$E$101</f>
        <v>164.845820837671</v>
      </c>
      <c r="Q101" s="58" t="n">
        <f aca="false">'P12 BUMNOps Output'!Q11*$E$101</f>
        <v>170.354319715102</v>
      </c>
      <c r="R101" s="58" t="n">
        <f aca="false">'P12 BUMNOps Output'!R11*$E$101</f>
        <v>166.350381051472</v>
      </c>
      <c r="S101" s="58" t="n">
        <f aca="false">'P12 BUMNOps Output'!S11*$E$101</f>
        <v>171.340892483016</v>
      </c>
    </row>
    <row r="102" customFormat="false" ht="15" hidden="false" customHeight="false" outlineLevel="0" collapsed="false">
      <c r="B102" s="77" t="s">
        <v>66</v>
      </c>
      <c r="C102" s="25" t="s">
        <v>170</v>
      </c>
      <c r="E102" s="55" t="n">
        <f aca="false">'Global Inputs'!$L$101</f>
        <v>0</v>
      </c>
      <c r="F102" s="58" t="n">
        <f aca="false">'P15 TBM Output'!F11*$E$102</f>
        <v>0</v>
      </c>
      <c r="G102" s="58" t="n">
        <f aca="false">'P15 TBM Output'!G11*$E$102</f>
        <v>0</v>
      </c>
      <c r="H102" s="58" t="n">
        <f aca="false">'P15 TBM Output'!H11*$E$102</f>
        <v>0</v>
      </c>
      <c r="I102" s="58" t="n">
        <f aca="false">'P15 TBM Output'!I11*$E$102</f>
        <v>0</v>
      </c>
      <c r="J102" s="58" t="n">
        <f aca="false">'P15 TBM Output'!J11*$E$102</f>
        <v>0</v>
      </c>
      <c r="K102" s="58" t="n">
        <f aca="false">'P15 TBM Output'!K11*$E$102</f>
        <v>0</v>
      </c>
      <c r="L102" s="58" t="n">
        <f aca="false">'P15 TBM Output'!L11*$E$102</f>
        <v>0</v>
      </c>
      <c r="M102" s="58" t="n">
        <f aca="false">'P15 TBM Output'!M11*$E$102</f>
        <v>0</v>
      </c>
      <c r="N102" s="58" t="n">
        <f aca="false">'P15 TBM Output'!N11*$E$102</f>
        <v>0</v>
      </c>
      <c r="O102" s="58" t="n">
        <f aca="false">'P15 TBM Output'!O11*$E$102</f>
        <v>0</v>
      </c>
      <c r="P102" s="58" t="n">
        <f aca="false">'P15 TBM Output'!P11*$E$102</f>
        <v>0</v>
      </c>
      <c r="Q102" s="58" t="n">
        <f aca="false">'P15 TBM Output'!Q11*$E$102</f>
        <v>0</v>
      </c>
      <c r="R102" s="58" t="n">
        <f aca="false">'P15 TBM Output'!R11*$E$102</f>
        <v>0</v>
      </c>
      <c r="S102" s="58" t="n">
        <f aca="false">'P15 TBM Output'!S11*$E$102</f>
        <v>0</v>
      </c>
    </row>
    <row r="103" customFormat="false" ht="15" hidden="false" customHeight="false" outlineLevel="0" collapsed="false">
      <c r="B103" s="77" t="s">
        <v>69</v>
      </c>
      <c r="C103" s="25" t="s">
        <v>170</v>
      </c>
      <c r="E103" s="55" t="n">
        <f aca="false">'Global Inputs'!$L$102</f>
        <v>0</v>
      </c>
      <c r="F103" s="58" t="n">
        <f aca="false">'P19 Badas Output'!F11*$E$103</f>
        <v>0</v>
      </c>
      <c r="G103" s="58" t="n">
        <f aca="false">'P19 Badas Output'!G11*$E$103</f>
        <v>0</v>
      </c>
      <c r="H103" s="58" t="n">
        <f aca="false">'P19 Badas Output'!H11*$E$103</f>
        <v>0</v>
      </c>
      <c r="I103" s="58" t="n">
        <f aca="false">'P19 Badas Output'!I11*$E$103</f>
        <v>0</v>
      </c>
      <c r="J103" s="58" t="n">
        <f aca="false">'P19 Badas Output'!J11*$E$103</f>
        <v>0</v>
      </c>
      <c r="K103" s="58" t="n">
        <f aca="false">'P19 Badas Output'!K11*$E$103</f>
        <v>0</v>
      </c>
      <c r="L103" s="58" t="n">
        <f aca="false">'P19 Badas Output'!L11*$E$103</f>
        <v>0</v>
      </c>
      <c r="M103" s="58" t="n">
        <f aca="false">'P19 Badas Output'!M11*$E$103</f>
        <v>0</v>
      </c>
      <c r="N103" s="58" t="n">
        <f aca="false">'P19 Badas Output'!N11*$E$103</f>
        <v>0</v>
      </c>
      <c r="O103" s="58" t="n">
        <f aca="false">'P19 Badas Output'!O11*$E$103</f>
        <v>0</v>
      </c>
      <c r="P103" s="58" t="n">
        <f aca="false">'P19 Badas Output'!P11*$E$103</f>
        <v>0</v>
      </c>
      <c r="Q103" s="58" t="n">
        <f aca="false">'P19 Badas Output'!Q11*$E$103</f>
        <v>0</v>
      </c>
      <c r="R103" s="58" t="n">
        <f aca="false">'P19 Badas Output'!R11*$E$103</f>
        <v>0</v>
      </c>
      <c r="S103" s="58" t="n">
        <f aca="false">'P19 Badas Output'!S11*$E$103</f>
        <v>0</v>
      </c>
    </row>
    <row r="104" customFormat="false" ht="15" hidden="false" customHeight="false" outlineLevel="0" collapsed="false">
      <c r="B104" s="69" t="s">
        <v>450</v>
      </c>
      <c r="C104" s="25" t="s">
        <v>170</v>
      </c>
      <c r="E104" s="70" t="n">
        <f aca="false">SUM(F104:S104)</f>
        <v>11598.728293575</v>
      </c>
      <c r="F104" s="68" t="n">
        <f aca="false">F90+F91+F92+F93+F94+F95+F96+F97+F98+F99+F100+F101+F102+F103</f>
        <v>0</v>
      </c>
      <c r="G104" s="68" t="n">
        <f aca="false">G90+G91+G92+G93+G94+G95+G96+G97+G98+G99+G100+G101+G102+G103</f>
        <v>305.288412360754</v>
      </c>
      <c r="H104" s="68" t="n">
        <f aca="false">H90+H91+H92+H93+H94+H95+H96+H97+H98+H99+H100+H101+H102+H103</f>
        <v>427.60263552932</v>
      </c>
      <c r="I104" s="68" t="n">
        <f aca="false">I90+I91+I92+I93+I94+I95+I96+I97+I98+I99+I100+I101+I102+I103</f>
        <v>622.064556538699</v>
      </c>
      <c r="J104" s="68" t="n">
        <f aca="false">J90+J91+J92+J93+J94+J95+J96+J97+J98+J99+J100+J101+J102+J103</f>
        <v>754.462492082283</v>
      </c>
      <c r="K104" s="68" t="n">
        <f aca="false">K90+K91+K92+K93+K94+K95+K96+K97+K98+K99+K100+K101+K102+K103</f>
        <v>841.309226008467</v>
      </c>
      <c r="L104" s="68" t="n">
        <f aca="false">L90+L91+L92+L93+L94+L95+L96+L97+L98+L99+L100+L101+L102+L103</f>
        <v>917.906667885605</v>
      </c>
      <c r="M104" s="68" t="n">
        <f aca="false">M90+M91+M92+M93+M94+M95+M96+M97+M98+M99+M100+M101+M102+M103</f>
        <v>957.016498746665</v>
      </c>
      <c r="N104" s="68" t="n">
        <f aca="false">N90+N91+N92+N93+N94+N95+N96+N97+N98+N99+N100+N101+N102+N103</f>
        <v>1021.44271773182</v>
      </c>
      <c r="O104" s="68" t="n">
        <f aca="false">O90+O91+O92+O93+O94+O95+O96+O97+O98+O99+O100+O101+O102+O103</f>
        <v>1068.32870482927</v>
      </c>
      <c r="P104" s="68" t="n">
        <f aca="false">P90+P91+P92+P93+P94+P95+P96+P97+P98+P99+P100+P101+P102+P103</f>
        <v>1137.22151236596</v>
      </c>
      <c r="Q104" s="68" t="n">
        <f aca="false">Q90+Q91+Q92+Q93+Q94+Q95+Q96+Q97+Q98+Q99+Q100+Q101+Q102+Q103</f>
        <v>1162.58168525456</v>
      </c>
      <c r="R104" s="68" t="n">
        <f aca="false">R90+R91+R92+R93+R94+R95+R96+R97+R98+R99+R100+R101+R102+R103</f>
        <v>1171.21401861933</v>
      </c>
      <c r="S104" s="68" t="n">
        <f aca="false">S90+S91+S92+S93+S94+S95+S96+S97+S98+S99+S100+S101+S102+S103</f>
        <v>1212.2891656223</v>
      </c>
    </row>
    <row r="105" customFormat="false" ht="15" hidden="false" customHeight="false" outlineLevel="0" collapsed="false">
      <c r="B105" s="78" t="s">
        <v>391</v>
      </c>
      <c r="C105" s="79"/>
      <c r="D105" s="79"/>
      <c r="E105" s="79"/>
      <c r="F105" s="79"/>
      <c r="G105" s="79"/>
      <c r="H105" s="79"/>
      <c r="I105" s="79"/>
      <c r="J105" s="79"/>
      <c r="K105" s="79"/>
      <c r="L105" s="79"/>
      <c r="M105" s="79"/>
      <c r="N105" s="79"/>
      <c r="O105" s="79"/>
      <c r="P105" s="79"/>
      <c r="Q105" s="79"/>
      <c r="R105" s="79"/>
      <c r="S105" s="79"/>
    </row>
    <row r="106" customFormat="false" ht="15" hidden="false" customHeight="false" outlineLevel="0" collapsed="false">
      <c r="B106" s="77" t="s">
        <v>31</v>
      </c>
      <c r="C106" s="25" t="s">
        <v>170</v>
      </c>
      <c r="E106" s="55" t="n">
        <f aca="false">'Global Inputs'!$L$89</f>
        <v>1</v>
      </c>
      <c r="F106" s="58" t="n">
        <f aca="false">'E1 TelukLamong Output'!F12*$E$106</f>
        <v>-0</v>
      </c>
      <c r="G106" s="58" t="n">
        <f aca="false">'E1 TelukLamong Output'!G12*$E$106</f>
        <v>-29.9337855786487</v>
      </c>
      <c r="H106" s="58" t="n">
        <f aca="false">'E1 TelukLamong Output'!H12*$E$106</f>
        <v>-31.3122211995089</v>
      </c>
      <c r="I106" s="58" t="n">
        <f aca="false">'E1 TelukLamong Output'!I12*$E$106</f>
        <v>-32.7825506601247</v>
      </c>
      <c r="J106" s="58" t="n">
        <f aca="false">'E1 TelukLamong Output'!J12*$E$106</f>
        <v>-34.3060221279257</v>
      </c>
      <c r="K106" s="58" t="n">
        <f aca="false">'E1 TelukLamong Output'!K12*$E$106</f>
        <v>-35.9080110834332</v>
      </c>
      <c r="L106" s="58" t="n">
        <f aca="false">'E1 TelukLamong Output'!L12*$E$106</f>
        <v>-37.6141264380765</v>
      </c>
      <c r="M106" s="58" t="n">
        <f aca="false">'E1 TelukLamong Output'!M12*$E$106</f>
        <v>-39.3863174367096</v>
      </c>
      <c r="N106" s="58" t="n">
        <f aca="false">'E1 TelukLamong Output'!N12*$E$106</f>
        <v>-41.2507020927348</v>
      </c>
      <c r="O106" s="58" t="n">
        <f aca="false">'E1 TelukLamong Output'!O12*$E$106</f>
        <v>-43.233675806691</v>
      </c>
      <c r="P106" s="58" t="n">
        <f aca="false">'E1 TelukLamong Output'!P12*$E$106</f>
        <v>-45.2980209222938</v>
      </c>
      <c r="Q106" s="58" t="n">
        <f aca="false">'E1 TelukLamong Output'!Q12*$E$106</f>
        <v>-47.4707379772393</v>
      </c>
      <c r="R106" s="58" t="n">
        <f aca="false">'E1 TelukLamong Output'!R12*$E$106</f>
        <v>-49.7578550096135</v>
      </c>
      <c r="S106" s="58" t="n">
        <f aca="false">'E1 TelukLamong Output'!S12*$E$106</f>
        <v>-52.1657494844997</v>
      </c>
    </row>
    <row r="107" customFormat="false" ht="15" hidden="false" customHeight="false" outlineLevel="0" collapsed="false">
      <c r="B107" s="77" t="s">
        <v>34</v>
      </c>
      <c r="C107" s="25" t="s">
        <v>170</v>
      </c>
      <c r="E107" s="55" t="n">
        <f aca="false">'Global Inputs'!$L$90</f>
        <v>1</v>
      </c>
      <c r="F107" s="58" t="n">
        <f aca="false">'E2 CigadingExist Output'!F12*$E$107</f>
        <v>-0</v>
      </c>
      <c r="G107" s="58" t="n">
        <f aca="false">'E2 CigadingExist Output'!G12*$E$107</f>
        <v>-13.4217053445047</v>
      </c>
      <c r="H107" s="58" t="n">
        <f aca="false">'E2 CigadingExist Output'!H12*$E$107</f>
        <v>-13.9505449429315</v>
      </c>
      <c r="I107" s="58" t="n">
        <f aca="false">'E2 CigadingExist Output'!I12*$E$107</f>
        <v>-14.5375136097626</v>
      </c>
      <c r="J107" s="58" t="n">
        <f aca="false">'E2 CigadingExist Output'!J12*$E$107</f>
        <v>-15.1175416690317</v>
      </c>
      <c r="K107" s="58" t="n">
        <f aca="false">'E2 CigadingExist Output'!K12*$E$107</f>
        <v>-15.7251300285961</v>
      </c>
      <c r="L107" s="58" t="n">
        <f aca="false">'E2 CigadingExist Output'!L12*$E$107</f>
        <v>-16.3948515285434</v>
      </c>
      <c r="M107" s="58" t="n">
        <f aca="false">'E2 CigadingExist Output'!M12*$E$107</f>
        <v>-17.0618525121731</v>
      </c>
      <c r="N107" s="58" t="n">
        <f aca="false">'E2 CigadingExist Output'!N12*$E$107</f>
        <v>-17.760862087737</v>
      </c>
      <c r="O107" s="58" t="n">
        <f aca="false">'E2 CigadingExist Output'!O12*$E$107</f>
        <v>-18.5266941849183</v>
      </c>
      <c r="P107" s="58" t="n">
        <f aca="false">'E2 CigadingExist Output'!P12*$E$107</f>
        <v>-19.2947498758668</v>
      </c>
      <c r="Q107" s="58" t="n">
        <f aca="false">'E2 CigadingExist Output'!Q12*$E$107</f>
        <v>-20.1000274314958</v>
      </c>
      <c r="R107" s="58" t="n">
        <f aca="false">'E2 CigadingExist Output'!R12*$E$107</f>
        <v>-20.9444577246937</v>
      </c>
      <c r="S107" s="58" t="n">
        <f aca="false">'E2 CigadingExist Output'!S12*$E$107</f>
        <v>-21.8300774231007</v>
      </c>
    </row>
    <row r="108" customFormat="false" ht="15" hidden="false" customHeight="false" outlineLevel="0" collapsed="false">
      <c r="B108" s="77" t="s">
        <v>37</v>
      </c>
      <c r="C108" s="25" t="s">
        <v>170</v>
      </c>
      <c r="E108" s="55" t="n">
        <f aca="false">'Global Inputs'!$L$91</f>
        <v>1</v>
      </c>
      <c r="F108" s="58" t="n">
        <f aca="false">'E3 Belawan Output'!F12*$E$108</f>
        <v>-0</v>
      </c>
      <c r="G108" s="58" t="n">
        <f aca="false">'E3 Belawan Output'!G12*$E$108</f>
        <v>-8.02614108268608</v>
      </c>
      <c r="H108" s="58" t="n">
        <f aca="false">'E3 Belawan Output'!H12*$E$108</f>
        <v>-8.3557264915943</v>
      </c>
      <c r="I108" s="58" t="n">
        <f aca="false">'E3 Belawan Output'!I12*$E$108</f>
        <v>-9.41194306368826</v>
      </c>
      <c r="J108" s="58" t="n">
        <f aca="false">'E3 Belawan Output'!J12*$E$108</f>
        <v>-10.5611769254179</v>
      </c>
      <c r="K108" s="58" t="n">
        <f aca="false">'E3 Belawan Output'!K12*$E$108</f>
        <v>-11.2069097488801</v>
      </c>
      <c r="L108" s="58" t="n">
        <f aca="false">'E3 Belawan Output'!L12*$E$108</f>
        <v>-11.8858660547838</v>
      </c>
      <c r="M108" s="58" t="n">
        <f aca="false">'E3 Belawan Output'!M12*$E$108</f>
        <v>-12.5996697179173</v>
      </c>
      <c r="N108" s="58" t="n">
        <f aca="false">'E3 Belawan Output'!N12*$E$108</f>
        <v>-13.3500248650965</v>
      </c>
      <c r="O108" s="58" t="n">
        <f aca="false">'E3 Belawan Output'!O12*$E$108</f>
        <v>-14.1387200008352</v>
      </c>
      <c r="P108" s="58" t="n">
        <f aca="false">'E3 Belawan Output'!P12*$E$108</f>
        <v>-14.9676323555666</v>
      </c>
      <c r="Q108" s="58" t="n">
        <f aca="false">'E3 Belawan Output'!Q12*$E$108</f>
        <v>-15.8387363635294</v>
      </c>
      <c r="R108" s="58" t="n">
        <f aca="false">'E3 Belawan Output'!R12*$E$108</f>
        <v>-13.6681559807911</v>
      </c>
      <c r="S108" s="58" t="n">
        <f aca="false">'E3 Belawan Output'!S12*$E$108</f>
        <v>-14.2711189698485</v>
      </c>
    </row>
    <row r="109" customFormat="false" ht="15" hidden="false" customHeight="false" outlineLevel="0" collapsed="false">
      <c r="B109" s="77" t="s">
        <v>40</v>
      </c>
      <c r="C109" s="25" t="s">
        <v>170</v>
      </c>
      <c r="E109" s="55" t="n">
        <f aca="false">'Global Inputs'!$L$92</f>
        <v>1</v>
      </c>
      <c r="F109" s="58" t="n">
        <f aca="false">'E4 WIN Output'!F12*$E$109</f>
        <v>-0</v>
      </c>
      <c r="G109" s="58" t="n">
        <f aca="false">'E4 WIN Output'!G12*$E$109</f>
        <v>-71.1614065161973</v>
      </c>
      <c r="H109" s="58" t="n">
        <f aca="false">'E4 WIN Output'!H12*$E$109</f>
        <v>-49.0981822234332</v>
      </c>
      <c r="I109" s="58" t="n">
        <f aca="false">'E4 WIN Output'!I12*$E$109</f>
        <v>-42.9266142566558</v>
      </c>
      <c r="J109" s="58" t="n">
        <f aca="false">'E4 WIN Output'!J12*$E$109</f>
        <v>-46.0653970447575</v>
      </c>
      <c r="K109" s="58" t="n">
        <f aca="false">'E4 WIN Output'!K12*$E$109</f>
        <v>-49.4418341804361</v>
      </c>
      <c r="L109" s="58" t="n">
        <f aca="false">'E4 WIN Output'!L12*$E$109</f>
        <v>-53.0742603339529</v>
      </c>
      <c r="M109" s="58" t="n">
        <f aca="false">'E4 WIN Output'!M12*$E$109</f>
        <v>-56.9824398597723</v>
      </c>
      <c r="N109" s="58" t="n">
        <f aca="false">'E4 WIN Output'!N12*$E$109</f>
        <v>-61.1876790332437</v>
      </c>
      <c r="O109" s="58" t="n">
        <f aca="false">'E4 WIN Output'!O12*$E$109</f>
        <v>-65.7129471407233</v>
      </c>
      <c r="P109" s="58" t="n">
        <f aca="false">'E4 WIN Output'!P12*$E$109</f>
        <v>-70.5830071241576</v>
      </c>
      <c r="Q109" s="58" t="n">
        <f aca="false">'E4 WIN Output'!Q12*$E$109</f>
        <v>-59.4535077945071</v>
      </c>
      <c r="R109" s="58" t="n">
        <f aca="false">'E4 WIN Output'!R12*$E$109</f>
        <v>-62.2293229869338</v>
      </c>
      <c r="S109" s="58" t="n">
        <f aca="false">'E4 WIN Output'!S12*$E$109</f>
        <v>-65.1365129999812</v>
      </c>
    </row>
    <row r="110" customFormat="false" ht="15" hidden="false" customHeight="false" outlineLevel="0" collapsed="false">
      <c r="B110" s="77" t="s">
        <v>43</v>
      </c>
      <c r="C110" s="25" t="s">
        <v>170</v>
      </c>
      <c r="E110" s="55" t="n">
        <f aca="false">'Global Inputs'!$L$93</f>
        <v>1</v>
      </c>
      <c r="F110" s="58" t="n">
        <f aca="false">'P01 CigWharf2 Output'!F12*$E$110</f>
        <v>-0</v>
      </c>
      <c r="G110" s="58" t="n">
        <f aca="false">'P01 CigWharf2 Output'!G12*$E$110</f>
        <v>-0</v>
      </c>
      <c r="H110" s="58" t="n">
        <f aca="false">'P01 CigWharf2 Output'!H12*$E$110</f>
        <v>-9.51494271638072</v>
      </c>
      <c r="I110" s="58" t="n">
        <f aca="false">'P01 CigWharf2 Output'!I12*$E$110</f>
        <v>-10.0310082638083</v>
      </c>
      <c r="J110" s="58" t="n">
        <f aca="false">'P01 CigWharf2 Output'!J12*$E$110</f>
        <v>-10.5785022030742</v>
      </c>
      <c r="K110" s="58" t="n">
        <f aca="false">'P01 CigWharf2 Output'!K12*$E$110</f>
        <v>-11.1593385232415</v>
      </c>
      <c r="L110" s="58" t="n">
        <f aca="false">'P01 CigWharf2 Output'!L12*$E$110</f>
        <v>-11.7755477753069</v>
      </c>
      <c r="M110" s="58" t="n">
        <f aca="false">'P01 CigWharf2 Output'!M12*$E$110</f>
        <v>-12.4292841708231</v>
      </c>
      <c r="N110" s="58" t="n">
        <f aca="false">'P01 CigWharf2 Output'!N12*$E$110</f>
        <v>-13.1228331128262</v>
      </c>
      <c r="O110" s="58" t="n">
        <f aca="false">'P01 CigWharf2 Output'!O12*$E$110</f>
        <v>-13.8586191853973</v>
      </c>
      <c r="P110" s="58" t="n">
        <f aca="false">'P01 CigWharf2 Output'!P12*$E$110</f>
        <v>-14.639214629788</v>
      </c>
      <c r="Q110" s="58" t="n">
        <f aca="false">'P01 CigWharf2 Output'!Q12*$E$110</f>
        <v>-15.4673483367421</v>
      </c>
      <c r="R110" s="58" t="n">
        <f aca="false">'P01 CigWharf2 Output'!R12*$E$110</f>
        <v>-16.3459153864497</v>
      </c>
      <c r="S110" s="58" t="n">
        <f aca="false">'P01 CigWharf2 Output'!S12*$E$110</f>
        <v>-17.2779871694845</v>
      </c>
    </row>
    <row r="111" customFormat="false" ht="15" hidden="false" customHeight="false" outlineLevel="0" collapsed="false">
      <c r="B111" s="77" t="s">
        <v>46</v>
      </c>
      <c r="C111" s="25" t="s">
        <v>170</v>
      </c>
      <c r="E111" s="55" t="n">
        <f aca="false">'Global Inputs'!$L$94</f>
        <v>1</v>
      </c>
      <c r="F111" s="58" t="n">
        <f aca="false">'P02 CigConveyor Output'!F12*$E$111</f>
        <v>-0</v>
      </c>
      <c r="G111" s="58" t="n">
        <f aca="false">'P02 CigConveyor Output'!G12*$E$111</f>
        <v>-0</v>
      </c>
      <c r="H111" s="58" t="n">
        <f aca="false">'P02 CigConveyor Output'!H12*$E$111</f>
        <v>-2.42712415065685</v>
      </c>
      <c r="I111" s="58" t="n">
        <f aca="false">'P02 CigConveyor Output'!I12*$E$111</f>
        <v>-2.53531447143186</v>
      </c>
      <c r="J111" s="58" t="n">
        <f aca="false">'P02 CigConveyor Output'!J12*$E$111</f>
        <v>-2.65009358274206</v>
      </c>
      <c r="K111" s="58" t="n">
        <f aca="false">'P02 CigConveyor Output'!K12*$E$111</f>
        <v>-2.77186274193105</v>
      </c>
      <c r="L111" s="58" t="n">
        <f aca="false">'P02 CigConveyor Output'!L12*$E$111</f>
        <v>-2.90104764291465</v>
      </c>
      <c r="M111" s="58" t="n">
        <f aca="false">'P02 CigConveyor Output'!M12*$E$111</f>
        <v>-3.03809990436815</v>
      </c>
      <c r="N111" s="58" t="n">
        <f aca="false">'P02 CigConveyor Output'!N12*$E$111</f>
        <v>-3.18349864854417</v>
      </c>
      <c r="O111" s="58" t="n">
        <f aca="false">'P02 CigConveyor Output'!O12*$E$111</f>
        <v>-3.33775217624051</v>
      </c>
      <c r="P111" s="58" t="n">
        <f aca="false">'P02 CigConveyor Output'!P12*$E$111</f>
        <v>-3.50139974377356</v>
      </c>
      <c r="Q111" s="58" t="n">
        <f aca="false">'P02 CigConveyor Output'!Q12*$E$111</f>
        <v>-3.67501344816937</v>
      </c>
      <c r="R111" s="58" t="n">
        <f aca="false">'P02 CigConveyor Output'!R12*$E$111</f>
        <v>-3.85920022716289</v>
      </c>
      <c r="S111" s="58" t="n">
        <f aca="false">'P02 CigConveyor Output'!S12*$E$111</f>
        <v>-4.05460398099711</v>
      </c>
    </row>
    <row r="112" customFormat="false" ht="15" hidden="false" customHeight="false" outlineLevel="0" collapsed="false">
      <c r="B112" s="77" t="s">
        <v>48</v>
      </c>
      <c r="C112" s="25" t="s">
        <v>170</v>
      </c>
      <c r="E112" s="55" t="n">
        <f aca="false">'Global Inputs'!$L$95</f>
        <v>1</v>
      </c>
      <c r="F112" s="58" t="n">
        <f aca="false">'P03 KBSWarehouse Output'!F12*$E$112</f>
        <v>-0</v>
      </c>
      <c r="G112" s="58" t="n">
        <f aca="false">'P03 KBSWarehouse Output'!G12*$E$112</f>
        <v>-0</v>
      </c>
      <c r="H112" s="58" t="n">
        <f aca="false">'P03 KBSWarehouse Output'!H12*$E$112</f>
        <v>-0</v>
      </c>
      <c r="I112" s="58" t="n">
        <f aca="false">'P03 KBSWarehouse Output'!I12*$E$112</f>
        <v>-0</v>
      </c>
      <c r="J112" s="58" t="n">
        <f aca="false">'P03 KBSWarehouse Output'!J12*$E$112</f>
        <v>-5.3023782</v>
      </c>
      <c r="K112" s="58" t="n">
        <f aca="false">'P03 KBSWarehouse Output'!K12*$E$112</f>
        <v>-5.461449546</v>
      </c>
      <c r="L112" s="58" t="n">
        <f aca="false">'P03 KBSWarehouse Output'!L12*$E$112</f>
        <v>-5.62529303238</v>
      </c>
      <c r="M112" s="58" t="n">
        <f aca="false">'P03 KBSWarehouse Output'!M12*$E$112</f>
        <v>-5.7940518233514</v>
      </c>
      <c r="N112" s="58" t="n">
        <f aca="false">'P03 KBSWarehouse Output'!N12*$E$112</f>
        <v>-5.96787337805194</v>
      </c>
      <c r="O112" s="58" t="n">
        <f aca="false">'P03 KBSWarehouse Output'!O12*$E$112</f>
        <v>-6.1469095793935</v>
      </c>
      <c r="P112" s="58" t="n">
        <f aca="false">'P03 KBSWarehouse Output'!P12*$E$112</f>
        <v>-6.33131686677531</v>
      </c>
      <c r="Q112" s="58" t="n">
        <f aca="false">'P03 KBSWarehouse Output'!Q12*$E$112</f>
        <v>-6.52125637277857</v>
      </c>
      <c r="R112" s="58" t="n">
        <f aca="false">'P03 KBSWarehouse Output'!R12*$E$112</f>
        <v>-6.71689406396192</v>
      </c>
      <c r="S112" s="58" t="n">
        <f aca="false">'P03 KBSWarehouse Output'!S12*$E$112</f>
        <v>-6.91840088588078</v>
      </c>
    </row>
    <row r="113" customFormat="false" ht="15" hidden="false" customHeight="false" outlineLevel="0" collapsed="false">
      <c r="B113" s="77" t="s">
        <v>51</v>
      </c>
      <c r="C113" s="25" t="s">
        <v>170</v>
      </c>
      <c r="E113" s="55" t="n">
        <f aca="false">'Global Inputs'!$L$96</f>
        <v>1</v>
      </c>
      <c r="F113" s="58" t="n">
        <f aca="false">'P04 TTLSilo Output'!F12*$E$113</f>
        <v>0</v>
      </c>
      <c r="G113" s="58" t="n">
        <f aca="false">'P04 TTLSilo Output'!G12*$E$113</f>
        <v>0</v>
      </c>
      <c r="H113" s="58" t="n">
        <f aca="false">'P04 TTLSilo Output'!H12*$E$113</f>
        <v>0</v>
      </c>
      <c r="I113" s="58" t="n">
        <f aca="false">'P04 TTLSilo Output'!I12*$E$113</f>
        <v>0</v>
      </c>
      <c r="J113" s="58" t="n">
        <f aca="false">'P04 TTLSilo Output'!J12*$E$113</f>
        <v>0</v>
      </c>
      <c r="K113" s="58" t="n">
        <f aca="false">'P04 TTLSilo Output'!K12*$E$113</f>
        <v>0</v>
      </c>
      <c r="L113" s="58" t="n">
        <f aca="false">'P04 TTLSilo Output'!L12*$E$113</f>
        <v>0</v>
      </c>
      <c r="M113" s="58" t="n">
        <f aca="false">'P04 TTLSilo Output'!M12*$E$113</f>
        <v>0</v>
      </c>
      <c r="N113" s="58" t="n">
        <f aca="false">'P04 TTLSilo Output'!N12*$E$113</f>
        <v>0</v>
      </c>
      <c r="O113" s="58" t="n">
        <f aca="false">'P04 TTLSilo Output'!O12*$E$113</f>
        <v>0</v>
      </c>
      <c r="P113" s="58" t="n">
        <f aca="false">'P04 TTLSilo Output'!P12*$E$113</f>
        <v>0</v>
      </c>
      <c r="Q113" s="58" t="n">
        <f aca="false">'P04 TTLSilo Output'!Q12*$E$113</f>
        <v>0</v>
      </c>
      <c r="R113" s="58" t="n">
        <f aca="false">'P04 TTLSilo Output'!R12*$E$113</f>
        <v>0</v>
      </c>
      <c r="S113" s="58" t="n">
        <f aca="false">'P04 TTLSilo Output'!S12*$E$113</f>
        <v>0</v>
      </c>
    </row>
    <row r="114" customFormat="false" ht="15" hidden="false" customHeight="false" outlineLevel="0" collapsed="false">
      <c r="B114" s="77" t="s">
        <v>54</v>
      </c>
      <c r="C114" s="25" t="s">
        <v>170</v>
      </c>
      <c r="E114" s="55" t="n">
        <f aca="false">'Global Inputs'!$L$97</f>
        <v>1</v>
      </c>
      <c r="F114" s="58" t="n">
        <f aca="false">'P05 Dumai Output'!F12*$E$114</f>
        <v>-0</v>
      </c>
      <c r="G114" s="58" t="n">
        <f aca="false">'P05 Dumai Output'!G12*$E$114</f>
        <v>-0</v>
      </c>
      <c r="H114" s="58" t="n">
        <f aca="false">'P05 Dumai Output'!H12*$E$114</f>
        <v>-0</v>
      </c>
      <c r="I114" s="58" t="n">
        <f aca="false">'P05 Dumai Output'!I12*$E$114</f>
        <v>-0</v>
      </c>
      <c r="J114" s="58" t="n">
        <f aca="false">'P05 Dumai Output'!J12*$E$114</f>
        <v>-0</v>
      </c>
      <c r="K114" s="58" t="n">
        <f aca="false">'P05 Dumai Output'!K12*$E$114</f>
        <v>-0</v>
      </c>
      <c r="L114" s="58" t="n">
        <f aca="false">'P05 Dumai Output'!L12*$E$114</f>
        <v>-0</v>
      </c>
      <c r="M114" s="58" t="n">
        <f aca="false">'P05 Dumai Output'!M12*$E$114</f>
        <v>-0</v>
      </c>
      <c r="N114" s="58" t="n">
        <f aca="false">'P05 Dumai Output'!N12*$E$114</f>
        <v>-0</v>
      </c>
      <c r="O114" s="58" t="n">
        <f aca="false">'P05 Dumai Output'!O12*$E$114</f>
        <v>-0</v>
      </c>
      <c r="P114" s="58" t="n">
        <f aca="false">'P05 Dumai Output'!P12*$E$114</f>
        <v>-0</v>
      </c>
      <c r="Q114" s="58" t="n">
        <f aca="false">'P05 Dumai Output'!Q12*$E$114</f>
        <v>-0</v>
      </c>
      <c r="R114" s="58" t="n">
        <f aca="false">'P05 Dumai Output'!R12*$E$114</f>
        <v>-0</v>
      </c>
      <c r="S114" s="58" t="n">
        <f aca="false">'P05 Dumai Output'!S12*$E$114</f>
        <v>-0</v>
      </c>
    </row>
    <row r="115" customFormat="false" ht="15" hidden="false" customHeight="false" outlineLevel="0" collapsed="false">
      <c r="B115" s="77" t="s">
        <v>57</v>
      </c>
      <c r="C115" s="25" t="s">
        <v>170</v>
      </c>
      <c r="E115" s="55" t="n">
        <f aca="false">'Global Inputs'!$L$98</f>
        <v>1</v>
      </c>
      <c r="F115" s="58" t="n">
        <f aca="false">'P06 Ciwandan Output'!F12*$E$115</f>
        <v>-0</v>
      </c>
      <c r="G115" s="58" t="n">
        <f aca="false">'P06 Ciwandan Output'!G12*$E$115</f>
        <v>-0</v>
      </c>
      <c r="H115" s="58" t="n">
        <f aca="false">'P06 Ciwandan Output'!H12*$E$115</f>
        <v>-0</v>
      </c>
      <c r="I115" s="58" t="n">
        <f aca="false">'P06 Ciwandan Output'!I12*$E$115</f>
        <v>-0</v>
      </c>
      <c r="J115" s="58" t="n">
        <f aca="false">'P06 Ciwandan Output'!J12*$E$115</f>
        <v>-0</v>
      </c>
      <c r="K115" s="58" t="n">
        <f aca="false">'P06 Ciwandan Output'!K12*$E$115</f>
        <v>-15.0603658524563</v>
      </c>
      <c r="L115" s="58" t="n">
        <f aca="false">'P06 Ciwandan Output'!L12*$E$115</f>
        <v>-18.2933307314174</v>
      </c>
      <c r="M115" s="58" t="n">
        <f aca="false">'P06 Ciwandan Output'!M12*$E$115</f>
        <v>-20.3313839570156</v>
      </c>
      <c r="N115" s="58" t="n">
        <f aca="false">'P06 Ciwandan Output'!N12*$E$115</f>
        <v>-23.4556288498109</v>
      </c>
      <c r="O115" s="58" t="n">
        <f aca="false">'P06 Ciwandan Output'!O12*$E$115</f>
        <v>-25.1796455488913</v>
      </c>
      <c r="P115" s="58" t="n">
        <f aca="false">'P06 Ciwandan Output'!P12*$E$115</f>
        <v>-26.9873022535117</v>
      </c>
      <c r="Q115" s="58" t="n">
        <f aca="false">'P06 Ciwandan Output'!Q12*$E$115</f>
        <v>-28.9324766135131</v>
      </c>
      <c r="R115" s="58" t="n">
        <f aca="false">'P06 Ciwandan Output'!R12*$E$115</f>
        <v>-32.8876306910583</v>
      </c>
      <c r="S115" s="58" t="n">
        <f aca="false">'P06 Ciwandan Output'!S12*$E$115</f>
        <v>-35.2766537997588</v>
      </c>
    </row>
    <row r="116" customFormat="false" ht="15" hidden="false" customHeight="false" outlineLevel="0" collapsed="false">
      <c r="B116" s="77" t="s">
        <v>60</v>
      </c>
      <c r="C116" s="25" t="s">
        <v>170</v>
      </c>
      <c r="E116" s="55" t="n">
        <f aca="false">'Global Inputs'!$L$99</f>
        <v>1</v>
      </c>
      <c r="F116" s="58" t="n">
        <f aca="false">'P08 DMSTrucking Output'!F12*$E$116</f>
        <v>0</v>
      </c>
      <c r="G116" s="58" t="n">
        <f aca="false">'P08 DMSTrucking Output'!G12*$E$116</f>
        <v>0</v>
      </c>
      <c r="H116" s="58" t="n">
        <f aca="false">'P08 DMSTrucking Output'!H12*$E$116</f>
        <v>0</v>
      </c>
      <c r="I116" s="58" t="n">
        <f aca="false">'P08 DMSTrucking Output'!I12*$E$116</f>
        <v>0</v>
      </c>
      <c r="J116" s="58" t="n">
        <f aca="false">'P08 DMSTrucking Output'!J12*$E$116</f>
        <v>0</v>
      </c>
      <c r="K116" s="58" t="n">
        <f aca="false">'P08 DMSTrucking Output'!K12*$E$116</f>
        <v>0</v>
      </c>
      <c r="L116" s="58" t="n">
        <f aca="false">'P08 DMSTrucking Output'!L12*$E$116</f>
        <v>0</v>
      </c>
      <c r="M116" s="58" t="n">
        <f aca="false">'P08 DMSTrucking Output'!M12*$E$116</f>
        <v>0</v>
      </c>
      <c r="N116" s="58" t="n">
        <f aca="false">'P08 DMSTrucking Output'!N12*$E$116</f>
        <v>0</v>
      </c>
      <c r="O116" s="58" t="n">
        <f aca="false">'P08 DMSTrucking Output'!O12*$E$116</f>
        <v>0</v>
      </c>
      <c r="P116" s="58" t="n">
        <f aca="false">'P08 DMSTrucking Output'!P12*$E$116</f>
        <v>0</v>
      </c>
      <c r="Q116" s="58" t="n">
        <f aca="false">'P08 DMSTrucking Output'!Q12*$E$116</f>
        <v>0</v>
      </c>
      <c r="R116" s="58" t="n">
        <f aca="false">'P08 DMSTrucking Output'!R12*$E$116</f>
        <v>0</v>
      </c>
      <c r="S116" s="58" t="n">
        <f aca="false">'P08 DMSTrucking Output'!S12*$E$116</f>
        <v>0</v>
      </c>
    </row>
    <row r="117" customFormat="false" ht="15" hidden="false" customHeight="false" outlineLevel="0" collapsed="false">
      <c r="B117" s="77" t="s">
        <v>63</v>
      </c>
      <c r="C117" s="25" t="s">
        <v>170</v>
      </c>
      <c r="E117" s="55" t="n">
        <f aca="false">'Global Inputs'!$L$100</f>
        <v>1</v>
      </c>
      <c r="F117" s="58" t="n">
        <f aca="false">'P12 BUMNOps Output'!F12*$E$117</f>
        <v>0</v>
      </c>
      <c r="G117" s="58" t="n">
        <f aca="false">'P12 BUMNOps Output'!G12*$E$117</f>
        <v>0</v>
      </c>
      <c r="H117" s="58" t="n">
        <f aca="false">'P12 BUMNOps Output'!H12*$E$117</f>
        <v>0</v>
      </c>
      <c r="I117" s="58" t="n">
        <f aca="false">'P12 BUMNOps Output'!I12*$E$117</f>
        <v>0</v>
      </c>
      <c r="J117" s="58" t="n">
        <f aca="false">'P12 BUMNOps Output'!J12*$E$117</f>
        <v>0</v>
      </c>
      <c r="K117" s="58" t="n">
        <f aca="false">'P12 BUMNOps Output'!K12*$E$117</f>
        <v>0</v>
      </c>
      <c r="L117" s="58" t="n">
        <f aca="false">'P12 BUMNOps Output'!L12*$E$117</f>
        <v>0</v>
      </c>
      <c r="M117" s="58" t="n">
        <f aca="false">'P12 BUMNOps Output'!M12*$E$117</f>
        <v>0</v>
      </c>
      <c r="N117" s="58" t="n">
        <f aca="false">'P12 BUMNOps Output'!N12*$E$117</f>
        <v>0</v>
      </c>
      <c r="O117" s="58" t="n">
        <f aca="false">'P12 BUMNOps Output'!O12*$E$117</f>
        <v>0</v>
      </c>
      <c r="P117" s="58" t="n">
        <f aca="false">'P12 BUMNOps Output'!P12*$E$117</f>
        <v>0</v>
      </c>
      <c r="Q117" s="58" t="n">
        <f aca="false">'P12 BUMNOps Output'!Q12*$E$117</f>
        <v>0</v>
      </c>
      <c r="R117" s="58" t="n">
        <f aca="false">'P12 BUMNOps Output'!R12*$E$117</f>
        <v>0</v>
      </c>
      <c r="S117" s="58" t="n">
        <f aca="false">'P12 BUMNOps Output'!S12*$E$117</f>
        <v>0</v>
      </c>
    </row>
    <row r="118" customFormat="false" ht="15" hidden="false" customHeight="false" outlineLevel="0" collapsed="false">
      <c r="B118" s="77" t="s">
        <v>66</v>
      </c>
      <c r="C118" s="25" t="s">
        <v>170</v>
      </c>
      <c r="E118" s="55" t="n">
        <f aca="false">'Global Inputs'!$L$101</f>
        <v>0</v>
      </c>
      <c r="F118" s="58" t="n">
        <f aca="false">'P15 TBM Output'!F12*$E$118</f>
        <v>-0</v>
      </c>
      <c r="G118" s="58" t="n">
        <f aca="false">'P15 TBM Output'!G12*$E$118</f>
        <v>-0</v>
      </c>
      <c r="H118" s="58" t="n">
        <f aca="false">'P15 TBM Output'!H12*$E$118</f>
        <v>-0</v>
      </c>
      <c r="I118" s="58" t="n">
        <f aca="false">'P15 TBM Output'!I12*$E$118</f>
        <v>-0</v>
      </c>
      <c r="J118" s="58" t="n">
        <f aca="false">'P15 TBM Output'!J12*$E$118</f>
        <v>-0</v>
      </c>
      <c r="K118" s="58" t="n">
        <f aca="false">'P15 TBM Output'!K12*$E$118</f>
        <v>-0</v>
      </c>
      <c r="L118" s="58" t="n">
        <f aca="false">'P15 TBM Output'!L12*$E$118</f>
        <v>-0</v>
      </c>
      <c r="M118" s="58" t="n">
        <f aca="false">'P15 TBM Output'!M12*$E$118</f>
        <v>-0</v>
      </c>
      <c r="N118" s="58" t="n">
        <f aca="false">'P15 TBM Output'!N12*$E$118</f>
        <v>-0</v>
      </c>
      <c r="O118" s="58" t="n">
        <f aca="false">'P15 TBM Output'!O12*$E$118</f>
        <v>-0</v>
      </c>
      <c r="P118" s="58" t="n">
        <f aca="false">'P15 TBM Output'!P12*$E$118</f>
        <v>-0</v>
      </c>
      <c r="Q118" s="58" t="n">
        <f aca="false">'P15 TBM Output'!Q12*$E$118</f>
        <v>-0</v>
      </c>
      <c r="R118" s="58" t="n">
        <f aca="false">'P15 TBM Output'!R12*$E$118</f>
        <v>-0</v>
      </c>
      <c r="S118" s="58" t="n">
        <f aca="false">'P15 TBM Output'!S12*$E$118</f>
        <v>-0</v>
      </c>
    </row>
    <row r="119" customFormat="false" ht="15" hidden="false" customHeight="false" outlineLevel="0" collapsed="false">
      <c r="B119" s="77" t="s">
        <v>69</v>
      </c>
      <c r="C119" s="25" t="s">
        <v>170</v>
      </c>
      <c r="E119" s="55" t="n">
        <f aca="false">'Global Inputs'!$L$102</f>
        <v>0</v>
      </c>
      <c r="F119" s="58" t="n">
        <f aca="false">'P19 Badas Output'!F12*$E$119</f>
        <v>-0</v>
      </c>
      <c r="G119" s="58" t="n">
        <f aca="false">'P19 Badas Output'!G12*$E$119</f>
        <v>-0</v>
      </c>
      <c r="H119" s="58" t="n">
        <f aca="false">'P19 Badas Output'!H12*$E$119</f>
        <v>-0</v>
      </c>
      <c r="I119" s="58" t="n">
        <f aca="false">'P19 Badas Output'!I12*$E$119</f>
        <v>-0</v>
      </c>
      <c r="J119" s="58" t="n">
        <f aca="false">'P19 Badas Output'!J12*$E$119</f>
        <v>-0</v>
      </c>
      <c r="K119" s="58" t="n">
        <f aca="false">'P19 Badas Output'!K12*$E$119</f>
        <v>-0</v>
      </c>
      <c r="L119" s="58" t="n">
        <f aca="false">'P19 Badas Output'!L12*$E$119</f>
        <v>-0</v>
      </c>
      <c r="M119" s="58" t="n">
        <f aca="false">'P19 Badas Output'!M12*$E$119</f>
        <v>-0</v>
      </c>
      <c r="N119" s="58" t="n">
        <f aca="false">'P19 Badas Output'!N12*$E$119</f>
        <v>-0</v>
      </c>
      <c r="O119" s="58" t="n">
        <f aca="false">'P19 Badas Output'!O12*$E$119</f>
        <v>-0</v>
      </c>
      <c r="P119" s="58" t="n">
        <f aca="false">'P19 Badas Output'!P12*$E$119</f>
        <v>-0</v>
      </c>
      <c r="Q119" s="58" t="n">
        <f aca="false">'P19 Badas Output'!Q12*$E$119</f>
        <v>-0</v>
      </c>
      <c r="R119" s="58" t="n">
        <f aca="false">'P19 Badas Output'!R12*$E$119</f>
        <v>-0</v>
      </c>
      <c r="S119" s="58" t="n">
        <f aca="false">'P19 Badas Output'!S12*$E$119</f>
        <v>-0</v>
      </c>
    </row>
    <row r="120" customFormat="false" ht="15" hidden="false" customHeight="false" outlineLevel="0" collapsed="false">
      <c r="B120" s="69" t="s">
        <v>451</v>
      </c>
      <c r="C120" s="25" t="s">
        <v>170</v>
      </c>
      <c r="E120" s="70" t="n">
        <f aca="false">SUM(F120:S120)</f>
        <v>-2137.7465115345</v>
      </c>
      <c r="F120" s="68" t="n">
        <f aca="false">F106+F107+F108+F109+F110+F111+F112+F113+F114+F115+F116+F117+F118+F119</f>
        <v>0</v>
      </c>
      <c r="G120" s="68" t="n">
        <f aca="false">G106+G107+G108+G109+G110+G111+G112+G113+G114+G115+G116+G117+G118+G119</f>
        <v>-122.543038522037</v>
      </c>
      <c r="H120" s="68" t="n">
        <f aca="false">H106+H107+H108+H109+H110+H111+H112+H113+H114+H115+H116+H117+H118+H119</f>
        <v>-114.658741724505</v>
      </c>
      <c r="I120" s="68" t="n">
        <f aca="false">I106+I107+I108+I109+I110+I111+I112+I113+I114+I115+I116+I117+I118+I119</f>
        <v>-112.224944325471</v>
      </c>
      <c r="J120" s="68" t="n">
        <f aca="false">J106+J107+J108+J109+J110+J111+J112+J113+J114+J115+J116+J117+J118+J119</f>
        <v>-124.581111752949</v>
      </c>
      <c r="K120" s="68" t="n">
        <f aca="false">K106+K107+K108+K109+K110+K111+K112+K113+K114+K115+K116+K117+K118+K119</f>
        <v>-146.734901704974</v>
      </c>
      <c r="L120" s="68" t="n">
        <f aca="false">L106+L107+L108+L109+L110+L111+L112+L113+L114+L115+L116+L117+L118+L119</f>
        <v>-157.564323537375</v>
      </c>
      <c r="M120" s="68" t="n">
        <f aca="false">M106+M107+M108+M109+M110+M111+M112+M113+M114+M115+M116+M117+M118+M119</f>
        <v>-167.623099382131</v>
      </c>
      <c r="N120" s="68" t="n">
        <f aca="false">N106+N107+N108+N109+N110+N111+N112+N113+N114+N115+N116+N117+N118+N119</f>
        <v>-179.279102068045</v>
      </c>
      <c r="O120" s="68" t="n">
        <f aca="false">O106+O107+O108+O109+O110+O111+O112+O113+O114+O115+O116+O117+O118+O119</f>
        <v>-190.13496362309</v>
      </c>
      <c r="P120" s="68" t="n">
        <f aca="false">P106+P107+P108+P109+P110+P111+P112+P113+P114+P115+P116+P117+P118+P119</f>
        <v>-201.602643771733</v>
      </c>
      <c r="Q120" s="68" t="n">
        <f aca="false">Q106+Q107+Q108+Q109+Q110+Q111+Q112+Q113+Q114+Q115+Q116+Q117+Q118+Q119</f>
        <v>-197.459104337975</v>
      </c>
      <c r="R120" s="68" t="n">
        <f aca="false">R106+R107+R108+R109+R110+R111+R112+R113+R114+R115+R116+R117+R118+R119</f>
        <v>-206.409432070665</v>
      </c>
      <c r="S120" s="68" t="n">
        <f aca="false">S106+S107+S108+S109+S110+S111+S112+S113+S114+S115+S116+S117+S118+S119</f>
        <v>-216.931104713551</v>
      </c>
    </row>
    <row r="121" customFormat="false" ht="15" hidden="false" customHeight="false" outlineLevel="0" collapsed="false">
      <c r="B121" s="78" t="s">
        <v>393</v>
      </c>
      <c r="C121" s="79"/>
      <c r="D121" s="79"/>
      <c r="E121" s="79"/>
      <c r="F121" s="79"/>
      <c r="G121" s="79"/>
      <c r="H121" s="79"/>
      <c r="I121" s="79"/>
      <c r="J121" s="79"/>
      <c r="K121" s="79"/>
      <c r="L121" s="79"/>
      <c r="M121" s="79"/>
      <c r="N121" s="79"/>
      <c r="O121" s="79"/>
      <c r="P121" s="79"/>
      <c r="Q121" s="79"/>
      <c r="R121" s="79"/>
      <c r="S121" s="79"/>
    </row>
    <row r="122" customFormat="false" ht="15" hidden="false" customHeight="false" outlineLevel="0" collapsed="false">
      <c r="B122" s="77" t="s">
        <v>31</v>
      </c>
      <c r="C122" s="25" t="s">
        <v>170</v>
      </c>
      <c r="E122" s="55" t="n">
        <f aca="false">'Global Inputs'!$L$89</f>
        <v>1</v>
      </c>
      <c r="F122" s="58" t="n">
        <f aca="false">'E1 TelukLamong Output'!F14*$E$122</f>
        <v>-0</v>
      </c>
      <c r="G122" s="58" t="n">
        <f aca="false">'E1 TelukLamong Output'!G14*$E$122</f>
        <v>-13.9938981842</v>
      </c>
      <c r="H122" s="58" t="n">
        <f aca="false">'E1 TelukLamong Output'!H14*$E$122</f>
        <v>-14.400583372184</v>
      </c>
      <c r="I122" s="58" t="n">
        <f aca="false">'E1 TelukLamong Output'!I14*$E$122</f>
        <v>-14.8192064806567</v>
      </c>
      <c r="J122" s="58" t="n">
        <f aca="false">'E1 TelukLamong Output'!J14*$E$122</f>
        <v>-15.2501203945297</v>
      </c>
      <c r="K122" s="58" t="n">
        <f aca="false">'E1 TelukLamong Output'!K14*$E$122</f>
        <v>-15.6936884802079</v>
      </c>
      <c r="L122" s="58" t="n">
        <f aca="false">'E1 TelukLamong Output'!L14*$E$122</f>
        <v>-16.1502848979334</v>
      </c>
      <c r="M122" s="58" t="n">
        <f aca="false">'E1 TelukLamong Output'!M14*$E$122</f>
        <v>-16.620294923457</v>
      </c>
      <c r="N122" s="58" t="n">
        <f aca="false">'E1 TelukLamong Output'!N14*$E$122</f>
        <v>-17.104115279318</v>
      </c>
      <c r="O122" s="58" t="n">
        <f aca="false">'E1 TelukLamong Output'!O14*$E$122</f>
        <v>-17.602154476018</v>
      </c>
      <c r="P122" s="58" t="n">
        <f aca="false">'E1 TelukLamong Output'!P14*$E$122</f>
        <v>-18.1148331633854</v>
      </c>
      <c r="Q122" s="58" t="n">
        <f aca="false">'E1 TelukLamong Output'!Q14*$E$122</f>
        <v>-18.6425844924356</v>
      </c>
      <c r="R122" s="58" t="n">
        <f aca="false">'E1 TelukLamong Output'!R14*$E$122</f>
        <v>-19.1858544880403</v>
      </c>
      <c r="S122" s="58" t="n">
        <f aca="false">'E1 TelukLamong Output'!S14*$E$122</f>
        <v>-19.7451024327297</v>
      </c>
    </row>
    <row r="123" customFormat="false" ht="15" hidden="false" customHeight="false" outlineLevel="0" collapsed="false">
      <c r="B123" s="77" t="s">
        <v>34</v>
      </c>
      <c r="C123" s="25" t="s">
        <v>170</v>
      </c>
      <c r="E123" s="55" t="n">
        <f aca="false">'Global Inputs'!$L$90</f>
        <v>1</v>
      </c>
      <c r="F123" s="58" t="n">
        <f aca="false">'E2 CigadingExist Output'!F14*$E$123</f>
        <v>-0</v>
      </c>
      <c r="G123" s="58" t="n">
        <f aca="false">'E2 CigadingExist Output'!G14*$E$123</f>
        <v>-9.152664403</v>
      </c>
      <c r="H123" s="58" t="n">
        <f aca="false">'E2 CigadingExist Output'!H14*$E$123</f>
        <v>-9.44884332667</v>
      </c>
      <c r="I123" s="58" t="n">
        <f aca="false">'E2 CigadingExist Output'!I14*$E$123</f>
        <v>-9.7546713283192</v>
      </c>
      <c r="J123" s="58" t="n">
        <f aca="false">'E2 CigadingExist Output'!J14*$E$123</f>
        <v>-10.0704647650577</v>
      </c>
      <c r="K123" s="58" t="n">
        <f aca="false">'E2 CigadingExist Output'!K14*$E$123</f>
        <v>-10.396550428774</v>
      </c>
      <c r="L123" s="58" t="n">
        <f aca="false">'E2 CigadingExist Output'!L14*$E$123</f>
        <v>-10.7332658922828</v>
      </c>
      <c r="M123" s="58" t="n">
        <f aca="false">'E2 CigadingExist Output'!M14*$E$123</f>
        <v>-11.0809598670169</v>
      </c>
      <c r="N123" s="58" t="n">
        <f aca="false">'E2 CigadingExist Output'!N14*$E$123</f>
        <v>-11.43999257265</v>
      </c>
      <c r="O123" s="58" t="n">
        <f aca="false">'E2 CigadingExist Output'!O14*$E$123</f>
        <v>-11.8107361190519</v>
      </c>
      <c r="P123" s="58" t="n">
        <f aca="false">'E2 CigadingExist Output'!P14*$E$123</f>
        <v>-12.1935749009866</v>
      </c>
      <c r="Q123" s="58" t="n">
        <f aca="false">'E2 CigadingExist Output'!Q14*$E$123</f>
        <v>-12.5889060059847</v>
      </c>
      <c r="R123" s="58" t="n">
        <f aca="false">'E2 CigadingExist Output'!R14*$E$123</f>
        <v>-12.9971396358273</v>
      </c>
      <c r="S123" s="58" t="n">
        <f aca="false">'E2 CigadingExist Output'!S14*$E$123</f>
        <v>-13.4186995421024</v>
      </c>
    </row>
    <row r="124" customFormat="false" ht="15" hidden="false" customHeight="false" outlineLevel="0" collapsed="false">
      <c r="B124" s="77" t="s">
        <v>37</v>
      </c>
      <c r="C124" s="25" t="s">
        <v>170</v>
      </c>
      <c r="E124" s="55" t="n">
        <f aca="false">'Global Inputs'!$L$91</f>
        <v>1</v>
      </c>
      <c r="F124" s="58" t="n">
        <f aca="false">'E3 Belawan Output'!F14*$E$124</f>
        <v>-0</v>
      </c>
      <c r="G124" s="58" t="n">
        <f aca="false">'E3 Belawan Output'!G14*$E$124</f>
        <v>-3.0717537533632</v>
      </c>
      <c r="H124" s="58" t="n">
        <f aca="false">'E3 Belawan Output'!H14*$E$124</f>
        <v>-3.15899704597087</v>
      </c>
      <c r="I124" s="58" t="n">
        <f aca="false">'E3 Belawan Output'!I14*$E$124</f>
        <v>-3.24877039555507</v>
      </c>
      <c r="J124" s="58" t="n">
        <f aca="false">'E3 Belawan Output'!J14*$E$124</f>
        <v>-3.34114834204999</v>
      </c>
      <c r="K124" s="58" t="n">
        <f aca="false">'E3 Belawan Output'!K14*$E$124</f>
        <v>-3.43620764775949</v>
      </c>
      <c r="L124" s="58" t="n">
        <f aca="false">'E3 Belawan Output'!L14*$E$124</f>
        <v>-3.53402736422084</v>
      </c>
      <c r="M124" s="58" t="n">
        <f aca="false">'E3 Belawan Output'!M14*$E$124</f>
        <v>-3.63468890109473</v>
      </c>
      <c r="N124" s="58" t="n">
        <f aca="false">'E3 Belawan Output'!N14*$E$124</f>
        <v>-3.73827609714313</v>
      </c>
      <c r="O124" s="58" t="n">
        <f aca="false">'E3 Belawan Output'!O14*$E$124</f>
        <v>-3.84487529335888</v>
      </c>
      <c r="P124" s="58" t="n">
        <f aca="false">'E3 Belawan Output'!P14*$E$124</f>
        <v>-3.95457540831241</v>
      </c>
      <c r="Q124" s="58" t="n">
        <f aca="false">'E3 Belawan Output'!Q14*$E$124</f>
        <v>-4.06746801578336</v>
      </c>
      <c r="R124" s="58" t="n">
        <f aca="false">'E3 Belawan Output'!R14*$E$124</f>
        <v>-4.18364742474673</v>
      </c>
      <c r="S124" s="58" t="n">
        <f aca="false">'E3 Belawan Output'!S14*$E$124</f>
        <v>-4.3032107617854</v>
      </c>
    </row>
    <row r="125" customFormat="false" ht="15" hidden="false" customHeight="false" outlineLevel="0" collapsed="false">
      <c r="B125" s="77" t="s">
        <v>40</v>
      </c>
      <c r="C125" s="25" t="s">
        <v>170</v>
      </c>
      <c r="E125" s="55" t="n">
        <f aca="false">'Global Inputs'!$L$92</f>
        <v>1</v>
      </c>
      <c r="F125" s="58" t="n">
        <f aca="false">'E4 WIN Output'!F14*$E$125</f>
        <v>-0</v>
      </c>
      <c r="G125" s="58" t="n">
        <f aca="false">'E4 WIN Output'!G14*$E$125</f>
        <v>-2.2917843231526</v>
      </c>
      <c r="H125" s="58" t="n">
        <f aca="false">'E4 WIN Output'!H14*$E$125</f>
        <v>-2.31470216638413</v>
      </c>
      <c r="I125" s="58" t="n">
        <f aca="false">'E4 WIN Output'!I14*$E$125</f>
        <v>-2.33784918804797</v>
      </c>
      <c r="J125" s="58" t="n">
        <f aca="false">'E4 WIN Output'!J14*$E$125</f>
        <v>-2.36122767992845</v>
      </c>
      <c r="K125" s="58" t="n">
        <f aca="false">'E4 WIN Output'!K14*$E$125</f>
        <v>-2.38483995672773</v>
      </c>
      <c r="L125" s="58" t="n">
        <f aca="false">'E4 WIN Output'!L14*$E$125</f>
        <v>-2.40868835629501</v>
      </c>
      <c r="M125" s="58" t="n">
        <f aca="false">'E4 WIN Output'!M14*$E$125</f>
        <v>-2.43277523985796</v>
      </c>
      <c r="N125" s="58" t="n">
        <f aca="false">'E4 WIN Output'!N14*$E$125</f>
        <v>-2.45710299225654</v>
      </c>
      <c r="O125" s="58" t="n">
        <f aca="false">'E4 WIN Output'!O14*$E$125</f>
        <v>-2.4816740221791</v>
      </c>
      <c r="P125" s="58" t="n">
        <f aca="false">'E4 WIN Output'!P14*$E$125</f>
        <v>-2.50649076240089</v>
      </c>
      <c r="Q125" s="58" t="n">
        <f aca="false">'E4 WIN Output'!Q14*$E$125</f>
        <v>-2.5315556700249</v>
      </c>
      <c r="R125" s="58" t="n">
        <f aca="false">'E4 WIN Output'!R14*$E$125</f>
        <v>-2.55687122672515</v>
      </c>
      <c r="S125" s="58" t="n">
        <f aca="false">'E4 WIN Output'!S14*$E$125</f>
        <v>-2.5824399389924</v>
      </c>
    </row>
    <row r="126" customFormat="false" ht="15" hidden="false" customHeight="false" outlineLevel="0" collapsed="false">
      <c r="B126" s="77" t="s">
        <v>43</v>
      </c>
      <c r="C126" s="25" t="s">
        <v>170</v>
      </c>
      <c r="E126" s="55" t="n">
        <f aca="false">'Global Inputs'!$L$93</f>
        <v>1</v>
      </c>
      <c r="F126" s="58" t="n">
        <f aca="false">'P01 CigWharf2 Output'!F14*$E$126</f>
        <v>-0</v>
      </c>
      <c r="G126" s="58" t="n">
        <f aca="false">'P01 CigWharf2 Output'!G14*$E$126</f>
        <v>-0</v>
      </c>
      <c r="H126" s="58" t="n">
        <f aca="false">'P01 CigWharf2 Output'!H14*$E$126</f>
        <v>-20.0624418192384</v>
      </c>
      <c r="I126" s="58" t="n">
        <f aca="false">'P01 CigWharf2 Output'!I14*$E$126</f>
        <v>-20.6643150738156</v>
      </c>
      <c r="J126" s="58" t="n">
        <f aca="false">'P01 CigWharf2 Output'!J14*$E$126</f>
        <v>-25.541093431236</v>
      </c>
      <c r="K126" s="58" t="n">
        <f aca="false">'P01 CigWharf2 Output'!K14*$E$126</f>
        <v>-26.3073262341731</v>
      </c>
      <c r="L126" s="58" t="n">
        <f aca="false">'P01 CigWharf2 Output'!L14*$E$126</f>
        <v>-29.8062006233181</v>
      </c>
      <c r="M126" s="58" t="n">
        <f aca="false">'P01 CigWharf2 Output'!M14*$E$126</f>
        <v>-30.7003866420177</v>
      </c>
      <c r="N126" s="58" t="n">
        <f aca="false">'P01 CigWharf2 Output'!N14*$E$126</f>
        <v>-33.5186821357549</v>
      </c>
      <c r="O126" s="58" t="n">
        <f aca="false">'P01 CigWharf2 Output'!O14*$E$126</f>
        <v>-34.5242425998275</v>
      </c>
      <c r="P126" s="58" t="n">
        <f aca="false">'P01 CigWharf2 Output'!P14*$E$126</f>
        <v>-37.6935680704917</v>
      </c>
      <c r="Q126" s="58" t="n">
        <f aca="false">'P01 CigWharf2 Output'!Q14*$E$126</f>
        <v>-38.8243751126065</v>
      </c>
      <c r="R126" s="58" t="n">
        <f aca="false">'P01 CigWharf2 Output'!R14*$E$126</f>
        <v>-39.9891063659847</v>
      </c>
      <c r="S126" s="58" t="n">
        <f aca="false">'P01 CigWharf2 Output'!S14*$E$126</f>
        <v>-41.1887795569642</v>
      </c>
    </row>
    <row r="127" customFormat="false" ht="15" hidden="false" customHeight="false" outlineLevel="0" collapsed="false">
      <c r="B127" s="77" t="s">
        <v>46</v>
      </c>
      <c r="C127" s="25" t="s">
        <v>170</v>
      </c>
      <c r="E127" s="55" t="n">
        <f aca="false">'Global Inputs'!$L$94</f>
        <v>1</v>
      </c>
      <c r="F127" s="58" t="n">
        <f aca="false">'P02 CigConveyor Output'!F14*$E$127</f>
        <v>0</v>
      </c>
      <c r="G127" s="58" t="n">
        <f aca="false">'P02 CigConveyor Output'!G14*$E$127</f>
        <v>0</v>
      </c>
      <c r="H127" s="58" t="n">
        <f aca="false">'P02 CigConveyor Output'!H14*$E$127</f>
        <v>0</v>
      </c>
      <c r="I127" s="58" t="n">
        <f aca="false">'P02 CigConveyor Output'!I14*$E$127</f>
        <v>0</v>
      </c>
      <c r="J127" s="58" t="n">
        <f aca="false">'P02 CigConveyor Output'!J14*$E$127</f>
        <v>0</v>
      </c>
      <c r="K127" s="58" t="n">
        <f aca="false">'P02 CigConveyor Output'!K14*$E$127</f>
        <v>0</v>
      </c>
      <c r="L127" s="58" t="n">
        <f aca="false">'P02 CigConveyor Output'!L14*$E$127</f>
        <v>0</v>
      </c>
      <c r="M127" s="58" t="n">
        <f aca="false">'P02 CigConveyor Output'!M14*$E$127</f>
        <v>0</v>
      </c>
      <c r="N127" s="58" t="n">
        <f aca="false">'P02 CigConveyor Output'!N14*$E$127</f>
        <v>0</v>
      </c>
      <c r="O127" s="58" t="n">
        <f aca="false">'P02 CigConveyor Output'!O14*$E$127</f>
        <v>0</v>
      </c>
      <c r="P127" s="58" t="n">
        <f aca="false">'P02 CigConveyor Output'!P14*$E$127</f>
        <v>0</v>
      </c>
      <c r="Q127" s="58" t="n">
        <f aca="false">'P02 CigConveyor Output'!Q14*$E$127</f>
        <v>0</v>
      </c>
      <c r="R127" s="58" t="n">
        <f aca="false">'P02 CigConveyor Output'!R14*$E$127</f>
        <v>0</v>
      </c>
      <c r="S127" s="58" t="n">
        <f aca="false">'P02 CigConveyor Output'!S14*$E$127</f>
        <v>0</v>
      </c>
    </row>
    <row r="128" customFormat="false" ht="15" hidden="false" customHeight="false" outlineLevel="0" collapsed="false">
      <c r="B128" s="77" t="s">
        <v>48</v>
      </c>
      <c r="C128" s="25" t="s">
        <v>170</v>
      </c>
      <c r="E128" s="55" t="n">
        <f aca="false">'Global Inputs'!$L$95</f>
        <v>1</v>
      </c>
      <c r="F128" s="58" t="n">
        <f aca="false">'P03 KBSWarehouse Output'!F14*$E$128</f>
        <v>-0</v>
      </c>
      <c r="G128" s="58" t="n">
        <f aca="false">'P03 KBSWarehouse Output'!G14*$E$128</f>
        <v>-0</v>
      </c>
      <c r="H128" s="58" t="n">
        <f aca="false">'P03 KBSWarehouse Output'!H14*$E$128</f>
        <v>-0</v>
      </c>
      <c r="I128" s="58" t="n">
        <f aca="false">'P03 KBSWarehouse Output'!I14*$E$128</f>
        <v>-0</v>
      </c>
      <c r="J128" s="58" t="n">
        <f aca="false">'P03 KBSWarehouse Output'!J14*$E$128</f>
        <v>-26.511891</v>
      </c>
      <c r="K128" s="58" t="n">
        <f aca="false">'P03 KBSWarehouse Output'!K14*$E$128</f>
        <v>-27.30724773</v>
      </c>
      <c r="L128" s="58" t="n">
        <f aca="false">'P03 KBSWarehouse Output'!L14*$E$128</f>
        <v>-28.1264651619</v>
      </c>
      <c r="M128" s="58" t="n">
        <f aca="false">'P03 KBSWarehouse Output'!M14*$E$128</f>
        <v>-28.970259116757</v>
      </c>
      <c r="N128" s="58" t="n">
        <f aca="false">'P03 KBSWarehouse Output'!N14*$E$128</f>
        <v>-29.8393668902597</v>
      </c>
      <c r="O128" s="58" t="n">
        <f aca="false">'P03 KBSWarehouse Output'!O14*$E$128</f>
        <v>-30.7345478969675</v>
      </c>
      <c r="P128" s="58" t="n">
        <f aca="false">'P03 KBSWarehouse Output'!P14*$E$128</f>
        <v>-31.6565843338765</v>
      </c>
      <c r="Q128" s="58" t="n">
        <f aca="false">'P03 KBSWarehouse Output'!Q14*$E$128</f>
        <v>-32.6062818638928</v>
      </c>
      <c r="R128" s="58" t="n">
        <f aca="false">'P03 KBSWarehouse Output'!R14*$E$128</f>
        <v>-33.5844703198096</v>
      </c>
      <c r="S128" s="58" t="n">
        <f aca="false">'P03 KBSWarehouse Output'!S14*$E$128</f>
        <v>-34.5920044294039</v>
      </c>
    </row>
    <row r="129" customFormat="false" ht="15" hidden="false" customHeight="false" outlineLevel="0" collapsed="false">
      <c r="B129" s="77" t="s">
        <v>51</v>
      </c>
      <c r="C129" s="25" t="s">
        <v>170</v>
      </c>
      <c r="E129" s="55" t="n">
        <f aca="false">'Global Inputs'!$L$96</f>
        <v>1</v>
      </c>
      <c r="F129" s="58" t="n">
        <f aca="false">'P04 TTLSilo Output'!F14*$E$129</f>
        <v>-0</v>
      </c>
      <c r="G129" s="58" t="n">
        <f aca="false">'P04 TTLSilo Output'!G14*$E$129</f>
        <v>-0</v>
      </c>
      <c r="H129" s="58" t="n">
        <f aca="false">'P04 TTLSilo Output'!H14*$E$129</f>
        <v>-0</v>
      </c>
      <c r="I129" s="58" t="n">
        <f aca="false">'P04 TTLSilo Output'!I14*$E$129</f>
        <v>-0</v>
      </c>
      <c r="J129" s="58" t="n">
        <f aca="false">'P04 TTLSilo Output'!J14*$E$129</f>
        <v>-0.0612</v>
      </c>
      <c r="K129" s="58" t="n">
        <f aca="false">'P04 TTLSilo Output'!K14*$E$129</f>
        <v>-0.0612</v>
      </c>
      <c r="L129" s="58" t="n">
        <f aca="false">'P04 TTLSilo Output'!L14*$E$129</f>
        <v>-0.0612</v>
      </c>
      <c r="M129" s="58" t="n">
        <f aca="false">'P04 TTLSilo Output'!M14*$E$129</f>
        <v>-0.0612</v>
      </c>
      <c r="N129" s="58" t="n">
        <f aca="false">'P04 TTLSilo Output'!N14*$E$129</f>
        <v>-0.0612</v>
      </c>
      <c r="O129" s="58" t="n">
        <f aca="false">'P04 TTLSilo Output'!O14*$E$129</f>
        <v>-0.0612</v>
      </c>
      <c r="P129" s="58" t="n">
        <f aca="false">'P04 TTLSilo Output'!P14*$E$129</f>
        <v>-0.0612</v>
      </c>
      <c r="Q129" s="58" t="n">
        <f aca="false">'P04 TTLSilo Output'!Q14*$E$129</f>
        <v>-0.0612</v>
      </c>
      <c r="R129" s="58" t="n">
        <f aca="false">'P04 TTLSilo Output'!R14*$E$129</f>
        <v>-0.0612</v>
      </c>
      <c r="S129" s="58" t="n">
        <f aca="false">'P04 TTLSilo Output'!S14*$E$129</f>
        <v>-0.0612</v>
      </c>
    </row>
    <row r="130" customFormat="false" ht="15" hidden="false" customHeight="false" outlineLevel="0" collapsed="false">
      <c r="B130" s="77" t="s">
        <v>54</v>
      </c>
      <c r="C130" s="25" t="s">
        <v>170</v>
      </c>
      <c r="E130" s="55" t="n">
        <f aca="false">'Global Inputs'!$L$97</f>
        <v>1</v>
      </c>
      <c r="F130" s="58" t="n">
        <f aca="false">'P05 Dumai Output'!F14*$E$130</f>
        <v>-0</v>
      </c>
      <c r="G130" s="58" t="n">
        <f aca="false">'P05 Dumai Output'!G14*$E$130</f>
        <v>-0</v>
      </c>
      <c r="H130" s="58" t="n">
        <f aca="false">'P05 Dumai Output'!H14*$E$130</f>
        <v>-0</v>
      </c>
      <c r="I130" s="58" t="n">
        <f aca="false">'P05 Dumai Output'!I14*$E$130</f>
        <v>-22.3491825681227</v>
      </c>
      <c r="J130" s="58" t="n">
        <f aca="false">'P05 Dumai Output'!J14*$E$130</f>
        <v>-22.8608565715802</v>
      </c>
      <c r="K130" s="58" t="n">
        <f aca="false">'P05 Dumai Output'!K14*$E$130</f>
        <v>-23.3853224251242</v>
      </c>
      <c r="L130" s="58" t="n">
        <f aca="false">'P05 Dumai Output'!L14*$E$130</f>
        <v>-24.3681771844325</v>
      </c>
      <c r="M130" s="58" t="n">
        <f aca="false">'P05 Dumai Output'!M14*$E$130</f>
        <v>-25.3662755923383</v>
      </c>
      <c r="N130" s="58" t="n">
        <f aca="false">'P05 Dumai Output'!N14*$E$130</f>
        <v>-25.7213353784049</v>
      </c>
      <c r="O130" s="58" t="n">
        <f aca="false">'P05 Dumai Output'!O14*$E$130</f>
        <v>-26.3097604653814</v>
      </c>
      <c r="P130" s="58" t="n">
        <f aca="false">'P05 Dumai Output'!P14*$E$130</f>
        <v>-27.4136759407163</v>
      </c>
      <c r="Q130" s="58" t="n">
        <f aca="false">'P05 Dumai Output'!Q14*$E$130</f>
        <v>-28.0421843915507</v>
      </c>
      <c r="R130" s="58" t="n">
        <f aca="false">'P05 Dumai Output'!R14*$E$130</f>
        <v>-29.1245931726963</v>
      </c>
      <c r="S130" s="58" t="n">
        <f aca="false">'P05 Dumai Output'!S14*$E$130</f>
        <v>-29.3905510067177</v>
      </c>
    </row>
    <row r="131" customFormat="false" ht="15" hidden="false" customHeight="false" outlineLevel="0" collapsed="false">
      <c r="B131" s="77" t="s">
        <v>57</v>
      </c>
      <c r="C131" s="25" t="s">
        <v>170</v>
      </c>
      <c r="E131" s="55" t="n">
        <f aca="false">'Global Inputs'!$L$98</f>
        <v>1</v>
      </c>
      <c r="F131" s="58" t="n">
        <f aca="false">'P06 Ciwandan Output'!F14*$E$131</f>
        <v>-0</v>
      </c>
      <c r="G131" s="58" t="n">
        <f aca="false">'P06 Ciwandan Output'!G14*$E$131</f>
        <v>-0</v>
      </c>
      <c r="H131" s="58" t="n">
        <f aca="false">'P06 Ciwandan Output'!H14*$E$131</f>
        <v>-0</v>
      </c>
      <c r="I131" s="58" t="n">
        <f aca="false">'P06 Ciwandan Output'!I14*$E$131</f>
        <v>-0</v>
      </c>
      <c r="J131" s="58" t="n">
        <f aca="false">'P06 Ciwandan Output'!J14*$E$131</f>
        <v>-0</v>
      </c>
      <c r="K131" s="58" t="n">
        <f aca="false">'P06 Ciwandan Output'!K14*$E$131</f>
        <v>-10.0914504540435</v>
      </c>
      <c r="L131" s="58" t="n">
        <f aca="false">'P06 Ciwandan Output'!L14*$E$131</f>
        <v>-12.1358675927415</v>
      </c>
      <c r="M131" s="58" t="n">
        <f aca="false">'P06 Ciwandan Output'!M14*$E$131</f>
        <v>-13.3783686930441</v>
      </c>
      <c r="N131" s="58" t="n">
        <f aca="false">'P06 Ciwandan Output'!N14*$E$131</f>
        <v>-15.3047399401701</v>
      </c>
      <c r="O131" s="58" t="n">
        <f aca="false">'P06 Ciwandan Output'!O14*$E$131</f>
        <v>-16.2584350403566</v>
      </c>
      <c r="P131" s="58" t="n">
        <f aca="false">'P06 Ciwandan Output'!P14*$E$131</f>
        <v>-17.2717023887517</v>
      </c>
      <c r="Q131" s="58" t="n">
        <f aca="false">'P06 Ciwandan Output'!Q14*$E$131</f>
        <v>-18.3482716195551</v>
      </c>
      <c r="R131" s="58" t="n">
        <f aca="false">'P06 Ciwandan Output'!R14*$E$131</f>
        <v>-20.661632752248</v>
      </c>
      <c r="S131" s="58" t="n">
        <f aca="false">'P06 Ciwandan Output'!S14*$E$131</f>
        <v>-21.9498641317804</v>
      </c>
    </row>
    <row r="132" customFormat="false" ht="15" hidden="false" customHeight="false" outlineLevel="0" collapsed="false">
      <c r="B132" s="77" t="s">
        <v>60</v>
      </c>
      <c r="C132" s="25" t="s">
        <v>170</v>
      </c>
      <c r="E132" s="55" t="n">
        <f aca="false">'Global Inputs'!$L$99</f>
        <v>1</v>
      </c>
      <c r="F132" s="58" t="n">
        <f aca="false">'P08 DMSTrucking Output'!F14*$E$132</f>
        <v>-0</v>
      </c>
      <c r="G132" s="58" t="n">
        <f aca="false">'P08 DMSTrucking Output'!G14*$E$132</f>
        <v>-0</v>
      </c>
      <c r="H132" s="58" t="n">
        <f aca="false">'P08 DMSTrucking Output'!H14*$E$132</f>
        <v>-0</v>
      </c>
      <c r="I132" s="58" t="n">
        <f aca="false">'P08 DMSTrucking Output'!I14*$E$132</f>
        <v>-0</v>
      </c>
      <c r="J132" s="58" t="n">
        <f aca="false">'P08 DMSTrucking Output'!J14*$E$132</f>
        <v>-0.5504799119776</v>
      </c>
      <c r="K132" s="58" t="n">
        <f aca="false">'P08 DMSTrucking Output'!K14*$E$132</f>
        <v>-0.660154309336928</v>
      </c>
      <c r="L132" s="58" t="n">
        <f aca="false">'P08 DMSTrucking Output'!L14*$E$132</f>
        <v>-0.686814938617036</v>
      </c>
      <c r="M132" s="58" t="n">
        <f aca="false">'P08 DMSTrucking Output'!M14*$E$132</f>
        <v>-0.714924986775547</v>
      </c>
      <c r="N132" s="58" t="n">
        <f aca="false">'P08 DMSTrucking Output'!N14*$E$132</f>
        <v>-0.744592896378814</v>
      </c>
      <c r="O132" s="58" t="n">
        <f aca="false">'P08 DMSTrucking Output'!O14*$E$132</f>
        <v>-0.770996187270178</v>
      </c>
      <c r="P132" s="58" t="n">
        <f aca="false">'P08 DMSTrucking Output'!P14*$E$132</f>
        <v>-0.798413907128283</v>
      </c>
      <c r="Q132" s="58" t="n">
        <f aca="false">'P08 DMSTrucking Output'!Q14*$E$132</f>
        <v>-0.826889828636532</v>
      </c>
      <c r="R132" s="58" t="n">
        <f aca="false">'P08 DMSTrucking Output'!R14*$E$132</f>
        <v>-0.856469838047692</v>
      </c>
      <c r="S132" s="58" t="n">
        <f aca="false">'P08 DMSTrucking Output'!S14*$E$132</f>
        <v>-0.887202046614311</v>
      </c>
    </row>
    <row r="133" customFormat="false" ht="15" hidden="false" customHeight="false" outlineLevel="0" collapsed="false">
      <c r="B133" s="77" t="s">
        <v>63</v>
      </c>
      <c r="C133" s="25" t="s">
        <v>170</v>
      </c>
      <c r="E133" s="55" t="n">
        <f aca="false">'Global Inputs'!$L$100</f>
        <v>1</v>
      </c>
      <c r="F133" s="58" t="n">
        <f aca="false">'P12 BUMNOps Output'!F14*$E$133</f>
        <v>-0</v>
      </c>
      <c r="G133" s="58" t="n">
        <f aca="false">'P12 BUMNOps Output'!G14*$E$133</f>
        <v>-0</v>
      </c>
      <c r="H133" s="58" t="n">
        <f aca="false">'P12 BUMNOps Output'!H14*$E$133</f>
        <v>-0</v>
      </c>
      <c r="I133" s="58" t="n">
        <f aca="false">'P12 BUMNOps Output'!I14*$E$133</f>
        <v>-69.1755874402134</v>
      </c>
      <c r="J133" s="58" t="n">
        <f aca="false">'P12 BUMNOps Output'!J14*$E$133</f>
        <v>-73.0850311994823</v>
      </c>
      <c r="K133" s="58" t="n">
        <f aca="false">'P12 BUMNOps Output'!K14*$E$133</f>
        <v>-75.6811008854005</v>
      </c>
      <c r="L133" s="58" t="n">
        <f aca="false">'P12 BUMNOps Output'!L14*$E$133</f>
        <v>-78.3412963408759</v>
      </c>
      <c r="M133" s="58" t="n">
        <f aca="false">'P12 BUMNOps Output'!M14*$E$133</f>
        <v>-81.0675413389949</v>
      </c>
      <c r="N133" s="58" t="n">
        <f aca="false">'P12 BUMNOps Output'!N14*$E$133</f>
        <v>-83.8618173660371</v>
      </c>
      <c r="O133" s="58" t="n">
        <f aca="false">'P12 BUMNOps Output'!O14*$E$133</f>
        <v>-86.7261653528701</v>
      </c>
      <c r="P133" s="58" t="n">
        <f aca="false">'P12 BUMNOps Output'!P14*$E$133</f>
        <v>-89.6626874582877</v>
      </c>
      <c r="Q133" s="58" t="n">
        <f aca="false">'P12 BUMNOps Output'!Q14*$E$133</f>
        <v>-92.6735489058472</v>
      </c>
      <c r="R133" s="58" t="n">
        <f aca="false">'P12 BUMNOps Output'!R14*$E$133</f>
        <v>-90.2584514676255</v>
      </c>
      <c r="S133" s="58" t="n">
        <f aca="false">'P12 BUMNOps Output'!S14*$E$133</f>
        <v>-92.9662050116543</v>
      </c>
    </row>
    <row r="134" customFormat="false" ht="15" hidden="false" customHeight="false" outlineLevel="0" collapsed="false">
      <c r="B134" s="77" t="s">
        <v>66</v>
      </c>
      <c r="C134" s="25" t="s">
        <v>170</v>
      </c>
      <c r="E134" s="55" t="n">
        <f aca="false">'Global Inputs'!$L$101</f>
        <v>0</v>
      </c>
      <c r="F134" s="58" t="n">
        <f aca="false">'P15 TBM Output'!F14*$E$134</f>
        <v>-0</v>
      </c>
      <c r="G134" s="58" t="n">
        <f aca="false">'P15 TBM Output'!G14*$E$134</f>
        <v>-0</v>
      </c>
      <c r="H134" s="58" t="n">
        <f aca="false">'P15 TBM Output'!H14*$E$134</f>
        <v>-0</v>
      </c>
      <c r="I134" s="58" t="n">
        <f aca="false">'P15 TBM Output'!I14*$E$134</f>
        <v>-0</v>
      </c>
      <c r="J134" s="58" t="n">
        <f aca="false">'P15 TBM Output'!J14*$E$134</f>
        <v>-0</v>
      </c>
      <c r="K134" s="58" t="n">
        <f aca="false">'P15 TBM Output'!K14*$E$134</f>
        <v>-0</v>
      </c>
      <c r="L134" s="58" t="n">
        <f aca="false">'P15 TBM Output'!L14*$E$134</f>
        <v>-0</v>
      </c>
      <c r="M134" s="58" t="n">
        <f aca="false">'P15 TBM Output'!M14*$E$134</f>
        <v>-0</v>
      </c>
      <c r="N134" s="58" t="n">
        <f aca="false">'P15 TBM Output'!N14*$E$134</f>
        <v>-0</v>
      </c>
      <c r="O134" s="58" t="n">
        <f aca="false">'P15 TBM Output'!O14*$E$134</f>
        <v>-0</v>
      </c>
      <c r="P134" s="58" t="n">
        <f aca="false">'P15 TBM Output'!P14*$E$134</f>
        <v>-0</v>
      </c>
      <c r="Q134" s="58" t="n">
        <f aca="false">'P15 TBM Output'!Q14*$E$134</f>
        <v>-0</v>
      </c>
      <c r="R134" s="58" t="n">
        <f aca="false">'P15 TBM Output'!R14*$E$134</f>
        <v>-0</v>
      </c>
      <c r="S134" s="58" t="n">
        <f aca="false">'P15 TBM Output'!S14*$E$134</f>
        <v>-0</v>
      </c>
    </row>
    <row r="135" customFormat="false" ht="15" hidden="false" customHeight="false" outlineLevel="0" collapsed="false">
      <c r="B135" s="77" t="s">
        <v>69</v>
      </c>
      <c r="C135" s="25" t="s">
        <v>170</v>
      </c>
      <c r="E135" s="55" t="n">
        <f aca="false">'Global Inputs'!$L$102</f>
        <v>0</v>
      </c>
      <c r="F135" s="58" t="n">
        <f aca="false">'P19 Badas Output'!F14*$E$135</f>
        <v>-0</v>
      </c>
      <c r="G135" s="58" t="n">
        <f aca="false">'P19 Badas Output'!G14*$E$135</f>
        <v>-0</v>
      </c>
      <c r="H135" s="58" t="n">
        <f aca="false">'P19 Badas Output'!H14*$E$135</f>
        <v>-0</v>
      </c>
      <c r="I135" s="58" t="n">
        <f aca="false">'P19 Badas Output'!I14*$E$135</f>
        <v>-0</v>
      </c>
      <c r="J135" s="58" t="n">
        <f aca="false">'P19 Badas Output'!J14*$E$135</f>
        <v>-0</v>
      </c>
      <c r="K135" s="58" t="n">
        <f aca="false">'P19 Badas Output'!K14*$E$135</f>
        <v>-0</v>
      </c>
      <c r="L135" s="58" t="n">
        <f aca="false">'P19 Badas Output'!L14*$E$135</f>
        <v>-0</v>
      </c>
      <c r="M135" s="58" t="n">
        <f aca="false">'P19 Badas Output'!M14*$E$135</f>
        <v>-0</v>
      </c>
      <c r="N135" s="58" t="n">
        <f aca="false">'P19 Badas Output'!N14*$E$135</f>
        <v>-0</v>
      </c>
      <c r="O135" s="58" t="n">
        <f aca="false">'P19 Badas Output'!O14*$E$135</f>
        <v>-0</v>
      </c>
      <c r="P135" s="58" t="n">
        <f aca="false">'P19 Badas Output'!P14*$E$135</f>
        <v>-0</v>
      </c>
      <c r="Q135" s="58" t="n">
        <f aca="false">'P19 Badas Output'!Q14*$E$135</f>
        <v>-0</v>
      </c>
      <c r="R135" s="58" t="n">
        <f aca="false">'P19 Badas Output'!R14*$E$135</f>
        <v>-0</v>
      </c>
      <c r="S135" s="58" t="n">
        <f aca="false">'P19 Badas Output'!S14*$E$135</f>
        <v>-0</v>
      </c>
    </row>
    <row r="136" customFormat="false" ht="15" hidden="false" customHeight="false" outlineLevel="0" collapsed="false">
      <c r="B136" s="69" t="s">
        <v>452</v>
      </c>
      <c r="C136" s="25" t="s">
        <v>170</v>
      </c>
      <c r="E136" s="70" t="n">
        <f aca="false">SUM(F136:S136)</f>
        <v>-2475.66509316306</v>
      </c>
      <c r="F136" s="68" t="n">
        <f aca="false">F122+F123+F124+F125+F126+F127+F128+F129+F130+F131+F132+F133+F134+F135</f>
        <v>0</v>
      </c>
      <c r="G136" s="68" t="n">
        <f aca="false">G122+G123+G124+G125+G126+G127+G128+G129+G130+G131+G132+G133+G134+G135</f>
        <v>-28.5101006637158</v>
      </c>
      <c r="H136" s="68" t="n">
        <f aca="false">H122+H123+H124+H125+H126+H127+H128+H129+H130+H131+H132+H133+H134+H135</f>
        <v>-49.3855677304474</v>
      </c>
      <c r="I136" s="68" t="n">
        <f aca="false">I122+I123+I124+I125+I126+I127+I128+I129+I130+I131+I132+I133+I134+I135</f>
        <v>-142.349582474731</v>
      </c>
      <c r="J136" s="68" t="n">
        <f aca="false">J122+J123+J124+J125+J126+J127+J128+J129+J130+J131+J132+J133+J134+J135</f>
        <v>-179.633513295842</v>
      </c>
      <c r="K136" s="68" t="n">
        <f aca="false">K122+K123+K124+K125+K126+K127+K128+K129+K130+K131+K132+K133+K134+K135</f>
        <v>-195.405088551547</v>
      </c>
      <c r="L136" s="68" t="n">
        <f aca="false">L122+L123+L124+L125+L126+L127+L128+L129+L130+L131+L132+L133+L134+L135</f>
        <v>-206.352288352617</v>
      </c>
      <c r="M136" s="68" t="n">
        <f aca="false">M122+M123+M124+M125+M126+M127+M128+M129+M130+M131+M132+M133+M134+M135</f>
        <v>-214.027675301354</v>
      </c>
      <c r="N136" s="68" t="n">
        <f aca="false">N122+N123+N124+N125+N126+N127+N128+N129+N130+N131+N132+N133+N134+N135</f>
        <v>-223.791221548373</v>
      </c>
      <c r="O136" s="68" t="n">
        <f aca="false">O122+O123+O124+O125+O126+O127+O128+O129+O130+O131+O132+O133+O134+O135</f>
        <v>-231.124787453281</v>
      </c>
      <c r="P136" s="68" t="n">
        <f aca="false">P122+P123+P124+P125+P126+P127+P128+P129+P130+P131+P132+P133+P134+P135</f>
        <v>-241.327306334338</v>
      </c>
      <c r="Q136" s="68" t="n">
        <f aca="false">Q122+Q123+Q124+Q125+Q126+Q127+Q128+Q129+Q130+Q131+Q132+Q133+Q134+Q135</f>
        <v>-249.213265906317</v>
      </c>
      <c r="R136" s="68" t="n">
        <f aca="false">R122+R123+R124+R125+R126+R127+R128+R129+R130+R131+R132+R133+R134+R135</f>
        <v>-253.459436691751</v>
      </c>
      <c r="S136" s="68" t="n">
        <f aca="false">S122+S123+S124+S125+S126+S127+S128+S129+S130+S131+S132+S133+S134+S135</f>
        <v>-261.085258858745</v>
      </c>
    </row>
    <row r="137" customFormat="false" ht="15" hidden="false" customHeight="false" outlineLevel="0" collapsed="false">
      <c r="B137" s="78" t="s">
        <v>349</v>
      </c>
      <c r="C137" s="79"/>
      <c r="D137" s="79"/>
      <c r="E137" s="79"/>
      <c r="F137" s="79"/>
      <c r="G137" s="79"/>
      <c r="H137" s="79"/>
      <c r="I137" s="79"/>
      <c r="J137" s="79"/>
      <c r="K137" s="79"/>
      <c r="L137" s="79"/>
      <c r="M137" s="79"/>
      <c r="N137" s="79"/>
      <c r="O137" s="79"/>
      <c r="P137" s="79"/>
      <c r="Q137" s="79"/>
      <c r="R137" s="79"/>
      <c r="S137" s="79"/>
    </row>
    <row r="138" customFormat="false" ht="15" hidden="false" customHeight="false" outlineLevel="0" collapsed="false">
      <c r="B138" s="77" t="s">
        <v>31</v>
      </c>
      <c r="C138" s="25" t="s">
        <v>170</v>
      </c>
      <c r="E138" s="55" t="n">
        <f aca="false">'Global Inputs'!$L$89</f>
        <v>1</v>
      </c>
      <c r="F138" s="58" t="n">
        <f aca="false">'E1 TelukLamong Output'!F16*$E$138</f>
        <v>-0</v>
      </c>
      <c r="G138" s="58" t="n">
        <f aca="false">'E1 TelukLamong Output'!G16*$E$138</f>
        <v>-41.7407824824223</v>
      </c>
      <c r="H138" s="58" t="n">
        <f aca="false">'E1 TelukLamong Output'!H16*$E$138</f>
        <v>-41.7462566184223</v>
      </c>
      <c r="I138" s="58" t="n">
        <f aca="false">'E1 TelukLamong Output'!I16*$E$138</f>
        <v>-42.7518402371423</v>
      </c>
      <c r="J138" s="58" t="n">
        <f aca="false">'E1 TelukLamong Output'!J16*$E$138</f>
        <v>-42.7575355282367</v>
      </c>
      <c r="K138" s="58" t="n">
        <f aca="false">'E1 TelukLamong Output'!K16*$E$138</f>
        <v>-42.763344725153</v>
      </c>
      <c r="L138" s="58" t="n">
        <f aca="false">'E1 TelukLamong Output'!L16*$E$138</f>
        <v>-43.7692701060076</v>
      </c>
      <c r="M138" s="58" t="n">
        <f aca="false">'E1 TelukLamong Output'!M16*$E$138</f>
        <v>-43.7753139944793</v>
      </c>
      <c r="N138" s="58" t="n">
        <f aca="false">'E1 TelukLamong Output'!N16*$E$138</f>
        <v>-43.7814787607205</v>
      </c>
      <c r="O138" s="58" t="n">
        <f aca="false">'E1 TelukLamong Output'!O16*$E$138</f>
        <v>-44.7877668222864</v>
      </c>
      <c r="P138" s="58" t="n">
        <f aca="false">'E1 TelukLamong Output'!P16*$E$138</f>
        <v>-44.7941806450837</v>
      </c>
      <c r="Q138" s="58" t="n">
        <f aca="false">'E1 TelukLamong Output'!Q16*$E$138</f>
        <v>-44.8007227443369</v>
      </c>
      <c r="R138" s="58" t="n">
        <f aca="false">'E1 TelukLamong Output'!R16*$E$138</f>
        <v>-44.8073956855752</v>
      </c>
      <c r="S138" s="58" t="n">
        <f aca="false">'E1 TelukLamong Output'!S16*$E$138</f>
        <v>-44.8142020856383</v>
      </c>
    </row>
    <row r="139" customFormat="false" ht="15" hidden="false" customHeight="false" outlineLevel="0" collapsed="false">
      <c r="B139" s="77" t="s">
        <v>34</v>
      </c>
      <c r="C139" s="25" t="s">
        <v>170</v>
      </c>
      <c r="E139" s="55" t="n">
        <f aca="false">'Global Inputs'!$L$90</f>
        <v>1</v>
      </c>
      <c r="F139" s="58" t="n">
        <f aca="false">'E2 CigadingExist Output'!F16*$E$139</f>
        <v>-0</v>
      </c>
      <c r="G139" s="58" t="n">
        <f aca="false">'E2 CigadingExist Output'!G16*$E$139</f>
        <v>-40.95884914</v>
      </c>
      <c r="H139" s="58" t="n">
        <f aca="false">'E2 CigadingExist Output'!H16*$E$139</f>
        <v>-40.9614421228</v>
      </c>
      <c r="I139" s="58" t="n">
        <f aca="false">'E2 CigadingExist Output'!I16*$E$139</f>
        <v>-41.964086965256</v>
      </c>
      <c r="J139" s="58" t="n">
        <f aca="false">'E2 CigadingExist Output'!J16*$E$139</f>
        <v>-41.9667847045611</v>
      </c>
      <c r="K139" s="58" t="n">
        <f aca="false">'E2 CigadingExist Output'!K16*$E$139</f>
        <v>-41.9695363986523</v>
      </c>
      <c r="L139" s="58" t="n">
        <f aca="false">'E2 CigadingExist Output'!L16*$E$139</f>
        <v>-42.9723431266254</v>
      </c>
      <c r="M139" s="58" t="n">
        <f aca="false">'E2 CigadingExist Output'!M16*$E$139</f>
        <v>-42.9752059891579</v>
      </c>
      <c r="N139" s="58" t="n">
        <f aca="false">'E2 CigadingExist Output'!N16*$E$139</f>
        <v>-42.9781261089411</v>
      </c>
      <c r="O139" s="58" t="n">
        <f aca="false">'E2 CigadingExist Output'!O16*$E$139</f>
        <v>-43.9811046311199</v>
      </c>
      <c r="P139" s="58" t="n">
        <f aca="false">'E2 CigadingExist Output'!P16*$E$139</f>
        <v>-43.9841427237423</v>
      </c>
      <c r="Q139" s="58" t="n">
        <f aca="false">'E2 CigadingExist Output'!Q16*$E$139</f>
        <v>-43.9872415782171</v>
      </c>
      <c r="R139" s="58" t="n">
        <f aca="false">'E2 CigadingExist Output'!R16*$E$139</f>
        <v>-43.9904024097815</v>
      </c>
      <c r="S139" s="58" t="n">
        <f aca="false">'E2 CigadingExist Output'!S16*$E$139</f>
        <v>-43.9936264579771</v>
      </c>
    </row>
    <row r="140" customFormat="false" ht="15" hidden="false" customHeight="false" outlineLevel="0" collapsed="false">
      <c r="B140" s="77" t="s">
        <v>37</v>
      </c>
      <c r="C140" s="25" t="s">
        <v>170</v>
      </c>
      <c r="E140" s="55" t="n">
        <f aca="false">'Global Inputs'!$L$91</f>
        <v>1</v>
      </c>
      <c r="F140" s="58" t="n">
        <f aca="false">'E3 Belawan Output'!F16*$E$140</f>
        <v>-0</v>
      </c>
      <c r="G140" s="58" t="n">
        <f aca="false">'E3 Belawan Output'!G16*$E$140</f>
        <v>-5.23397421343</v>
      </c>
      <c r="H140" s="58" t="n">
        <f aca="false">'E3 Belawan Output'!H16*$E$140</f>
        <v>-5.23397421343</v>
      </c>
      <c r="I140" s="58" t="n">
        <f aca="false">'E3 Belawan Output'!I16*$E$140</f>
        <v>-9.186649606715</v>
      </c>
      <c r="J140" s="58" t="n">
        <f aca="false">'E3 Belawan Output'!J16*$E$140</f>
        <v>-13.116325</v>
      </c>
      <c r="K140" s="58" t="n">
        <f aca="false">'E3 Belawan Output'!K16*$E$140</f>
        <v>-13.116325</v>
      </c>
      <c r="L140" s="58" t="n">
        <f aca="false">'E3 Belawan Output'!L16*$E$140</f>
        <v>-13.116325</v>
      </c>
      <c r="M140" s="58" t="n">
        <f aca="false">'E3 Belawan Output'!M16*$E$140</f>
        <v>-13.116325</v>
      </c>
      <c r="N140" s="58" t="n">
        <f aca="false">'E3 Belawan Output'!N16*$E$140</f>
        <v>-13.116325</v>
      </c>
      <c r="O140" s="58" t="n">
        <f aca="false">'E3 Belawan Output'!O16*$E$140</f>
        <v>-13.116325</v>
      </c>
      <c r="P140" s="58" t="n">
        <f aca="false">'E3 Belawan Output'!P16*$E$140</f>
        <v>-13.116325</v>
      </c>
      <c r="Q140" s="58" t="n">
        <f aca="false">'E3 Belawan Output'!Q16*$E$140</f>
        <v>-11.6881375</v>
      </c>
      <c r="R140" s="58" t="n">
        <f aca="false">'E3 Belawan Output'!R16*$E$140</f>
        <v>-10.26495</v>
      </c>
      <c r="S140" s="58" t="n">
        <f aca="false">'E3 Belawan Output'!S16*$E$140</f>
        <v>-10.26495</v>
      </c>
    </row>
    <row r="141" customFormat="false" ht="15" hidden="false" customHeight="false" outlineLevel="0" collapsed="false">
      <c r="B141" s="77" t="s">
        <v>40</v>
      </c>
      <c r="C141" s="25" t="s">
        <v>170</v>
      </c>
      <c r="E141" s="55" t="n">
        <f aca="false">'Global Inputs'!$L$92</f>
        <v>1</v>
      </c>
      <c r="F141" s="58" t="n">
        <f aca="false">'E4 WIN Output'!F16*$E$141</f>
        <v>-0</v>
      </c>
      <c r="G141" s="58" t="n">
        <f aca="false">'E4 WIN Output'!G16*$E$141</f>
        <v>-0.43948041535</v>
      </c>
      <c r="H141" s="58" t="n">
        <f aca="false">'E4 WIN Output'!H16*$E$141</f>
        <v>-0.43948041535</v>
      </c>
      <c r="I141" s="58" t="n">
        <f aca="false">'E4 WIN Output'!I16*$E$141</f>
        <v>-0.43948041535</v>
      </c>
      <c r="J141" s="58" t="n">
        <f aca="false">'E4 WIN Output'!J16*$E$141</f>
        <v>-0.43948041535</v>
      </c>
      <c r="K141" s="58" t="n">
        <f aca="false">'E4 WIN Output'!K16*$E$141</f>
        <v>-0.43948041535</v>
      </c>
      <c r="L141" s="58" t="n">
        <f aca="false">'E4 WIN Output'!L16*$E$141</f>
        <v>-0.43948041535</v>
      </c>
      <c r="M141" s="58" t="n">
        <f aca="false">'E4 WIN Output'!M16*$E$141</f>
        <v>-0.43948041535</v>
      </c>
      <c r="N141" s="58" t="n">
        <f aca="false">'E4 WIN Output'!N16*$E$141</f>
        <v>-0.43948041535</v>
      </c>
      <c r="O141" s="58" t="n">
        <f aca="false">'E4 WIN Output'!O16*$E$141</f>
        <v>-0.43948041535</v>
      </c>
      <c r="P141" s="58" t="n">
        <f aca="false">'E4 WIN Output'!P16*$E$141</f>
        <v>-0.43948041535</v>
      </c>
      <c r="Q141" s="58" t="n">
        <f aca="false">'E4 WIN Output'!Q16*$E$141</f>
        <v>-0.43948041535</v>
      </c>
      <c r="R141" s="58" t="n">
        <f aca="false">'E4 WIN Output'!R16*$E$141</f>
        <v>-0.43948041535</v>
      </c>
      <c r="S141" s="58" t="n">
        <f aca="false">'E4 WIN Output'!S16*$E$141</f>
        <v>-0.43948041535</v>
      </c>
    </row>
    <row r="142" customFormat="false" ht="15" hidden="false" customHeight="false" outlineLevel="0" collapsed="false">
      <c r="B142" s="77" t="s">
        <v>43</v>
      </c>
      <c r="C142" s="25" t="s">
        <v>170</v>
      </c>
      <c r="E142" s="55" t="n">
        <f aca="false">'Global Inputs'!$L$93</f>
        <v>1</v>
      </c>
      <c r="F142" s="58" t="n">
        <f aca="false">'P01 CigWharf2 Output'!F16*$E$142</f>
        <v>-0</v>
      </c>
      <c r="G142" s="58" t="n">
        <f aca="false">'P01 CigWharf2 Output'!G16*$E$142</f>
        <v>-0</v>
      </c>
      <c r="H142" s="58" t="n">
        <f aca="false">'P01 CigWharf2 Output'!H16*$E$142</f>
        <v>-17.798535863122</v>
      </c>
      <c r="I142" s="58" t="n">
        <f aca="false">'P01 CigWharf2 Output'!I16*$E$142</f>
        <v>-17.798535863122</v>
      </c>
      <c r="J142" s="58" t="n">
        <f aca="false">'P01 CigWharf2 Output'!J16*$E$142</f>
        <v>-17.798535863122</v>
      </c>
      <c r="K142" s="58" t="n">
        <f aca="false">'P01 CigWharf2 Output'!K16*$E$142</f>
        <v>-17.798535863122</v>
      </c>
      <c r="L142" s="58" t="n">
        <f aca="false">'P01 CigWharf2 Output'!L16*$E$142</f>
        <v>-17.798535863122</v>
      </c>
      <c r="M142" s="58" t="n">
        <f aca="false">'P01 CigWharf2 Output'!M16*$E$142</f>
        <v>-17.798535863122</v>
      </c>
      <c r="N142" s="58" t="n">
        <f aca="false">'P01 CigWharf2 Output'!N16*$E$142</f>
        <v>-17.798535863122</v>
      </c>
      <c r="O142" s="58" t="n">
        <f aca="false">'P01 CigWharf2 Output'!O16*$E$142</f>
        <v>-17.798535863122</v>
      </c>
      <c r="P142" s="58" t="n">
        <f aca="false">'P01 CigWharf2 Output'!P16*$E$142</f>
        <v>-5.48364275791868</v>
      </c>
      <c r="Q142" s="58" t="n">
        <f aca="false">'P01 CigWharf2 Output'!Q16*$E$142</f>
        <v>-5.48364275791868</v>
      </c>
      <c r="R142" s="58" t="n">
        <f aca="false">'P01 CigWharf2 Output'!R16*$E$142</f>
        <v>-5.48364275791868</v>
      </c>
      <c r="S142" s="58" t="n">
        <f aca="false">'P01 CigWharf2 Output'!S16*$E$142</f>
        <v>-5.48364275791868</v>
      </c>
    </row>
    <row r="143" customFormat="false" ht="15" hidden="false" customHeight="false" outlineLevel="0" collapsed="false">
      <c r="B143" s="77" t="s">
        <v>46</v>
      </c>
      <c r="C143" s="25" t="s">
        <v>170</v>
      </c>
      <c r="E143" s="55" t="n">
        <f aca="false">'Global Inputs'!$L$94</f>
        <v>1</v>
      </c>
      <c r="F143" s="58" t="n">
        <f aca="false">'P02 CigConveyor Output'!F16*$E$143</f>
        <v>-0</v>
      </c>
      <c r="G143" s="58" t="n">
        <f aca="false">'P02 CigConveyor Output'!G16*$E$143</f>
        <v>-0</v>
      </c>
      <c r="H143" s="58" t="n">
        <f aca="false">'P02 CigConveyor Output'!H16*$E$143</f>
        <v>-7.4200198051662</v>
      </c>
      <c r="I143" s="58" t="n">
        <f aca="false">'P02 CigConveyor Output'!I16*$E$143</f>
        <v>-7.4200198051662</v>
      </c>
      <c r="J143" s="58" t="n">
        <f aca="false">'P02 CigConveyor Output'!J16*$E$143</f>
        <v>-7.4200198051662</v>
      </c>
      <c r="K143" s="58" t="n">
        <f aca="false">'P02 CigConveyor Output'!K16*$E$143</f>
        <v>-7.4200198051662</v>
      </c>
      <c r="L143" s="58" t="n">
        <f aca="false">'P02 CigConveyor Output'!L16*$E$143</f>
        <v>-7.4200198051662</v>
      </c>
      <c r="M143" s="58" t="n">
        <f aca="false">'P02 CigConveyor Output'!M16*$E$143</f>
        <v>-7.4200198051662</v>
      </c>
      <c r="N143" s="58" t="n">
        <f aca="false">'P02 CigConveyor Output'!N16*$E$143</f>
        <v>-7.4200198051662</v>
      </c>
      <c r="O143" s="58" t="n">
        <f aca="false">'P02 CigConveyor Output'!O16*$E$143</f>
        <v>-7.4200198051662</v>
      </c>
      <c r="P143" s="58" t="n">
        <f aca="false">'P02 CigConveyor Output'!P16*$E$143</f>
        <v>-5.89665346322253</v>
      </c>
      <c r="Q143" s="58" t="n">
        <f aca="false">'P02 CigConveyor Output'!Q16*$E$143</f>
        <v>-5.89665346322253</v>
      </c>
      <c r="R143" s="58" t="n">
        <f aca="false">'P02 CigConveyor Output'!R16*$E$143</f>
        <v>-5.89665346322253</v>
      </c>
      <c r="S143" s="58" t="n">
        <f aca="false">'P02 CigConveyor Output'!S16*$E$143</f>
        <v>-5.89665346322253</v>
      </c>
    </row>
    <row r="144" customFormat="false" ht="15" hidden="false" customHeight="false" outlineLevel="0" collapsed="false">
      <c r="B144" s="77" t="s">
        <v>48</v>
      </c>
      <c r="C144" s="25" t="s">
        <v>170</v>
      </c>
      <c r="E144" s="55" t="n">
        <f aca="false">'Global Inputs'!$L$95</f>
        <v>1</v>
      </c>
      <c r="F144" s="58" t="n">
        <f aca="false">'P03 KBSWarehouse Output'!F16*$E$144</f>
        <v>-0</v>
      </c>
      <c r="G144" s="58" t="n">
        <f aca="false">'P03 KBSWarehouse Output'!G16*$E$144</f>
        <v>-0</v>
      </c>
      <c r="H144" s="58" t="n">
        <f aca="false">'P03 KBSWarehouse Output'!H16*$E$144</f>
        <v>-0</v>
      </c>
      <c r="I144" s="58" t="n">
        <f aca="false">'P03 KBSWarehouse Output'!I16*$E$144</f>
        <v>-0</v>
      </c>
      <c r="J144" s="58" t="n">
        <f aca="false">'P03 KBSWarehouse Output'!J16*$E$144</f>
        <v>-4.8994978175</v>
      </c>
      <c r="K144" s="58" t="n">
        <f aca="false">'P03 KBSWarehouse Output'!K16*$E$144</f>
        <v>-4.8994978175</v>
      </c>
      <c r="L144" s="58" t="n">
        <f aca="false">'P03 KBSWarehouse Output'!L16*$E$144</f>
        <v>-4.8994978175</v>
      </c>
      <c r="M144" s="58" t="n">
        <f aca="false">'P03 KBSWarehouse Output'!M16*$E$144</f>
        <v>-4.8994978175</v>
      </c>
      <c r="N144" s="58" t="n">
        <f aca="false">'P03 KBSWarehouse Output'!N16*$E$144</f>
        <v>-4.8994978175</v>
      </c>
      <c r="O144" s="58" t="n">
        <f aca="false">'P03 KBSWarehouse Output'!O16*$E$144</f>
        <v>-4.8994978175</v>
      </c>
      <c r="P144" s="58" t="n">
        <f aca="false">'P03 KBSWarehouse Output'!P16*$E$144</f>
        <v>-4.8994978175</v>
      </c>
      <c r="Q144" s="58" t="n">
        <f aca="false">'P03 KBSWarehouse Output'!Q16*$E$144</f>
        <v>-4.8994978175</v>
      </c>
      <c r="R144" s="58" t="n">
        <f aca="false">'P03 KBSWarehouse Output'!R16*$E$144</f>
        <v>-4.8994978175</v>
      </c>
      <c r="S144" s="58" t="n">
        <f aca="false">'P03 KBSWarehouse Output'!S16*$E$144</f>
        <v>-4.8994978175</v>
      </c>
    </row>
    <row r="145" customFormat="false" ht="15" hidden="false" customHeight="false" outlineLevel="0" collapsed="false">
      <c r="B145" s="77" t="s">
        <v>51</v>
      </c>
      <c r="C145" s="25" t="s">
        <v>170</v>
      </c>
      <c r="E145" s="55" t="n">
        <f aca="false">'Global Inputs'!$L$96</f>
        <v>1</v>
      </c>
      <c r="F145" s="58" t="n">
        <f aca="false">'P04 TTLSilo Output'!F16*$E$145</f>
        <v>-0</v>
      </c>
      <c r="G145" s="58" t="n">
        <f aca="false">'P04 TTLSilo Output'!G16*$E$145</f>
        <v>-0</v>
      </c>
      <c r="H145" s="58" t="n">
        <f aca="false">'P04 TTLSilo Output'!H16*$E$145</f>
        <v>-0</v>
      </c>
      <c r="I145" s="58" t="n">
        <f aca="false">'P04 TTLSilo Output'!I16*$E$145</f>
        <v>-0</v>
      </c>
      <c r="J145" s="58" t="n">
        <f aca="false">'P04 TTLSilo Output'!J16*$E$145</f>
        <v>-4.19177595075</v>
      </c>
      <c r="K145" s="58" t="n">
        <f aca="false">'P04 TTLSilo Output'!K16*$E$145</f>
        <v>-4.19177595075</v>
      </c>
      <c r="L145" s="58" t="n">
        <f aca="false">'P04 TTLSilo Output'!L16*$E$145</f>
        <v>-4.19177595075</v>
      </c>
      <c r="M145" s="58" t="n">
        <f aca="false">'P04 TTLSilo Output'!M16*$E$145</f>
        <v>-4.19177595075</v>
      </c>
      <c r="N145" s="58" t="n">
        <f aca="false">'P04 TTLSilo Output'!N16*$E$145</f>
        <v>-4.19177595075</v>
      </c>
      <c r="O145" s="58" t="n">
        <f aca="false">'P04 TTLSilo Output'!O16*$E$145</f>
        <v>-4.19177595075</v>
      </c>
      <c r="P145" s="58" t="n">
        <f aca="false">'P04 TTLSilo Output'!P16*$E$145</f>
        <v>-4.19177595075</v>
      </c>
      <c r="Q145" s="58" t="n">
        <f aca="false">'P04 TTLSilo Output'!Q16*$E$145</f>
        <v>-4.19177595075</v>
      </c>
      <c r="R145" s="58" t="n">
        <f aca="false">'P04 TTLSilo Output'!R16*$E$145</f>
        <v>-4.19177595075</v>
      </c>
      <c r="S145" s="58" t="n">
        <f aca="false">'P04 TTLSilo Output'!S16*$E$145</f>
        <v>-4.19177595075</v>
      </c>
    </row>
    <row r="146" customFormat="false" ht="15" hidden="false" customHeight="false" outlineLevel="0" collapsed="false">
      <c r="B146" s="77" t="s">
        <v>54</v>
      </c>
      <c r="C146" s="25" t="s">
        <v>170</v>
      </c>
      <c r="E146" s="55" t="n">
        <f aca="false">'Global Inputs'!$L$97</f>
        <v>1</v>
      </c>
      <c r="F146" s="58" t="n">
        <f aca="false">'P05 Dumai Output'!F16*$E$146</f>
        <v>-0</v>
      </c>
      <c r="G146" s="58" t="n">
        <f aca="false">'P05 Dumai Output'!G16*$E$146</f>
        <v>-0</v>
      </c>
      <c r="H146" s="58" t="n">
        <f aca="false">'P05 Dumai Output'!H16*$E$146</f>
        <v>-0</v>
      </c>
      <c r="I146" s="58" t="n">
        <f aca="false">'P05 Dumai Output'!I16*$E$146</f>
        <v>-8.43766238095238</v>
      </c>
      <c r="J146" s="58" t="n">
        <f aca="false">'P05 Dumai Output'!J16*$E$146</f>
        <v>-8.86055238095238</v>
      </c>
      <c r="K146" s="58" t="n">
        <f aca="false">'P05 Dumai Output'!K16*$E$146</f>
        <v>-8.86055238095238</v>
      </c>
      <c r="L146" s="58" t="n">
        <f aca="false">'P05 Dumai Output'!L16*$E$146</f>
        <v>-8.86055238095238</v>
      </c>
      <c r="M146" s="58" t="n">
        <f aca="false">'P05 Dumai Output'!M16*$E$146</f>
        <v>-8.86055238095238</v>
      </c>
      <c r="N146" s="58" t="n">
        <f aca="false">'P05 Dumai Output'!N16*$E$146</f>
        <v>-8.86055238095238</v>
      </c>
      <c r="O146" s="58" t="n">
        <f aca="false">'P05 Dumai Output'!O16*$E$146</f>
        <v>-8.86055238095238</v>
      </c>
      <c r="P146" s="58" t="n">
        <f aca="false">'P05 Dumai Output'!P16*$E$146</f>
        <v>-8.86055238095238</v>
      </c>
      <c r="Q146" s="58" t="n">
        <f aca="false">'P05 Dumai Output'!Q16*$E$146</f>
        <v>-3.58701339285714</v>
      </c>
      <c r="R146" s="58" t="n">
        <f aca="false">'P05 Dumai Output'!R16*$E$146</f>
        <v>-3.32270714285714</v>
      </c>
      <c r="S146" s="58" t="n">
        <f aca="false">'P05 Dumai Output'!S16*$E$146</f>
        <v>-3.32270714285714</v>
      </c>
    </row>
    <row r="147" customFormat="false" ht="15" hidden="false" customHeight="false" outlineLevel="0" collapsed="false">
      <c r="B147" s="77" t="s">
        <v>57</v>
      </c>
      <c r="C147" s="25" t="s">
        <v>170</v>
      </c>
      <c r="E147" s="55" t="n">
        <f aca="false">'Global Inputs'!$L$98</f>
        <v>1</v>
      </c>
      <c r="F147" s="58" t="n">
        <f aca="false">'P06 Ciwandan Output'!F16*$E$147</f>
        <v>-0</v>
      </c>
      <c r="G147" s="58" t="n">
        <f aca="false">'P06 Ciwandan Output'!G16*$E$147</f>
        <v>-0</v>
      </c>
      <c r="H147" s="58" t="n">
        <f aca="false">'P06 Ciwandan Output'!H16*$E$147</f>
        <v>-0</v>
      </c>
      <c r="I147" s="58" t="n">
        <f aca="false">'P06 Ciwandan Output'!I16*$E$147</f>
        <v>-0</v>
      </c>
      <c r="J147" s="58" t="n">
        <f aca="false">'P06 Ciwandan Output'!J16*$E$147</f>
        <v>-0</v>
      </c>
      <c r="K147" s="58" t="n">
        <f aca="false">'P06 Ciwandan Output'!K16*$E$147</f>
        <v>-7.1509375</v>
      </c>
      <c r="L147" s="58" t="n">
        <f aca="false">'P06 Ciwandan Output'!L16*$E$147</f>
        <v>-7.1509375</v>
      </c>
      <c r="M147" s="58" t="n">
        <f aca="false">'P06 Ciwandan Output'!M16*$E$147</f>
        <v>-7.1509375</v>
      </c>
      <c r="N147" s="58" t="n">
        <f aca="false">'P06 Ciwandan Output'!N16*$E$147</f>
        <v>-7.1509375</v>
      </c>
      <c r="O147" s="58" t="n">
        <f aca="false">'P06 Ciwandan Output'!O16*$E$147</f>
        <v>-7.1509375</v>
      </c>
      <c r="P147" s="58" t="n">
        <f aca="false">'P06 Ciwandan Output'!P16*$E$147</f>
        <v>-7.1509375</v>
      </c>
      <c r="Q147" s="58" t="n">
        <f aca="false">'P06 Ciwandan Output'!Q16*$E$147</f>
        <v>-7.1509375</v>
      </c>
      <c r="R147" s="58" t="n">
        <f aca="false">'P06 Ciwandan Output'!R16*$E$147</f>
        <v>-7.1509375</v>
      </c>
      <c r="S147" s="58" t="n">
        <f aca="false">'P06 Ciwandan Output'!S16*$E$147</f>
        <v>-2.043125</v>
      </c>
    </row>
    <row r="148" customFormat="false" ht="15" hidden="false" customHeight="false" outlineLevel="0" collapsed="false">
      <c r="B148" s="77" t="s">
        <v>60</v>
      </c>
      <c r="C148" s="25" t="s">
        <v>170</v>
      </c>
      <c r="E148" s="55" t="n">
        <f aca="false">'Global Inputs'!$L$99</f>
        <v>1</v>
      </c>
      <c r="F148" s="58" t="n">
        <f aca="false">'P08 DMSTrucking Output'!F16*$E$148</f>
        <v>-0</v>
      </c>
      <c r="G148" s="58" t="n">
        <f aca="false">'P08 DMSTrucking Output'!G16*$E$148</f>
        <v>-0</v>
      </c>
      <c r="H148" s="58" t="n">
        <f aca="false">'P08 DMSTrucking Output'!H16*$E$148</f>
        <v>-0</v>
      </c>
      <c r="I148" s="58" t="n">
        <f aca="false">'P08 DMSTrucking Output'!I16*$E$148</f>
        <v>-0</v>
      </c>
      <c r="J148" s="58" t="n">
        <f aca="false">'P08 DMSTrucking Output'!J16*$E$148</f>
        <v>-0.39036</v>
      </c>
      <c r="K148" s="58" t="n">
        <f aca="false">'P08 DMSTrucking Output'!K16*$E$148</f>
        <v>-0.48795</v>
      </c>
      <c r="L148" s="58" t="n">
        <f aca="false">'P08 DMSTrucking Output'!L16*$E$148</f>
        <v>-0.48795</v>
      </c>
      <c r="M148" s="58" t="n">
        <f aca="false">'P08 DMSTrucking Output'!M16*$E$148</f>
        <v>-0.48795</v>
      </c>
      <c r="N148" s="58" t="n">
        <f aca="false">'P08 DMSTrucking Output'!N16*$E$148</f>
        <v>-0.48795</v>
      </c>
      <c r="O148" s="58" t="n">
        <f aca="false">'P08 DMSTrucking Output'!O16*$E$148</f>
        <v>-0.48795</v>
      </c>
      <c r="P148" s="58" t="n">
        <f aca="false">'P08 DMSTrucking Output'!P16*$E$148</f>
        <v>-0.48795</v>
      </c>
      <c r="Q148" s="58" t="n">
        <f aca="false">'P08 DMSTrucking Output'!Q16*$E$148</f>
        <v>-0.48795</v>
      </c>
      <c r="R148" s="58" t="n">
        <f aca="false">'P08 DMSTrucking Output'!R16*$E$148</f>
        <v>-0.48795</v>
      </c>
      <c r="S148" s="58" t="n">
        <f aca="false">'P08 DMSTrucking Output'!S16*$E$148</f>
        <v>-0.48795</v>
      </c>
    </row>
    <row r="149" customFormat="false" ht="15" hidden="false" customHeight="false" outlineLevel="0" collapsed="false">
      <c r="B149" s="77" t="s">
        <v>63</v>
      </c>
      <c r="C149" s="25" t="s">
        <v>170</v>
      </c>
      <c r="E149" s="55" t="n">
        <f aca="false">'Global Inputs'!$L$100</f>
        <v>1</v>
      </c>
      <c r="F149" s="58" t="n">
        <f aca="false">'P12 BUMNOps Output'!F16*$E$149</f>
        <v>-0</v>
      </c>
      <c r="G149" s="58" t="n">
        <f aca="false">'P12 BUMNOps Output'!G16*$E$149</f>
        <v>-0</v>
      </c>
      <c r="H149" s="58" t="n">
        <f aca="false">'P12 BUMNOps Output'!H16*$E$149</f>
        <v>-0</v>
      </c>
      <c r="I149" s="58" t="n">
        <f aca="false">'P12 BUMNOps Output'!I16*$E$149</f>
        <v>-0</v>
      </c>
      <c r="J149" s="58" t="n">
        <f aca="false">'P12 BUMNOps Output'!J16*$E$149</f>
        <v>-0</v>
      </c>
      <c r="K149" s="58" t="n">
        <f aca="false">'P12 BUMNOps Output'!K16*$E$149</f>
        <v>-0</v>
      </c>
      <c r="L149" s="58" t="n">
        <f aca="false">'P12 BUMNOps Output'!L16*$E$149</f>
        <v>-0</v>
      </c>
      <c r="M149" s="58" t="n">
        <f aca="false">'P12 BUMNOps Output'!M16*$E$149</f>
        <v>-0</v>
      </c>
      <c r="N149" s="58" t="n">
        <f aca="false">'P12 BUMNOps Output'!N16*$E$149</f>
        <v>-0</v>
      </c>
      <c r="O149" s="58" t="n">
        <f aca="false">'P12 BUMNOps Output'!O16*$E$149</f>
        <v>-0</v>
      </c>
      <c r="P149" s="58" t="n">
        <f aca="false">'P12 BUMNOps Output'!P16*$E$149</f>
        <v>-0</v>
      </c>
      <c r="Q149" s="58" t="n">
        <f aca="false">'P12 BUMNOps Output'!Q16*$E$149</f>
        <v>-0</v>
      </c>
      <c r="R149" s="58" t="n">
        <f aca="false">'P12 BUMNOps Output'!R16*$E$149</f>
        <v>-0</v>
      </c>
      <c r="S149" s="58" t="n">
        <f aca="false">'P12 BUMNOps Output'!S16*$E$149</f>
        <v>-0</v>
      </c>
    </row>
    <row r="150" customFormat="false" ht="15" hidden="false" customHeight="false" outlineLevel="0" collapsed="false">
      <c r="B150" s="77" t="s">
        <v>66</v>
      </c>
      <c r="C150" s="25" t="s">
        <v>170</v>
      </c>
      <c r="E150" s="55" t="n">
        <f aca="false">'Global Inputs'!$L$101</f>
        <v>0</v>
      </c>
      <c r="F150" s="58" t="n">
        <f aca="false">'P15 TBM Output'!F16*$E$150</f>
        <v>-0</v>
      </c>
      <c r="G150" s="58" t="n">
        <f aca="false">'P15 TBM Output'!G16*$E$150</f>
        <v>-0</v>
      </c>
      <c r="H150" s="58" t="n">
        <f aca="false">'P15 TBM Output'!H16*$E$150</f>
        <v>-0</v>
      </c>
      <c r="I150" s="58" t="n">
        <f aca="false">'P15 TBM Output'!I16*$E$150</f>
        <v>-0</v>
      </c>
      <c r="J150" s="58" t="n">
        <f aca="false">'P15 TBM Output'!J16*$E$150</f>
        <v>-0</v>
      </c>
      <c r="K150" s="58" t="n">
        <f aca="false">'P15 TBM Output'!K16*$E$150</f>
        <v>-0</v>
      </c>
      <c r="L150" s="58" t="n">
        <f aca="false">'P15 TBM Output'!L16*$E$150</f>
        <v>-0</v>
      </c>
      <c r="M150" s="58" t="n">
        <f aca="false">'P15 TBM Output'!M16*$E$150</f>
        <v>-0</v>
      </c>
      <c r="N150" s="58" t="n">
        <f aca="false">'P15 TBM Output'!N16*$E$150</f>
        <v>-0</v>
      </c>
      <c r="O150" s="58" t="n">
        <f aca="false">'P15 TBM Output'!O16*$E$150</f>
        <v>-0</v>
      </c>
      <c r="P150" s="58" t="n">
        <f aca="false">'P15 TBM Output'!P16*$E$150</f>
        <v>-0</v>
      </c>
      <c r="Q150" s="58" t="n">
        <f aca="false">'P15 TBM Output'!Q16*$E$150</f>
        <v>-0</v>
      </c>
      <c r="R150" s="58" t="n">
        <f aca="false">'P15 TBM Output'!R16*$E$150</f>
        <v>-0</v>
      </c>
      <c r="S150" s="58" t="n">
        <f aca="false">'P15 TBM Output'!S16*$E$150</f>
        <v>-0</v>
      </c>
    </row>
    <row r="151" customFormat="false" ht="15" hidden="false" customHeight="false" outlineLevel="0" collapsed="false">
      <c r="B151" s="77" t="s">
        <v>69</v>
      </c>
      <c r="C151" s="25" t="s">
        <v>170</v>
      </c>
      <c r="E151" s="55" t="n">
        <f aca="false">'Global Inputs'!$L$102</f>
        <v>0</v>
      </c>
      <c r="F151" s="58" t="n">
        <f aca="false">'P19 Badas Output'!F16*$E$151</f>
        <v>-0</v>
      </c>
      <c r="G151" s="58" t="n">
        <f aca="false">'P19 Badas Output'!G16*$E$151</f>
        <v>-0</v>
      </c>
      <c r="H151" s="58" t="n">
        <f aca="false">'P19 Badas Output'!H16*$E$151</f>
        <v>-0</v>
      </c>
      <c r="I151" s="58" t="n">
        <f aca="false">'P19 Badas Output'!I16*$E$151</f>
        <v>-0</v>
      </c>
      <c r="J151" s="58" t="n">
        <f aca="false">'P19 Badas Output'!J16*$E$151</f>
        <v>-0</v>
      </c>
      <c r="K151" s="58" t="n">
        <f aca="false">'P19 Badas Output'!K16*$E$151</f>
        <v>-0</v>
      </c>
      <c r="L151" s="58" t="n">
        <f aca="false">'P19 Badas Output'!L16*$E$151</f>
        <v>-0</v>
      </c>
      <c r="M151" s="58" t="n">
        <f aca="false">'P19 Badas Output'!M16*$E$151</f>
        <v>-0</v>
      </c>
      <c r="N151" s="58" t="n">
        <f aca="false">'P19 Badas Output'!N16*$E$151</f>
        <v>-0</v>
      </c>
      <c r="O151" s="58" t="n">
        <f aca="false">'P19 Badas Output'!O16*$E$151</f>
        <v>-0</v>
      </c>
      <c r="P151" s="58" t="n">
        <f aca="false">'P19 Badas Output'!P16*$E$151</f>
        <v>-0</v>
      </c>
      <c r="Q151" s="58" t="n">
        <f aca="false">'P19 Badas Output'!Q16*$E$151</f>
        <v>-0</v>
      </c>
      <c r="R151" s="58" t="n">
        <f aca="false">'P19 Badas Output'!R16*$E$151</f>
        <v>-0</v>
      </c>
      <c r="S151" s="58" t="n">
        <f aca="false">'P19 Badas Output'!S16*$E$151</f>
        <v>-0</v>
      </c>
    </row>
    <row r="152" customFormat="false" ht="15" hidden="false" customHeight="false" outlineLevel="0" collapsed="false">
      <c r="B152" s="69" t="s">
        <v>453</v>
      </c>
      <c r="C152" s="25" t="s">
        <v>170</v>
      </c>
      <c r="E152" s="70" t="n">
        <f aca="false">SUM(F152:S152)</f>
        <v>-1756.08199836502</v>
      </c>
      <c r="F152" s="68" t="n">
        <f aca="false">F138+F139+F140+F141+F142+F143+F144+F145+F146+F147+F148+F149+F150+F151</f>
        <v>-0</v>
      </c>
      <c r="G152" s="68" t="n">
        <f aca="false">G138+G139+G140+G141+G142+G143+G144+G145+G146+G147+G148+G149+G150+G151</f>
        <v>-88.3730862512023</v>
      </c>
      <c r="H152" s="68" t="n">
        <f aca="false">H138+H139+H140+H141+H142+H143+H144+H145+H146+H147+H148+H149+H150+H151</f>
        <v>-113.599709038291</v>
      </c>
      <c r="I152" s="68" t="n">
        <f aca="false">I138+I139+I140+I141+I142+I143+I144+I145+I146+I147+I148+I149+I150+I151</f>
        <v>-127.998275273704</v>
      </c>
      <c r="J152" s="68" t="n">
        <f aca="false">J138+J139+J140+J141+J142+J143+J144+J145+J146+J147+J148+J149+J150+J151</f>
        <v>-141.840867465638</v>
      </c>
      <c r="K152" s="68" t="n">
        <f aca="false">K138+K139+K140+K141+K142+K143+K144+K145+K146+K147+K148+K149+K150+K151</f>
        <v>-149.097955856646</v>
      </c>
      <c r="L152" s="68" t="n">
        <f aca="false">L138+L139+L140+L141+L142+L143+L144+L145+L146+L147+L148+L149+L150+L151</f>
        <v>-151.106687965474</v>
      </c>
      <c r="M152" s="68" t="n">
        <f aca="false">M138+M139+M140+M141+M142+M143+M144+M145+M146+M147+M148+M149+M150+M151</f>
        <v>-151.115594716478</v>
      </c>
      <c r="N152" s="68" t="n">
        <f aca="false">N138+N139+N140+N141+N142+N143+N144+N145+N146+N147+N148+N149+N150+N151</f>
        <v>-151.124679602502</v>
      </c>
      <c r="O152" s="68" t="n">
        <f aca="false">O138+O139+O140+O141+O142+O143+O144+O145+O146+O147+O148+O149+O150+O151</f>
        <v>-153.133946186247</v>
      </c>
      <c r="P152" s="68" t="n">
        <f aca="false">P138+P139+P140+P141+P142+P143+P144+P145+P146+P147+P148+P149+P150+P151</f>
        <v>-139.30513865452</v>
      </c>
      <c r="Q152" s="68" t="n">
        <f aca="false">Q138+Q139+Q140+Q141+Q142+Q143+Q144+Q145+Q146+Q147+Q148+Q149+Q150+Q151</f>
        <v>-132.613053120152</v>
      </c>
      <c r="R152" s="68" t="n">
        <f aca="false">R138+R139+R140+R141+R142+R143+R144+R145+R146+R147+R148+R149+R150+R151</f>
        <v>-130.935393142955</v>
      </c>
      <c r="S152" s="68" t="n">
        <f aca="false">S138+S139+S140+S141+S142+S143+S144+S145+S146+S147+S148+S149+S150+S151</f>
        <v>-125.837611091214</v>
      </c>
    </row>
    <row r="153" customFormat="false" ht="15" hidden="false" customHeight="false" outlineLevel="0" collapsed="false">
      <c r="B153" s="78" t="s">
        <v>454</v>
      </c>
      <c r="C153" s="79"/>
      <c r="D153" s="79"/>
      <c r="E153" s="79"/>
      <c r="F153" s="79"/>
      <c r="G153" s="79"/>
      <c r="H153" s="79"/>
      <c r="I153" s="79"/>
      <c r="J153" s="79"/>
      <c r="K153" s="79"/>
      <c r="L153" s="79"/>
      <c r="M153" s="79"/>
      <c r="N153" s="79"/>
      <c r="O153" s="79"/>
      <c r="P153" s="79"/>
      <c r="Q153" s="79"/>
      <c r="R153" s="79"/>
      <c r="S153" s="79"/>
    </row>
    <row r="154" customFormat="false" ht="15" hidden="false" customHeight="false" outlineLevel="0" collapsed="false">
      <c r="B154" s="77" t="s">
        <v>31</v>
      </c>
      <c r="C154" s="25" t="s">
        <v>170</v>
      </c>
      <c r="E154" s="55" t="n">
        <f aca="false">'Global Inputs'!$L$89</f>
        <v>1</v>
      </c>
      <c r="F154" s="58" t="n">
        <f aca="false">'E1 TelukLamong Output'!F18*$E$154</f>
        <v>-0</v>
      </c>
      <c r="G154" s="58" t="n">
        <f aca="false">'E1 TelukLamong Output'!G18*$E$154</f>
        <v>-15.5693590260404</v>
      </c>
      <c r="H154" s="58" t="n">
        <f aca="false">'E1 TelukLamong Output'!H18*$E$154</f>
        <v>-16.2079207861747</v>
      </c>
      <c r="I154" s="58" t="n">
        <f aca="false">'E1 TelukLamong Output'!I18*$E$154</f>
        <v>-16.6345902522968</v>
      </c>
      <c r="J154" s="58" t="n">
        <f aca="false">'E1 TelukLamong Output'!J18*$E$154</f>
        <v>-17.2987439545509</v>
      </c>
      <c r="K154" s="58" t="n">
        <f aca="false">'E1 TelukLamong Output'!K18*$E$154</f>
        <v>-17.9756759759396</v>
      </c>
      <c r="L154" s="58" t="n">
        <f aca="false">'E1 TelukLamong Output'!L18*$E$154</f>
        <v>-19.6375973325464</v>
      </c>
      <c r="M154" s="58" t="n">
        <f aca="false">'E1 TelukLamong Output'!M18*$E$154</f>
        <v>-20.3758336692619</v>
      </c>
      <c r="N154" s="58" t="n">
        <f aca="false">'E1 TelukLamong Output'!N18*$E$154</f>
        <v>-21.1277080420924</v>
      </c>
      <c r="O154" s="58" t="n">
        <f aca="false">'E1 TelukLamong Output'!O18*$E$154</f>
        <v>-23.0156013435538</v>
      </c>
      <c r="P154" s="58" t="n">
        <f aca="false">'E1 TelukLamong Output'!P18*$E$154</f>
        <v>-23.8348288470846</v>
      </c>
      <c r="Q154" s="58" t="n">
        <f aca="false">'E1 TelukLamong Output'!Q18*$E$154</f>
        <v>-24.6684978354054</v>
      </c>
      <c r="R154" s="58" t="n">
        <f aca="false">'E1 TelukLamong Output'!R18*$E$154</f>
        <v>-25.5164322756523</v>
      </c>
      <c r="S154" s="58" t="n">
        <f aca="false">'E1 TelukLamong Output'!S18*$E$154</f>
        <v>-26.3784137978106</v>
      </c>
    </row>
    <row r="155" customFormat="false" ht="15" hidden="false" customHeight="false" outlineLevel="0" collapsed="false">
      <c r="B155" s="77" t="s">
        <v>34</v>
      </c>
      <c r="C155" s="25" t="s">
        <v>170</v>
      </c>
      <c r="E155" s="55" t="n">
        <f aca="false">'Global Inputs'!$L$90</f>
        <v>1</v>
      </c>
      <c r="F155" s="58" t="n">
        <f aca="false">'E2 CigadingExist Output'!F18*$E$155</f>
        <v>-0</v>
      </c>
      <c r="G155" s="58" t="n">
        <f aca="false">'E2 CigadingExist Output'!G18*$E$155</f>
        <v>-0</v>
      </c>
      <c r="H155" s="58" t="n">
        <f aca="false">'E2 CigadingExist Output'!H18*$E$155</f>
        <v>-0</v>
      </c>
      <c r="I155" s="58" t="n">
        <f aca="false">'E2 CigadingExist Output'!I18*$E$155</f>
        <v>-0</v>
      </c>
      <c r="J155" s="58" t="n">
        <f aca="false">'E2 CigadingExist Output'!J18*$E$155</f>
        <v>-0</v>
      </c>
      <c r="K155" s="58" t="n">
        <f aca="false">'E2 CigadingExist Output'!K18*$E$155</f>
        <v>-0</v>
      </c>
      <c r="L155" s="58" t="n">
        <f aca="false">'E2 CigadingExist Output'!L18*$E$155</f>
        <v>-0</v>
      </c>
      <c r="M155" s="58" t="n">
        <f aca="false">'E2 CigadingExist Output'!M18*$E$155</f>
        <v>-0</v>
      </c>
      <c r="N155" s="58" t="n">
        <f aca="false">'E2 CigadingExist Output'!N18*$E$155</f>
        <v>-1.17147305672399</v>
      </c>
      <c r="O155" s="58" t="n">
        <f aca="false">'E2 CigadingExist Output'!O18*$E$155</f>
        <v>-1.21229660503564</v>
      </c>
      <c r="P155" s="58" t="n">
        <f aca="false">'E2 CigadingExist Output'!P18*$E$155</f>
        <v>-2.57065740051574</v>
      </c>
      <c r="Q155" s="58" t="n">
        <f aca="false">'E2 CigadingExist Output'!Q18*$E$155</f>
        <v>-2.88107975471272</v>
      </c>
      <c r="R155" s="58" t="n">
        <f aca="false">'E2 CigadingExist Output'!R18*$E$155</f>
        <v>-3.19729345644466</v>
      </c>
      <c r="S155" s="58" t="n">
        <f aca="false">'E2 CigadingExist Output'!S18*$E$155</f>
        <v>-3.51927465498888</v>
      </c>
    </row>
    <row r="156" customFormat="false" ht="15" hidden="false" customHeight="false" outlineLevel="0" collapsed="false">
      <c r="B156" s="77" t="s">
        <v>37</v>
      </c>
      <c r="C156" s="25" t="s">
        <v>170</v>
      </c>
      <c r="E156" s="55" t="n">
        <f aca="false">'Global Inputs'!$L$91</f>
        <v>1</v>
      </c>
      <c r="F156" s="58" t="n">
        <f aca="false">'E3 Belawan Output'!F18*$E$156</f>
        <v>-0</v>
      </c>
      <c r="G156" s="58" t="n">
        <f aca="false">'E3 Belawan Output'!G18*$E$156</f>
        <v>-1.30055880911456</v>
      </c>
      <c r="H156" s="58" t="n">
        <f aca="false">'E3 Belawan Output'!H18*$E$156</f>
        <v>-1.35566359478106</v>
      </c>
      <c r="I156" s="58" t="n">
        <f aca="false">'E3 Belawan Output'!I18*$E$156</f>
        <v>-2.88652407923917</v>
      </c>
      <c r="J156" s="58" t="n">
        <f aca="false">'E3 Belawan Output'!J18*$E$156</f>
        <v>-3.91331921351955</v>
      </c>
      <c r="K156" s="58" t="n">
        <f aca="false">'E3 Belawan Output'!K18*$E$156</f>
        <v>-4.78883611548867</v>
      </c>
      <c r="L156" s="58" t="n">
        <f aca="false">'E3 Belawan Output'!L18*$E$156</f>
        <v>-5.7174400099443</v>
      </c>
      <c r="M156" s="58" t="n">
        <f aca="false">'E3 Belawan Output'!M18*$E$156</f>
        <v>-6.70194204781525</v>
      </c>
      <c r="N156" s="58" t="n">
        <f aca="false">'E3 Belawan Output'!N18*$E$156</f>
        <v>-7.74529952547941</v>
      </c>
      <c r="O156" s="58" t="n">
        <f aca="false">'E3 Belawan Output'!O18*$E$156</f>
        <v>-8.8506236621385</v>
      </c>
      <c r="P156" s="58" t="n">
        <f aca="false">'E3 Belawan Output'!P18*$E$156</f>
        <v>-10.0211878067423</v>
      </c>
      <c r="Q156" s="58" t="n">
        <f aca="false">'E3 Belawan Output'!Q18*$E$156</f>
        <v>-11.5746707644599</v>
      </c>
      <c r="R156" s="58" t="n">
        <f aca="false">'E3 Belawan Output'!R18*$E$156</f>
        <v>-6.52960197486649</v>
      </c>
      <c r="S156" s="58" t="n">
        <f aca="false">'E3 Belawan Output'!S18*$E$156</f>
        <v>-7.14500720552212</v>
      </c>
    </row>
    <row r="157" customFormat="false" ht="15" hidden="false" customHeight="false" outlineLevel="0" collapsed="false">
      <c r="B157" s="77" t="s">
        <v>40</v>
      </c>
      <c r="C157" s="25" t="s">
        <v>170</v>
      </c>
      <c r="E157" s="55" t="n">
        <f aca="false">'Global Inputs'!$L$92</f>
        <v>1</v>
      </c>
      <c r="F157" s="58" t="n">
        <f aca="false">'E4 WIN Output'!F18*$E$157</f>
        <v>-0</v>
      </c>
      <c r="G157" s="58" t="n">
        <f aca="false">'E4 WIN Output'!G18*$E$157</f>
        <v>-3.09232024333187</v>
      </c>
      <c r="H157" s="58" t="n">
        <f aca="false">'E4 WIN Output'!H18*$E$157</f>
        <v>-2.97138077015127</v>
      </c>
      <c r="I157" s="58" t="n">
        <f aca="false">'E4 WIN Output'!I18*$E$157</f>
        <v>-3.58287269240589</v>
      </c>
      <c r="J157" s="58" t="n">
        <f aca="false">'E4 WIN Output'!J18*$E$157</f>
        <v>-3.95815206558744</v>
      </c>
      <c r="K157" s="58" t="n">
        <f aca="false">'E4 WIN Output'!K18*$E$157</f>
        <v>-4.36549377629016</v>
      </c>
      <c r="L157" s="58" t="n">
        <f aca="false">'E4 WIN Output'!L18*$E$157</f>
        <v>-4.80753667876095</v>
      </c>
      <c r="M157" s="58" t="n">
        <f aca="false">'E4 WIN Output'!M18*$E$157</f>
        <v>-5.28713431494445</v>
      </c>
      <c r="N157" s="58" t="n">
        <f aca="false">'E4 WIN Output'!N18*$E$157</f>
        <v>-5.80737231270809</v>
      </c>
      <c r="O157" s="58" t="n">
        <f aca="false">'E4 WIN Output'!O18*$E$157</f>
        <v>-6.37158719252853</v>
      </c>
      <c r="P157" s="58" t="n">
        <f aca="false">'E4 WIN Output'!P18*$E$157</f>
        <v>-6.9833866966672</v>
      </c>
      <c r="Q157" s="58" t="n">
        <f aca="false">'E4 WIN Output'!Q18*$E$157</f>
        <v>-6.7679255764408</v>
      </c>
      <c r="R157" s="58" t="n">
        <f aca="false">'E4 WIN Output'!R18*$E$157</f>
        <v>-7.14805353677829</v>
      </c>
      <c r="S157" s="58" t="n">
        <f aca="false">'E4 WIN Output'!S18*$E$157</f>
        <v>-7.54789459715755</v>
      </c>
    </row>
    <row r="158" customFormat="false" ht="15" hidden="false" customHeight="false" outlineLevel="0" collapsed="false">
      <c r="B158" s="77" t="s">
        <v>43</v>
      </c>
      <c r="C158" s="25" t="s">
        <v>170</v>
      </c>
      <c r="E158" s="55" t="n">
        <f aca="false">'Global Inputs'!$L$93</f>
        <v>1</v>
      </c>
      <c r="F158" s="58" t="n">
        <f aca="false">'P01 CigWharf2 Output'!F18*$E$158</f>
        <v>-0</v>
      </c>
      <c r="G158" s="58" t="n">
        <f aca="false">'P01 CigWharf2 Output'!G18*$E$158</f>
        <v>-0</v>
      </c>
      <c r="H158" s="58" t="n">
        <f aca="false">'P01 CigWharf2 Output'!H18*$E$158</f>
        <v>-11.6459835134392</v>
      </c>
      <c r="I158" s="58" t="n">
        <f aca="false">'P01 CigWharf2 Output'!I18*$E$158</f>
        <v>-12.062097557033</v>
      </c>
      <c r="J158" s="58" t="n">
        <f aca="false">'P01 CigWharf2 Output'!J18*$E$158</f>
        <v>-16.2332138449245</v>
      </c>
      <c r="K158" s="58" t="n">
        <f aca="false">'P01 CigWharf2 Output'!K18*$E$158</f>
        <v>-16.7797147210724</v>
      </c>
      <c r="L158" s="58" t="n">
        <f aca="false">'P01 CigWharf2 Output'!L18*$E$158</f>
        <v>-19.7231581480656</v>
      </c>
      <c r="M158" s="58" t="n">
        <f aca="false">'P01 CigWharf2 Output'!M18*$E$158</f>
        <v>-20.3662198375076</v>
      </c>
      <c r="N158" s="58" t="n">
        <f aca="false">'P01 CigWharf2 Output'!N18*$E$158</f>
        <v>-22.6937391047557</v>
      </c>
      <c r="O158" s="58" t="n">
        <f aca="false">'P01 CigWharf2 Output'!O18*$E$158</f>
        <v>-23.416759377174</v>
      </c>
      <c r="P158" s="58" t="n">
        <f aca="false">'P01 CigWharf2 Output'!P18*$E$158</f>
        <v>-28.7433112767372</v>
      </c>
      <c r="Q158" s="58" t="n">
        <f aca="false">'P01 CigWharf2 Output'!Q18*$E$158</f>
        <v>-29.5562320582683</v>
      </c>
      <c r="R158" s="58" t="n">
        <f aca="false">'P01 CigWharf2 Output'!R18*$E$158</f>
        <v>-30.3879108103055</v>
      </c>
      <c r="S158" s="58" t="n">
        <f aca="false">'P01 CigWharf2 Output'!S18*$E$158</f>
        <v>-31.2385674260998</v>
      </c>
    </row>
    <row r="159" customFormat="false" ht="15" hidden="false" customHeight="false" outlineLevel="0" collapsed="false">
      <c r="B159" s="77" t="s">
        <v>46</v>
      </c>
      <c r="C159" s="25" t="s">
        <v>170</v>
      </c>
      <c r="E159" s="55" t="n">
        <f aca="false">'Global Inputs'!$L$94</f>
        <v>1</v>
      </c>
      <c r="F159" s="58" t="n">
        <f aca="false">'P02 CigConveyor Output'!F18*$E$159</f>
        <v>-0</v>
      </c>
      <c r="G159" s="58" t="n">
        <f aca="false">'P02 CigConveyor Output'!G18*$E$159</f>
        <v>-0</v>
      </c>
      <c r="H159" s="58" t="n">
        <f aca="false">'P02 CigConveyor Output'!H18*$E$159</f>
        <v>-4.76362832971893</v>
      </c>
      <c r="I159" s="58" t="n">
        <f aca="false">'P02 CigConveyor Output'!I18*$E$159</f>
        <v>-4.94772645914843</v>
      </c>
      <c r="J159" s="58" t="n">
        <f aca="false">'P02 CigConveyor Output'!J18*$E$159</f>
        <v>-5.13661205466018</v>
      </c>
      <c r="K159" s="58" t="n">
        <f aca="false">'P02 CigConveyor Output'!K18*$E$159</f>
        <v>-5.33038394963861</v>
      </c>
      <c r="L159" s="58" t="n">
        <f aca="false">'P02 CigConveyor Output'!L18*$E$159</f>
        <v>-5.52914121472221</v>
      </c>
      <c r="M159" s="58" t="n">
        <f aca="false">'P02 CigConveyor Output'!M18*$E$159</f>
        <v>-5.73298299880144</v>
      </c>
      <c r="N159" s="58" t="n">
        <f aca="false">'P02 CigConveyor Output'!N18*$E$159</f>
        <v>-5.94200835512969</v>
      </c>
      <c r="O159" s="58" t="n">
        <f aca="false">'P02 CigConveyor Output'!O18*$E$159</f>
        <v>-6.15631605148487</v>
      </c>
      <c r="P159" s="58" t="n">
        <f aca="false">'P02 CigConveyor Output'!P18*$E$159</f>
        <v>-6.71114495847704</v>
      </c>
      <c r="Q159" s="58" t="n">
        <f aca="false">'P02 CigConveyor Output'!Q18*$E$159</f>
        <v>-6.93631144343045</v>
      </c>
      <c r="R159" s="58" t="n">
        <f aca="false">'P02 CigConveyor Output'!R18*$E$159</f>
        <v>-7.16705269696997</v>
      </c>
      <c r="S159" s="58" t="n">
        <f aca="false">'P02 CigConveyor Output'!S18*$E$159</f>
        <v>-7.40346408639209</v>
      </c>
    </row>
    <row r="160" customFormat="false" ht="15" hidden="false" customHeight="false" outlineLevel="0" collapsed="false">
      <c r="B160" s="77" t="s">
        <v>48</v>
      </c>
      <c r="C160" s="25" t="s">
        <v>170</v>
      </c>
      <c r="E160" s="55" t="n">
        <f aca="false">'Global Inputs'!$L$95</f>
        <v>1</v>
      </c>
      <c r="F160" s="58" t="n">
        <f aca="false">'P03 KBSWarehouse Output'!F18*$E$160</f>
        <v>-0</v>
      </c>
      <c r="G160" s="58" t="n">
        <f aca="false">'P03 KBSWarehouse Output'!G18*$E$160</f>
        <v>-0</v>
      </c>
      <c r="H160" s="58" t="n">
        <f aca="false">'P03 KBSWarehouse Output'!H18*$E$160</f>
        <v>-0</v>
      </c>
      <c r="I160" s="58" t="n">
        <f aca="false">'P03 KBSWarehouse Output'!I18*$E$160</f>
        <v>-0</v>
      </c>
      <c r="J160" s="58" t="n">
        <f aca="false">'P03 KBSWarehouse Output'!J18*$E$160</f>
        <v>-3.58820329615</v>
      </c>
      <c r="K160" s="58" t="n">
        <f aca="false">'P03 KBSWarehouse Output'!K18*$E$160</f>
        <v>-3.72818608063</v>
      </c>
      <c r="L160" s="58" t="n">
        <f aca="false">'P03 KBSWarehouse Output'!L18*$E$160</f>
        <v>-3.8723683486444</v>
      </c>
      <c r="M160" s="58" t="n">
        <f aca="false">'P03 KBSWarehouse Output'!M18*$E$160</f>
        <v>-4.02087608469923</v>
      </c>
      <c r="N160" s="58" t="n">
        <f aca="false">'P03 KBSWarehouse Output'!N18*$E$160</f>
        <v>-4.17383905283571</v>
      </c>
      <c r="O160" s="58" t="n">
        <f aca="false">'P03 KBSWarehouse Output'!O18*$E$160</f>
        <v>-4.33139091001628</v>
      </c>
      <c r="P160" s="58" t="n">
        <f aca="false">'P03 KBSWarehouse Output'!P18*$E$160</f>
        <v>-4.49366932291227</v>
      </c>
      <c r="Q160" s="58" t="n">
        <f aca="false">'P03 KBSWarehouse Output'!Q18*$E$160</f>
        <v>-4.66081608819514</v>
      </c>
      <c r="R160" s="58" t="n">
        <f aca="false">'P03 KBSWarehouse Output'!R18*$E$160</f>
        <v>-4.83297725643649</v>
      </c>
      <c r="S160" s="58" t="n">
        <f aca="false">'P03 KBSWarehouse Output'!S18*$E$160</f>
        <v>-5.01030325972509</v>
      </c>
    </row>
    <row r="161" customFormat="false" ht="15" hidden="false" customHeight="false" outlineLevel="0" collapsed="false">
      <c r="B161" s="77" t="s">
        <v>51</v>
      </c>
      <c r="C161" s="25" t="s">
        <v>170</v>
      </c>
      <c r="E161" s="55" t="n">
        <f aca="false">'Global Inputs'!$L$96</f>
        <v>1</v>
      </c>
      <c r="F161" s="58" t="n">
        <f aca="false">'P04 TTLSilo Output'!F18*$E$161</f>
        <v>-0</v>
      </c>
      <c r="G161" s="58" t="n">
        <f aca="false">'P04 TTLSilo Output'!G18*$E$161</f>
        <v>-0</v>
      </c>
      <c r="H161" s="58" t="n">
        <f aca="false">'P04 TTLSilo Output'!H18*$E$161</f>
        <v>-0</v>
      </c>
      <c r="I161" s="58" t="n">
        <f aca="false">'P04 TTLSilo Output'!I18*$E$161</f>
        <v>-0</v>
      </c>
      <c r="J161" s="58" t="n">
        <f aca="false">'P04 TTLSilo Output'!J18*$E$161</f>
        <v>-1.981545290835</v>
      </c>
      <c r="K161" s="58" t="n">
        <f aca="false">'P04 TTLSilo Output'!K18*$E$161</f>
        <v>-1.981545290835</v>
      </c>
      <c r="L161" s="58" t="n">
        <f aca="false">'P04 TTLSilo Output'!L18*$E$161</f>
        <v>-1.981545290835</v>
      </c>
      <c r="M161" s="58" t="n">
        <f aca="false">'P04 TTLSilo Output'!M18*$E$161</f>
        <v>-1.981545290835</v>
      </c>
      <c r="N161" s="58" t="n">
        <f aca="false">'P04 TTLSilo Output'!N18*$E$161</f>
        <v>-1.981545290835</v>
      </c>
      <c r="O161" s="58" t="n">
        <f aca="false">'P04 TTLSilo Output'!O18*$E$161</f>
        <v>-1.981545290835</v>
      </c>
      <c r="P161" s="58" t="n">
        <f aca="false">'P04 TTLSilo Output'!P18*$E$161</f>
        <v>-1.981545290835</v>
      </c>
      <c r="Q161" s="58" t="n">
        <f aca="false">'P04 TTLSilo Output'!Q18*$E$161</f>
        <v>-1.981545290835</v>
      </c>
      <c r="R161" s="58" t="n">
        <f aca="false">'P04 TTLSilo Output'!R18*$E$161</f>
        <v>-1.981545290835</v>
      </c>
      <c r="S161" s="58" t="n">
        <f aca="false">'P04 TTLSilo Output'!S18*$E$161</f>
        <v>-1.981545290835</v>
      </c>
    </row>
    <row r="162" customFormat="false" ht="15" hidden="false" customHeight="false" outlineLevel="0" collapsed="false">
      <c r="B162" s="77" t="s">
        <v>54</v>
      </c>
      <c r="C162" s="25" t="s">
        <v>170</v>
      </c>
      <c r="E162" s="55" t="n">
        <f aca="false">'Global Inputs'!$L$97</f>
        <v>1</v>
      </c>
      <c r="F162" s="58" t="n">
        <f aca="false">'P05 Dumai Output'!F18*$E$162</f>
        <v>-0</v>
      </c>
      <c r="G162" s="58" t="n">
        <f aca="false">'P05 Dumai Output'!G18*$E$162</f>
        <v>-0</v>
      </c>
      <c r="H162" s="58" t="n">
        <f aca="false">'P05 Dumai Output'!H18*$E$162</f>
        <v>-0</v>
      </c>
      <c r="I162" s="58" t="n">
        <f aca="false">'P05 Dumai Output'!I18*$E$162</f>
        <v>-3.80889411120347</v>
      </c>
      <c r="J162" s="58" t="n">
        <f aca="false">'P05 Dumai Output'!J18*$E$162</f>
        <v>-3.60329003044282</v>
      </c>
      <c r="K162" s="58" t="n">
        <f aca="false">'P05 Dumai Output'!K18*$E$162</f>
        <v>-3.48790754266316</v>
      </c>
      <c r="L162" s="58" t="n">
        <f aca="false">'P05 Dumai Output'!L18*$E$162</f>
        <v>-4.00155149561532</v>
      </c>
      <c r="M162" s="58" t="n">
        <f aca="false">'P05 Dumai Output'!M18*$E$162</f>
        <v>-3.78196984587606</v>
      </c>
      <c r="N162" s="58" t="n">
        <f aca="false">'P05 Dumai Output'!N18*$E$162</f>
        <v>-3.7038566929414</v>
      </c>
      <c r="O162" s="58" t="n">
        <f aca="false">'P05 Dumai Output'!O18*$E$162</f>
        <v>-3.57440317380656</v>
      </c>
      <c r="P162" s="58" t="n">
        <f aca="false">'P05 Dumai Output'!P18*$E$162</f>
        <v>-4.11267366363288</v>
      </c>
      <c r="Q162" s="58" t="n">
        <f aca="false">'P05 Dumai Output'!Q18*$E$162</f>
        <v>-5.13458038183028</v>
      </c>
      <c r="R162" s="58" t="n">
        <f aca="false">'P05 Dumai Output'!R18*$E$162</f>
        <v>-4.95459782497824</v>
      </c>
      <c r="S162" s="58" t="n">
        <f aca="false">'P05 Dumai Output'!S18*$E$162</f>
        <v>-4.89608710149353</v>
      </c>
    </row>
    <row r="163" customFormat="false" ht="15" hidden="false" customHeight="false" outlineLevel="0" collapsed="false">
      <c r="B163" s="77" t="s">
        <v>57</v>
      </c>
      <c r="C163" s="25" t="s">
        <v>170</v>
      </c>
      <c r="E163" s="55" t="n">
        <f aca="false">'Global Inputs'!$L$98</f>
        <v>1</v>
      </c>
      <c r="F163" s="58" t="n">
        <f aca="false">'P06 Ciwandan Output'!F18*$E$163</f>
        <v>-0</v>
      </c>
      <c r="G163" s="58" t="n">
        <f aca="false">'P06 Ciwandan Output'!G18*$E$163</f>
        <v>-0</v>
      </c>
      <c r="H163" s="58" t="n">
        <f aca="false">'P06 Ciwandan Output'!H18*$E$163</f>
        <v>-0</v>
      </c>
      <c r="I163" s="58" t="n">
        <f aca="false">'P06 Ciwandan Output'!I18*$E$163</f>
        <v>-0</v>
      </c>
      <c r="J163" s="58" t="n">
        <f aca="false">'P06 Ciwandan Output'!J18*$E$163</f>
        <v>-0</v>
      </c>
      <c r="K163" s="58" t="n">
        <f aca="false">'P06 Ciwandan Output'!K18*$E$163</f>
        <v>-5.71011887189363</v>
      </c>
      <c r="L163" s="58" t="n">
        <f aca="false">'P06 Ciwandan Output'!L18*$E$163</f>
        <v>-8.65044673499218</v>
      </c>
      <c r="M163" s="58" t="n">
        <f aca="false">'P06 Ciwandan Output'!M18*$E$163</f>
        <v>-9.62053244492471</v>
      </c>
      <c r="N163" s="58" t="n">
        <f aca="false">'P06 Ciwandan Output'!N18*$E$163</f>
        <v>-12.417472592509</v>
      </c>
      <c r="O163" s="58" t="n">
        <f aca="false">'P06 Ciwandan Output'!O18*$E$163</f>
        <v>-13.1794535952486</v>
      </c>
      <c r="P163" s="58" t="n">
        <f aca="false">'P06 Ciwandan Output'!P18*$E$163</f>
        <v>-15.5090633478407</v>
      </c>
      <c r="Q163" s="58" t="n">
        <f aca="false">'P06 Ciwandan Output'!Q18*$E$163</f>
        <v>-16.4534347950119</v>
      </c>
      <c r="R163" s="58" t="n">
        <f aca="false">'P06 Ciwandan Output'!R18*$E$163</f>
        <v>-18.5881123878767</v>
      </c>
      <c r="S163" s="58" t="n">
        <f aca="false">'P06 Ciwandan Output'!S18*$E$163</f>
        <v>-20.8193645461897</v>
      </c>
    </row>
    <row r="164" customFormat="false" ht="15" hidden="false" customHeight="false" outlineLevel="0" collapsed="false">
      <c r="B164" s="77" t="s">
        <v>60</v>
      </c>
      <c r="C164" s="25" t="s">
        <v>170</v>
      </c>
      <c r="E164" s="55" t="n">
        <f aca="false">'Global Inputs'!$L$99</f>
        <v>1</v>
      </c>
      <c r="F164" s="58" t="n">
        <f aca="false">'P08 DMSTrucking Output'!F18*$E$164</f>
        <v>-0</v>
      </c>
      <c r="G164" s="58" t="n">
        <f aca="false">'P08 DMSTrucking Output'!G18*$E$164</f>
        <v>-0</v>
      </c>
      <c r="H164" s="58" t="n">
        <f aca="false">'P08 DMSTrucking Output'!H18*$E$164</f>
        <v>-0</v>
      </c>
      <c r="I164" s="58" t="n">
        <f aca="false">'P08 DMSTrucking Output'!I18*$E$164</f>
        <v>-0</v>
      </c>
      <c r="J164" s="58" t="n">
        <f aca="false">'P08 DMSTrucking Output'!J18*$E$164</f>
        <v>-0.398543122540288</v>
      </c>
      <c r="K164" s="58" t="n">
        <f aca="false">'P08 DMSTrucking Output'!K18*$E$164</f>
        <v>-0.473586792216497</v>
      </c>
      <c r="L164" s="58" t="n">
        <f aca="false">'P08 DMSTrucking Output'!L18*$E$164</f>
        <v>-0.497048145982992</v>
      </c>
      <c r="M164" s="58" t="n">
        <f aca="false">'P08 DMSTrucking Output'!M18*$E$164</f>
        <v>-0.521784988362481</v>
      </c>
      <c r="N164" s="58" t="n">
        <f aca="false">'P08 DMSTrucking Output'!N18*$E$164</f>
        <v>-0.547892748813356</v>
      </c>
      <c r="O164" s="58" t="n">
        <f aca="false">'P08 DMSTrucking Output'!O18*$E$164</f>
        <v>-0.571127644797757</v>
      </c>
      <c r="P164" s="58" t="n">
        <f aca="false">'P08 DMSTrucking Output'!P18*$E$164</f>
        <v>-0.595255238272889</v>
      </c>
      <c r="Q164" s="58" t="n">
        <f aca="false">'P08 DMSTrucking Output'!Q18*$E$164</f>
        <v>-0.620314049200148</v>
      </c>
      <c r="R164" s="58" t="n">
        <f aca="false">'P08 DMSTrucking Output'!R18*$E$164</f>
        <v>-0.646344457481969</v>
      </c>
      <c r="S164" s="58" t="n">
        <f aca="false">'P08 DMSTrucking Output'!S18*$E$164</f>
        <v>-0.673388801020593</v>
      </c>
    </row>
    <row r="165" customFormat="false" ht="15" hidden="false" customHeight="false" outlineLevel="0" collapsed="false">
      <c r="B165" s="77" t="s">
        <v>63</v>
      </c>
      <c r="C165" s="25" t="s">
        <v>170</v>
      </c>
      <c r="E165" s="55" t="n">
        <f aca="false">'Global Inputs'!$L$100</f>
        <v>1</v>
      </c>
      <c r="F165" s="58" t="n">
        <f aca="false">'P12 BUMNOps Output'!F18*$E$165</f>
        <v>-0</v>
      </c>
      <c r="G165" s="58" t="n">
        <f aca="false">'P12 BUMNOps Output'!G18*$E$165</f>
        <v>-0</v>
      </c>
      <c r="H165" s="58" t="n">
        <f aca="false">'P12 BUMNOps Output'!H18*$E$165</f>
        <v>-0</v>
      </c>
      <c r="I165" s="58" t="n">
        <f aca="false">'P12 BUMNOps Output'!I18*$E$165</f>
        <v>-12.829988166462</v>
      </c>
      <c r="J165" s="58" t="n">
        <f aca="false">'P12 BUMNOps Output'!J18*$E$165</f>
        <v>-13.5192966929849</v>
      </c>
      <c r="K165" s="58" t="n">
        <f aca="false">'P12 BUMNOps Output'!K18*$E$165</f>
        <v>-13.9918455477108</v>
      </c>
      <c r="L165" s="58" t="n">
        <f aca="false">'P12 BUMNOps Output'!L18*$E$165</f>
        <v>-14.476287801467</v>
      </c>
      <c r="M165" s="58" t="n">
        <f aca="false">'P12 BUMNOps Output'!M18*$E$165</f>
        <v>-14.9729802562245</v>
      </c>
      <c r="N165" s="58" t="n">
        <f aca="false">'P12 BUMNOps Output'!N18*$E$165</f>
        <v>-15.4822904180132</v>
      </c>
      <c r="O165" s="58" t="n">
        <f aca="false">'P12 BUMNOps Output'!O18*$E$165</f>
        <v>-16.0045968180441</v>
      </c>
      <c r="P165" s="58" t="n">
        <f aca="false">'P12 BUMNOps Output'!P18*$E$165</f>
        <v>-16.5402893434644</v>
      </c>
      <c r="Q165" s="58" t="n">
        <f aca="false">'P12 BUMNOps Output'!Q18*$E$165</f>
        <v>-17.0897695780359</v>
      </c>
      <c r="R165" s="58" t="n">
        <f aca="false">'P12 BUMNOps Output'!R18*$E$165</f>
        <v>-16.7402245084462</v>
      </c>
      <c r="S165" s="58" t="n">
        <f aca="false">'P12 BUMNOps Output'!S18*$E$165</f>
        <v>-17.2424312436996</v>
      </c>
    </row>
    <row r="166" customFormat="false" ht="15" hidden="false" customHeight="false" outlineLevel="0" collapsed="false">
      <c r="B166" s="77" t="s">
        <v>66</v>
      </c>
      <c r="C166" s="25" t="s">
        <v>170</v>
      </c>
      <c r="E166" s="55" t="n">
        <f aca="false">'Global Inputs'!$L$101</f>
        <v>0</v>
      </c>
      <c r="F166" s="58" t="n">
        <f aca="false">'P15 TBM Output'!F18*$E$166</f>
        <v>-0</v>
      </c>
      <c r="G166" s="58" t="n">
        <f aca="false">'P15 TBM Output'!G18*$E$166</f>
        <v>-0</v>
      </c>
      <c r="H166" s="58" t="n">
        <f aca="false">'P15 TBM Output'!H18*$E$166</f>
        <v>-0</v>
      </c>
      <c r="I166" s="58" t="n">
        <f aca="false">'P15 TBM Output'!I18*$E$166</f>
        <v>-0</v>
      </c>
      <c r="J166" s="58" t="n">
        <f aca="false">'P15 TBM Output'!J18*$E$166</f>
        <v>-0</v>
      </c>
      <c r="K166" s="58" t="n">
        <f aca="false">'P15 TBM Output'!K18*$E$166</f>
        <v>-0</v>
      </c>
      <c r="L166" s="58" t="n">
        <f aca="false">'P15 TBM Output'!L18*$E$166</f>
        <v>-0</v>
      </c>
      <c r="M166" s="58" t="n">
        <f aca="false">'P15 TBM Output'!M18*$E$166</f>
        <v>-0</v>
      </c>
      <c r="N166" s="58" t="n">
        <f aca="false">'P15 TBM Output'!N18*$E$166</f>
        <v>-0</v>
      </c>
      <c r="O166" s="58" t="n">
        <f aca="false">'P15 TBM Output'!O18*$E$166</f>
        <v>-0</v>
      </c>
      <c r="P166" s="58" t="n">
        <f aca="false">'P15 TBM Output'!P18*$E$166</f>
        <v>-0</v>
      </c>
      <c r="Q166" s="58" t="n">
        <f aca="false">'P15 TBM Output'!Q18*$E$166</f>
        <v>-0</v>
      </c>
      <c r="R166" s="58" t="n">
        <f aca="false">'P15 TBM Output'!R18*$E$166</f>
        <v>-0</v>
      </c>
      <c r="S166" s="58" t="n">
        <f aca="false">'P15 TBM Output'!S18*$E$166</f>
        <v>-0</v>
      </c>
    </row>
    <row r="167" customFormat="false" ht="15" hidden="false" customHeight="false" outlineLevel="0" collapsed="false">
      <c r="B167" s="77" t="s">
        <v>69</v>
      </c>
      <c r="C167" s="25" t="s">
        <v>170</v>
      </c>
      <c r="E167" s="55" t="n">
        <f aca="false">'Global Inputs'!$L$102</f>
        <v>0</v>
      </c>
      <c r="F167" s="58" t="n">
        <f aca="false">'P19 Badas Output'!F18*$E$167</f>
        <v>-0</v>
      </c>
      <c r="G167" s="58" t="n">
        <f aca="false">'P19 Badas Output'!G18*$E$167</f>
        <v>-0</v>
      </c>
      <c r="H167" s="58" t="n">
        <f aca="false">'P19 Badas Output'!H18*$E$167</f>
        <v>-0</v>
      </c>
      <c r="I167" s="58" t="n">
        <f aca="false">'P19 Badas Output'!I18*$E$167</f>
        <v>-0</v>
      </c>
      <c r="J167" s="58" t="n">
        <f aca="false">'P19 Badas Output'!J18*$E$167</f>
        <v>-0</v>
      </c>
      <c r="K167" s="58" t="n">
        <f aca="false">'P19 Badas Output'!K18*$E$167</f>
        <v>-0</v>
      </c>
      <c r="L167" s="58" t="n">
        <f aca="false">'P19 Badas Output'!L18*$E$167</f>
        <v>-0</v>
      </c>
      <c r="M167" s="58" t="n">
        <f aca="false">'P19 Badas Output'!M18*$E$167</f>
        <v>-0</v>
      </c>
      <c r="N167" s="58" t="n">
        <f aca="false">'P19 Badas Output'!N18*$E$167</f>
        <v>-0</v>
      </c>
      <c r="O167" s="58" t="n">
        <f aca="false">'P19 Badas Output'!O18*$E$167</f>
        <v>-0</v>
      </c>
      <c r="P167" s="58" t="n">
        <f aca="false">'P19 Badas Output'!P18*$E$167</f>
        <v>-0</v>
      </c>
      <c r="Q167" s="58" t="n">
        <f aca="false">'P19 Badas Output'!Q18*$E$167</f>
        <v>-0</v>
      </c>
      <c r="R167" s="58" t="n">
        <f aca="false">'P19 Badas Output'!R18*$E$167</f>
        <v>-0</v>
      </c>
      <c r="S167" s="58" t="n">
        <f aca="false">'P19 Badas Output'!S18*$E$167</f>
        <v>-0</v>
      </c>
    </row>
    <row r="168" customFormat="false" ht="15" hidden="false" customHeight="false" outlineLevel="0" collapsed="false">
      <c r="B168" s="69" t="s">
        <v>455</v>
      </c>
      <c r="C168" s="25" t="s">
        <v>170</v>
      </c>
      <c r="E168" s="70" t="n">
        <f aca="false">SUM(F168:S168)</f>
        <v>-1167.58992375646</v>
      </c>
      <c r="F168" s="68" t="n">
        <f aca="false">F154+F155+F156+F157+F158+F159+F160+F161+F162+F163+F164+F165+F166+F167</f>
        <v>-0</v>
      </c>
      <c r="G168" s="68" t="n">
        <f aca="false">G154+G155+G156+G157+G158+G159+G160+G161+G162+G163+G164+G165+G166+G167</f>
        <v>-19.9622380784868</v>
      </c>
      <c r="H168" s="68" t="n">
        <f aca="false">H154+H155+H156+H157+H158+H159+H160+H161+H162+H163+H164+H165+H166+H167</f>
        <v>-36.9445769942651</v>
      </c>
      <c r="I168" s="68" t="n">
        <f aca="false">I154+I155+I156+I157+I158+I159+I160+I161+I162+I163+I164+I165+I166+I167</f>
        <v>-56.7526933177888</v>
      </c>
      <c r="J168" s="68" t="n">
        <f aca="false">J154+J155+J156+J157+J158+J159+J160+J161+J162+J163+J164+J165+J166+J167</f>
        <v>-69.6309195661956</v>
      </c>
      <c r="K168" s="68" t="n">
        <f aca="false">K154+K155+K156+K157+K158+K159+K160+K161+K162+K163+K164+K165+K166+K167</f>
        <v>-78.6132946643785</v>
      </c>
      <c r="L168" s="68" t="n">
        <f aca="false">L154+L155+L156+L157+L158+L159+L160+L161+L162+L163+L164+L165+L166+L167</f>
        <v>-88.8941212015764</v>
      </c>
      <c r="M168" s="68" t="n">
        <f aca="false">M154+M155+M156+M157+M158+M159+M160+M161+M162+M163+M164+M165+M166+M167</f>
        <v>-93.3638017792526</v>
      </c>
      <c r="N168" s="68" t="n">
        <f aca="false">N154+N155+N156+N157+N158+N159+N160+N161+N162+N163+N164+N165+N166+N167</f>
        <v>-102.794497192837</v>
      </c>
      <c r="O168" s="68" t="n">
        <f aca="false">O154+O155+O156+O157+O158+O159+O160+O161+O162+O163+O164+O165+O166+O167</f>
        <v>-108.665701664664</v>
      </c>
      <c r="P168" s="68" t="n">
        <f aca="false">P154+P155+P156+P157+P158+P159+P160+P161+P162+P163+P164+P165+P166+P167</f>
        <v>-122.097013193182</v>
      </c>
      <c r="Q168" s="68" t="n">
        <f aca="false">Q154+Q155+Q156+Q157+Q158+Q159+Q160+Q161+Q162+Q163+Q164+Q165+Q166+Q167</f>
        <v>-128.325177615826</v>
      </c>
      <c r="R168" s="68" t="n">
        <f aca="false">R154+R155+R156+R157+R158+R159+R160+R161+R162+R163+R164+R165+R166+R167</f>
        <v>-127.690146477072</v>
      </c>
      <c r="S168" s="68" t="n">
        <f aca="false">S154+S155+S156+S157+S158+S159+S160+S161+S162+S163+S164+S165+S166+S167</f>
        <v>-133.855742010935</v>
      </c>
    </row>
    <row r="169" customFormat="false" ht="15" hidden="false" customHeight="false" outlineLevel="0" collapsed="false">
      <c r="B169" s="78" t="s">
        <v>456</v>
      </c>
      <c r="C169" s="79"/>
      <c r="D169" s="79"/>
      <c r="E169" s="79"/>
      <c r="F169" s="79"/>
      <c r="G169" s="79"/>
      <c r="H169" s="79"/>
      <c r="I169" s="79"/>
      <c r="J169" s="79"/>
      <c r="K169" s="79"/>
      <c r="L169" s="79"/>
      <c r="M169" s="79"/>
      <c r="N169" s="79"/>
      <c r="O169" s="79"/>
      <c r="P169" s="79"/>
      <c r="Q169" s="79"/>
      <c r="R169" s="79"/>
      <c r="S169" s="79"/>
    </row>
    <row r="170" customFormat="false" ht="15" hidden="false" customHeight="false" outlineLevel="0" collapsed="false">
      <c r="B170" s="77" t="s">
        <v>31</v>
      </c>
      <c r="C170" s="25" t="s">
        <v>170</v>
      </c>
      <c r="E170" s="55" t="n">
        <f aca="false">'Global Inputs'!$L$89</f>
        <v>1</v>
      </c>
      <c r="F170" s="58" t="n">
        <f aca="false">'E1 TelukLamong Output'!F19*$E$170</f>
        <v>0</v>
      </c>
      <c r="G170" s="58" t="n">
        <f aca="false">'E1 TelukLamong Output'!G19*$E$170</f>
        <v>55.2004547286886</v>
      </c>
      <c r="H170" s="58" t="n">
        <f aca="false">'E1 TelukLamong Output'!H19*$E$170</f>
        <v>57.4644464237102</v>
      </c>
      <c r="I170" s="58" t="n">
        <f aca="false">'E1 TelukLamong Output'!I19*$E$170</f>
        <v>58.9771836217796</v>
      </c>
      <c r="J170" s="58" t="n">
        <f aca="false">'E1 TelukLamong Output'!J19*$E$170</f>
        <v>61.3319103843169</v>
      </c>
      <c r="K170" s="58" t="n">
        <f aca="false">'E1 TelukLamong Output'!K19*$E$170</f>
        <v>63.7319420965131</v>
      </c>
      <c r="L170" s="58" t="n">
        <f aca="false">'E1 TelukLamong Output'!L19*$E$170</f>
        <v>69.6242087244828</v>
      </c>
      <c r="M170" s="58" t="n">
        <f aca="false">'E1 TelukLamong Output'!M19*$E$170</f>
        <v>72.2415921001104</v>
      </c>
      <c r="N170" s="58" t="n">
        <f aca="false">'E1 TelukLamong Output'!N19*$E$170</f>
        <v>74.9073285128731</v>
      </c>
      <c r="O170" s="58" t="n">
        <f aca="false">'E1 TelukLamong Output'!O19*$E$170</f>
        <v>81.6007683998727</v>
      </c>
      <c r="P170" s="58" t="n">
        <f aca="false">'E1 TelukLamong Output'!P19*$E$170</f>
        <v>84.5053022760271</v>
      </c>
      <c r="Q170" s="58" t="n">
        <f aca="false">'E1 TelukLamong Output'!Q19*$E$170</f>
        <v>87.4610377800737</v>
      </c>
      <c r="R170" s="58" t="n">
        <f aca="false">'E1 TelukLamong Output'!R19*$E$170</f>
        <v>90.4673507954944</v>
      </c>
      <c r="S170" s="58" t="n">
        <f aca="false">'E1 TelukLamong Output'!S19*$E$170</f>
        <v>93.5234671013286</v>
      </c>
    </row>
    <row r="171" customFormat="false" ht="15" hidden="false" customHeight="false" outlineLevel="0" collapsed="false">
      <c r="B171" s="77" t="s">
        <v>34</v>
      </c>
      <c r="C171" s="25" t="s">
        <v>170</v>
      </c>
      <c r="E171" s="55" t="n">
        <f aca="false">'Global Inputs'!$L$90</f>
        <v>1</v>
      </c>
      <c r="F171" s="58" t="n">
        <f aca="false">'E2 CigadingExist Output'!F19*$E$171</f>
        <v>0</v>
      </c>
      <c r="G171" s="58" t="n">
        <f aca="false">'E2 CigadingExist Output'!G19*$E$171</f>
        <v>-24.8752588875047</v>
      </c>
      <c r="H171" s="58" t="n">
        <f aca="false">'E2 CigadingExist Output'!H19*$E$171</f>
        <v>-17.9712783924015</v>
      </c>
      <c r="I171" s="58" t="n">
        <f aca="false">'E2 CigadingExist Output'!I19*$E$171</f>
        <v>-18.4750333433378</v>
      </c>
      <c r="J171" s="58" t="n">
        <f aca="false">'E2 CigadingExist Output'!J19*$E$171</f>
        <v>-8.09718027849051</v>
      </c>
      <c r="K171" s="58" t="n">
        <f aca="false">'E2 CigadingExist Output'!K19*$E$171</f>
        <v>-7.26187767005758</v>
      </c>
      <c r="L171" s="58" t="n">
        <f aca="false">'E2 CigadingExist Output'!L19*$E$171</f>
        <v>-1.1808192497535</v>
      </c>
      <c r="M171" s="58" t="n">
        <f aca="false">'E2 CigadingExist Output'!M19*$E$171</f>
        <v>-0.130787831718834</v>
      </c>
      <c r="N171" s="58" t="n">
        <f aca="false">'E2 CigadingExist Output'!N19*$E$171</f>
        <v>4.15340447383958</v>
      </c>
      <c r="O171" s="58" t="n">
        <f aca="false">'E2 CigadingExist Output'!O19*$E$171</f>
        <v>4.29814250876273</v>
      </c>
      <c r="P171" s="58" t="n">
        <f aca="false">'E2 CigadingExist Output'!P19*$E$171</f>
        <v>9.11414896546488</v>
      </c>
      <c r="Q171" s="58" t="n">
        <f aca="false">'E2 CigadingExist Output'!Q19*$E$171</f>
        <v>10.2147373121633</v>
      </c>
      <c r="R171" s="58" t="n">
        <f aca="false">'E2 CigadingExist Output'!R19*$E$171</f>
        <v>11.3358586183038</v>
      </c>
      <c r="S171" s="58" t="n">
        <f aca="false">'E2 CigadingExist Output'!S19*$E$171</f>
        <v>12.4774283222333</v>
      </c>
    </row>
    <row r="172" customFormat="false" ht="15" hidden="false" customHeight="false" outlineLevel="0" collapsed="false">
      <c r="B172" s="77" t="s">
        <v>37</v>
      </c>
      <c r="C172" s="25" t="s">
        <v>170</v>
      </c>
      <c r="E172" s="55" t="n">
        <f aca="false">'Global Inputs'!$L$91</f>
        <v>1</v>
      </c>
      <c r="F172" s="58" t="n">
        <f aca="false">'E3 Belawan Output'!F19*$E$172</f>
        <v>0</v>
      </c>
      <c r="G172" s="58" t="n">
        <f aca="false">'E3 Belawan Output'!G19*$E$172</f>
        <v>4.61107214140616</v>
      </c>
      <c r="H172" s="58" t="n">
        <f aca="false">'E3 Belawan Output'!H19*$E$172</f>
        <v>4.80644365422377</v>
      </c>
      <c r="I172" s="58" t="n">
        <f aca="false">'E3 Belawan Output'!I19*$E$172</f>
        <v>10.2340399173025</v>
      </c>
      <c r="J172" s="58" t="n">
        <f aca="false">'E3 Belawan Output'!J19*$E$172</f>
        <v>13.8744953933875</v>
      </c>
      <c r="K172" s="58" t="n">
        <f aca="false">'E3 Belawan Output'!K19*$E$172</f>
        <v>16.9786007730962</v>
      </c>
      <c r="L172" s="58" t="n">
        <f aca="false">'E3 Belawan Output'!L19*$E$172</f>
        <v>20.2709236716207</v>
      </c>
      <c r="M172" s="58" t="n">
        <f aca="false">'E3 Belawan Output'!M19*$E$172</f>
        <v>23.7614308967995</v>
      </c>
      <c r="N172" s="58" t="n">
        <f aca="false">'E3 Belawan Output'!N19*$E$172</f>
        <v>27.4606074085179</v>
      </c>
      <c r="O172" s="58" t="n">
        <f aca="false">'E3 Belawan Output'!O19*$E$172</f>
        <v>31.3794838930365</v>
      </c>
      <c r="P172" s="58" t="n">
        <f aca="false">'E3 Belawan Output'!P19*$E$172</f>
        <v>35.529665860268</v>
      </c>
      <c r="Q172" s="58" t="n">
        <f aca="false">'E3 Belawan Output'!Q19*$E$172</f>
        <v>41.0374690739942</v>
      </c>
      <c r="R172" s="58" t="n">
        <f aca="false">'E3 Belawan Output'!R19*$E$172</f>
        <v>23.1504070017994</v>
      </c>
      <c r="S172" s="58" t="n">
        <f aca="false">'E3 Belawan Output'!S19*$E$172</f>
        <v>25.3322982741239</v>
      </c>
    </row>
    <row r="173" customFormat="false" ht="15" hidden="false" customHeight="false" outlineLevel="0" collapsed="false">
      <c r="B173" s="77" t="s">
        <v>40</v>
      </c>
      <c r="C173" s="25" t="s">
        <v>170</v>
      </c>
      <c r="E173" s="55" t="n">
        <f aca="false">'Global Inputs'!$L$92</f>
        <v>1</v>
      </c>
      <c r="F173" s="58" t="n">
        <f aca="false">'E4 WIN Output'!F19*$E$173</f>
        <v>0</v>
      </c>
      <c r="G173" s="58" t="n">
        <f aca="false">'E4 WIN Output'!G19*$E$173</f>
        <v>10.9636808627221</v>
      </c>
      <c r="H173" s="58" t="n">
        <f aca="false">'E4 WIN Output'!H19*$E$173</f>
        <v>10.534895457809</v>
      </c>
      <c r="I173" s="58" t="n">
        <f aca="false">'E4 WIN Output'!I19*$E$173</f>
        <v>12.7029122730754</v>
      </c>
      <c r="J173" s="58" t="n">
        <f aca="false">'E4 WIN Output'!J19*$E$173</f>
        <v>14.0334482325373</v>
      </c>
      <c r="K173" s="58" t="n">
        <f aca="false">'E4 WIN Output'!K19*$E$173</f>
        <v>15.4776597523015</v>
      </c>
      <c r="L173" s="58" t="n">
        <f aca="false">'E4 WIN Output'!L19*$E$173</f>
        <v>17.0449027701525</v>
      </c>
      <c r="M173" s="58" t="n">
        <f aca="false">'E4 WIN Output'!M19*$E$173</f>
        <v>18.7452943893485</v>
      </c>
      <c r="N173" s="58" t="n">
        <f aca="false">'E4 WIN Output'!N19*$E$173</f>
        <v>20.5897745632378</v>
      </c>
      <c r="O173" s="58" t="n">
        <f aca="false">'E4 WIN Output'!O19*$E$173</f>
        <v>22.5901727735102</v>
      </c>
      <c r="P173" s="58" t="n">
        <f aca="false">'E4 WIN Output'!P19*$E$173</f>
        <v>24.7592801063655</v>
      </c>
      <c r="Q173" s="58" t="n">
        <f aca="false">'E4 WIN Output'!Q19*$E$173</f>
        <v>23.9953724982901</v>
      </c>
      <c r="R173" s="58" t="n">
        <f aca="false">'E4 WIN Output'!R19*$E$173</f>
        <v>25.343098903123</v>
      </c>
      <c r="S173" s="58" t="n">
        <f aca="false">'E4 WIN Output'!S19*$E$173</f>
        <v>26.760717208104</v>
      </c>
    </row>
    <row r="174" customFormat="false" ht="15" hidden="false" customHeight="false" outlineLevel="0" collapsed="false">
      <c r="B174" s="77" t="s">
        <v>43</v>
      </c>
      <c r="C174" s="25" t="s">
        <v>170</v>
      </c>
      <c r="E174" s="55" t="n">
        <f aca="false">'Global Inputs'!$L$93</f>
        <v>1</v>
      </c>
      <c r="F174" s="58" t="n">
        <f aca="false">'P01 CigWharf2 Output'!F19*$E$174</f>
        <v>0</v>
      </c>
      <c r="G174" s="58" t="n">
        <f aca="false">'P01 CigWharf2 Output'!G19*$E$174</f>
        <v>0</v>
      </c>
      <c r="H174" s="58" t="n">
        <f aca="false">'P01 CigWharf2 Output'!H19*$E$174</f>
        <v>41.2903051840117</v>
      </c>
      <c r="I174" s="58" t="n">
        <f aca="false">'P01 CigWharf2 Output'!I19*$E$174</f>
        <v>42.7656186112989</v>
      </c>
      <c r="J174" s="58" t="n">
        <f aca="false">'P01 CigWharf2 Output'!J19*$E$174</f>
        <v>57.5541218138233</v>
      </c>
      <c r="K174" s="58" t="n">
        <f aca="false">'P01 CigWharf2 Output'!K19*$E$174</f>
        <v>59.4917158292566</v>
      </c>
      <c r="L174" s="58" t="n">
        <f aca="false">'P01 CigWharf2 Output'!L19*$E$174</f>
        <v>69.927560706778</v>
      </c>
      <c r="M174" s="58" t="n">
        <f aca="false">'P01 CigWharf2 Output'!M19*$E$174</f>
        <v>72.207506696618</v>
      </c>
      <c r="N174" s="58" t="n">
        <f aca="false">'P01 CigWharf2 Output'!N19*$E$174</f>
        <v>80.4596204623157</v>
      </c>
      <c r="O174" s="58" t="n">
        <f aca="false">'P01 CigWharf2 Output'!O19*$E$174</f>
        <v>83.0230559736169</v>
      </c>
      <c r="P174" s="58" t="n">
        <f aca="false">'P01 CigWharf2 Output'!P19*$E$174</f>
        <v>101.908103617523</v>
      </c>
      <c r="Q174" s="58" t="n">
        <f aca="false">'P01 CigWharf2 Output'!Q19*$E$174</f>
        <v>104.790277297497</v>
      </c>
      <c r="R174" s="58" t="n">
        <f aca="false">'P01 CigWharf2 Output'!R19*$E$174</f>
        <v>107.738956509265</v>
      </c>
      <c r="S174" s="58" t="n">
        <f aca="false">'P01 CigWharf2 Output'!S19*$E$174</f>
        <v>110.754920874354</v>
      </c>
    </row>
    <row r="175" customFormat="false" ht="15" hidden="false" customHeight="false" outlineLevel="0" collapsed="false">
      <c r="B175" s="77" t="s">
        <v>46</v>
      </c>
      <c r="C175" s="25" t="s">
        <v>170</v>
      </c>
      <c r="E175" s="55" t="n">
        <f aca="false">'Global Inputs'!$L$94</f>
        <v>1</v>
      </c>
      <c r="F175" s="58" t="n">
        <f aca="false">'P02 CigConveyor Output'!F19*$E$175</f>
        <v>0</v>
      </c>
      <c r="G175" s="58" t="n">
        <f aca="false">'P02 CigConveyor Output'!G19*$E$175</f>
        <v>0</v>
      </c>
      <c r="H175" s="58" t="n">
        <f aca="false">'P02 CigConveyor Output'!H19*$E$175</f>
        <v>16.889227714458</v>
      </c>
      <c r="I175" s="58" t="n">
        <f aca="false">'P02 CigConveyor Output'!I19*$E$175</f>
        <v>17.5419392642535</v>
      </c>
      <c r="J175" s="58" t="n">
        <f aca="false">'P02 CigConveyor Output'!J19*$E$175</f>
        <v>18.2116245574316</v>
      </c>
      <c r="K175" s="58" t="n">
        <f aca="false">'P02 CigConveyor Output'!K19*$E$175</f>
        <v>18.8986340032641</v>
      </c>
      <c r="L175" s="58" t="n">
        <f aca="false">'P02 CigConveyor Output'!L19*$E$175</f>
        <v>19.6033188521969</v>
      </c>
      <c r="M175" s="58" t="n">
        <f aca="false">'P02 CigConveyor Output'!M19*$E$175</f>
        <v>20.3260306321142</v>
      </c>
      <c r="N175" s="58" t="n">
        <f aca="false">'P02 CigConveyor Output'!N19*$E$175</f>
        <v>21.0671205318234</v>
      </c>
      <c r="O175" s="58" t="n">
        <f aca="false">'P02 CigConveyor Output'!O19*$E$175</f>
        <v>21.8269387279918</v>
      </c>
      <c r="P175" s="58" t="n">
        <f aca="false">'P02 CigConveyor Output'!P19*$E$175</f>
        <v>23.7940593982368</v>
      </c>
      <c r="Q175" s="58" t="n">
        <f aca="false">'P02 CigConveyor Output'!Q19*$E$175</f>
        <v>24.5923769357989</v>
      </c>
      <c r="R175" s="58" t="n">
        <f aca="false">'P02 CigConveyor Output'!R19*$E$175</f>
        <v>25.4104595619845</v>
      </c>
      <c r="S175" s="58" t="n">
        <f aca="false">'P02 CigConveyor Output'!S19*$E$175</f>
        <v>26.2486453972083</v>
      </c>
    </row>
    <row r="176" customFormat="false" ht="15" hidden="false" customHeight="false" outlineLevel="0" collapsed="false">
      <c r="B176" s="77" t="s">
        <v>48</v>
      </c>
      <c r="C176" s="25" t="s">
        <v>170</v>
      </c>
      <c r="E176" s="55" t="n">
        <f aca="false">'Global Inputs'!$L$95</f>
        <v>1</v>
      </c>
      <c r="F176" s="58" t="n">
        <f aca="false">'P03 KBSWarehouse Output'!F19*$E$176</f>
        <v>0</v>
      </c>
      <c r="G176" s="58" t="n">
        <f aca="false">'P03 KBSWarehouse Output'!G19*$E$176</f>
        <v>0</v>
      </c>
      <c r="H176" s="58" t="n">
        <f aca="false">'P03 KBSWarehouse Output'!H19*$E$176</f>
        <v>0</v>
      </c>
      <c r="I176" s="58" t="n">
        <f aca="false">'P03 KBSWarehouse Output'!I19*$E$176</f>
        <v>0</v>
      </c>
      <c r="J176" s="58" t="n">
        <f aca="false">'P03 KBSWarehouse Output'!J19*$E$176</f>
        <v>12.72181168635</v>
      </c>
      <c r="K176" s="58" t="n">
        <f aca="false">'P03 KBSWarehouse Output'!K19*$E$176</f>
        <v>13.21811428587</v>
      </c>
      <c r="L176" s="58" t="n">
        <f aca="false">'P03 KBSWarehouse Output'!L19*$E$176</f>
        <v>13.7293059633756</v>
      </c>
      <c r="M176" s="58" t="n">
        <f aca="false">'P03 KBSWarehouse Output'!M19*$E$176</f>
        <v>14.2558333912064</v>
      </c>
      <c r="N176" s="58" t="n">
        <f aca="false">'P03 KBSWarehouse Output'!N19*$E$176</f>
        <v>14.7981566418721</v>
      </c>
      <c r="O176" s="58" t="n">
        <f aca="false">'P03 KBSWarehouse Output'!O19*$E$176</f>
        <v>15.3567495900577</v>
      </c>
      <c r="P176" s="58" t="n">
        <f aca="false">'P03 KBSWarehouse Output'!P19*$E$176</f>
        <v>15.932100326689</v>
      </c>
      <c r="Q176" s="58" t="n">
        <f aca="false">'P03 KBSWarehouse Output'!Q19*$E$176</f>
        <v>16.5247115854191</v>
      </c>
      <c r="R176" s="58" t="n">
        <f aca="false">'P03 KBSWarehouse Output'!R19*$E$176</f>
        <v>17.1351011819112</v>
      </c>
      <c r="S176" s="58" t="n">
        <f aca="false">'P03 KBSWarehouse Output'!S19*$E$176</f>
        <v>17.763802466298</v>
      </c>
    </row>
    <row r="177" customFormat="false" ht="15" hidden="false" customHeight="false" outlineLevel="0" collapsed="false">
      <c r="B177" s="77" t="s">
        <v>51</v>
      </c>
      <c r="C177" s="25" t="s">
        <v>170</v>
      </c>
      <c r="E177" s="55" t="n">
        <f aca="false">'Global Inputs'!$L$96</f>
        <v>1</v>
      </c>
      <c r="F177" s="58" t="n">
        <f aca="false">'P04 TTLSilo Output'!F19*$E$177</f>
        <v>0</v>
      </c>
      <c r="G177" s="58" t="n">
        <f aca="false">'P04 TTLSilo Output'!G19*$E$177</f>
        <v>0</v>
      </c>
      <c r="H177" s="58" t="n">
        <f aca="false">'P04 TTLSilo Output'!H19*$E$177</f>
        <v>0</v>
      </c>
      <c r="I177" s="58" t="n">
        <f aca="false">'P04 TTLSilo Output'!I19*$E$177</f>
        <v>0</v>
      </c>
      <c r="J177" s="58" t="n">
        <f aca="false">'P04 TTLSilo Output'!J19*$E$177</f>
        <v>7.025478758415</v>
      </c>
      <c r="K177" s="58" t="n">
        <f aca="false">'P04 TTLSilo Output'!K19*$E$177</f>
        <v>7.025478758415</v>
      </c>
      <c r="L177" s="58" t="n">
        <f aca="false">'P04 TTLSilo Output'!L19*$E$177</f>
        <v>7.025478758415</v>
      </c>
      <c r="M177" s="58" t="n">
        <f aca="false">'P04 TTLSilo Output'!M19*$E$177</f>
        <v>7.025478758415</v>
      </c>
      <c r="N177" s="58" t="n">
        <f aca="false">'P04 TTLSilo Output'!N19*$E$177</f>
        <v>7.025478758415</v>
      </c>
      <c r="O177" s="58" t="n">
        <f aca="false">'P04 TTLSilo Output'!O19*$E$177</f>
        <v>7.025478758415</v>
      </c>
      <c r="P177" s="58" t="n">
        <f aca="false">'P04 TTLSilo Output'!P19*$E$177</f>
        <v>7.025478758415</v>
      </c>
      <c r="Q177" s="58" t="n">
        <f aca="false">'P04 TTLSilo Output'!Q19*$E$177</f>
        <v>7.025478758415</v>
      </c>
      <c r="R177" s="58" t="n">
        <f aca="false">'P04 TTLSilo Output'!R19*$E$177</f>
        <v>7.025478758415</v>
      </c>
      <c r="S177" s="58" t="n">
        <f aca="false">'P04 TTLSilo Output'!S19*$E$177</f>
        <v>7.025478758415</v>
      </c>
    </row>
    <row r="178" customFormat="false" ht="15" hidden="false" customHeight="false" outlineLevel="0" collapsed="false">
      <c r="B178" s="77" t="s">
        <v>54</v>
      </c>
      <c r="C178" s="25" t="s">
        <v>170</v>
      </c>
      <c r="E178" s="55" t="n">
        <f aca="false">'Global Inputs'!$L$97</f>
        <v>1</v>
      </c>
      <c r="F178" s="58" t="n">
        <f aca="false">'P05 Dumai Output'!F19*$E$178</f>
        <v>0</v>
      </c>
      <c r="G178" s="58" t="n">
        <f aca="false">'P05 Dumai Output'!G19*$E$178</f>
        <v>0</v>
      </c>
      <c r="H178" s="58" t="n">
        <f aca="false">'P05 Dumai Output'!H19*$E$178</f>
        <v>0</v>
      </c>
      <c r="I178" s="58" t="n">
        <f aca="false">'P05 Dumai Output'!I19*$E$178</f>
        <v>13.5042609397214</v>
      </c>
      <c r="J178" s="58" t="n">
        <f aca="false">'P05 Dumai Output'!J19*$E$178</f>
        <v>12.7753010170246</v>
      </c>
      <c r="K178" s="58" t="n">
        <f aca="false">'P05 Dumai Output'!K19*$E$178</f>
        <v>12.3662176512603</v>
      </c>
      <c r="L178" s="58" t="n">
        <f aca="false">'P05 Dumai Output'!L19*$E$178</f>
        <v>14.1873189389998</v>
      </c>
      <c r="M178" s="58" t="n">
        <f aca="false">'P05 Dumai Output'!M19*$E$178</f>
        <v>13.4088021808333</v>
      </c>
      <c r="N178" s="58" t="n">
        <f aca="false">'P05 Dumai Output'!N19*$E$178</f>
        <v>13.1318555477013</v>
      </c>
      <c r="O178" s="58" t="n">
        <f aca="false">'P05 Dumai Output'!O19*$E$178</f>
        <v>12.6728839798596</v>
      </c>
      <c r="P178" s="58" t="n">
        <f aca="false">'P05 Dumai Output'!P19*$E$178</f>
        <v>14.5812975346984</v>
      </c>
      <c r="Q178" s="58" t="n">
        <f aca="false">'P05 Dumai Output'!Q19*$E$178</f>
        <v>18.2044213537619</v>
      </c>
      <c r="R178" s="58" t="n">
        <f aca="false">'P05 Dumai Output'!R19*$E$178</f>
        <v>17.5663013794683</v>
      </c>
      <c r="S178" s="58" t="n">
        <f aca="false">'P05 Dumai Output'!S19*$E$178</f>
        <v>17.3588542689316</v>
      </c>
    </row>
    <row r="179" customFormat="false" ht="15" hidden="false" customHeight="false" outlineLevel="0" collapsed="false">
      <c r="B179" s="77" t="s">
        <v>57</v>
      </c>
      <c r="C179" s="25" t="s">
        <v>170</v>
      </c>
      <c r="E179" s="55" t="n">
        <f aca="false">'Global Inputs'!$L$98</f>
        <v>1</v>
      </c>
      <c r="F179" s="58" t="n">
        <f aca="false">'P06 Ciwandan Output'!F19*$E$179</f>
        <v>0</v>
      </c>
      <c r="G179" s="58" t="n">
        <f aca="false">'P06 Ciwandan Output'!G19*$E$179</f>
        <v>0</v>
      </c>
      <c r="H179" s="58" t="n">
        <f aca="false">'P06 Ciwandan Output'!H19*$E$179</f>
        <v>0</v>
      </c>
      <c r="I179" s="58" t="n">
        <f aca="false">'P06 Ciwandan Output'!I19*$E$179</f>
        <v>0</v>
      </c>
      <c r="J179" s="58" t="n">
        <f aca="false">'P06 Ciwandan Output'!J19*$E$179</f>
        <v>0</v>
      </c>
      <c r="K179" s="58" t="n">
        <f aca="false">'P06 Ciwandan Output'!K19*$E$179</f>
        <v>20.244966909441</v>
      </c>
      <c r="L179" s="58" t="n">
        <f aca="false">'P06 Ciwandan Output'!L19*$E$179</f>
        <v>30.6697656967904</v>
      </c>
      <c r="M179" s="58" t="n">
        <f aca="false">'P06 Ciwandan Output'!M19*$E$179</f>
        <v>34.1091604865513</v>
      </c>
      <c r="N179" s="58" t="n">
        <f aca="false">'P06 Ciwandan Output'!N19*$E$179</f>
        <v>44.0255846461682</v>
      </c>
      <c r="O179" s="58" t="n">
        <f aca="false">'P06 Ciwandan Output'!O19*$E$179</f>
        <v>46.7271536558812</v>
      </c>
      <c r="P179" s="58" t="n">
        <f aca="false">'P06 Ciwandan Output'!P19*$E$179</f>
        <v>54.9866791423443</v>
      </c>
      <c r="Q179" s="58" t="n">
        <f aca="false">'P06 Ciwandan Output'!Q19*$E$179</f>
        <v>58.3349051823151</v>
      </c>
      <c r="R179" s="58" t="n">
        <f aca="false">'P06 Ciwandan Output'!R19*$E$179</f>
        <v>65.9033075570172</v>
      </c>
      <c r="S179" s="58" t="n">
        <f aca="false">'P06 Ciwandan Output'!S19*$E$179</f>
        <v>73.8141106637633</v>
      </c>
    </row>
    <row r="180" customFormat="false" ht="15" hidden="false" customHeight="false" outlineLevel="0" collapsed="false">
      <c r="B180" s="77" t="s">
        <v>60</v>
      </c>
      <c r="C180" s="25" t="s">
        <v>170</v>
      </c>
      <c r="E180" s="55" t="n">
        <f aca="false">'Global Inputs'!$L$99</f>
        <v>1</v>
      </c>
      <c r="F180" s="58" t="n">
        <f aca="false">'P08 DMSTrucking Output'!F19*$E$180</f>
        <v>0</v>
      </c>
      <c r="G180" s="58" t="n">
        <f aca="false">'P08 DMSTrucking Output'!G19*$E$180</f>
        <v>0</v>
      </c>
      <c r="H180" s="58" t="n">
        <f aca="false">'P08 DMSTrucking Output'!H19*$E$180</f>
        <v>0</v>
      </c>
      <c r="I180" s="58" t="n">
        <f aca="false">'P08 DMSTrucking Output'!I19*$E$180</f>
        <v>0</v>
      </c>
      <c r="J180" s="58" t="n">
        <f aca="false">'P08 DMSTrucking Output'!J19*$E$180</f>
        <v>1.41301652537011</v>
      </c>
      <c r="K180" s="58" t="n">
        <f aca="false">'P08 DMSTrucking Output'!K19*$E$180</f>
        <v>1.67908044513122</v>
      </c>
      <c r="L180" s="58" t="n">
        <f aca="false">'P08 DMSTrucking Output'!L19*$E$180</f>
        <v>1.76226160848515</v>
      </c>
      <c r="M180" s="58" t="n">
        <f aca="false">'P08 DMSTrucking Output'!M19*$E$180</f>
        <v>1.84996495873971</v>
      </c>
      <c r="N180" s="58" t="n">
        <f aca="false">'P08 DMSTrucking Output'!N19*$E$180</f>
        <v>1.9425288367019</v>
      </c>
      <c r="O180" s="58" t="n">
        <f aca="false">'P08 DMSTrucking Output'!O19*$E$180</f>
        <v>2.02490710428296</v>
      </c>
      <c r="P180" s="58" t="n">
        <f aca="false">'P08 DMSTrucking Output'!P19*$E$180</f>
        <v>2.11045039024024</v>
      </c>
      <c r="Q180" s="58" t="n">
        <f aca="false">'P08 DMSTrucking Output'!Q19*$E$180</f>
        <v>2.19929526534598</v>
      </c>
      <c r="R180" s="58" t="n">
        <f aca="false">'P08 DMSTrucking Output'!R19*$E$180</f>
        <v>2.2915848947088</v>
      </c>
      <c r="S180" s="58" t="n">
        <f aca="false">'P08 DMSTrucking Output'!S19*$E$180</f>
        <v>2.38746938543665</v>
      </c>
    </row>
    <row r="181" customFormat="false" ht="15" hidden="false" customHeight="false" outlineLevel="0" collapsed="false">
      <c r="B181" s="77" t="s">
        <v>63</v>
      </c>
      <c r="C181" s="25" t="s">
        <v>170</v>
      </c>
      <c r="E181" s="55" t="n">
        <f aca="false">'Global Inputs'!$L$100</f>
        <v>1</v>
      </c>
      <c r="F181" s="58" t="n">
        <f aca="false">'P12 BUMNOps Output'!F19*$E$181</f>
        <v>0</v>
      </c>
      <c r="G181" s="58" t="n">
        <f aca="false">'P12 BUMNOps Output'!G19*$E$181</f>
        <v>0</v>
      </c>
      <c r="H181" s="58" t="n">
        <f aca="false">'P12 BUMNOps Output'!H19*$E$181</f>
        <v>0</v>
      </c>
      <c r="I181" s="58" t="n">
        <f aca="false">'P12 BUMNOps Output'!I19*$E$181</f>
        <v>45.4881398629109</v>
      </c>
      <c r="J181" s="58" t="n">
        <f aca="false">'P12 BUMNOps Output'!J19*$E$181</f>
        <v>47.9320519114918</v>
      </c>
      <c r="K181" s="58" t="n">
        <f aca="false">'P12 BUMNOps Output'!K19*$E$181</f>
        <v>49.6074523964292</v>
      </c>
      <c r="L181" s="58" t="n">
        <f aca="false">'P12 BUMNOps Output'!L19*$E$181</f>
        <v>51.3250203870194</v>
      </c>
      <c r="M181" s="58" t="n">
        <f aca="false">'P12 BUMNOps Output'!M19*$E$181</f>
        <v>53.0860209084322</v>
      </c>
      <c r="N181" s="58" t="n">
        <f aca="false">'P12 BUMNOps Output'!N19*$E$181</f>
        <v>54.8917569365922</v>
      </c>
      <c r="O181" s="58" t="n">
        <f aca="false">'P12 BUMNOps Output'!O19*$E$181</f>
        <v>56.7435705367017</v>
      </c>
      <c r="P181" s="58" t="n">
        <f aca="false">'P12 BUMNOps Output'!P19*$E$181</f>
        <v>58.6428440359194</v>
      </c>
      <c r="Q181" s="58" t="n">
        <f aca="false">'P12 BUMNOps Output'!Q19*$E$181</f>
        <v>60.5910012312183</v>
      </c>
      <c r="R181" s="58" t="n">
        <f aca="false">'P12 BUMNOps Output'!R19*$E$181</f>
        <v>59.3517050754002</v>
      </c>
      <c r="S181" s="58" t="n">
        <f aca="false">'P12 BUMNOps Output'!S19*$E$181</f>
        <v>61.1322562276622</v>
      </c>
    </row>
    <row r="182" customFormat="false" ht="15" hidden="false" customHeight="false" outlineLevel="0" collapsed="false">
      <c r="B182" s="77" t="s">
        <v>66</v>
      </c>
      <c r="C182" s="25" t="s">
        <v>170</v>
      </c>
      <c r="E182" s="55" t="n">
        <f aca="false">'Global Inputs'!$L$101</f>
        <v>0</v>
      </c>
      <c r="F182" s="58" t="n">
        <f aca="false">'P15 TBM Output'!F19*$E$182</f>
        <v>0</v>
      </c>
      <c r="G182" s="58" t="n">
        <f aca="false">'P15 TBM Output'!G19*$E$182</f>
        <v>0</v>
      </c>
      <c r="H182" s="58" t="n">
        <f aca="false">'P15 TBM Output'!H19*$E$182</f>
        <v>0</v>
      </c>
      <c r="I182" s="58" t="n">
        <f aca="false">'P15 TBM Output'!I19*$E$182</f>
        <v>0</v>
      </c>
      <c r="J182" s="58" t="n">
        <f aca="false">'P15 TBM Output'!J19*$E$182</f>
        <v>-0</v>
      </c>
      <c r="K182" s="58" t="n">
        <f aca="false">'P15 TBM Output'!K19*$E$182</f>
        <v>-0</v>
      </c>
      <c r="L182" s="58" t="n">
        <f aca="false">'P15 TBM Output'!L19*$E$182</f>
        <v>0</v>
      </c>
      <c r="M182" s="58" t="n">
        <f aca="false">'P15 TBM Output'!M19*$E$182</f>
        <v>0</v>
      </c>
      <c r="N182" s="58" t="n">
        <f aca="false">'P15 TBM Output'!N19*$E$182</f>
        <v>0</v>
      </c>
      <c r="O182" s="58" t="n">
        <f aca="false">'P15 TBM Output'!O19*$E$182</f>
        <v>0</v>
      </c>
      <c r="P182" s="58" t="n">
        <f aca="false">'P15 TBM Output'!P19*$E$182</f>
        <v>0</v>
      </c>
      <c r="Q182" s="58" t="n">
        <f aca="false">'P15 TBM Output'!Q19*$E$182</f>
        <v>0</v>
      </c>
      <c r="R182" s="58" t="n">
        <f aca="false">'P15 TBM Output'!R19*$E$182</f>
        <v>0</v>
      </c>
      <c r="S182" s="58" t="n">
        <f aca="false">'P15 TBM Output'!S19*$E$182</f>
        <v>0</v>
      </c>
    </row>
    <row r="183" customFormat="false" ht="15" hidden="false" customHeight="false" outlineLevel="0" collapsed="false">
      <c r="B183" s="77" t="s">
        <v>69</v>
      </c>
      <c r="C183" s="25" t="s">
        <v>170</v>
      </c>
      <c r="E183" s="55" t="n">
        <f aca="false">'Global Inputs'!$L$102</f>
        <v>0</v>
      </c>
      <c r="F183" s="58" t="n">
        <f aca="false">'P19 Badas Output'!F19*$E$183</f>
        <v>0</v>
      </c>
      <c r="G183" s="58" t="n">
        <f aca="false">'P19 Badas Output'!G19*$E$183</f>
        <v>0</v>
      </c>
      <c r="H183" s="58" t="n">
        <f aca="false">'P19 Badas Output'!H19*$E$183</f>
        <v>0</v>
      </c>
      <c r="I183" s="58" t="n">
        <f aca="false">'P19 Badas Output'!I19*$E$183</f>
        <v>0</v>
      </c>
      <c r="J183" s="58" t="n">
        <f aca="false">'P19 Badas Output'!J19*$E$183</f>
        <v>0</v>
      </c>
      <c r="K183" s="58" t="n">
        <f aca="false">'P19 Badas Output'!K19*$E$183</f>
        <v>-0</v>
      </c>
      <c r="L183" s="58" t="n">
        <f aca="false">'P19 Badas Output'!L19*$E$183</f>
        <v>0</v>
      </c>
      <c r="M183" s="58" t="n">
        <f aca="false">'P19 Badas Output'!M19*$E$183</f>
        <v>0</v>
      </c>
      <c r="N183" s="58" t="n">
        <f aca="false">'P19 Badas Output'!N19*$E$183</f>
        <v>0</v>
      </c>
      <c r="O183" s="58" t="n">
        <f aca="false">'P19 Badas Output'!O19*$E$183</f>
        <v>0</v>
      </c>
      <c r="P183" s="58" t="n">
        <f aca="false">'P19 Badas Output'!P19*$E$183</f>
        <v>0</v>
      </c>
      <c r="Q183" s="58" t="n">
        <f aca="false">'P19 Badas Output'!Q19*$E$183</f>
        <v>0</v>
      </c>
      <c r="R183" s="58" t="n">
        <f aca="false">'P19 Badas Output'!R19*$E$183</f>
        <v>0</v>
      </c>
      <c r="S183" s="58" t="n">
        <f aca="false">'P19 Badas Output'!S19*$E$183</f>
        <v>0</v>
      </c>
    </row>
    <row r="184" customFormat="false" ht="15" hidden="false" customHeight="false" outlineLevel="0" collapsed="false">
      <c r="B184" s="69" t="s">
        <v>457</v>
      </c>
      <c r="C184" s="25" t="s">
        <v>170</v>
      </c>
      <c r="E184" s="70" t="n">
        <f aca="false">SUM(F184:S184)</f>
        <v>4061.644766756</v>
      </c>
      <c r="F184" s="68" t="n">
        <f aca="false">F170+F171+F172+F173+F174+F175+F176+F177+F178+F179+F180+F181+F182+F183</f>
        <v>0</v>
      </c>
      <c r="G184" s="68" t="n">
        <f aca="false">G170+G171+G172+G173+G174+G175+G176+G177+G178+G179+G180+G181+G182+G183</f>
        <v>45.8999488453122</v>
      </c>
      <c r="H184" s="68" t="n">
        <f aca="false">H170+H171+H172+H173+H174+H175+H176+H177+H178+H179+H180+H181+H182+H183</f>
        <v>113.014040041811</v>
      </c>
      <c r="I184" s="68" t="n">
        <f aca="false">I170+I171+I172+I173+I174+I175+I176+I177+I178+I179+I180+I181+I182+I183</f>
        <v>182.739061147004</v>
      </c>
      <c r="J184" s="68" t="n">
        <f aca="false">J170+J171+J172+J173+J174+J175+J176+J177+J178+J179+J180+J181+J182+J183</f>
        <v>238.776080001658</v>
      </c>
      <c r="K184" s="68" t="n">
        <f aca="false">K170+K171+K172+K173+K174+K175+K176+K177+K178+K179+K180+K181+K182+K183</f>
        <v>271.457985230921</v>
      </c>
      <c r="L184" s="68" t="n">
        <f aca="false">L170+L171+L172+L173+L174+L175+L176+L177+L178+L179+L180+L181+L182+L183</f>
        <v>313.989246828563</v>
      </c>
      <c r="M184" s="68" t="n">
        <f aca="false">M170+M171+M172+M173+M174+M175+M176+M177+M178+M179+M180+M181+M182+M183</f>
        <v>330.88632756745</v>
      </c>
      <c r="N184" s="68" t="n">
        <f aca="false">N170+N171+N172+N173+N174+N175+N176+N177+N178+N179+N180+N181+N182+N183</f>
        <v>364.453217320058</v>
      </c>
      <c r="O184" s="68" t="n">
        <f aca="false">O170+O171+O172+O173+O174+O175+O176+O177+O178+O179+O180+O181+O182+O183</f>
        <v>385.269305901989</v>
      </c>
      <c r="P184" s="68" t="n">
        <f aca="false">P170+P171+P172+P173+P174+P175+P176+P177+P178+P179+P180+P181+P182+P183</f>
        <v>432.889410412191</v>
      </c>
      <c r="Q184" s="68" t="n">
        <f aca="false">Q170+Q171+Q172+Q173+Q174+Q175+Q176+Q177+Q178+Q179+Q180+Q181+Q182+Q183</f>
        <v>454.971084274292</v>
      </c>
      <c r="R184" s="68" t="n">
        <f aca="false">R170+R171+R172+R173+R174+R175+R176+R177+R178+R179+R180+R181+R182+R183</f>
        <v>452.719610236891</v>
      </c>
      <c r="S184" s="68" t="n">
        <f aca="false">S170+S171+S172+S173+S174+S175+S176+S177+S178+S179+S180+S181+S182+S183</f>
        <v>474.579448947859</v>
      </c>
    </row>
    <row r="185" customFormat="false" ht="15" hidden="false" customHeight="false" outlineLevel="0" collapsed="false">
      <c r="B185" s="78" t="s">
        <v>458</v>
      </c>
      <c r="C185" s="79"/>
      <c r="D185" s="79"/>
      <c r="E185" s="79"/>
      <c r="F185" s="79"/>
      <c r="G185" s="79"/>
      <c r="H185" s="79"/>
      <c r="I185" s="79"/>
      <c r="J185" s="79"/>
      <c r="K185" s="79"/>
      <c r="L185" s="79"/>
      <c r="M185" s="79"/>
      <c r="N185" s="79"/>
      <c r="O185" s="79"/>
      <c r="P185" s="79"/>
      <c r="Q185" s="79"/>
      <c r="R185" s="79"/>
      <c r="S185" s="79"/>
    </row>
    <row r="186" customFormat="false" ht="15" hidden="false" customHeight="false" outlineLevel="0" collapsed="false">
      <c r="B186" s="77" t="s">
        <v>31</v>
      </c>
      <c r="C186" s="25" t="s">
        <v>170</v>
      </c>
      <c r="E186" s="55" t="n">
        <f aca="false">'Global Inputs'!$L$89</f>
        <v>1</v>
      </c>
      <c r="F186" s="58" t="n">
        <f aca="false">'E1 TelukLamong Output'!F19*(1-'E1 TelukLamong Output'!$E$61)*$E$186</f>
        <v>0</v>
      </c>
      <c r="G186" s="58" t="n">
        <f aca="false">'E1 TelukLamong Output'!G19*(1-'E1 TelukLamong Output'!$E$61)*$E$186</f>
        <v>19.320159155041</v>
      </c>
      <c r="H186" s="58" t="n">
        <f aca="false">'E1 TelukLamong Output'!H19*(1-'E1 TelukLamong Output'!$E$61)*$E$186</f>
        <v>20.1125562482986</v>
      </c>
      <c r="I186" s="58" t="n">
        <f aca="false">'E1 TelukLamong Output'!I19*(1-'E1 TelukLamong Output'!$E$61)*$E$186</f>
        <v>20.6420142676228</v>
      </c>
      <c r="J186" s="58" t="n">
        <f aca="false">'E1 TelukLamong Output'!J19*(1-'E1 TelukLamong Output'!$E$61)*$E$186</f>
        <v>21.4661686345109</v>
      </c>
      <c r="K186" s="58" t="n">
        <f aca="false">'E1 TelukLamong Output'!K19*(1-'E1 TelukLamong Output'!$E$61)*$E$186</f>
        <v>22.3061797337796</v>
      </c>
      <c r="L186" s="58" t="n">
        <f aca="false">'E1 TelukLamong Output'!L19*(1-'E1 TelukLamong Output'!$E$61)*$E$186</f>
        <v>24.368473053569</v>
      </c>
      <c r="M186" s="58" t="n">
        <f aca="false">'E1 TelukLamong Output'!M19*(1-'E1 TelukLamong Output'!$E$61)*$E$186</f>
        <v>25.2845572350386</v>
      </c>
      <c r="N186" s="58" t="n">
        <f aca="false">'E1 TelukLamong Output'!N19*(1-'E1 TelukLamong Output'!$E$61)*$E$186</f>
        <v>26.2175649795056</v>
      </c>
      <c r="O186" s="58" t="n">
        <f aca="false">'E1 TelukLamong Output'!O19*(1-'E1 TelukLamong Output'!$E$61)*$E$186</f>
        <v>28.5602689399555</v>
      </c>
      <c r="P186" s="58" t="n">
        <f aca="false">'E1 TelukLamong Output'!P19*(1-'E1 TelukLamong Output'!$E$61)*$E$186</f>
        <v>29.5768557966095</v>
      </c>
      <c r="Q186" s="58" t="n">
        <f aca="false">'E1 TelukLamong Output'!Q19*(1-'E1 TelukLamong Output'!$E$61)*$E$186</f>
        <v>30.6113632230258</v>
      </c>
      <c r="R186" s="58" t="n">
        <f aca="false">'E1 TelukLamong Output'!R19*(1-'E1 TelukLamong Output'!$E$61)*$E$186</f>
        <v>31.663572778423</v>
      </c>
      <c r="S186" s="58" t="n">
        <f aca="false">'E1 TelukLamong Output'!S19*(1-'E1 TelukLamong Output'!$E$61)*$E$186</f>
        <v>32.733213485465</v>
      </c>
    </row>
    <row r="187" customFormat="false" ht="15" hidden="false" customHeight="false" outlineLevel="0" collapsed="false">
      <c r="B187" s="77" t="s">
        <v>34</v>
      </c>
      <c r="C187" s="25" t="s">
        <v>170</v>
      </c>
      <c r="E187" s="55" t="n">
        <f aca="false">'Global Inputs'!$L$90</f>
        <v>1</v>
      </c>
      <c r="F187" s="58" t="n">
        <f aca="false">'E2 CigadingExist Output'!F19*(1-'E2 CigadingExist Output'!$E$61)*$E$187</f>
        <v>0</v>
      </c>
      <c r="G187" s="58" t="n">
        <f aca="false">'E2 CigadingExist Output'!G19*(1-'E2 CigadingExist Output'!$E$61)*$E$187</f>
        <v>-0</v>
      </c>
      <c r="H187" s="58" t="n">
        <f aca="false">'E2 CigadingExist Output'!H19*(1-'E2 CigadingExist Output'!$E$61)*$E$187</f>
        <v>-0</v>
      </c>
      <c r="I187" s="58" t="n">
        <f aca="false">'E2 CigadingExist Output'!I19*(1-'E2 CigadingExist Output'!$E$61)*$E$187</f>
        <v>-0</v>
      </c>
      <c r="J187" s="58" t="n">
        <f aca="false">'E2 CigadingExist Output'!J19*(1-'E2 CigadingExist Output'!$E$61)*$E$187</f>
        <v>-0</v>
      </c>
      <c r="K187" s="58" t="n">
        <f aca="false">'E2 CigadingExist Output'!K19*(1-'E2 CigadingExist Output'!$E$61)*$E$187</f>
        <v>-0</v>
      </c>
      <c r="L187" s="58" t="n">
        <f aca="false">'E2 CigadingExist Output'!L19*(1-'E2 CigadingExist Output'!$E$61)*$E$187</f>
        <v>-0</v>
      </c>
      <c r="M187" s="58" t="n">
        <f aca="false">'E2 CigadingExist Output'!M19*(1-'E2 CigadingExist Output'!$E$61)*$E$187</f>
        <v>-0</v>
      </c>
      <c r="N187" s="58" t="n">
        <f aca="false">'E2 CigadingExist Output'!N19*(1-'E2 CigadingExist Output'!$E$61)*$E$187</f>
        <v>0</v>
      </c>
      <c r="O187" s="58" t="n">
        <f aca="false">'E2 CigadingExist Output'!O19*(1-'E2 CigadingExist Output'!$E$61)*$E$187</f>
        <v>0</v>
      </c>
      <c r="P187" s="58" t="n">
        <f aca="false">'E2 CigadingExist Output'!P19*(1-'E2 CigadingExist Output'!$E$61)*$E$187</f>
        <v>0</v>
      </c>
      <c r="Q187" s="58" t="n">
        <f aca="false">'E2 CigadingExist Output'!Q19*(1-'E2 CigadingExist Output'!$E$61)*$E$187</f>
        <v>0</v>
      </c>
      <c r="R187" s="58" t="n">
        <f aca="false">'E2 CigadingExist Output'!R19*(1-'E2 CigadingExist Output'!$E$61)*$E$187</f>
        <v>0</v>
      </c>
      <c r="S187" s="58" t="n">
        <f aca="false">'E2 CigadingExist Output'!S19*(1-'E2 CigadingExist Output'!$E$61)*$E$187</f>
        <v>0</v>
      </c>
    </row>
    <row r="188" customFormat="false" ht="15" hidden="false" customHeight="false" outlineLevel="0" collapsed="false">
      <c r="B188" s="77" t="s">
        <v>37</v>
      </c>
      <c r="C188" s="25" t="s">
        <v>170</v>
      </c>
      <c r="E188" s="55" t="n">
        <f aca="false">'Global Inputs'!$L$91</f>
        <v>1</v>
      </c>
      <c r="F188" s="58" t="n">
        <f aca="false">'E3 Belawan Output'!F19*(1-'E3 Belawan Output'!$E$61)*$E$188</f>
        <v>0</v>
      </c>
      <c r="G188" s="58" t="n">
        <f aca="false">'E3 Belawan Output'!G19*(1-'E3 Belawan Output'!$E$61)*$E$188</f>
        <v>0</v>
      </c>
      <c r="H188" s="58" t="n">
        <f aca="false">'E3 Belawan Output'!H19*(1-'E3 Belawan Output'!$E$61)*$E$188</f>
        <v>0</v>
      </c>
      <c r="I188" s="58" t="n">
        <f aca="false">'E3 Belawan Output'!I19*(1-'E3 Belawan Output'!$E$61)*$E$188</f>
        <v>0</v>
      </c>
      <c r="J188" s="58" t="n">
        <f aca="false">'E3 Belawan Output'!J19*(1-'E3 Belawan Output'!$E$61)*$E$188</f>
        <v>0</v>
      </c>
      <c r="K188" s="58" t="n">
        <f aca="false">'E3 Belawan Output'!K19*(1-'E3 Belawan Output'!$E$61)*$E$188</f>
        <v>0</v>
      </c>
      <c r="L188" s="58" t="n">
        <f aca="false">'E3 Belawan Output'!L19*(1-'E3 Belawan Output'!$E$61)*$E$188</f>
        <v>0</v>
      </c>
      <c r="M188" s="58" t="n">
        <f aca="false">'E3 Belawan Output'!M19*(1-'E3 Belawan Output'!$E$61)*$E$188</f>
        <v>0</v>
      </c>
      <c r="N188" s="58" t="n">
        <f aca="false">'E3 Belawan Output'!N19*(1-'E3 Belawan Output'!$E$61)*$E$188</f>
        <v>0</v>
      </c>
      <c r="O188" s="58" t="n">
        <f aca="false">'E3 Belawan Output'!O19*(1-'E3 Belawan Output'!$E$61)*$E$188</f>
        <v>0</v>
      </c>
      <c r="P188" s="58" t="n">
        <f aca="false">'E3 Belawan Output'!P19*(1-'E3 Belawan Output'!$E$61)*$E$188</f>
        <v>0</v>
      </c>
      <c r="Q188" s="58" t="n">
        <f aca="false">'E3 Belawan Output'!Q19*(1-'E3 Belawan Output'!$E$61)*$E$188</f>
        <v>0</v>
      </c>
      <c r="R188" s="58" t="n">
        <f aca="false">'E3 Belawan Output'!R19*(1-'E3 Belawan Output'!$E$61)*$E$188</f>
        <v>0</v>
      </c>
      <c r="S188" s="58" t="n">
        <f aca="false">'E3 Belawan Output'!S19*(1-'E3 Belawan Output'!$E$61)*$E$188</f>
        <v>0</v>
      </c>
    </row>
    <row r="189" customFormat="false" ht="15" hidden="false" customHeight="false" outlineLevel="0" collapsed="false">
      <c r="B189" s="77" t="s">
        <v>40</v>
      </c>
      <c r="C189" s="25" t="s">
        <v>170</v>
      </c>
      <c r="E189" s="55" t="n">
        <f aca="false">'Global Inputs'!$L$92</f>
        <v>1</v>
      </c>
      <c r="F189" s="58" t="n">
        <f aca="false">'E4 WIN Output'!F19*(1-'E4 WIN Output'!$E$61)*$E$189</f>
        <v>0</v>
      </c>
      <c r="G189" s="58" t="n">
        <f aca="false">'E4 WIN Output'!G19*(1-'E4 WIN Output'!$E$61)*$E$189</f>
        <v>0</v>
      </c>
      <c r="H189" s="58" t="n">
        <f aca="false">'E4 WIN Output'!H19*(1-'E4 WIN Output'!$E$61)*$E$189</f>
        <v>0</v>
      </c>
      <c r="I189" s="58" t="n">
        <f aca="false">'E4 WIN Output'!I19*(1-'E4 WIN Output'!$E$61)*$E$189</f>
        <v>0</v>
      </c>
      <c r="J189" s="58" t="n">
        <f aca="false">'E4 WIN Output'!J19*(1-'E4 WIN Output'!$E$61)*$E$189</f>
        <v>0</v>
      </c>
      <c r="K189" s="58" t="n">
        <f aca="false">'E4 WIN Output'!K19*(1-'E4 WIN Output'!$E$61)*$E$189</f>
        <v>0</v>
      </c>
      <c r="L189" s="58" t="n">
        <f aca="false">'E4 WIN Output'!L19*(1-'E4 WIN Output'!$E$61)*$E$189</f>
        <v>0</v>
      </c>
      <c r="M189" s="58" t="n">
        <f aca="false">'E4 WIN Output'!M19*(1-'E4 WIN Output'!$E$61)*$E$189</f>
        <v>0</v>
      </c>
      <c r="N189" s="58" t="n">
        <f aca="false">'E4 WIN Output'!N19*(1-'E4 WIN Output'!$E$61)*$E$189</f>
        <v>0</v>
      </c>
      <c r="O189" s="58" t="n">
        <f aca="false">'E4 WIN Output'!O19*(1-'E4 WIN Output'!$E$61)*$E$189</f>
        <v>0</v>
      </c>
      <c r="P189" s="58" t="n">
        <f aca="false">'E4 WIN Output'!P19*(1-'E4 WIN Output'!$E$61)*$E$189</f>
        <v>0</v>
      </c>
      <c r="Q189" s="58" t="n">
        <f aca="false">'E4 WIN Output'!Q19*(1-'E4 WIN Output'!$E$61)*$E$189</f>
        <v>0</v>
      </c>
      <c r="R189" s="58" t="n">
        <f aca="false">'E4 WIN Output'!R19*(1-'E4 WIN Output'!$E$61)*$E$189</f>
        <v>0</v>
      </c>
      <c r="S189" s="58" t="n">
        <f aca="false">'E4 WIN Output'!S19*(1-'E4 WIN Output'!$E$61)*$E$189</f>
        <v>0</v>
      </c>
    </row>
    <row r="190" customFormat="false" ht="15" hidden="false" customHeight="false" outlineLevel="0" collapsed="false">
      <c r="B190" s="77" t="s">
        <v>43</v>
      </c>
      <c r="C190" s="25" t="s">
        <v>170</v>
      </c>
      <c r="E190" s="55" t="n">
        <f aca="false">'Global Inputs'!$L$93</f>
        <v>1</v>
      </c>
      <c r="F190" s="58" t="n">
        <f aca="false">'P01 CigWharf2 Output'!F19*(1-'P01 CigWharf2 Output'!$E$60)*$E$190</f>
        <v>0</v>
      </c>
      <c r="G190" s="58" t="n">
        <f aca="false">'P01 CigWharf2 Output'!G19*(1-'P01 CigWharf2 Output'!$E$60)*$E$190</f>
        <v>0</v>
      </c>
      <c r="H190" s="58" t="n">
        <f aca="false">'P01 CigWharf2 Output'!H19*(1-'P01 CigWharf2 Output'!$E$60)*$E$190</f>
        <v>0</v>
      </c>
      <c r="I190" s="58" t="n">
        <f aca="false">'P01 CigWharf2 Output'!I19*(1-'P01 CigWharf2 Output'!$E$60)*$E$190</f>
        <v>0</v>
      </c>
      <c r="J190" s="58" t="n">
        <f aca="false">'P01 CigWharf2 Output'!J19*(1-'P01 CigWharf2 Output'!$E$60)*$E$190</f>
        <v>0</v>
      </c>
      <c r="K190" s="58" t="n">
        <f aca="false">'P01 CigWharf2 Output'!K19*(1-'P01 CigWharf2 Output'!$E$60)*$E$190</f>
        <v>0</v>
      </c>
      <c r="L190" s="58" t="n">
        <f aca="false">'P01 CigWharf2 Output'!L19*(1-'P01 CigWharf2 Output'!$E$60)*$E$190</f>
        <v>0</v>
      </c>
      <c r="M190" s="58" t="n">
        <f aca="false">'P01 CigWharf2 Output'!M19*(1-'P01 CigWharf2 Output'!$E$60)*$E$190</f>
        <v>0</v>
      </c>
      <c r="N190" s="58" t="n">
        <f aca="false">'P01 CigWharf2 Output'!N19*(1-'P01 CigWharf2 Output'!$E$60)*$E$190</f>
        <v>0</v>
      </c>
      <c r="O190" s="58" t="n">
        <f aca="false">'P01 CigWharf2 Output'!O19*(1-'P01 CigWharf2 Output'!$E$60)*$E$190</f>
        <v>0</v>
      </c>
      <c r="P190" s="58" t="n">
        <f aca="false">'P01 CigWharf2 Output'!P19*(1-'P01 CigWharf2 Output'!$E$60)*$E$190</f>
        <v>0</v>
      </c>
      <c r="Q190" s="58" t="n">
        <f aca="false">'P01 CigWharf2 Output'!Q19*(1-'P01 CigWharf2 Output'!$E$60)*$E$190</f>
        <v>0</v>
      </c>
      <c r="R190" s="58" t="n">
        <f aca="false">'P01 CigWharf2 Output'!R19*(1-'P01 CigWharf2 Output'!$E$60)*$E$190</f>
        <v>0</v>
      </c>
      <c r="S190" s="58" t="n">
        <f aca="false">'P01 CigWharf2 Output'!S19*(1-'P01 CigWharf2 Output'!$E$60)*$E$190</f>
        <v>0</v>
      </c>
    </row>
    <row r="191" customFormat="false" ht="15" hidden="false" customHeight="false" outlineLevel="0" collapsed="false">
      <c r="B191" s="77" t="s">
        <v>46</v>
      </c>
      <c r="C191" s="25" t="s">
        <v>170</v>
      </c>
      <c r="E191" s="55" t="n">
        <f aca="false">'Global Inputs'!$L$94</f>
        <v>1</v>
      </c>
      <c r="F191" s="58" t="n">
        <f aca="false">'P02 CigConveyor Output'!F19*(1-'P02 CigConveyor Output'!$E$60)*$E$191</f>
        <v>0</v>
      </c>
      <c r="G191" s="58" t="n">
        <f aca="false">'P02 CigConveyor Output'!G19*(1-'P02 CigConveyor Output'!$E$60)*$E$191</f>
        <v>0</v>
      </c>
      <c r="H191" s="58" t="n">
        <f aca="false">'P02 CigConveyor Output'!H19*(1-'P02 CigConveyor Output'!$E$60)*$E$191</f>
        <v>0</v>
      </c>
      <c r="I191" s="58" t="n">
        <f aca="false">'P02 CigConveyor Output'!I19*(1-'P02 CigConveyor Output'!$E$60)*$E$191</f>
        <v>0</v>
      </c>
      <c r="J191" s="58" t="n">
        <f aca="false">'P02 CigConveyor Output'!J19*(1-'P02 CigConveyor Output'!$E$60)*$E$191</f>
        <v>0</v>
      </c>
      <c r="K191" s="58" t="n">
        <f aca="false">'P02 CigConveyor Output'!K19*(1-'P02 CigConveyor Output'!$E$60)*$E$191</f>
        <v>0</v>
      </c>
      <c r="L191" s="58" t="n">
        <f aca="false">'P02 CigConveyor Output'!L19*(1-'P02 CigConveyor Output'!$E$60)*$E$191</f>
        <v>0</v>
      </c>
      <c r="M191" s="58" t="n">
        <f aca="false">'P02 CigConveyor Output'!M19*(1-'P02 CigConveyor Output'!$E$60)*$E$191</f>
        <v>0</v>
      </c>
      <c r="N191" s="58" t="n">
        <f aca="false">'P02 CigConveyor Output'!N19*(1-'P02 CigConveyor Output'!$E$60)*$E$191</f>
        <v>0</v>
      </c>
      <c r="O191" s="58" t="n">
        <f aca="false">'P02 CigConveyor Output'!O19*(1-'P02 CigConveyor Output'!$E$60)*$E$191</f>
        <v>0</v>
      </c>
      <c r="P191" s="58" t="n">
        <f aca="false">'P02 CigConveyor Output'!P19*(1-'P02 CigConveyor Output'!$E$60)*$E$191</f>
        <v>0</v>
      </c>
      <c r="Q191" s="58" t="n">
        <f aca="false">'P02 CigConveyor Output'!Q19*(1-'P02 CigConveyor Output'!$E$60)*$E$191</f>
        <v>0</v>
      </c>
      <c r="R191" s="58" t="n">
        <f aca="false">'P02 CigConveyor Output'!R19*(1-'P02 CigConveyor Output'!$E$60)*$E$191</f>
        <v>0</v>
      </c>
      <c r="S191" s="58" t="n">
        <f aca="false">'P02 CigConveyor Output'!S19*(1-'P02 CigConveyor Output'!$E$60)*$E$191</f>
        <v>0</v>
      </c>
    </row>
    <row r="192" customFormat="false" ht="15" hidden="false" customHeight="false" outlineLevel="0" collapsed="false">
      <c r="B192" s="77" t="s">
        <v>48</v>
      </c>
      <c r="C192" s="25" t="s">
        <v>170</v>
      </c>
      <c r="E192" s="55" t="n">
        <f aca="false">'Global Inputs'!$L$95</f>
        <v>1</v>
      </c>
      <c r="F192" s="58" t="n">
        <f aca="false">'P03 KBSWarehouse Output'!F19*(1-'P03 KBSWarehouse Output'!$E$60)*$E$192</f>
        <v>0</v>
      </c>
      <c r="G192" s="58" t="n">
        <f aca="false">'P03 KBSWarehouse Output'!G19*(1-'P03 KBSWarehouse Output'!$E$60)*$E$192</f>
        <v>0</v>
      </c>
      <c r="H192" s="58" t="n">
        <f aca="false">'P03 KBSWarehouse Output'!H19*(1-'P03 KBSWarehouse Output'!$E$60)*$E$192</f>
        <v>0</v>
      </c>
      <c r="I192" s="58" t="n">
        <f aca="false">'P03 KBSWarehouse Output'!I19*(1-'P03 KBSWarehouse Output'!$E$60)*$E$192</f>
        <v>0</v>
      </c>
      <c r="J192" s="58" t="n">
        <f aca="false">'P03 KBSWarehouse Output'!J19*(1-'P03 KBSWarehouse Output'!$E$60)*$E$192</f>
        <v>0</v>
      </c>
      <c r="K192" s="58" t="n">
        <f aca="false">'P03 KBSWarehouse Output'!K19*(1-'P03 KBSWarehouse Output'!$E$60)*$E$192</f>
        <v>0</v>
      </c>
      <c r="L192" s="58" t="n">
        <f aca="false">'P03 KBSWarehouse Output'!L19*(1-'P03 KBSWarehouse Output'!$E$60)*$E$192</f>
        <v>0</v>
      </c>
      <c r="M192" s="58" t="n">
        <f aca="false">'P03 KBSWarehouse Output'!M19*(1-'P03 KBSWarehouse Output'!$E$60)*$E$192</f>
        <v>0</v>
      </c>
      <c r="N192" s="58" t="n">
        <f aca="false">'P03 KBSWarehouse Output'!N19*(1-'P03 KBSWarehouse Output'!$E$60)*$E$192</f>
        <v>0</v>
      </c>
      <c r="O192" s="58" t="n">
        <f aca="false">'P03 KBSWarehouse Output'!O19*(1-'P03 KBSWarehouse Output'!$E$60)*$E$192</f>
        <v>0</v>
      </c>
      <c r="P192" s="58" t="n">
        <f aca="false">'P03 KBSWarehouse Output'!P19*(1-'P03 KBSWarehouse Output'!$E$60)*$E$192</f>
        <v>0</v>
      </c>
      <c r="Q192" s="58" t="n">
        <f aca="false">'P03 KBSWarehouse Output'!Q19*(1-'P03 KBSWarehouse Output'!$E$60)*$E$192</f>
        <v>0</v>
      </c>
      <c r="R192" s="58" t="n">
        <f aca="false">'P03 KBSWarehouse Output'!R19*(1-'P03 KBSWarehouse Output'!$E$60)*$E$192</f>
        <v>0</v>
      </c>
      <c r="S192" s="58" t="n">
        <f aca="false">'P03 KBSWarehouse Output'!S19*(1-'P03 KBSWarehouse Output'!$E$60)*$E$192</f>
        <v>0</v>
      </c>
    </row>
    <row r="193" customFormat="false" ht="15" hidden="false" customHeight="false" outlineLevel="0" collapsed="false">
      <c r="B193" s="77" t="s">
        <v>51</v>
      </c>
      <c r="C193" s="25" t="s">
        <v>170</v>
      </c>
      <c r="E193" s="55" t="n">
        <f aca="false">'Global Inputs'!$L$96</f>
        <v>1</v>
      </c>
      <c r="F193" s="58" t="n">
        <f aca="false">'P04 TTLSilo Output'!F19*(1-'P04 TTLSilo Output'!$E$60)*$E$193</f>
        <v>0</v>
      </c>
      <c r="G193" s="58" t="n">
        <f aca="false">'P04 TTLSilo Output'!G19*(1-'P04 TTLSilo Output'!$E$60)*$E$193</f>
        <v>0</v>
      </c>
      <c r="H193" s="58" t="n">
        <f aca="false">'P04 TTLSilo Output'!H19*(1-'P04 TTLSilo Output'!$E$60)*$E$193</f>
        <v>0</v>
      </c>
      <c r="I193" s="58" t="n">
        <f aca="false">'P04 TTLSilo Output'!I19*(1-'P04 TTLSilo Output'!$E$60)*$E$193</f>
        <v>0</v>
      </c>
      <c r="J193" s="58" t="n">
        <f aca="false">'P04 TTLSilo Output'!J19*(1-'P04 TTLSilo Output'!$E$60)*$E$193</f>
        <v>0</v>
      </c>
      <c r="K193" s="58" t="n">
        <f aca="false">'P04 TTLSilo Output'!K19*(1-'P04 TTLSilo Output'!$E$60)*$E$193</f>
        <v>0</v>
      </c>
      <c r="L193" s="58" t="n">
        <f aca="false">'P04 TTLSilo Output'!L19*(1-'P04 TTLSilo Output'!$E$60)*$E$193</f>
        <v>0</v>
      </c>
      <c r="M193" s="58" t="n">
        <f aca="false">'P04 TTLSilo Output'!M19*(1-'P04 TTLSilo Output'!$E$60)*$E$193</f>
        <v>0</v>
      </c>
      <c r="N193" s="58" t="n">
        <f aca="false">'P04 TTLSilo Output'!N19*(1-'P04 TTLSilo Output'!$E$60)*$E$193</f>
        <v>0</v>
      </c>
      <c r="O193" s="58" t="n">
        <f aca="false">'P04 TTLSilo Output'!O19*(1-'P04 TTLSilo Output'!$E$60)*$E$193</f>
        <v>0</v>
      </c>
      <c r="P193" s="58" t="n">
        <f aca="false">'P04 TTLSilo Output'!P19*(1-'P04 TTLSilo Output'!$E$60)*$E$193</f>
        <v>0</v>
      </c>
      <c r="Q193" s="58" t="n">
        <f aca="false">'P04 TTLSilo Output'!Q19*(1-'P04 TTLSilo Output'!$E$60)*$E$193</f>
        <v>0</v>
      </c>
      <c r="R193" s="58" t="n">
        <f aca="false">'P04 TTLSilo Output'!R19*(1-'P04 TTLSilo Output'!$E$60)*$E$193</f>
        <v>0</v>
      </c>
      <c r="S193" s="58" t="n">
        <f aca="false">'P04 TTLSilo Output'!S19*(1-'P04 TTLSilo Output'!$E$60)*$E$193</f>
        <v>0</v>
      </c>
    </row>
    <row r="194" customFormat="false" ht="15" hidden="false" customHeight="false" outlineLevel="0" collapsed="false">
      <c r="B194" s="77" t="s">
        <v>54</v>
      </c>
      <c r="C194" s="25" t="s">
        <v>170</v>
      </c>
      <c r="E194" s="55" t="n">
        <f aca="false">'Global Inputs'!$L$97</f>
        <v>1</v>
      </c>
      <c r="F194" s="58" t="n">
        <f aca="false">'P05 Dumai Output'!F19*(1-'P05 Dumai Output'!$E$60)*$E$194</f>
        <v>0</v>
      </c>
      <c r="G194" s="58" t="n">
        <f aca="false">'P05 Dumai Output'!G19*(1-'P05 Dumai Output'!$E$60)*$E$194</f>
        <v>0</v>
      </c>
      <c r="H194" s="58" t="n">
        <f aca="false">'P05 Dumai Output'!H19*(1-'P05 Dumai Output'!$E$60)*$E$194</f>
        <v>0</v>
      </c>
      <c r="I194" s="58" t="n">
        <f aca="false">'P05 Dumai Output'!I19*(1-'P05 Dumai Output'!$E$60)*$E$194</f>
        <v>0</v>
      </c>
      <c r="J194" s="58" t="n">
        <f aca="false">'P05 Dumai Output'!J19*(1-'P05 Dumai Output'!$E$60)*$E$194</f>
        <v>0</v>
      </c>
      <c r="K194" s="58" t="n">
        <f aca="false">'P05 Dumai Output'!K19*(1-'P05 Dumai Output'!$E$60)*$E$194</f>
        <v>0</v>
      </c>
      <c r="L194" s="58" t="n">
        <f aca="false">'P05 Dumai Output'!L19*(1-'P05 Dumai Output'!$E$60)*$E$194</f>
        <v>0</v>
      </c>
      <c r="M194" s="58" t="n">
        <f aca="false">'P05 Dumai Output'!M19*(1-'P05 Dumai Output'!$E$60)*$E$194</f>
        <v>0</v>
      </c>
      <c r="N194" s="58" t="n">
        <f aca="false">'P05 Dumai Output'!N19*(1-'P05 Dumai Output'!$E$60)*$E$194</f>
        <v>0</v>
      </c>
      <c r="O194" s="58" t="n">
        <f aca="false">'P05 Dumai Output'!O19*(1-'P05 Dumai Output'!$E$60)*$E$194</f>
        <v>0</v>
      </c>
      <c r="P194" s="58" t="n">
        <f aca="false">'P05 Dumai Output'!P19*(1-'P05 Dumai Output'!$E$60)*$E$194</f>
        <v>0</v>
      </c>
      <c r="Q194" s="58" t="n">
        <f aca="false">'P05 Dumai Output'!Q19*(1-'P05 Dumai Output'!$E$60)*$E$194</f>
        <v>0</v>
      </c>
      <c r="R194" s="58" t="n">
        <f aca="false">'P05 Dumai Output'!R19*(1-'P05 Dumai Output'!$E$60)*$E$194</f>
        <v>0</v>
      </c>
      <c r="S194" s="58" t="n">
        <f aca="false">'P05 Dumai Output'!S19*(1-'P05 Dumai Output'!$E$60)*$E$194</f>
        <v>0</v>
      </c>
    </row>
    <row r="195" customFormat="false" ht="15" hidden="false" customHeight="false" outlineLevel="0" collapsed="false">
      <c r="B195" s="77" t="s">
        <v>57</v>
      </c>
      <c r="C195" s="25" t="s">
        <v>170</v>
      </c>
      <c r="E195" s="55" t="n">
        <f aca="false">'Global Inputs'!$L$98</f>
        <v>1</v>
      </c>
      <c r="F195" s="58" t="n">
        <f aca="false">'P06 Ciwandan Output'!F19*(1-'P06 Ciwandan Output'!$E$60)*$E$195</f>
        <v>0</v>
      </c>
      <c r="G195" s="58" t="n">
        <f aca="false">'P06 Ciwandan Output'!G19*(1-'P06 Ciwandan Output'!$E$60)*$E$195</f>
        <v>0</v>
      </c>
      <c r="H195" s="58" t="n">
        <f aca="false">'P06 Ciwandan Output'!H19*(1-'P06 Ciwandan Output'!$E$60)*$E$195</f>
        <v>0</v>
      </c>
      <c r="I195" s="58" t="n">
        <f aca="false">'P06 Ciwandan Output'!I19*(1-'P06 Ciwandan Output'!$E$60)*$E$195</f>
        <v>0</v>
      </c>
      <c r="J195" s="58" t="n">
        <f aca="false">'P06 Ciwandan Output'!J19*(1-'P06 Ciwandan Output'!$E$60)*$E$195</f>
        <v>0</v>
      </c>
      <c r="K195" s="58" t="n">
        <f aca="false">'P06 Ciwandan Output'!K19*(1-'P06 Ciwandan Output'!$E$60)*$E$195</f>
        <v>0</v>
      </c>
      <c r="L195" s="58" t="n">
        <f aca="false">'P06 Ciwandan Output'!L19*(1-'P06 Ciwandan Output'!$E$60)*$E$195</f>
        <v>0</v>
      </c>
      <c r="M195" s="58" t="n">
        <f aca="false">'P06 Ciwandan Output'!M19*(1-'P06 Ciwandan Output'!$E$60)*$E$195</f>
        <v>0</v>
      </c>
      <c r="N195" s="58" t="n">
        <f aca="false">'P06 Ciwandan Output'!N19*(1-'P06 Ciwandan Output'!$E$60)*$E$195</f>
        <v>0</v>
      </c>
      <c r="O195" s="58" t="n">
        <f aca="false">'P06 Ciwandan Output'!O19*(1-'P06 Ciwandan Output'!$E$60)*$E$195</f>
        <v>0</v>
      </c>
      <c r="P195" s="58" t="n">
        <f aca="false">'P06 Ciwandan Output'!P19*(1-'P06 Ciwandan Output'!$E$60)*$E$195</f>
        <v>0</v>
      </c>
      <c r="Q195" s="58" t="n">
        <f aca="false">'P06 Ciwandan Output'!Q19*(1-'P06 Ciwandan Output'!$E$60)*$E$195</f>
        <v>0</v>
      </c>
      <c r="R195" s="58" t="n">
        <f aca="false">'P06 Ciwandan Output'!R19*(1-'P06 Ciwandan Output'!$E$60)*$E$195</f>
        <v>0</v>
      </c>
      <c r="S195" s="58" t="n">
        <f aca="false">'P06 Ciwandan Output'!S19*(1-'P06 Ciwandan Output'!$E$60)*$E$195</f>
        <v>0</v>
      </c>
    </row>
    <row r="196" customFormat="false" ht="15" hidden="false" customHeight="false" outlineLevel="0" collapsed="false">
      <c r="B196" s="77" t="s">
        <v>60</v>
      </c>
      <c r="C196" s="25" t="s">
        <v>170</v>
      </c>
      <c r="E196" s="55" t="n">
        <f aca="false">'Global Inputs'!$L$99</f>
        <v>1</v>
      </c>
      <c r="F196" s="58" t="n">
        <f aca="false">'P08 DMSTrucking Output'!F19*(1-'P08 DMSTrucking Output'!$E$60)*$E$196</f>
        <v>0</v>
      </c>
      <c r="G196" s="58" t="n">
        <f aca="false">'P08 DMSTrucking Output'!G19*(1-'P08 DMSTrucking Output'!$E$60)*$E$196</f>
        <v>0</v>
      </c>
      <c r="H196" s="58" t="n">
        <f aca="false">'P08 DMSTrucking Output'!H19*(1-'P08 DMSTrucking Output'!$E$60)*$E$196</f>
        <v>0</v>
      </c>
      <c r="I196" s="58" t="n">
        <f aca="false">'P08 DMSTrucking Output'!I19*(1-'P08 DMSTrucking Output'!$E$60)*$E$196</f>
        <v>0</v>
      </c>
      <c r="J196" s="58" t="n">
        <f aca="false">'P08 DMSTrucking Output'!J19*(1-'P08 DMSTrucking Output'!$E$60)*$E$196</f>
        <v>0</v>
      </c>
      <c r="K196" s="58" t="n">
        <f aca="false">'P08 DMSTrucking Output'!K19*(1-'P08 DMSTrucking Output'!$E$60)*$E$196</f>
        <v>0</v>
      </c>
      <c r="L196" s="58" t="n">
        <f aca="false">'P08 DMSTrucking Output'!L19*(1-'P08 DMSTrucking Output'!$E$60)*$E$196</f>
        <v>0</v>
      </c>
      <c r="M196" s="58" t="n">
        <f aca="false">'P08 DMSTrucking Output'!M19*(1-'P08 DMSTrucking Output'!$E$60)*$E$196</f>
        <v>0</v>
      </c>
      <c r="N196" s="58" t="n">
        <f aca="false">'P08 DMSTrucking Output'!N19*(1-'P08 DMSTrucking Output'!$E$60)*$E$196</f>
        <v>0</v>
      </c>
      <c r="O196" s="58" t="n">
        <f aca="false">'P08 DMSTrucking Output'!O19*(1-'P08 DMSTrucking Output'!$E$60)*$E$196</f>
        <v>0</v>
      </c>
      <c r="P196" s="58" t="n">
        <f aca="false">'P08 DMSTrucking Output'!P19*(1-'P08 DMSTrucking Output'!$E$60)*$E$196</f>
        <v>0</v>
      </c>
      <c r="Q196" s="58" t="n">
        <f aca="false">'P08 DMSTrucking Output'!Q19*(1-'P08 DMSTrucking Output'!$E$60)*$E$196</f>
        <v>0</v>
      </c>
      <c r="R196" s="58" t="n">
        <f aca="false">'P08 DMSTrucking Output'!R19*(1-'P08 DMSTrucking Output'!$E$60)*$E$196</f>
        <v>0</v>
      </c>
      <c r="S196" s="58" t="n">
        <f aca="false">'P08 DMSTrucking Output'!S19*(1-'P08 DMSTrucking Output'!$E$60)*$E$196</f>
        <v>0</v>
      </c>
    </row>
    <row r="197" customFormat="false" ht="15" hidden="false" customHeight="false" outlineLevel="0" collapsed="false">
      <c r="B197" s="77" t="s">
        <v>63</v>
      </c>
      <c r="C197" s="25" t="s">
        <v>170</v>
      </c>
      <c r="E197" s="55" t="n">
        <f aca="false">'Global Inputs'!$L$100</f>
        <v>1</v>
      </c>
      <c r="F197" s="58" t="n">
        <f aca="false">'P12 BUMNOps Output'!F19*(1-'P12 BUMNOps Output'!$E$60)*$E$197</f>
        <v>0</v>
      </c>
      <c r="G197" s="58" t="n">
        <f aca="false">'P12 BUMNOps Output'!G19*(1-'P12 BUMNOps Output'!$E$60)*$E$197</f>
        <v>0</v>
      </c>
      <c r="H197" s="58" t="n">
        <f aca="false">'P12 BUMNOps Output'!H19*(1-'P12 BUMNOps Output'!$E$60)*$E$197</f>
        <v>0</v>
      </c>
      <c r="I197" s="58" t="n">
        <f aca="false">'P12 BUMNOps Output'!I19*(1-'P12 BUMNOps Output'!$E$60)*$E$197</f>
        <v>0</v>
      </c>
      <c r="J197" s="58" t="n">
        <f aca="false">'P12 BUMNOps Output'!J19*(1-'P12 BUMNOps Output'!$E$60)*$E$197</f>
        <v>0</v>
      </c>
      <c r="K197" s="58" t="n">
        <f aca="false">'P12 BUMNOps Output'!K19*(1-'P12 BUMNOps Output'!$E$60)*$E$197</f>
        <v>0</v>
      </c>
      <c r="L197" s="58" t="n">
        <f aca="false">'P12 BUMNOps Output'!L19*(1-'P12 BUMNOps Output'!$E$60)*$E$197</f>
        <v>0</v>
      </c>
      <c r="M197" s="58" t="n">
        <f aca="false">'P12 BUMNOps Output'!M19*(1-'P12 BUMNOps Output'!$E$60)*$E$197</f>
        <v>0</v>
      </c>
      <c r="N197" s="58" t="n">
        <f aca="false">'P12 BUMNOps Output'!N19*(1-'P12 BUMNOps Output'!$E$60)*$E$197</f>
        <v>0</v>
      </c>
      <c r="O197" s="58" t="n">
        <f aca="false">'P12 BUMNOps Output'!O19*(1-'P12 BUMNOps Output'!$E$60)*$E$197</f>
        <v>0</v>
      </c>
      <c r="P197" s="58" t="n">
        <f aca="false">'P12 BUMNOps Output'!P19*(1-'P12 BUMNOps Output'!$E$60)*$E$197</f>
        <v>0</v>
      </c>
      <c r="Q197" s="58" t="n">
        <f aca="false">'P12 BUMNOps Output'!Q19*(1-'P12 BUMNOps Output'!$E$60)*$E$197</f>
        <v>0</v>
      </c>
      <c r="R197" s="58" t="n">
        <f aca="false">'P12 BUMNOps Output'!R19*(1-'P12 BUMNOps Output'!$E$60)*$E$197</f>
        <v>0</v>
      </c>
      <c r="S197" s="58" t="n">
        <f aca="false">'P12 BUMNOps Output'!S19*(1-'P12 BUMNOps Output'!$E$60)*$E$197</f>
        <v>0</v>
      </c>
    </row>
    <row r="198" customFormat="false" ht="15" hidden="false" customHeight="false" outlineLevel="0" collapsed="false">
      <c r="B198" s="77" t="s">
        <v>66</v>
      </c>
      <c r="C198" s="25" t="s">
        <v>170</v>
      </c>
      <c r="E198" s="55" t="n">
        <f aca="false">'Global Inputs'!$L$101</f>
        <v>0</v>
      </c>
      <c r="F198" s="58" t="n">
        <f aca="false">'P15 TBM Output'!F19*(1-'P15 TBM Output'!$E$60)*$E$198</f>
        <v>0</v>
      </c>
      <c r="G198" s="58" t="n">
        <f aca="false">'P15 TBM Output'!G19*(1-'P15 TBM Output'!$E$60)*$E$198</f>
        <v>0</v>
      </c>
      <c r="H198" s="58" t="n">
        <f aca="false">'P15 TBM Output'!H19*(1-'P15 TBM Output'!$E$60)*$E$198</f>
        <v>0</v>
      </c>
      <c r="I198" s="58" t="n">
        <f aca="false">'P15 TBM Output'!I19*(1-'P15 TBM Output'!$E$60)*$E$198</f>
        <v>0</v>
      </c>
      <c r="J198" s="58" t="n">
        <f aca="false">'P15 TBM Output'!J19*(1-'P15 TBM Output'!$E$60)*$E$198</f>
        <v>-0</v>
      </c>
      <c r="K198" s="58" t="n">
        <f aca="false">'P15 TBM Output'!K19*(1-'P15 TBM Output'!$E$60)*$E$198</f>
        <v>-0</v>
      </c>
      <c r="L198" s="58" t="n">
        <f aca="false">'P15 TBM Output'!L19*(1-'P15 TBM Output'!$E$60)*$E$198</f>
        <v>0</v>
      </c>
      <c r="M198" s="58" t="n">
        <f aca="false">'P15 TBM Output'!M19*(1-'P15 TBM Output'!$E$60)*$E$198</f>
        <v>0</v>
      </c>
      <c r="N198" s="58" t="n">
        <f aca="false">'P15 TBM Output'!N19*(1-'P15 TBM Output'!$E$60)*$E$198</f>
        <v>0</v>
      </c>
      <c r="O198" s="58" t="n">
        <f aca="false">'P15 TBM Output'!O19*(1-'P15 TBM Output'!$E$60)*$E$198</f>
        <v>0</v>
      </c>
      <c r="P198" s="58" t="n">
        <f aca="false">'P15 TBM Output'!P19*(1-'P15 TBM Output'!$E$60)*$E$198</f>
        <v>0</v>
      </c>
      <c r="Q198" s="58" t="n">
        <f aca="false">'P15 TBM Output'!Q19*(1-'P15 TBM Output'!$E$60)*$E$198</f>
        <v>0</v>
      </c>
      <c r="R198" s="58" t="n">
        <f aca="false">'P15 TBM Output'!R19*(1-'P15 TBM Output'!$E$60)*$E$198</f>
        <v>0</v>
      </c>
      <c r="S198" s="58" t="n">
        <f aca="false">'P15 TBM Output'!S19*(1-'P15 TBM Output'!$E$60)*$E$198</f>
        <v>0</v>
      </c>
    </row>
    <row r="199" customFormat="false" ht="15" hidden="false" customHeight="false" outlineLevel="0" collapsed="false">
      <c r="B199" s="77" t="s">
        <v>69</v>
      </c>
      <c r="C199" s="25" t="s">
        <v>170</v>
      </c>
      <c r="E199" s="55" t="n">
        <f aca="false">'Global Inputs'!$L$102</f>
        <v>0</v>
      </c>
      <c r="F199" s="58" t="n">
        <f aca="false">'P19 Badas Output'!F19*(1-'P19 Badas Output'!$E$72)*$E$199</f>
        <v>0</v>
      </c>
      <c r="G199" s="58" t="n">
        <f aca="false">'P19 Badas Output'!G19*(1-'P19 Badas Output'!$E$72)*$E$199</f>
        <v>0</v>
      </c>
      <c r="H199" s="58" t="n">
        <f aca="false">'P19 Badas Output'!H19*(1-'P19 Badas Output'!$E$72)*$E$199</f>
        <v>0</v>
      </c>
      <c r="I199" s="58" t="n">
        <f aca="false">'P19 Badas Output'!I19*(1-'P19 Badas Output'!$E$72)*$E$199</f>
        <v>0</v>
      </c>
      <c r="J199" s="58" t="n">
        <f aca="false">'P19 Badas Output'!J19*(1-'P19 Badas Output'!$E$72)*$E$199</f>
        <v>0</v>
      </c>
      <c r="K199" s="58" t="n">
        <f aca="false">'P19 Badas Output'!K19*(1-'P19 Badas Output'!$E$72)*$E$199</f>
        <v>-0</v>
      </c>
      <c r="L199" s="58" t="n">
        <f aca="false">'P19 Badas Output'!L19*(1-'P19 Badas Output'!$E$72)*$E$199</f>
        <v>0</v>
      </c>
      <c r="M199" s="58" t="n">
        <f aca="false">'P19 Badas Output'!M19*(1-'P19 Badas Output'!$E$72)*$E$199</f>
        <v>0</v>
      </c>
      <c r="N199" s="58" t="n">
        <f aca="false">'P19 Badas Output'!N19*(1-'P19 Badas Output'!$E$72)*$E$199</f>
        <v>0</v>
      </c>
      <c r="O199" s="58" t="n">
        <f aca="false">'P19 Badas Output'!O19*(1-'P19 Badas Output'!$E$72)*$E$199</f>
        <v>0</v>
      </c>
      <c r="P199" s="58" t="n">
        <f aca="false">'P19 Badas Output'!P19*(1-'P19 Badas Output'!$E$72)*$E$199</f>
        <v>0</v>
      </c>
      <c r="Q199" s="58" t="n">
        <f aca="false">'P19 Badas Output'!Q19*(1-'P19 Badas Output'!$E$72)*$E$199</f>
        <v>0</v>
      </c>
      <c r="R199" s="58" t="n">
        <f aca="false">'P19 Badas Output'!R19*(1-'P19 Badas Output'!$E$72)*$E$199</f>
        <v>0</v>
      </c>
      <c r="S199" s="58" t="n">
        <f aca="false">'P19 Badas Output'!S19*(1-'P19 Badas Output'!$E$72)*$E$199</f>
        <v>0</v>
      </c>
    </row>
    <row r="200" customFormat="false" ht="15" hidden="false" customHeight="false" outlineLevel="0" collapsed="false">
      <c r="B200" s="69" t="s">
        <v>459</v>
      </c>
      <c r="C200" s="25" t="s">
        <v>170</v>
      </c>
      <c r="E200" s="70" t="n">
        <f aca="false">SUM(F200:S200)</f>
        <v>332.862947530845</v>
      </c>
      <c r="F200" s="68" t="n">
        <f aca="false">F186+F187+F188+F189+F190+F191+F192+F193+F194+F195+F196+F197+F198+F199</f>
        <v>0</v>
      </c>
      <c r="G200" s="68" t="n">
        <f aca="false">G186+G187+G188+G189+G190+G191+G192+G193+G194+G195+G196+G197+G198+G199</f>
        <v>19.320159155041</v>
      </c>
      <c r="H200" s="68" t="n">
        <f aca="false">H186+H187+H188+H189+H190+H191+H192+H193+H194+H195+H196+H197+H198+H199</f>
        <v>20.1125562482986</v>
      </c>
      <c r="I200" s="68" t="n">
        <f aca="false">I186+I187+I188+I189+I190+I191+I192+I193+I194+I195+I196+I197+I198+I199</f>
        <v>20.6420142676228</v>
      </c>
      <c r="J200" s="68" t="n">
        <f aca="false">J186+J187+J188+J189+J190+J191+J192+J193+J194+J195+J196+J197+J198+J199</f>
        <v>21.4661686345109</v>
      </c>
      <c r="K200" s="68" t="n">
        <f aca="false">K186+K187+K188+K189+K190+K191+K192+K193+K194+K195+K196+K197+K198+K199</f>
        <v>22.3061797337796</v>
      </c>
      <c r="L200" s="68" t="n">
        <f aca="false">L186+L187+L188+L189+L190+L191+L192+L193+L194+L195+L196+L197+L198+L199</f>
        <v>24.368473053569</v>
      </c>
      <c r="M200" s="68" t="n">
        <f aca="false">M186+M187+M188+M189+M190+M191+M192+M193+M194+M195+M196+M197+M198+M199</f>
        <v>25.2845572350386</v>
      </c>
      <c r="N200" s="68" t="n">
        <f aca="false">N186+N187+N188+N189+N190+N191+N192+N193+N194+N195+N196+N197+N198+N199</f>
        <v>26.2175649795056</v>
      </c>
      <c r="O200" s="68" t="n">
        <f aca="false">O186+O187+O188+O189+O190+O191+O192+O193+O194+O195+O196+O197+O198+O199</f>
        <v>28.5602689399555</v>
      </c>
      <c r="P200" s="68" t="n">
        <f aca="false">P186+P187+P188+P189+P190+P191+P192+P193+P194+P195+P196+P197+P198+P199</f>
        <v>29.5768557966095</v>
      </c>
      <c r="Q200" s="68" t="n">
        <f aca="false">Q186+Q187+Q188+Q189+Q190+Q191+Q192+Q193+Q194+Q195+Q196+Q197+Q198+Q199</f>
        <v>30.6113632230258</v>
      </c>
      <c r="R200" s="68" t="n">
        <f aca="false">R186+R187+R188+R189+R190+R191+R192+R193+R194+R195+R196+R197+R198+R199</f>
        <v>31.663572778423</v>
      </c>
      <c r="S200" s="68" t="n">
        <f aca="false">S186+S187+S188+S189+S190+S191+S192+S193+S194+S195+S196+S197+S198+S199</f>
        <v>32.733213485465</v>
      </c>
    </row>
    <row r="201" customFormat="false" ht="15" hidden="false" customHeight="false" outlineLevel="0" collapsed="false">
      <c r="B201" s="78" t="s">
        <v>351</v>
      </c>
      <c r="C201" s="79"/>
      <c r="D201" s="79"/>
      <c r="E201" s="79"/>
      <c r="F201" s="79"/>
      <c r="G201" s="79"/>
      <c r="H201" s="79"/>
      <c r="I201" s="79"/>
      <c r="J201" s="79"/>
      <c r="K201" s="79"/>
      <c r="L201" s="79"/>
      <c r="M201" s="79"/>
      <c r="N201" s="79"/>
      <c r="O201" s="79"/>
      <c r="P201" s="79"/>
      <c r="Q201" s="79"/>
      <c r="R201" s="79"/>
      <c r="S201" s="79"/>
    </row>
    <row r="202" customFormat="false" ht="15" hidden="false" customHeight="false" outlineLevel="0" collapsed="false">
      <c r="B202" s="77" t="s">
        <v>31</v>
      </c>
      <c r="C202" s="25" t="s">
        <v>170</v>
      </c>
      <c r="E202" s="55" t="n">
        <f aca="false">'Global Inputs'!$L$89</f>
        <v>1</v>
      </c>
      <c r="F202" s="58" t="n">
        <f aca="false">'E1 TelukLamong Calc'!F90*$E$202</f>
        <v>0</v>
      </c>
      <c r="G202" s="58" t="n">
        <f aca="false">'E1 TelukLamong Calc'!G90*$E$202</f>
        <v>0</v>
      </c>
      <c r="H202" s="58" t="n">
        <f aca="false">'E1 TelukLamong Calc'!H90*$E$202</f>
        <v>0</v>
      </c>
      <c r="I202" s="58" t="n">
        <f aca="false">'E1 TelukLamong Calc'!I90*$E$202</f>
        <v>0</v>
      </c>
      <c r="J202" s="58" t="n">
        <f aca="false">'E1 TelukLamong Calc'!J90*$E$202</f>
        <v>0</v>
      </c>
      <c r="K202" s="58" t="n">
        <f aca="false">'E1 TelukLamong Calc'!K90*$E$202</f>
        <v>0</v>
      </c>
      <c r="L202" s="58" t="n">
        <f aca="false">'E1 TelukLamong Calc'!L90*$E$202</f>
        <v>0</v>
      </c>
      <c r="M202" s="58" t="n">
        <f aca="false">'E1 TelukLamong Calc'!M90*$E$202</f>
        <v>0</v>
      </c>
      <c r="N202" s="58" t="n">
        <f aca="false">'E1 TelukLamong Calc'!N90*$E$202</f>
        <v>0</v>
      </c>
      <c r="O202" s="58" t="n">
        <f aca="false">'E1 TelukLamong Calc'!O90*$E$202</f>
        <v>0</v>
      </c>
      <c r="P202" s="58" t="n">
        <f aca="false">'E1 TelukLamong Calc'!P90*$E$202</f>
        <v>0</v>
      </c>
      <c r="Q202" s="58" t="n">
        <f aca="false">'E1 TelukLamong Calc'!Q90*$E$202</f>
        <v>0</v>
      </c>
      <c r="R202" s="58" t="n">
        <f aca="false">'E1 TelukLamong Calc'!R90*$E$202</f>
        <v>0</v>
      </c>
      <c r="S202" s="58" t="n">
        <f aca="false">'E1 TelukLamong Calc'!S90*$E$202</f>
        <v>0</v>
      </c>
    </row>
    <row r="203" customFormat="false" ht="15" hidden="false" customHeight="false" outlineLevel="0" collapsed="false">
      <c r="B203" s="77" t="s">
        <v>34</v>
      </c>
      <c r="C203" s="25" t="s">
        <v>170</v>
      </c>
      <c r="E203" s="55" t="n">
        <f aca="false">'Global Inputs'!$L$90</f>
        <v>1</v>
      </c>
      <c r="F203" s="58" t="n">
        <f aca="false">'E2 CigadingExist Calc'!F84*$E$203</f>
        <v>0</v>
      </c>
      <c r="G203" s="58" t="n">
        <f aca="false">'E2 CigadingExist Calc'!G84*$E$203</f>
        <v>0</v>
      </c>
      <c r="H203" s="58" t="n">
        <f aca="false">'E2 CigadingExist Calc'!H84*$E$203</f>
        <v>0</v>
      </c>
      <c r="I203" s="58" t="n">
        <f aca="false">'E2 CigadingExist Calc'!I84*$E$203</f>
        <v>0</v>
      </c>
      <c r="J203" s="58" t="n">
        <f aca="false">'E2 CigadingExist Calc'!J84*$E$203</f>
        <v>0</v>
      </c>
      <c r="K203" s="58" t="n">
        <f aca="false">'E2 CigadingExist Calc'!K84*$E$203</f>
        <v>0</v>
      </c>
      <c r="L203" s="58" t="n">
        <f aca="false">'E2 CigadingExist Calc'!L84*$E$203</f>
        <v>0</v>
      </c>
      <c r="M203" s="58" t="n">
        <f aca="false">'E2 CigadingExist Calc'!M84*$E$203</f>
        <v>0</v>
      </c>
      <c r="N203" s="58" t="n">
        <f aca="false">'E2 CigadingExist Calc'!N84*$E$203</f>
        <v>0</v>
      </c>
      <c r="O203" s="58" t="n">
        <f aca="false">'E2 CigadingExist Calc'!O84*$E$203</f>
        <v>0</v>
      </c>
      <c r="P203" s="58" t="n">
        <f aca="false">'E2 CigadingExist Calc'!P84*$E$203</f>
        <v>0</v>
      </c>
      <c r="Q203" s="58" t="n">
        <f aca="false">'E2 CigadingExist Calc'!Q84*$E$203</f>
        <v>0</v>
      </c>
      <c r="R203" s="58" t="n">
        <f aca="false">'E2 CigadingExist Calc'!R84*$E$203</f>
        <v>0</v>
      </c>
      <c r="S203" s="58" t="n">
        <f aca="false">'E2 CigadingExist Calc'!S84*$E$203</f>
        <v>0</v>
      </c>
    </row>
    <row r="204" customFormat="false" ht="15" hidden="false" customHeight="false" outlineLevel="0" collapsed="false">
      <c r="B204" s="77" t="s">
        <v>37</v>
      </c>
      <c r="C204" s="25" t="s">
        <v>170</v>
      </c>
      <c r="E204" s="55" t="n">
        <f aca="false">'Global Inputs'!$L$91</f>
        <v>1</v>
      </c>
      <c r="F204" s="58" t="n">
        <f aca="false">'E3 Belawan Calc'!F83*$E$204</f>
        <v>0</v>
      </c>
      <c r="G204" s="58" t="n">
        <f aca="false">'E3 Belawan Calc'!G83*$E$204</f>
        <v>0</v>
      </c>
      <c r="H204" s="58" t="n">
        <f aca="false">'E3 Belawan Calc'!H83*$E$204</f>
        <v>0</v>
      </c>
      <c r="I204" s="58" t="n">
        <f aca="false">'E3 Belawan Calc'!I83*$E$204</f>
        <v>114.255</v>
      </c>
      <c r="J204" s="58" t="n">
        <f aca="false">'E3 Belawan Calc'!J83*$E$204</f>
        <v>113.855</v>
      </c>
      <c r="K204" s="58" t="n">
        <f aca="false">'E3 Belawan Calc'!K83*$E$204</f>
        <v>0</v>
      </c>
      <c r="L204" s="58" t="n">
        <f aca="false">'E3 Belawan Calc'!L83*$E$204</f>
        <v>0</v>
      </c>
      <c r="M204" s="58" t="n">
        <f aca="false">'E3 Belawan Calc'!M83*$E$204</f>
        <v>0</v>
      </c>
      <c r="N204" s="58" t="n">
        <f aca="false">'E3 Belawan Calc'!N83*$E$204</f>
        <v>0</v>
      </c>
      <c r="O204" s="58" t="n">
        <f aca="false">'E3 Belawan Calc'!O83*$E$204</f>
        <v>0</v>
      </c>
      <c r="P204" s="58" t="n">
        <f aca="false">'E3 Belawan Calc'!P83*$E$204</f>
        <v>0</v>
      </c>
      <c r="Q204" s="58" t="n">
        <f aca="false">'E3 Belawan Calc'!Q83*$E$204</f>
        <v>0</v>
      </c>
      <c r="R204" s="58" t="n">
        <f aca="false">'E3 Belawan Calc'!R83*$E$204</f>
        <v>0</v>
      </c>
      <c r="S204" s="58" t="n">
        <f aca="false">'E3 Belawan Calc'!S83*$E$204</f>
        <v>0</v>
      </c>
    </row>
    <row r="205" customFormat="false" ht="15" hidden="false" customHeight="false" outlineLevel="0" collapsed="false">
      <c r="B205" s="77" t="s">
        <v>40</v>
      </c>
      <c r="C205" s="25" t="s">
        <v>170</v>
      </c>
      <c r="E205" s="55" t="n">
        <f aca="false">'Global Inputs'!$L$92</f>
        <v>1</v>
      </c>
      <c r="F205" s="58" t="n">
        <f aca="false">'E4 WIN Calc'!F200*$E$205</f>
        <v>0</v>
      </c>
      <c r="G205" s="58" t="n">
        <f aca="false">'E4 WIN Calc'!G200*$E$205</f>
        <v>0</v>
      </c>
      <c r="H205" s="58" t="n">
        <f aca="false">'E4 WIN Calc'!H200*$E$205</f>
        <v>0</v>
      </c>
      <c r="I205" s="58" t="n">
        <f aca="false">'E4 WIN Calc'!I200*$E$205</f>
        <v>0</v>
      </c>
      <c r="J205" s="58" t="n">
        <f aca="false">'E4 WIN Calc'!J200*$E$205</f>
        <v>0</v>
      </c>
      <c r="K205" s="58" t="n">
        <f aca="false">'E4 WIN Calc'!K200*$E$205</f>
        <v>0</v>
      </c>
      <c r="L205" s="58" t="n">
        <f aca="false">'E4 WIN Calc'!L200*$E$205</f>
        <v>0</v>
      </c>
      <c r="M205" s="58" t="n">
        <f aca="false">'E4 WIN Calc'!M200*$E$205</f>
        <v>0</v>
      </c>
      <c r="N205" s="58" t="n">
        <f aca="false">'E4 WIN Calc'!N200*$E$205</f>
        <v>0</v>
      </c>
      <c r="O205" s="58" t="n">
        <f aca="false">'E4 WIN Calc'!O200*$E$205</f>
        <v>0</v>
      </c>
      <c r="P205" s="58" t="n">
        <f aca="false">'E4 WIN Calc'!P200*$E$205</f>
        <v>0</v>
      </c>
      <c r="Q205" s="58" t="n">
        <f aca="false">'E4 WIN Calc'!Q200*$E$205</f>
        <v>0</v>
      </c>
      <c r="R205" s="58" t="n">
        <f aca="false">'E4 WIN Calc'!R200*$E$205</f>
        <v>0</v>
      </c>
      <c r="S205" s="58" t="n">
        <f aca="false">'E4 WIN Calc'!S200*$E$205</f>
        <v>0</v>
      </c>
    </row>
    <row r="206" customFormat="false" ht="15" hidden="false" customHeight="false" outlineLevel="0" collapsed="false">
      <c r="B206" s="77" t="s">
        <v>43</v>
      </c>
      <c r="C206" s="25" t="s">
        <v>170</v>
      </c>
      <c r="E206" s="55" t="n">
        <f aca="false">'Global Inputs'!$L$93</f>
        <v>1</v>
      </c>
      <c r="F206" s="58" t="n">
        <f aca="false">'P01 CigWharf2 Calc'!F35*$E$206</f>
        <v>162.65</v>
      </c>
      <c r="G206" s="58" t="n">
        <f aca="false">'P01 CigWharf2 Calc'!G35*$E$206</f>
        <v>37.4095</v>
      </c>
      <c r="H206" s="58" t="n">
        <f aca="false">'P01 CigWharf2 Calc'!H35*$E$206</f>
        <v>8.1325</v>
      </c>
      <c r="I206" s="58" t="n">
        <f aca="false">'P01 CigWharf2 Calc'!I35*$E$206</f>
        <v>0</v>
      </c>
      <c r="J206" s="58" t="n">
        <f aca="false">'P01 CigWharf2 Calc'!J35*$E$206</f>
        <v>0</v>
      </c>
      <c r="K206" s="58" t="n">
        <f aca="false">'P01 CigWharf2 Calc'!K35*$E$206</f>
        <v>0</v>
      </c>
      <c r="L206" s="58" t="n">
        <f aca="false">'P01 CigWharf2 Calc'!L35*$E$206</f>
        <v>0</v>
      </c>
      <c r="M206" s="58" t="n">
        <f aca="false">'P01 CigWharf2 Calc'!M35*$E$206</f>
        <v>0</v>
      </c>
      <c r="N206" s="58" t="n">
        <f aca="false">'P01 CigWharf2 Calc'!N35*$E$206</f>
        <v>0</v>
      </c>
      <c r="O206" s="58" t="n">
        <f aca="false">'P01 CigWharf2 Calc'!O35*$E$206</f>
        <v>0</v>
      </c>
      <c r="P206" s="58" t="n">
        <f aca="false">'P01 CigWharf2 Calc'!P35*$E$206</f>
        <v>0</v>
      </c>
      <c r="Q206" s="58" t="n">
        <f aca="false">'P01 CigWharf2 Calc'!Q35*$E$206</f>
        <v>0</v>
      </c>
      <c r="R206" s="58" t="n">
        <f aca="false">'P01 CigWharf2 Calc'!R35*$E$206</f>
        <v>0</v>
      </c>
      <c r="S206" s="58" t="n">
        <f aca="false">'P01 CigWharf2 Calc'!S35*$E$206</f>
        <v>0</v>
      </c>
    </row>
    <row r="207" customFormat="false" ht="15" hidden="false" customHeight="false" outlineLevel="0" collapsed="false">
      <c r="B207" s="77" t="s">
        <v>46</v>
      </c>
      <c r="C207" s="25" t="s">
        <v>170</v>
      </c>
      <c r="E207" s="55" t="n">
        <f aca="false">'Global Inputs'!$L$94</f>
        <v>1</v>
      </c>
      <c r="F207" s="58" t="n">
        <f aca="false">'P02 CigConveyor Calc'!F30*$E$207</f>
        <v>35.783</v>
      </c>
      <c r="G207" s="58" t="n">
        <f aca="false">'P02 CigConveyor Calc'!G30*$E$207</f>
        <v>87.831</v>
      </c>
      <c r="H207" s="58" t="n">
        <f aca="false">'P02 CigConveyor Calc'!H30*$E$207</f>
        <v>6.506</v>
      </c>
      <c r="I207" s="58" t="n">
        <f aca="false">'P02 CigConveyor Calc'!I30*$E$207</f>
        <v>0</v>
      </c>
      <c r="J207" s="58" t="n">
        <f aca="false">'P02 CigConveyor Calc'!J30*$E$207</f>
        <v>0</v>
      </c>
      <c r="K207" s="58" t="n">
        <f aca="false">'P02 CigConveyor Calc'!K30*$E$207</f>
        <v>0</v>
      </c>
      <c r="L207" s="58" t="n">
        <f aca="false">'P02 CigConveyor Calc'!L30*$E$207</f>
        <v>0</v>
      </c>
      <c r="M207" s="58" t="n">
        <f aca="false">'P02 CigConveyor Calc'!M30*$E$207</f>
        <v>0</v>
      </c>
      <c r="N207" s="58" t="n">
        <f aca="false">'P02 CigConveyor Calc'!N30*$E$207</f>
        <v>0</v>
      </c>
      <c r="O207" s="58" t="n">
        <f aca="false">'P02 CigConveyor Calc'!O30*$E$207</f>
        <v>0</v>
      </c>
      <c r="P207" s="58" t="n">
        <f aca="false">'P02 CigConveyor Calc'!P30*$E$207</f>
        <v>0</v>
      </c>
      <c r="Q207" s="58" t="n">
        <f aca="false">'P02 CigConveyor Calc'!Q30*$E$207</f>
        <v>0</v>
      </c>
      <c r="R207" s="58" t="n">
        <f aca="false">'P02 CigConveyor Calc'!R30*$E$207</f>
        <v>0</v>
      </c>
      <c r="S207" s="58" t="n">
        <f aca="false">'P02 CigConveyor Calc'!S30*$E$207</f>
        <v>0</v>
      </c>
    </row>
    <row r="208" customFormat="false" ht="15" hidden="false" customHeight="false" outlineLevel="0" collapsed="false">
      <c r="B208" s="77" t="s">
        <v>48</v>
      </c>
      <c r="C208" s="25" t="s">
        <v>170</v>
      </c>
      <c r="E208" s="55" t="n">
        <f aca="false">'Global Inputs'!$L$95</f>
        <v>1</v>
      </c>
      <c r="F208" s="58" t="n">
        <f aca="false">'P03 KBSWarehouse Calc'!F30*$E$208</f>
        <v>0</v>
      </c>
      <c r="G208" s="58" t="n">
        <f aca="false">'P03 KBSWarehouse Calc'!G30*$E$208</f>
        <v>0</v>
      </c>
      <c r="H208" s="58" t="n">
        <f aca="false">'P03 KBSWarehouse Calc'!H30*$E$208</f>
        <v>0</v>
      </c>
      <c r="I208" s="58" t="n">
        <f aca="false">'P03 KBSWarehouse Calc'!I30*$E$208</f>
        <v>97.98995635</v>
      </c>
      <c r="J208" s="58" t="n">
        <f aca="false">'P03 KBSWarehouse Calc'!J30*$E$208</f>
        <v>0</v>
      </c>
      <c r="K208" s="58" t="n">
        <f aca="false">'P03 KBSWarehouse Calc'!K30*$E$208</f>
        <v>0</v>
      </c>
      <c r="L208" s="58" t="n">
        <f aca="false">'P03 KBSWarehouse Calc'!L30*$E$208</f>
        <v>0</v>
      </c>
      <c r="M208" s="58" t="n">
        <f aca="false">'P03 KBSWarehouse Calc'!M30*$E$208</f>
        <v>0</v>
      </c>
      <c r="N208" s="58" t="n">
        <f aca="false">'P03 KBSWarehouse Calc'!N30*$E$208</f>
        <v>0</v>
      </c>
      <c r="O208" s="58" t="n">
        <f aca="false">'P03 KBSWarehouse Calc'!O30*$E$208</f>
        <v>0</v>
      </c>
      <c r="P208" s="58" t="n">
        <f aca="false">'P03 KBSWarehouse Calc'!P30*$E$208</f>
        <v>0</v>
      </c>
      <c r="Q208" s="58" t="n">
        <f aca="false">'P03 KBSWarehouse Calc'!Q30*$E$208</f>
        <v>0</v>
      </c>
      <c r="R208" s="58" t="n">
        <f aca="false">'P03 KBSWarehouse Calc'!R30*$E$208</f>
        <v>0</v>
      </c>
      <c r="S208" s="58" t="n">
        <f aca="false">'P03 KBSWarehouse Calc'!S30*$E$208</f>
        <v>0</v>
      </c>
    </row>
    <row r="209" customFormat="false" ht="15" hidden="false" customHeight="false" outlineLevel="0" collapsed="false">
      <c r="B209" s="77" t="s">
        <v>51</v>
      </c>
      <c r="C209" s="25" t="s">
        <v>170</v>
      </c>
      <c r="E209" s="55" t="n">
        <f aca="false">'Global Inputs'!$L$96</f>
        <v>1</v>
      </c>
      <c r="F209" s="58" t="n">
        <f aca="false">'P04 TTLSilo Calc'!F36*$E$209</f>
        <v>0</v>
      </c>
      <c r="G209" s="58" t="n">
        <f aca="false">'P04 TTLSilo Calc'!G36*$E$209</f>
        <v>0</v>
      </c>
      <c r="H209" s="58" t="n">
        <f aca="false">'P04 TTLSilo Calc'!H36*$E$209</f>
        <v>0</v>
      </c>
      <c r="I209" s="58" t="n">
        <f aca="false">'P04 TTLSilo Calc'!I36*$E$209</f>
        <v>61.1938095</v>
      </c>
      <c r="J209" s="58" t="n">
        <f aca="false">'P04 TTLSilo Calc'!J36*$E$209</f>
        <v>0</v>
      </c>
      <c r="K209" s="58" t="n">
        <f aca="false">'P04 TTLSilo Calc'!K36*$E$209</f>
        <v>0</v>
      </c>
      <c r="L209" s="58" t="n">
        <f aca="false">'P04 TTLSilo Calc'!L36*$E$209</f>
        <v>0</v>
      </c>
      <c r="M209" s="58" t="n">
        <f aca="false">'P04 TTLSilo Calc'!M36*$E$209</f>
        <v>0</v>
      </c>
      <c r="N209" s="58" t="n">
        <f aca="false">'P04 TTLSilo Calc'!N36*$E$209</f>
        <v>0</v>
      </c>
      <c r="O209" s="58" t="n">
        <f aca="false">'P04 TTLSilo Calc'!O36*$E$209</f>
        <v>0</v>
      </c>
      <c r="P209" s="58" t="n">
        <f aca="false">'P04 TTLSilo Calc'!P36*$E$209</f>
        <v>0</v>
      </c>
      <c r="Q209" s="58" t="n">
        <f aca="false">'P04 TTLSilo Calc'!Q36*$E$209</f>
        <v>0</v>
      </c>
      <c r="R209" s="58" t="n">
        <f aca="false">'P04 TTLSilo Calc'!R36*$E$209</f>
        <v>0</v>
      </c>
      <c r="S209" s="58" t="n">
        <f aca="false">'P04 TTLSilo Calc'!S36*$E$209</f>
        <v>0</v>
      </c>
    </row>
    <row r="210" customFormat="false" ht="15" hidden="false" customHeight="false" outlineLevel="0" collapsed="false">
      <c r="B210" s="77" t="s">
        <v>54</v>
      </c>
      <c r="C210" s="25" t="s">
        <v>170</v>
      </c>
      <c r="E210" s="55" t="n">
        <f aca="false">'Global Inputs'!$L$97</f>
        <v>1</v>
      </c>
      <c r="F210" s="58" t="n">
        <f aca="false">'P05 Dumai Calc'!F40*$E$210</f>
        <v>0</v>
      </c>
      <c r="G210" s="58" t="n">
        <f aca="false">'P05 Dumai Calc'!G40*$E$210</f>
        <v>0</v>
      </c>
      <c r="H210" s="58" t="n">
        <f aca="false">'P05 Dumai Calc'!H40*$E$210</f>
        <v>0</v>
      </c>
      <c r="I210" s="58" t="n">
        <f aca="false">'P05 Dumai Calc'!I40*$E$210</f>
        <v>105.470779761905</v>
      </c>
      <c r="J210" s="58" t="n">
        <f aca="false">'P05 Dumai Calc'!J40*$E$210</f>
        <v>5.286125</v>
      </c>
      <c r="K210" s="58" t="n">
        <f aca="false">'P05 Dumai Calc'!K40*$E$210</f>
        <v>0</v>
      </c>
      <c r="L210" s="58" t="n">
        <f aca="false">'P05 Dumai Calc'!L40*$E$210</f>
        <v>0</v>
      </c>
      <c r="M210" s="58" t="n">
        <f aca="false">'P05 Dumai Calc'!M40*$E$210</f>
        <v>0</v>
      </c>
      <c r="N210" s="58" t="n">
        <f aca="false">'P05 Dumai Calc'!N40*$E$210</f>
        <v>0</v>
      </c>
      <c r="O210" s="58" t="n">
        <f aca="false">'P05 Dumai Calc'!O40*$E$210</f>
        <v>0</v>
      </c>
      <c r="P210" s="58" t="n">
        <f aca="false">'P05 Dumai Calc'!P40*$E$210</f>
        <v>0</v>
      </c>
      <c r="Q210" s="58" t="n">
        <f aca="false">'P05 Dumai Calc'!Q40*$E$210</f>
        <v>0</v>
      </c>
      <c r="R210" s="58" t="n">
        <f aca="false">'P05 Dumai Calc'!R40*$E$210</f>
        <v>0</v>
      </c>
      <c r="S210" s="58" t="n">
        <f aca="false">'P05 Dumai Calc'!S40*$E$210</f>
        <v>0</v>
      </c>
    </row>
    <row r="211" customFormat="false" ht="15" hidden="false" customHeight="false" outlineLevel="0" collapsed="false">
      <c r="B211" s="77" t="s">
        <v>57</v>
      </c>
      <c r="C211" s="25" t="s">
        <v>170</v>
      </c>
      <c r="E211" s="55" t="n">
        <f aca="false">'Global Inputs'!$L$98</f>
        <v>1</v>
      </c>
      <c r="F211" s="58" t="n">
        <f aca="false">'P06 Ciwandan Calc'!F34*$E$211</f>
        <v>0</v>
      </c>
      <c r="G211" s="58" t="n">
        <f aca="false">'P06 Ciwandan Calc'!G34*$E$211</f>
        <v>0</v>
      </c>
      <c r="H211" s="58" t="n">
        <f aca="false">'P06 Ciwandan Calc'!H34*$E$211</f>
        <v>0</v>
      </c>
      <c r="I211" s="58" t="n">
        <f aca="false">'P06 Ciwandan Calc'!I34*$E$211</f>
        <v>40.8625</v>
      </c>
      <c r="J211" s="58" t="n">
        <f aca="false">'P06 Ciwandan Calc'!J34*$E$211</f>
        <v>40.8625</v>
      </c>
      <c r="K211" s="58" t="n">
        <f aca="false">'P06 Ciwandan Calc'!K34*$E$211</f>
        <v>0</v>
      </c>
      <c r="L211" s="58" t="n">
        <f aca="false">'P06 Ciwandan Calc'!L34*$E$211</f>
        <v>0</v>
      </c>
      <c r="M211" s="58" t="n">
        <f aca="false">'P06 Ciwandan Calc'!M34*$E$211</f>
        <v>0</v>
      </c>
      <c r="N211" s="58" t="n">
        <f aca="false">'P06 Ciwandan Calc'!N34*$E$211</f>
        <v>0</v>
      </c>
      <c r="O211" s="58" t="n">
        <f aca="false">'P06 Ciwandan Calc'!O34*$E$211</f>
        <v>0</v>
      </c>
      <c r="P211" s="58" t="n">
        <f aca="false">'P06 Ciwandan Calc'!P34*$E$211</f>
        <v>0</v>
      </c>
      <c r="Q211" s="58" t="n">
        <f aca="false">'P06 Ciwandan Calc'!Q34*$E$211</f>
        <v>0</v>
      </c>
      <c r="R211" s="58" t="n">
        <f aca="false">'P06 Ciwandan Calc'!R34*$E$211</f>
        <v>0</v>
      </c>
      <c r="S211" s="58" t="n">
        <f aca="false">'P06 Ciwandan Calc'!S34*$E$211</f>
        <v>0</v>
      </c>
    </row>
    <row r="212" customFormat="false" ht="15" hidden="false" customHeight="false" outlineLevel="0" collapsed="false">
      <c r="B212" s="77" t="s">
        <v>60</v>
      </c>
      <c r="C212" s="25" t="s">
        <v>170</v>
      </c>
      <c r="E212" s="55" t="n">
        <f aca="false">'Global Inputs'!$L$99</f>
        <v>1</v>
      </c>
      <c r="F212" s="58" t="n">
        <f aca="false">'P08 DMSTrucking Calc'!F62*$E$212</f>
        <v>0</v>
      </c>
      <c r="G212" s="58" t="n">
        <f aca="false">'P08 DMSTrucking Calc'!G62*$E$212</f>
        <v>0</v>
      </c>
      <c r="H212" s="58" t="n">
        <f aca="false">'P08 DMSTrucking Calc'!H62*$E$212</f>
        <v>0</v>
      </c>
      <c r="I212" s="58" t="n">
        <f aca="false">'P08 DMSTrucking Calc'!I62*$E$212</f>
        <v>0</v>
      </c>
      <c r="J212" s="58" t="n">
        <f aca="false">'P08 DMSTrucking Calc'!J62*$E$212</f>
        <v>0</v>
      </c>
      <c r="K212" s="58" t="n">
        <f aca="false">'P08 DMSTrucking Calc'!K62*$E$212</f>
        <v>0</v>
      </c>
      <c r="L212" s="58" t="n">
        <f aca="false">'P08 DMSTrucking Calc'!L62*$E$212</f>
        <v>0</v>
      </c>
      <c r="M212" s="58" t="n">
        <f aca="false">'P08 DMSTrucking Calc'!M62*$E$212</f>
        <v>0</v>
      </c>
      <c r="N212" s="58" t="n">
        <f aca="false">'P08 DMSTrucking Calc'!N62*$E$212</f>
        <v>0</v>
      </c>
      <c r="O212" s="58" t="n">
        <f aca="false">'P08 DMSTrucking Calc'!O62*$E$212</f>
        <v>0</v>
      </c>
      <c r="P212" s="58" t="n">
        <f aca="false">'P08 DMSTrucking Calc'!P62*$E$212</f>
        <v>0</v>
      </c>
      <c r="Q212" s="58" t="n">
        <f aca="false">'P08 DMSTrucking Calc'!Q62*$E$212</f>
        <v>0</v>
      </c>
      <c r="R212" s="58" t="n">
        <f aca="false">'P08 DMSTrucking Calc'!R62*$E$212</f>
        <v>0</v>
      </c>
      <c r="S212" s="58" t="n">
        <f aca="false">'P08 DMSTrucking Calc'!S62*$E$212</f>
        <v>0</v>
      </c>
    </row>
    <row r="213" customFormat="false" ht="15" hidden="false" customHeight="false" outlineLevel="0" collapsed="false">
      <c r="B213" s="77" t="s">
        <v>63</v>
      </c>
      <c r="C213" s="25" t="s">
        <v>170</v>
      </c>
      <c r="E213" s="55" t="n">
        <f aca="false">'Global Inputs'!$L$100</f>
        <v>1</v>
      </c>
      <c r="F213" s="58" t="n">
        <f aca="false">'P12 BUMNOps Calc'!F66*$E$213</f>
        <v>0</v>
      </c>
      <c r="G213" s="58" t="n">
        <f aca="false">'P12 BUMNOps Calc'!G66*$E$213</f>
        <v>0</v>
      </c>
      <c r="H213" s="58" t="n">
        <f aca="false">'P12 BUMNOps Calc'!H66*$E$213</f>
        <v>0</v>
      </c>
      <c r="I213" s="58" t="n">
        <f aca="false">'P12 BUMNOps Calc'!I66*$E$213</f>
        <v>0</v>
      </c>
      <c r="J213" s="58" t="n">
        <f aca="false">'P12 BUMNOps Calc'!J66*$E$213</f>
        <v>0</v>
      </c>
      <c r="K213" s="58" t="n">
        <f aca="false">'P12 BUMNOps Calc'!K66*$E$213</f>
        <v>0</v>
      </c>
      <c r="L213" s="58" t="n">
        <f aca="false">'P12 BUMNOps Calc'!L66*$E$213</f>
        <v>0</v>
      </c>
      <c r="M213" s="58" t="n">
        <f aca="false">'P12 BUMNOps Calc'!M66*$E$213</f>
        <v>0</v>
      </c>
      <c r="N213" s="58" t="n">
        <f aca="false">'P12 BUMNOps Calc'!N66*$E$213</f>
        <v>0</v>
      </c>
      <c r="O213" s="58" t="n">
        <f aca="false">'P12 BUMNOps Calc'!O66*$E$213</f>
        <v>0</v>
      </c>
      <c r="P213" s="58" t="n">
        <f aca="false">'P12 BUMNOps Calc'!P66*$E$213</f>
        <v>0</v>
      </c>
      <c r="Q213" s="58" t="n">
        <f aca="false">'P12 BUMNOps Calc'!Q66*$E$213</f>
        <v>0</v>
      </c>
      <c r="R213" s="58" t="n">
        <f aca="false">'P12 BUMNOps Calc'!R66*$E$213</f>
        <v>0</v>
      </c>
      <c r="S213" s="58" t="n">
        <f aca="false">'P12 BUMNOps Calc'!S66*$E$213</f>
        <v>0</v>
      </c>
    </row>
    <row r="214" customFormat="false" ht="15" hidden="false" customHeight="false" outlineLevel="0" collapsed="false">
      <c r="B214" s="77" t="s">
        <v>66</v>
      </c>
      <c r="C214" s="25" t="s">
        <v>170</v>
      </c>
      <c r="E214" s="55" t="n">
        <f aca="false">'Global Inputs'!$L$101</f>
        <v>0</v>
      </c>
      <c r="F214" s="58" t="n">
        <f aca="false">'P15 TBM Calc'!F57*$E$214</f>
        <v>0</v>
      </c>
      <c r="G214" s="58" t="n">
        <f aca="false">'P15 TBM Calc'!G57*$E$214</f>
        <v>0</v>
      </c>
      <c r="H214" s="58" t="n">
        <f aca="false">'P15 TBM Calc'!H57*$E$214</f>
        <v>0</v>
      </c>
      <c r="I214" s="58" t="n">
        <f aca="false">'P15 TBM Calc'!I57*$E$214</f>
        <v>0</v>
      </c>
      <c r="J214" s="58" t="n">
        <f aca="false">'P15 TBM Calc'!J57*$E$214</f>
        <v>0</v>
      </c>
      <c r="K214" s="58" t="n">
        <f aca="false">'P15 TBM Calc'!K57*$E$214</f>
        <v>0</v>
      </c>
      <c r="L214" s="58" t="n">
        <f aca="false">'P15 TBM Calc'!L57*$E$214</f>
        <v>0</v>
      </c>
      <c r="M214" s="58" t="n">
        <f aca="false">'P15 TBM Calc'!M57*$E$214</f>
        <v>0</v>
      </c>
      <c r="N214" s="58" t="n">
        <f aca="false">'P15 TBM Calc'!N57*$E$214</f>
        <v>0</v>
      </c>
      <c r="O214" s="58" t="n">
        <f aca="false">'P15 TBM Calc'!O57*$E$214</f>
        <v>0</v>
      </c>
      <c r="P214" s="58" t="n">
        <f aca="false">'P15 TBM Calc'!P57*$E$214</f>
        <v>0</v>
      </c>
      <c r="Q214" s="58" t="n">
        <f aca="false">'P15 TBM Calc'!Q57*$E$214</f>
        <v>0</v>
      </c>
      <c r="R214" s="58" t="n">
        <f aca="false">'P15 TBM Calc'!R57*$E$214</f>
        <v>0</v>
      </c>
      <c r="S214" s="58" t="n">
        <f aca="false">'P15 TBM Calc'!S57*$E$214</f>
        <v>0</v>
      </c>
    </row>
    <row r="215" customFormat="false" ht="15" hidden="false" customHeight="false" outlineLevel="0" collapsed="false">
      <c r="B215" s="77" t="s">
        <v>69</v>
      </c>
      <c r="C215" s="25" t="s">
        <v>170</v>
      </c>
      <c r="E215" s="55" t="n">
        <f aca="false">'Global Inputs'!$L$102</f>
        <v>0</v>
      </c>
      <c r="F215" s="58" t="n">
        <f aca="false">'P19 Badas Calculation'!F48*$E$215</f>
        <v>0</v>
      </c>
      <c r="G215" s="58" t="n">
        <f aca="false">'P19 Badas Calculation'!G48*$E$215</f>
        <v>0</v>
      </c>
      <c r="H215" s="58" t="n">
        <f aca="false">'P19 Badas Calculation'!H48*$E$215</f>
        <v>0</v>
      </c>
      <c r="I215" s="58" t="n">
        <f aca="false">'P19 Badas Calculation'!I48*$E$215</f>
        <v>0</v>
      </c>
      <c r="J215" s="58" t="n">
        <f aca="false">'P19 Badas Calculation'!J48*$E$215</f>
        <v>0</v>
      </c>
      <c r="K215" s="58" t="n">
        <f aca="false">'P19 Badas Calculation'!K48*$E$215</f>
        <v>0</v>
      </c>
      <c r="L215" s="58" t="n">
        <f aca="false">'P19 Badas Calculation'!L48*$E$215</f>
        <v>0</v>
      </c>
      <c r="M215" s="58" t="n">
        <f aca="false">'P19 Badas Calculation'!M48*$E$215</f>
        <v>0</v>
      </c>
      <c r="N215" s="58" t="n">
        <f aca="false">'P19 Badas Calculation'!N48*$E$215</f>
        <v>0</v>
      </c>
      <c r="O215" s="58" t="n">
        <f aca="false">'P19 Badas Calculation'!O48*$E$215</f>
        <v>0</v>
      </c>
      <c r="P215" s="58" t="n">
        <f aca="false">'P19 Badas Calculation'!P48*$E$215</f>
        <v>0</v>
      </c>
      <c r="Q215" s="58" t="n">
        <f aca="false">'P19 Badas Calculation'!Q48*$E$215</f>
        <v>0</v>
      </c>
      <c r="R215" s="58" t="n">
        <f aca="false">'P19 Badas Calculation'!R48*$E$215</f>
        <v>0</v>
      </c>
      <c r="S215" s="58" t="n">
        <f aca="false">'P19 Badas Calculation'!S48*$E$215</f>
        <v>0</v>
      </c>
    </row>
    <row r="216" customFormat="false" ht="15" hidden="false" customHeight="false" outlineLevel="0" collapsed="false">
      <c r="B216" s="69" t="s">
        <v>460</v>
      </c>
      <c r="C216" s="25" t="s">
        <v>170</v>
      </c>
      <c r="E216" s="70" t="n">
        <f aca="false">SUM(F216:S216)</f>
        <v>918.087670611905</v>
      </c>
      <c r="F216" s="68" t="n">
        <f aca="false">F202+F203+F204+F205+F206+F207+F208+F209+F210+F211+F212+F213+F214+F215</f>
        <v>198.433</v>
      </c>
      <c r="G216" s="68" t="n">
        <f aca="false">G202+G203+G204+G205+G206+G207+G208+G209+G210+G211+G212+G213+G214+G215</f>
        <v>125.2405</v>
      </c>
      <c r="H216" s="68" t="n">
        <f aca="false">H202+H203+H204+H205+H206+H207+H208+H209+H210+H211+H212+H213+H214+H215</f>
        <v>14.6385</v>
      </c>
      <c r="I216" s="68" t="n">
        <f aca="false">I202+I203+I204+I205+I206+I207+I208+I209+I210+I211+I212+I213+I214+I215</f>
        <v>419.772045611905</v>
      </c>
      <c r="J216" s="68" t="n">
        <f aca="false">J202+J203+J204+J205+J206+J207+J208+J209+J210+J211+J212+J213+J214+J215</f>
        <v>160.003625</v>
      </c>
      <c r="K216" s="68" t="n">
        <f aca="false">K202+K203+K204+K205+K206+K207+K208+K209+K210+K211+K212+K213+K214+K215</f>
        <v>0</v>
      </c>
      <c r="L216" s="68" t="n">
        <f aca="false">L202+L203+L204+L205+L206+L207+L208+L209+L210+L211+L212+L213+L214+L215</f>
        <v>0</v>
      </c>
      <c r="M216" s="68" t="n">
        <f aca="false">M202+M203+M204+M205+M206+M207+M208+M209+M210+M211+M212+M213+M214+M215</f>
        <v>0</v>
      </c>
      <c r="N216" s="68" t="n">
        <f aca="false">N202+N203+N204+N205+N206+N207+N208+N209+N210+N211+N212+N213+N214+N215</f>
        <v>0</v>
      </c>
      <c r="O216" s="68" t="n">
        <f aca="false">O202+O203+O204+O205+O206+O207+O208+O209+O210+O211+O212+O213+O214+O215</f>
        <v>0</v>
      </c>
      <c r="P216" s="68" t="n">
        <f aca="false">P202+P203+P204+P205+P206+P207+P208+P209+P210+P211+P212+P213+P214+P215</f>
        <v>0</v>
      </c>
      <c r="Q216" s="68" t="n">
        <f aca="false">Q202+Q203+Q204+Q205+Q206+Q207+Q208+Q209+Q210+Q211+Q212+Q213+Q214+Q215</f>
        <v>0</v>
      </c>
      <c r="R216" s="68" t="n">
        <f aca="false">R202+R203+R204+R205+R206+R207+R208+R209+R210+R211+R212+R213+R214+R215</f>
        <v>0</v>
      </c>
      <c r="S216" s="68" t="n">
        <f aca="false">S202+S203+S204+S205+S206+S207+S208+S209+S210+S211+S212+S213+S214+S215</f>
        <v>0</v>
      </c>
    </row>
    <row r="217" customFormat="false" ht="15" hidden="false" customHeight="false" outlineLevel="0" collapsed="false">
      <c r="B217" s="78" t="s">
        <v>350</v>
      </c>
      <c r="C217" s="79"/>
      <c r="D217" s="79"/>
      <c r="E217" s="79"/>
      <c r="F217" s="79"/>
      <c r="G217" s="79"/>
      <c r="H217" s="79"/>
      <c r="I217" s="79"/>
      <c r="J217" s="79"/>
      <c r="K217" s="79"/>
      <c r="L217" s="79"/>
      <c r="M217" s="79"/>
      <c r="N217" s="79"/>
      <c r="O217" s="79"/>
      <c r="P217" s="79"/>
      <c r="Q217" s="79"/>
      <c r="R217" s="79"/>
      <c r="S217" s="79"/>
    </row>
    <row r="218" customFormat="false" ht="15" hidden="false" customHeight="false" outlineLevel="0" collapsed="false">
      <c r="B218" s="77" t="s">
        <v>31</v>
      </c>
      <c r="C218" s="25" t="s">
        <v>240</v>
      </c>
      <c r="E218" s="55" t="n">
        <f aca="false">'Global Inputs'!$L$89</f>
        <v>1</v>
      </c>
      <c r="F218" s="72" t="n">
        <f aca="false">'E1 TelukLamong Calc'!F89*$E$218</f>
        <v>0</v>
      </c>
      <c r="G218" s="72" t="n">
        <f aca="false">'E1 TelukLamong Calc'!G89*$E$218</f>
        <v>0</v>
      </c>
      <c r="H218" s="72" t="n">
        <f aca="false">'E1 TelukLamong Calc'!H89*$E$218</f>
        <v>0</v>
      </c>
      <c r="I218" s="72" t="n">
        <f aca="false">'E1 TelukLamong Calc'!I89*$E$218</f>
        <v>0</v>
      </c>
      <c r="J218" s="72" t="n">
        <f aca="false">'E1 TelukLamong Calc'!J89*$E$218</f>
        <v>0</v>
      </c>
      <c r="K218" s="72" t="n">
        <f aca="false">'E1 TelukLamong Calc'!K89*$E$218</f>
        <v>0</v>
      </c>
      <c r="L218" s="72" t="n">
        <f aca="false">'E1 TelukLamong Calc'!L89*$E$218</f>
        <v>0</v>
      </c>
      <c r="M218" s="72" t="n">
        <f aca="false">'E1 TelukLamong Calc'!M89*$E$218</f>
        <v>0</v>
      </c>
      <c r="N218" s="72" t="n">
        <f aca="false">'E1 TelukLamong Calc'!N89*$E$218</f>
        <v>0</v>
      </c>
      <c r="O218" s="72" t="n">
        <f aca="false">'E1 TelukLamong Calc'!O89*$E$218</f>
        <v>0</v>
      </c>
      <c r="P218" s="72" t="n">
        <f aca="false">'E1 TelukLamong Calc'!P89*$E$218</f>
        <v>0</v>
      </c>
      <c r="Q218" s="72" t="n">
        <f aca="false">'E1 TelukLamong Calc'!Q89*$E$218</f>
        <v>0</v>
      </c>
      <c r="R218" s="72" t="n">
        <f aca="false">'E1 TelukLamong Calc'!R89*$E$218</f>
        <v>0</v>
      </c>
      <c r="S218" s="72" t="n">
        <f aca="false">'E1 TelukLamong Calc'!S89*$E$218</f>
        <v>0</v>
      </c>
    </row>
    <row r="219" customFormat="false" ht="15" hidden="false" customHeight="false" outlineLevel="0" collapsed="false">
      <c r="B219" s="77" t="s">
        <v>34</v>
      </c>
      <c r="C219" s="25" t="s">
        <v>240</v>
      </c>
      <c r="E219" s="55" t="n">
        <f aca="false">'Global Inputs'!$L$90</f>
        <v>1</v>
      </c>
      <c r="F219" s="72" t="n">
        <f aca="false">'E2 CigadingExist Calc'!F83*$E$219</f>
        <v>0</v>
      </c>
      <c r="G219" s="72" t="n">
        <f aca="false">'E2 CigadingExist Calc'!G83*$E$219</f>
        <v>0</v>
      </c>
      <c r="H219" s="72" t="n">
        <f aca="false">'E2 CigadingExist Calc'!H83*$E$219</f>
        <v>0</v>
      </c>
      <c r="I219" s="72" t="n">
        <f aca="false">'E2 CigadingExist Calc'!I83*$E$219</f>
        <v>0</v>
      </c>
      <c r="J219" s="72" t="n">
        <f aca="false">'E2 CigadingExist Calc'!J83*$E$219</f>
        <v>0</v>
      </c>
      <c r="K219" s="72" t="n">
        <f aca="false">'E2 CigadingExist Calc'!K83*$E$219</f>
        <v>0</v>
      </c>
      <c r="L219" s="72" t="n">
        <f aca="false">'E2 CigadingExist Calc'!L83*$E$219</f>
        <v>0</v>
      </c>
      <c r="M219" s="72" t="n">
        <f aca="false">'E2 CigadingExist Calc'!M83*$E$219</f>
        <v>0</v>
      </c>
      <c r="N219" s="72" t="n">
        <f aca="false">'E2 CigadingExist Calc'!N83*$E$219</f>
        <v>0</v>
      </c>
      <c r="O219" s="72" t="n">
        <f aca="false">'E2 CigadingExist Calc'!O83*$E$219</f>
        <v>0</v>
      </c>
      <c r="P219" s="72" t="n">
        <f aca="false">'E2 CigadingExist Calc'!P83*$E$219</f>
        <v>0</v>
      </c>
      <c r="Q219" s="72" t="n">
        <f aca="false">'E2 CigadingExist Calc'!Q83*$E$219</f>
        <v>0</v>
      </c>
      <c r="R219" s="72" t="n">
        <f aca="false">'E2 CigadingExist Calc'!R83*$E$219</f>
        <v>0</v>
      </c>
      <c r="S219" s="72" t="n">
        <f aca="false">'E2 CigadingExist Calc'!S83*$E$219</f>
        <v>0</v>
      </c>
    </row>
    <row r="220" customFormat="false" ht="15" hidden="false" customHeight="false" outlineLevel="0" collapsed="false">
      <c r="B220" s="77" t="s">
        <v>37</v>
      </c>
      <c r="C220" s="25" t="s">
        <v>240</v>
      </c>
      <c r="E220" s="55" t="n">
        <f aca="false">'Global Inputs'!$L$91</f>
        <v>1</v>
      </c>
      <c r="F220" s="72" t="n">
        <f aca="false">'E3 Belawan Calc'!F81*$E$220</f>
        <v>0</v>
      </c>
      <c r="G220" s="72" t="n">
        <f aca="false">'E3 Belawan Calc'!G81*$E$220</f>
        <v>0</v>
      </c>
      <c r="H220" s="72" t="n">
        <f aca="false">'E3 Belawan Calc'!H81*$E$220</f>
        <v>0</v>
      </c>
      <c r="I220" s="72" t="n">
        <f aca="false">'E3 Belawan Calc'!I81*$E$220</f>
        <v>7.02459268367661</v>
      </c>
      <c r="J220" s="72" t="n">
        <f aca="false">'E3 Belawan Calc'!J81*$E$220</f>
        <v>7</v>
      </c>
      <c r="K220" s="72" t="n">
        <f aca="false">'E3 Belawan Calc'!K81*$E$220</f>
        <v>0</v>
      </c>
      <c r="L220" s="72" t="n">
        <f aca="false">'E3 Belawan Calc'!L81*$E$220</f>
        <v>0</v>
      </c>
      <c r="M220" s="72" t="n">
        <f aca="false">'E3 Belawan Calc'!M81*$E$220</f>
        <v>0</v>
      </c>
      <c r="N220" s="72" t="n">
        <f aca="false">'E3 Belawan Calc'!N81*$E$220</f>
        <v>0</v>
      </c>
      <c r="O220" s="72" t="n">
        <f aca="false">'E3 Belawan Calc'!O81*$E$220</f>
        <v>0</v>
      </c>
      <c r="P220" s="72" t="n">
        <f aca="false">'E3 Belawan Calc'!P81*$E$220</f>
        <v>0</v>
      </c>
      <c r="Q220" s="72" t="n">
        <f aca="false">'E3 Belawan Calc'!Q81*$E$220</f>
        <v>0</v>
      </c>
      <c r="R220" s="72" t="n">
        <f aca="false">'E3 Belawan Calc'!R81*$E$220</f>
        <v>0</v>
      </c>
      <c r="S220" s="72" t="n">
        <f aca="false">'E3 Belawan Calc'!S81*$E$220</f>
        <v>0</v>
      </c>
    </row>
    <row r="221" customFormat="false" ht="15" hidden="false" customHeight="false" outlineLevel="0" collapsed="false">
      <c r="B221" s="77" t="s">
        <v>40</v>
      </c>
      <c r="C221" s="25" t="s">
        <v>240</v>
      </c>
      <c r="E221" s="55" t="n">
        <f aca="false">'Global Inputs'!$L$92</f>
        <v>1</v>
      </c>
      <c r="F221" s="72" t="n">
        <f aca="false">'E4 WIN Calc'!F199*$E$221</f>
        <v>0</v>
      </c>
      <c r="G221" s="72" t="n">
        <f aca="false">'E4 WIN Calc'!G199*$E$221</f>
        <v>0</v>
      </c>
      <c r="H221" s="72" t="n">
        <f aca="false">'E4 WIN Calc'!H199*$E$221</f>
        <v>0</v>
      </c>
      <c r="I221" s="72" t="n">
        <f aca="false">'E4 WIN Calc'!I199*$E$221</f>
        <v>0</v>
      </c>
      <c r="J221" s="72" t="n">
        <f aca="false">'E4 WIN Calc'!J199*$E$221</f>
        <v>0</v>
      </c>
      <c r="K221" s="72" t="n">
        <f aca="false">'E4 WIN Calc'!K199*$E$221</f>
        <v>0</v>
      </c>
      <c r="L221" s="72" t="n">
        <f aca="false">'E4 WIN Calc'!L199*$E$221</f>
        <v>0</v>
      </c>
      <c r="M221" s="72" t="n">
        <f aca="false">'E4 WIN Calc'!M199*$E$221</f>
        <v>0</v>
      </c>
      <c r="N221" s="72" t="n">
        <f aca="false">'E4 WIN Calc'!N199*$E$221</f>
        <v>0</v>
      </c>
      <c r="O221" s="72" t="n">
        <f aca="false">'E4 WIN Calc'!O199*$E$221</f>
        <v>0</v>
      </c>
      <c r="P221" s="72" t="n">
        <f aca="false">'E4 WIN Calc'!P199*$E$221</f>
        <v>0</v>
      </c>
      <c r="Q221" s="72" t="n">
        <f aca="false">'E4 WIN Calc'!Q199*$E$221</f>
        <v>0</v>
      </c>
      <c r="R221" s="72" t="n">
        <f aca="false">'E4 WIN Calc'!R199*$E$221</f>
        <v>0</v>
      </c>
      <c r="S221" s="72" t="n">
        <f aca="false">'E4 WIN Calc'!S199*$E$221</f>
        <v>0</v>
      </c>
    </row>
    <row r="222" customFormat="false" ht="15" hidden="false" customHeight="false" outlineLevel="0" collapsed="false">
      <c r="B222" s="77" t="s">
        <v>43</v>
      </c>
      <c r="C222" s="25" t="s">
        <v>240</v>
      </c>
      <c r="E222" s="55" t="n">
        <f aca="false">'Global Inputs'!$L$93</f>
        <v>1</v>
      </c>
      <c r="F222" s="72" t="n">
        <f aca="false">'P01 CigWharf2 Calc'!F33*$E$222</f>
        <v>10</v>
      </c>
      <c r="G222" s="72" t="n">
        <f aca="false">'P01 CigWharf2 Calc'!G33*$E$222</f>
        <v>2.3</v>
      </c>
      <c r="H222" s="72" t="n">
        <f aca="false">'P01 CigWharf2 Calc'!H33*$E$222</f>
        <v>0.5</v>
      </c>
      <c r="I222" s="72" t="n">
        <f aca="false">'P01 CigWharf2 Calc'!I33*$E$222</f>
        <v>0</v>
      </c>
      <c r="J222" s="72" t="n">
        <f aca="false">'P01 CigWharf2 Calc'!J33*$E$222</f>
        <v>0</v>
      </c>
      <c r="K222" s="72" t="n">
        <f aca="false">'P01 CigWharf2 Calc'!K33*$E$222</f>
        <v>0</v>
      </c>
      <c r="L222" s="72" t="n">
        <f aca="false">'P01 CigWharf2 Calc'!L33*$E$222</f>
        <v>0</v>
      </c>
      <c r="M222" s="72" t="n">
        <f aca="false">'P01 CigWharf2 Calc'!M33*$E$222</f>
        <v>0</v>
      </c>
      <c r="N222" s="72" t="n">
        <f aca="false">'P01 CigWharf2 Calc'!N33*$E$222</f>
        <v>0</v>
      </c>
      <c r="O222" s="72" t="n">
        <f aca="false">'P01 CigWharf2 Calc'!O33*$E$222</f>
        <v>0</v>
      </c>
      <c r="P222" s="72" t="n">
        <f aca="false">'P01 CigWharf2 Calc'!P33*$E$222</f>
        <v>0</v>
      </c>
      <c r="Q222" s="72" t="n">
        <f aca="false">'P01 CigWharf2 Calc'!Q33*$E$222</f>
        <v>0</v>
      </c>
      <c r="R222" s="72" t="n">
        <f aca="false">'P01 CigWharf2 Calc'!R33*$E$222</f>
        <v>0</v>
      </c>
      <c r="S222" s="72" t="n">
        <f aca="false">'P01 CigWharf2 Calc'!S33*$E$222</f>
        <v>0</v>
      </c>
    </row>
    <row r="223" customFormat="false" ht="15" hidden="false" customHeight="false" outlineLevel="0" collapsed="false">
      <c r="B223" s="77" t="s">
        <v>46</v>
      </c>
      <c r="C223" s="25" t="s">
        <v>240</v>
      </c>
      <c r="E223" s="55" t="n">
        <f aca="false">'Global Inputs'!$L$94</f>
        <v>1</v>
      </c>
      <c r="F223" s="72" t="n">
        <f aca="false">'P02 CigConveyor Calc'!F28*$E$223</f>
        <v>2.2</v>
      </c>
      <c r="G223" s="72" t="n">
        <f aca="false">'P02 CigConveyor Calc'!G28*$E$223</f>
        <v>5.4</v>
      </c>
      <c r="H223" s="72" t="n">
        <f aca="false">'P02 CigConveyor Calc'!H28*$E$223</f>
        <v>0.4</v>
      </c>
      <c r="I223" s="72" t="n">
        <f aca="false">'P02 CigConveyor Calc'!I28*$E$223</f>
        <v>0</v>
      </c>
      <c r="J223" s="72" t="n">
        <f aca="false">'P02 CigConveyor Calc'!J28*$E$223</f>
        <v>0</v>
      </c>
      <c r="K223" s="72" t="n">
        <f aca="false">'P02 CigConveyor Calc'!K28*$E$223</f>
        <v>0</v>
      </c>
      <c r="L223" s="72" t="n">
        <f aca="false">'P02 CigConveyor Calc'!L28*$E$223</f>
        <v>0</v>
      </c>
      <c r="M223" s="72" t="n">
        <f aca="false">'P02 CigConveyor Calc'!M28*$E$223</f>
        <v>0</v>
      </c>
      <c r="N223" s="72" t="n">
        <f aca="false">'P02 CigConveyor Calc'!N28*$E$223</f>
        <v>0</v>
      </c>
      <c r="O223" s="72" t="n">
        <f aca="false">'P02 CigConveyor Calc'!O28*$E$223</f>
        <v>0</v>
      </c>
      <c r="P223" s="72" t="n">
        <f aca="false">'P02 CigConveyor Calc'!P28*$E$223</f>
        <v>0</v>
      </c>
      <c r="Q223" s="72" t="n">
        <f aca="false">'P02 CigConveyor Calc'!Q28*$E$223</f>
        <v>0</v>
      </c>
      <c r="R223" s="72" t="n">
        <f aca="false">'P02 CigConveyor Calc'!R28*$E$223</f>
        <v>0</v>
      </c>
      <c r="S223" s="72" t="n">
        <f aca="false">'P02 CigConveyor Calc'!S28*$E$223</f>
        <v>0</v>
      </c>
    </row>
    <row r="224" customFormat="false" ht="15" hidden="false" customHeight="false" outlineLevel="0" collapsed="false">
      <c r="B224" s="77" t="s">
        <v>48</v>
      </c>
      <c r="C224" s="25" t="s">
        <v>240</v>
      </c>
      <c r="E224" s="55" t="n">
        <f aca="false">'Global Inputs'!$L$95</f>
        <v>1</v>
      </c>
      <c r="F224" s="72" t="n">
        <f aca="false">'P03 KBSWarehouse Calc'!F28*$E$224</f>
        <v>0</v>
      </c>
      <c r="G224" s="72" t="n">
        <f aca="false">'P03 KBSWarehouse Calc'!G28*$E$224</f>
        <v>0</v>
      </c>
      <c r="H224" s="72" t="n">
        <f aca="false">'P03 KBSWarehouse Calc'!H28*$E$224</f>
        <v>0</v>
      </c>
      <c r="I224" s="72" t="n">
        <f aca="false">'P03 KBSWarehouse Calc'!I28*$E$224</f>
        <v>6.02459</v>
      </c>
      <c r="J224" s="72" t="n">
        <f aca="false">'P03 KBSWarehouse Calc'!J28*$E$224</f>
        <v>0</v>
      </c>
      <c r="K224" s="72" t="n">
        <f aca="false">'P03 KBSWarehouse Calc'!K28*$E$224</f>
        <v>0</v>
      </c>
      <c r="L224" s="72" t="n">
        <f aca="false">'P03 KBSWarehouse Calc'!L28*$E$224</f>
        <v>0</v>
      </c>
      <c r="M224" s="72" t="n">
        <f aca="false">'P03 KBSWarehouse Calc'!M28*$E$224</f>
        <v>0</v>
      </c>
      <c r="N224" s="72" t="n">
        <f aca="false">'P03 KBSWarehouse Calc'!N28*$E$224</f>
        <v>0</v>
      </c>
      <c r="O224" s="72" t="n">
        <f aca="false">'P03 KBSWarehouse Calc'!O28*$E$224</f>
        <v>0</v>
      </c>
      <c r="P224" s="72" t="n">
        <f aca="false">'P03 KBSWarehouse Calc'!P28*$E$224</f>
        <v>0</v>
      </c>
      <c r="Q224" s="72" t="n">
        <f aca="false">'P03 KBSWarehouse Calc'!Q28*$E$224</f>
        <v>0</v>
      </c>
      <c r="R224" s="72" t="n">
        <f aca="false">'P03 KBSWarehouse Calc'!R28*$E$224</f>
        <v>0</v>
      </c>
      <c r="S224" s="72" t="n">
        <f aca="false">'P03 KBSWarehouse Calc'!S28*$E$224</f>
        <v>0</v>
      </c>
    </row>
    <row r="225" customFormat="false" ht="15" hidden="false" customHeight="false" outlineLevel="0" collapsed="false">
      <c r="B225" s="77" t="s">
        <v>51</v>
      </c>
      <c r="C225" s="25" t="s">
        <v>240</v>
      </c>
      <c r="E225" s="55" t="n">
        <f aca="false">'Global Inputs'!$L$96</f>
        <v>1</v>
      </c>
      <c r="F225" s="72" t="n">
        <f aca="false">'P04 TTLSilo Calc'!F34*$E$225</f>
        <v>0</v>
      </c>
      <c r="G225" s="72" t="n">
        <f aca="false">'P04 TTLSilo Calc'!G34*$E$225</f>
        <v>0</v>
      </c>
      <c r="H225" s="72" t="n">
        <f aca="false">'P04 TTLSilo Calc'!H34*$E$225</f>
        <v>0</v>
      </c>
      <c r="I225" s="72" t="n">
        <f aca="false">'P04 TTLSilo Calc'!I34*$E$225</f>
        <v>3.7623</v>
      </c>
      <c r="J225" s="72" t="n">
        <f aca="false">'P04 TTLSilo Calc'!J34*$E$225</f>
        <v>0</v>
      </c>
      <c r="K225" s="72" t="n">
        <f aca="false">'P04 TTLSilo Calc'!K34*$E$225</f>
        <v>0</v>
      </c>
      <c r="L225" s="72" t="n">
        <f aca="false">'P04 TTLSilo Calc'!L34*$E$225</f>
        <v>0</v>
      </c>
      <c r="M225" s="72" t="n">
        <f aca="false">'P04 TTLSilo Calc'!M34*$E$225</f>
        <v>0</v>
      </c>
      <c r="N225" s="72" t="n">
        <f aca="false">'P04 TTLSilo Calc'!N34*$E$225</f>
        <v>0</v>
      </c>
      <c r="O225" s="72" t="n">
        <f aca="false">'P04 TTLSilo Calc'!O34*$E$225</f>
        <v>0</v>
      </c>
      <c r="P225" s="72" t="n">
        <f aca="false">'P04 TTLSilo Calc'!P34*$E$225</f>
        <v>0</v>
      </c>
      <c r="Q225" s="72" t="n">
        <f aca="false">'P04 TTLSilo Calc'!Q34*$E$225</f>
        <v>0</v>
      </c>
      <c r="R225" s="72" t="n">
        <f aca="false">'P04 TTLSilo Calc'!R34*$E$225</f>
        <v>0</v>
      </c>
      <c r="S225" s="72" t="n">
        <f aca="false">'P04 TTLSilo Calc'!S34*$E$225</f>
        <v>0</v>
      </c>
    </row>
    <row r="226" customFormat="false" ht="15" hidden="false" customHeight="false" outlineLevel="0" collapsed="false">
      <c r="B226" s="77" t="s">
        <v>54</v>
      </c>
      <c r="C226" s="25" t="s">
        <v>240</v>
      </c>
      <c r="E226" s="55" t="n">
        <f aca="false">'Global Inputs'!$L$97</f>
        <v>1</v>
      </c>
      <c r="F226" s="72" t="n">
        <f aca="false">'P05 Dumai Calc'!F38*$E$226</f>
        <v>0</v>
      </c>
      <c r="G226" s="72" t="n">
        <f aca="false">'P05 Dumai Calc'!G38*$E$226</f>
        <v>0</v>
      </c>
      <c r="H226" s="72" t="n">
        <f aca="false">'P05 Dumai Calc'!H38*$E$226</f>
        <v>0</v>
      </c>
      <c r="I226" s="72" t="n">
        <f aca="false">'P05 Dumai Calc'!I38*$E$226</f>
        <v>6.48452380952381</v>
      </c>
      <c r="J226" s="72" t="n">
        <f aca="false">'P05 Dumai Calc'!J38*$E$226</f>
        <v>0.325</v>
      </c>
      <c r="K226" s="72" t="n">
        <f aca="false">'P05 Dumai Calc'!K38*$E$226</f>
        <v>0</v>
      </c>
      <c r="L226" s="72" t="n">
        <f aca="false">'P05 Dumai Calc'!L38*$E$226</f>
        <v>0</v>
      </c>
      <c r="M226" s="72" t="n">
        <f aca="false">'P05 Dumai Calc'!M38*$E$226</f>
        <v>0</v>
      </c>
      <c r="N226" s="72" t="n">
        <f aca="false">'P05 Dumai Calc'!N38*$E$226</f>
        <v>0</v>
      </c>
      <c r="O226" s="72" t="n">
        <f aca="false">'P05 Dumai Calc'!O38*$E$226</f>
        <v>0</v>
      </c>
      <c r="P226" s="72" t="n">
        <f aca="false">'P05 Dumai Calc'!P38*$E$226</f>
        <v>0</v>
      </c>
      <c r="Q226" s="72" t="n">
        <f aca="false">'P05 Dumai Calc'!Q38*$E$226</f>
        <v>0</v>
      </c>
      <c r="R226" s="72" t="n">
        <f aca="false">'P05 Dumai Calc'!R38*$E$226</f>
        <v>0</v>
      </c>
      <c r="S226" s="72" t="n">
        <f aca="false">'P05 Dumai Calc'!S38*$E$226</f>
        <v>0</v>
      </c>
    </row>
    <row r="227" customFormat="false" ht="15" hidden="false" customHeight="false" outlineLevel="0" collapsed="false">
      <c r="B227" s="77" t="s">
        <v>57</v>
      </c>
      <c r="C227" s="25" t="s">
        <v>240</v>
      </c>
      <c r="E227" s="55" t="n">
        <f aca="false">'Global Inputs'!$L$98</f>
        <v>1</v>
      </c>
      <c r="F227" s="72" t="n">
        <f aca="false">'P06 Ciwandan Calc'!F32*$E$227</f>
        <v>0</v>
      </c>
      <c r="G227" s="72" t="n">
        <f aca="false">'P06 Ciwandan Calc'!G32*$E$227</f>
        <v>0</v>
      </c>
      <c r="H227" s="72" t="n">
        <f aca="false">'P06 Ciwandan Calc'!H32*$E$227</f>
        <v>0</v>
      </c>
      <c r="I227" s="72" t="n">
        <f aca="false">'P06 Ciwandan Calc'!I32*$E$227</f>
        <v>2.5122963418383</v>
      </c>
      <c r="J227" s="72" t="n">
        <f aca="false">'P06 Ciwandan Calc'!J32*$E$227</f>
        <v>2.5122963418383</v>
      </c>
      <c r="K227" s="72" t="n">
        <f aca="false">'P06 Ciwandan Calc'!K32*$E$227</f>
        <v>0</v>
      </c>
      <c r="L227" s="72" t="n">
        <f aca="false">'P06 Ciwandan Calc'!L32*$E$227</f>
        <v>0</v>
      </c>
      <c r="M227" s="72" t="n">
        <f aca="false">'P06 Ciwandan Calc'!M32*$E$227</f>
        <v>0</v>
      </c>
      <c r="N227" s="72" t="n">
        <f aca="false">'P06 Ciwandan Calc'!N32*$E$227</f>
        <v>0</v>
      </c>
      <c r="O227" s="72" t="n">
        <f aca="false">'P06 Ciwandan Calc'!O32*$E$227</f>
        <v>0</v>
      </c>
      <c r="P227" s="72" t="n">
        <f aca="false">'P06 Ciwandan Calc'!P32*$E$227</f>
        <v>0</v>
      </c>
      <c r="Q227" s="72" t="n">
        <f aca="false">'P06 Ciwandan Calc'!Q32*$E$227</f>
        <v>0</v>
      </c>
      <c r="R227" s="72" t="n">
        <f aca="false">'P06 Ciwandan Calc'!R32*$E$227</f>
        <v>0</v>
      </c>
      <c r="S227" s="72" t="n">
        <f aca="false">'P06 Ciwandan Calc'!S32*$E$227</f>
        <v>0</v>
      </c>
    </row>
    <row r="228" customFormat="false" ht="15" hidden="false" customHeight="false" outlineLevel="0" collapsed="false">
      <c r="B228" s="77" t="s">
        <v>60</v>
      </c>
      <c r="C228" s="25" t="s">
        <v>240</v>
      </c>
      <c r="E228" s="55" t="n">
        <f aca="false">'Global Inputs'!$L$99</f>
        <v>1</v>
      </c>
      <c r="F228" s="72" t="n">
        <f aca="false">'P08 DMSTrucking Calc'!F61*$E$228</f>
        <v>0</v>
      </c>
      <c r="G228" s="72" t="n">
        <f aca="false">'P08 DMSTrucking Calc'!G61*$E$228</f>
        <v>0</v>
      </c>
      <c r="H228" s="72" t="n">
        <f aca="false">'P08 DMSTrucking Calc'!H61*$E$228</f>
        <v>0</v>
      </c>
      <c r="I228" s="72" t="n">
        <f aca="false">'P08 DMSTrucking Calc'!I61*$E$228</f>
        <v>0</v>
      </c>
      <c r="J228" s="72" t="n">
        <f aca="false">'P08 DMSTrucking Calc'!J61*$E$228</f>
        <v>0</v>
      </c>
      <c r="K228" s="72" t="n">
        <f aca="false">'P08 DMSTrucking Calc'!K61*$E$228</f>
        <v>0</v>
      </c>
      <c r="L228" s="72" t="n">
        <f aca="false">'P08 DMSTrucking Calc'!L61*$E$228</f>
        <v>0</v>
      </c>
      <c r="M228" s="72" t="n">
        <f aca="false">'P08 DMSTrucking Calc'!M61*$E$228</f>
        <v>0</v>
      </c>
      <c r="N228" s="72" t="n">
        <f aca="false">'P08 DMSTrucking Calc'!N61*$E$228</f>
        <v>0</v>
      </c>
      <c r="O228" s="72" t="n">
        <f aca="false">'P08 DMSTrucking Calc'!O61*$E$228</f>
        <v>0</v>
      </c>
      <c r="P228" s="72" t="n">
        <f aca="false">'P08 DMSTrucking Calc'!P61*$E$228</f>
        <v>0</v>
      </c>
      <c r="Q228" s="72" t="n">
        <f aca="false">'P08 DMSTrucking Calc'!Q61*$E$228</f>
        <v>0</v>
      </c>
      <c r="R228" s="72" t="n">
        <f aca="false">'P08 DMSTrucking Calc'!R61*$E$228</f>
        <v>0</v>
      </c>
      <c r="S228" s="72" t="n">
        <f aca="false">'P08 DMSTrucking Calc'!S61*$E$228</f>
        <v>0</v>
      </c>
    </row>
    <row r="229" customFormat="false" ht="15" hidden="false" customHeight="false" outlineLevel="0" collapsed="false">
      <c r="B229" s="77" t="s">
        <v>63</v>
      </c>
      <c r="C229" s="25" t="s">
        <v>240</v>
      </c>
      <c r="E229" s="55" t="n">
        <f aca="false">'Global Inputs'!$L$100</f>
        <v>1</v>
      </c>
      <c r="F229" s="72" t="n">
        <f aca="false">'P12 BUMNOps Calc'!F65*$E$229</f>
        <v>0</v>
      </c>
      <c r="G229" s="72" t="n">
        <f aca="false">'P12 BUMNOps Calc'!G65*$E$229</f>
        <v>0</v>
      </c>
      <c r="H229" s="72" t="n">
        <f aca="false">'P12 BUMNOps Calc'!H65*$E$229</f>
        <v>0</v>
      </c>
      <c r="I229" s="72" t="n">
        <f aca="false">'P12 BUMNOps Calc'!I65*$E$229</f>
        <v>0</v>
      </c>
      <c r="J229" s="72" t="n">
        <f aca="false">'P12 BUMNOps Calc'!J65*$E$229</f>
        <v>0</v>
      </c>
      <c r="K229" s="72" t="n">
        <f aca="false">'P12 BUMNOps Calc'!K65*$E$229</f>
        <v>0</v>
      </c>
      <c r="L229" s="72" t="n">
        <f aca="false">'P12 BUMNOps Calc'!L65*$E$229</f>
        <v>0</v>
      </c>
      <c r="M229" s="72" t="n">
        <f aca="false">'P12 BUMNOps Calc'!M65*$E$229</f>
        <v>0</v>
      </c>
      <c r="N229" s="72" t="n">
        <f aca="false">'P12 BUMNOps Calc'!N65*$E$229</f>
        <v>0</v>
      </c>
      <c r="O229" s="72" t="n">
        <f aca="false">'P12 BUMNOps Calc'!O65*$E$229</f>
        <v>0</v>
      </c>
      <c r="P229" s="72" t="n">
        <f aca="false">'P12 BUMNOps Calc'!P65*$E$229</f>
        <v>0</v>
      </c>
      <c r="Q229" s="72" t="n">
        <f aca="false">'P12 BUMNOps Calc'!Q65*$E$229</f>
        <v>0</v>
      </c>
      <c r="R229" s="72" t="n">
        <f aca="false">'P12 BUMNOps Calc'!R65*$E$229</f>
        <v>0</v>
      </c>
      <c r="S229" s="72" t="n">
        <f aca="false">'P12 BUMNOps Calc'!S65*$E$229</f>
        <v>0</v>
      </c>
    </row>
    <row r="230" customFormat="false" ht="15" hidden="false" customHeight="false" outlineLevel="0" collapsed="false">
      <c r="B230" s="77" t="s">
        <v>66</v>
      </c>
      <c r="C230" s="25" t="s">
        <v>240</v>
      </c>
      <c r="E230" s="55" t="n">
        <f aca="false">'Global Inputs'!$L$101</f>
        <v>0</v>
      </c>
      <c r="F230" s="72" t="n">
        <f aca="false">'P15 TBM Calc'!F55*$E$230</f>
        <v>0</v>
      </c>
      <c r="G230" s="72" t="n">
        <f aca="false">'P15 TBM Calc'!G55*$E$230</f>
        <v>0</v>
      </c>
      <c r="H230" s="72" t="n">
        <f aca="false">'P15 TBM Calc'!H55*$E$230</f>
        <v>0</v>
      </c>
      <c r="I230" s="72" t="n">
        <f aca="false">'P15 TBM Calc'!I55*$E$230</f>
        <v>0</v>
      </c>
      <c r="J230" s="72" t="n">
        <f aca="false">'P15 TBM Calc'!J55*$E$230</f>
        <v>0</v>
      </c>
      <c r="K230" s="72" t="n">
        <f aca="false">'P15 TBM Calc'!K55*$E$230</f>
        <v>0</v>
      </c>
      <c r="L230" s="72" t="n">
        <f aca="false">'P15 TBM Calc'!L55*$E$230</f>
        <v>0</v>
      </c>
      <c r="M230" s="72" t="n">
        <f aca="false">'P15 TBM Calc'!M55*$E$230</f>
        <v>0</v>
      </c>
      <c r="N230" s="72" t="n">
        <f aca="false">'P15 TBM Calc'!N55*$E$230</f>
        <v>0</v>
      </c>
      <c r="O230" s="72" t="n">
        <f aca="false">'P15 TBM Calc'!O55*$E$230</f>
        <v>0</v>
      </c>
      <c r="P230" s="72" t="n">
        <f aca="false">'P15 TBM Calc'!P55*$E$230</f>
        <v>0</v>
      </c>
      <c r="Q230" s="72" t="n">
        <f aca="false">'P15 TBM Calc'!Q55*$E$230</f>
        <v>0</v>
      </c>
      <c r="R230" s="72" t="n">
        <f aca="false">'P15 TBM Calc'!R55*$E$230</f>
        <v>0</v>
      </c>
      <c r="S230" s="72" t="n">
        <f aca="false">'P15 TBM Calc'!S55*$E$230</f>
        <v>0</v>
      </c>
    </row>
    <row r="231" customFormat="false" ht="15" hidden="false" customHeight="false" outlineLevel="0" collapsed="false">
      <c r="B231" s="77" t="s">
        <v>69</v>
      </c>
      <c r="C231" s="25" t="s">
        <v>240</v>
      </c>
      <c r="E231" s="55" t="n">
        <f aca="false">'Global Inputs'!$L$102</f>
        <v>0</v>
      </c>
      <c r="F231" s="72" t="n">
        <f aca="false">'P19 Badas Calculation'!F46*$E$231</f>
        <v>0</v>
      </c>
      <c r="G231" s="72" t="n">
        <f aca="false">'P19 Badas Calculation'!G46*$E$231</f>
        <v>0</v>
      </c>
      <c r="H231" s="72" t="n">
        <f aca="false">'P19 Badas Calculation'!H46*$E$231</f>
        <v>0</v>
      </c>
      <c r="I231" s="72" t="n">
        <f aca="false">'P19 Badas Calculation'!I46*$E$231</f>
        <v>0</v>
      </c>
      <c r="J231" s="72" t="n">
        <f aca="false">'P19 Badas Calculation'!J46*$E$231</f>
        <v>0</v>
      </c>
      <c r="K231" s="72" t="n">
        <f aca="false">'P19 Badas Calculation'!K46*$E$231</f>
        <v>0</v>
      </c>
      <c r="L231" s="72" t="n">
        <f aca="false">'P19 Badas Calculation'!L46*$E$231</f>
        <v>0</v>
      </c>
      <c r="M231" s="72" t="n">
        <f aca="false">'P19 Badas Calculation'!M46*$E$231</f>
        <v>0</v>
      </c>
      <c r="N231" s="72" t="n">
        <f aca="false">'P19 Badas Calculation'!N46*$E$231</f>
        <v>0</v>
      </c>
      <c r="O231" s="72" t="n">
        <f aca="false">'P19 Badas Calculation'!O46*$E$231</f>
        <v>0</v>
      </c>
      <c r="P231" s="72" t="n">
        <f aca="false">'P19 Badas Calculation'!P46*$E$231</f>
        <v>0</v>
      </c>
      <c r="Q231" s="72" t="n">
        <f aca="false">'P19 Badas Calculation'!Q46*$E$231</f>
        <v>0</v>
      </c>
      <c r="R231" s="72" t="n">
        <f aca="false">'P19 Badas Calculation'!R46*$E$231</f>
        <v>0</v>
      </c>
      <c r="S231" s="72" t="n">
        <f aca="false">'P19 Badas Calculation'!S46*$E$231</f>
        <v>0</v>
      </c>
    </row>
    <row r="232" customFormat="false" ht="15" hidden="false" customHeight="false" outlineLevel="0" collapsed="false">
      <c r="B232" s="69" t="s">
        <v>461</v>
      </c>
      <c r="C232" s="25" t="s">
        <v>240</v>
      </c>
      <c r="E232" s="80" t="n">
        <f aca="false">SUM(F232:S232)</f>
        <v>56.445599176877</v>
      </c>
      <c r="F232" s="81" t="n">
        <f aca="false">F218+F219+F220+F221+F222+F223+F224+F225+F226+F227+F228+F229+F230+F231</f>
        <v>12.2</v>
      </c>
      <c r="G232" s="81" t="n">
        <f aca="false">G218+G219+G220+G221+G222+G223+G224+G225+G226+G227+G228+G229+G230+G231</f>
        <v>7.7</v>
      </c>
      <c r="H232" s="81" t="n">
        <f aca="false">H218+H219+H220+H221+H222+H223+H224+H225+H226+H227+H228+H229+H230+H231</f>
        <v>0.9</v>
      </c>
      <c r="I232" s="81" t="n">
        <f aca="false">I218+I219+I220+I221+I222+I223+I224+I225+I226+I227+I228+I229+I230+I231</f>
        <v>25.8083028350387</v>
      </c>
      <c r="J232" s="81" t="n">
        <f aca="false">J218+J219+J220+J221+J222+J223+J224+J225+J226+J227+J228+J229+J230+J231</f>
        <v>9.83729634183831</v>
      </c>
      <c r="K232" s="81" t="n">
        <f aca="false">K218+K219+K220+K221+K222+K223+K224+K225+K226+K227+K228+K229+K230+K231</f>
        <v>0</v>
      </c>
      <c r="L232" s="81" t="n">
        <f aca="false">L218+L219+L220+L221+L222+L223+L224+L225+L226+L227+L228+L229+L230+L231</f>
        <v>0</v>
      </c>
      <c r="M232" s="81" t="n">
        <f aca="false">M218+M219+M220+M221+M222+M223+M224+M225+M226+M227+M228+M229+M230+M231</f>
        <v>0</v>
      </c>
      <c r="N232" s="81" t="n">
        <f aca="false">N218+N219+N220+N221+N222+N223+N224+N225+N226+N227+N228+N229+N230+N231</f>
        <v>0</v>
      </c>
      <c r="O232" s="81" t="n">
        <f aca="false">O218+O219+O220+O221+O222+O223+O224+O225+O226+O227+O228+O229+O230+O231</f>
        <v>0</v>
      </c>
      <c r="P232" s="81" t="n">
        <f aca="false">P218+P219+P220+P221+P222+P223+P224+P225+P226+P227+P228+P229+P230+P231</f>
        <v>0</v>
      </c>
      <c r="Q232" s="81" t="n">
        <f aca="false">Q218+Q219+Q220+Q221+Q222+Q223+Q224+Q225+Q226+Q227+Q228+Q229+Q230+Q231</f>
        <v>0</v>
      </c>
      <c r="R232" s="81" t="n">
        <f aca="false">R218+R219+R220+R221+R222+R223+R224+R225+R226+R227+R228+R229+R230+R231</f>
        <v>0</v>
      </c>
      <c r="S232" s="81" t="n">
        <f aca="false">S218+S219+S220+S221+S222+S223+S224+S225+S226+S227+S228+S229+S230+S231</f>
        <v>0</v>
      </c>
    </row>
    <row r="233" customFormat="false" ht="15" hidden="false" customHeight="false" outlineLevel="0" collapsed="false">
      <c r="B233" s="78" t="s">
        <v>352</v>
      </c>
      <c r="C233" s="79"/>
      <c r="D233" s="79"/>
      <c r="E233" s="79"/>
      <c r="F233" s="79"/>
      <c r="G233" s="79"/>
      <c r="H233" s="79"/>
      <c r="I233" s="79"/>
      <c r="J233" s="79"/>
      <c r="K233" s="79"/>
      <c r="L233" s="79"/>
      <c r="M233" s="79"/>
      <c r="N233" s="79"/>
      <c r="O233" s="79"/>
      <c r="P233" s="79"/>
      <c r="Q233" s="79"/>
      <c r="R233" s="79"/>
      <c r="S233" s="79"/>
    </row>
    <row r="234" customFormat="false" ht="15" hidden="false" customHeight="false" outlineLevel="0" collapsed="false">
      <c r="B234" s="77" t="s">
        <v>31</v>
      </c>
      <c r="C234" s="25" t="s">
        <v>170</v>
      </c>
      <c r="E234" s="55" t="n">
        <f aca="false">'Global Inputs'!$L$89</f>
        <v>1</v>
      </c>
      <c r="F234" s="58" t="n">
        <f aca="false">'E1 TelukLamong Calc'!F99*$E$234</f>
        <v>0</v>
      </c>
      <c r="G234" s="58" t="n">
        <f aca="false">'E1 TelukLamong Calc'!G99*$E$234</f>
        <v>-2.69467710415828</v>
      </c>
      <c r="H234" s="58" t="n">
        <f aca="false">'E1 TelukLamong Calc'!H99*$E$234</f>
        <v>0.511285575743667</v>
      </c>
      <c r="I234" s="58" t="n">
        <f aca="false">'E1 TelukLamong Calc'!I99*$E$234</f>
        <v>0.475116560332946</v>
      </c>
      <c r="J234" s="58" t="n">
        <f aca="false">'E1 TelukLamong Calc'!J99*$E$234</f>
        <v>0.488627690838815</v>
      </c>
      <c r="K234" s="58" t="n">
        <f aca="false">'E1 TelukLamong Calc'!K99*$E$234</f>
        <v>0.449342963009634</v>
      </c>
      <c r="L234" s="58" t="n">
        <f aca="false">'E1 TelukLamong Calc'!L99*$E$234</f>
        <v>1.23301005239415</v>
      </c>
      <c r="M234" s="58" t="n">
        <f aca="false">'E1 TelukLamong Calc'!M99*$E$234</f>
        <v>0.545227885382797</v>
      </c>
      <c r="N234" s="58" t="n">
        <f aca="false">'E1 TelukLamong Calc'!N99*$E$234</f>
        <v>0.558376947086764</v>
      </c>
      <c r="O234" s="58" t="n">
        <f aca="false">'E1 TelukLamong Calc'!O99*$E$234</f>
        <v>1.26381888624326</v>
      </c>
      <c r="P234" s="58" t="n">
        <f aca="false">'E1 TelukLamong Calc'!P99*$E$234</f>
        <v>0.669038449617968</v>
      </c>
      <c r="Q234" s="58" t="n">
        <f aca="false">'E1 TelukLamong Calc'!Q99*$E$234</f>
        <v>0.62234838973799</v>
      </c>
      <c r="R234" s="58" t="n">
        <f aca="false">'E1 TelukLamong Calc'!R99*$E$234</f>
        <v>0.636973488078322</v>
      </c>
      <c r="S234" s="58" t="n">
        <f aca="false">'E1 TelukLamong Calc'!S99*$E$234</f>
        <v>0.583801836710688</v>
      </c>
    </row>
    <row r="235" customFormat="false" ht="15" hidden="false" customHeight="false" outlineLevel="0" collapsed="false">
      <c r="B235" s="77" t="s">
        <v>34</v>
      </c>
      <c r="C235" s="25" t="s">
        <v>170</v>
      </c>
      <c r="E235" s="55" t="n">
        <f aca="false">'Global Inputs'!$L$90</f>
        <v>1</v>
      </c>
      <c r="F235" s="58" t="n">
        <f aca="false">'E2 CigadingExist Calc'!F93*$E$235</f>
        <v>0</v>
      </c>
      <c r="G235" s="58" t="n">
        <f aca="false">'E2 CigadingExist Calc'!G93*$E$235</f>
        <v>-0.438386311723827</v>
      </c>
      <c r="H235" s="58" t="n">
        <f aca="false">'E2 CigadingExist Calc'!H93*$E$235</f>
        <v>0.91975161680469</v>
      </c>
      <c r="I235" s="58" t="n">
        <f aca="false">'E2 CigadingExist Calc'!I93*$E$235</f>
        <v>0.123333795054978</v>
      </c>
      <c r="J235" s="58" t="n">
        <f aca="false">'E2 CigadingExist Calc'!J93*$E$235</f>
        <v>1.34256414172363</v>
      </c>
      <c r="K235" s="58" t="n">
        <f aca="false">'E2 CigadingExist Calc'!K93*$E$235</f>
        <v>0.151534388617997</v>
      </c>
      <c r="L235" s="58" t="n">
        <f aca="false">'E2 CigadingExist Calc'!L93*$E$235</f>
        <v>0.959348005639164</v>
      </c>
      <c r="M235" s="58" t="n">
        <f aca="false">'E2 CigadingExist Calc'!M93*$E$235</f>
        <v>0.200086263679455</v>
      </c>
      <c r="N235" s="58" t="n">
        <f aca="false">'E2 CigadingExist Calc'!N93*$E$235</f>
        <v>0.745967019396987</v>
      </c>
      <c r="O235" s="58" t="n">
        <f aca="false">'E2 CigadingExist Calc'!O93*$E$235</f>
        <v>0.200982984896127</v>
      </c>
      <c r="P235" s="58" t="n">
        <f aca="false">'E2 CigadingExist Calc'!P93*$E$235</f>
        <v>0.863091170876249</v>
      </c>
      <c r="Q235" s="58" t="n">
        <f aca="false">'E2 CigadingExist Calc'!Q93*$E$235</f>
        <v>0.256175323427415</v>
      </c>
      <c r="R235" s="58" t="n">
        <f aca="false">'E2 CigadingExist Calc'!R93*$E$235</f>
        <v>0.262628165795999</v>
      </c>
      <c r="S235" s="58" t="n">
        <f aca="false">'E2 CigadingExist Calc'!S93*$E$235</f>
        <v>0.242024625891201</v>
      </c>
    </row>
    <row r="236" customFormat="false" ht="15" hidden="false" customHeight="false" outlineLevel="0" collapsed="false">
      <c r="B236" s="77" t="s">
        <v>37</v>
      </c>
      <c r="C236" s="25" t="s">
        <v>170</v>
      </c>
      <c r="E236" s="55" t="n">
        <f aca="false">'Global Inputs'!$L$91</f>
        <v>1</v>
      </c>
      <c r="F236" s="58" t="n">
        <f aca="false">'E3 Belawan Calc'!F98*$E$236</f>
        <v>0</v>
      </c>
      <c r="G236" s="58" t="n">
        <f aca="false">'E3 Belawan Calc'!G98*$E$236</f>
        <v>-0.240787471642953</v>
      </c>
      <c r="H236" s="58" t="n">
        <f aca="false">'E3 Belawan Calc'!H98*$E$236</f>
        <v>0.0608716133521008</v>
      </c>
      <c r="I236" s="58" t="n">
        <f aca="false">'E3 Belawan Calc'!I98*$E$236</f>
        <v>1.39968217986214</v>
      </c>
      <c r="J236" s="58" t="n">
        <f aca="false">'E3 Belawan Calc'!J98*$E$236</f>
        <v>1.11851283748626</v>
      </c>
      <c r="K236" s="58" t="n">
        <f aca="false">'E3 Belawan Calc'!K98*$E$236</f>
        <v>0.514728472712831</v>
      </c>
      <c r="L236" s="58" t="n">
        <f aca="false">'E3 Belawan Calc'!L98*$E$236</f>
        <v>0.574517010294794</v>
      </c>
      <c r="M236" s="58" t="n">
        <f aca="false">'E3 Belawan Calc'!M98*$E$236</f>
        <v>0.593458194365939</v>
      </c>
      <c r="N236" s="58" t="n">
        <f aca="false">'E3 Belawan Calc'!N98*$E$236</f>
        <v>0.628303508361864</v>
      </c>
      <c r="O236" s="58" t="n">
        <f aca="false">'E3 Belawan Calc'!O98*$E$236</f>
        <v>0.644123958638215</v>
      </c>
      <c r="P236" s="58" t="n">
        <f aca="false">'E3 Belawan Calc'!P98*$E$236</f>
        <v>0.724424491622747</v>
      </c>
      <c r="Q236" s="58" t="n">
        <f aca="false">'E3 Belawan Calc'!Q98*$E$236</f>
        <v>0.744208678549608</v>
      </c>
      <c r="R236" s="58" t="n">
        <f aca="false">'E3 Belawan Calc'!R98*$E$236</f>
        <v>-3.07758892772107</v>
      </c>
      <c r="S236" s="58" t="n">
        <f aca="false">'E3 Belawan Calc'!S98*$E$236</f>
        <v>0.366942402946497</v>
      </c>
    </row>
    <row r="237" customFormat="false" ht="15" hidden="false" customHeight="false" outlineLevel="0" collapsed="false">
      <c r="B237" s="77" t="s">
        <v>40</v>
      </c>
      <c r="C237" s="25" t="s">
        <v>170</v>
      </c>
      <c r="E237" s="55" t="n">
        <f aca="false">'Global Inputs'!$L$92</f>
        <v>1</v>
      </c>
      <c r="F237" s="58" t="n">
        <f aca="false">'E4 WIN Calc'!F209*$E$237</f>
        <v>0</v>
      </c>
      <c r="G237" s="58" t="n">
        <f aca="false">'E4 WIN Calc'!G209*$E$237</f>
        <v>0.536786052322896</v>
      </c>
      <c r="H237" s="58" t="n">
        <f aca="false">'E4 WIN Calc'!H209*$E$237</f>
        <v>-0.958011566514756</v>
      </c>
      <c r="I237" s="58" t="n">
        <f aca="false">'E4 WIN Calc'!I209*$E$237</f>
        <v>0.0919068209908458</v>
      </c>
      <c r="J237" s="58" t="n">
        <f aca="false">'E4 WIN Calc'!J209*$E$237</f>
        <v>0.342179353219455</v>
      </c>
      <c r="K237" s="58" t="n">
        <f aca="false">'E4 WIN Calc'!K209*$E$237</f>
        <v>0.356755385442868</v>
      </c>
      <c r="L237" s="58" t="n">
        <f aca="false">'E4 WIN Calc'!L209*$E$237</f>
        <v>0.413125276365123</v>
      </c>
      <c r="M237" s="58" t="n">
        <f aca="false">'E4 WIN Calc'!M209*$E$237</f>
        <v>0.432345531889593</v>
      </c>
      <c r="N237" s="58" t="n">
        <f aca="false">'E4 WIN Calc'!N209*$E$237</f>
        <v>0.467357956669559</v>
      </c>
      <c r="O237" s="58" t="n">
        <f aca="false">'E4 WIN Calc'!O209*$E$237</f>
        <v>0.4870660903619</v>
      </c>
      <c r="P237" s="58" t="n">
        <f aca="false">'E4 WIN Calc'!P209*$E$237</f>
        <v>0.564168889745258</v>
      </c>
      <c r="Q237" s="58" t="n">
        <f aca="false">'E4 WIN Calc'!Q209*$E$237</f>
        <v>-0.575030580480164</v>
      </c>
      <c r="R237" s="58" t="n">
        <f aca="false">'E4 WIN Calc'!R209*$E$237</f>
        <v>0.330218833892006</v>
      </c>
      <c r="S237" s="58" t="n">
        <f aca="false">'E4 WIN Calc'!S209*$E$237</f>
        <v>0.326807575177587</v>
      </c>
    </row>
    <row r="238" customFormat="false" ht="15" hidden="false" customHeight="false" outlineLevel="0" collapsed="false">
      <c r="B238" s="77" t="s">
        <v>43</v>
      </c>
      <c r="C238" s="25" t="s">
        <v>170</v>
      </c>
      <c r="E238" s="55" t="n">
        <f aca="false">'Global Inputs'!$L$93</f>
        <v>1</v>
      </c>
      <c r="F238" s="58" t="n">
        <f aca="false">'P01 CigWharf2 Calc'!F50*$E$238</f>
        <v>0</v>
      </c>
      <c r="G238" s="58" t="n">
        <f aca="false">'P01 CigWharf2 Calc'!G50*$E$238</f>
        <v>0</v>
      </c>
      <c r="H238" s="58" t="n">
        <f aca="false">'P01 CigWharf2 Calc'!H50*$E$238</f>
        <v>11.585208569417</v>
      </c>
      <c r="I238" s="58" t="n">
        <f aca="false">'P01 CigWharf2 Calc'!I50*$E$238</f>
        <v>0.328601413306934</v>
      </c>
      <c r="J238" s="58" t="n">
        <f aca="false">'P01 CigWharf2 Calc'!J50*$E$238</f>
        <v>2.96123373216884</v>
      </c>
      <c r="K238" s="58" t="n">
        <f aca="false">'P01 CigWharf2 Calc'!K50*$E$238</f>
        <v>0.382793025521675</v>
      </c>
      <c r="L238" s="58" t="n">
        <f aca="false">'P01 CigWharf2 Calc'!L50*$E$238</f>
        <v>2.14799533352352</v>
      </c>
      <c r="M238" s="58" t="n">
        <f aca="false">'P01 CigWharf2 Calc'!M50*$E$238</f>
        <v>0.497478800936744</v>
      </c>
      <c r="N238" s="58" t="n">
        <f aca="false">'P01 CigWharf2 Calc'!N50*$E$238</f>
        <v>1.68030141871447</v>
      </c>
      <c r="O238" s="58" t="n">
        <f aca="false">'P01 CigWharf2 Calc'!O50*$E$238</f>
        <v>0.504354945206618</v>
      </c>
      <c r="P238" s="58" t="n">
        <f aca="false">'P01 CigWharf2 Calc'!P50*$E$238</f>
        <v>1.94457078029182</v>
      </c>
      <c r="Q238" s="58" t="n">
        <f aca="false">'P01 CigWharf2 Calc'!Q50*$E$238</f>
        <v>0.629007050047115</v>
      </c>
      <c r="R238" s="58" t="n">
        <f aca="false">'P01 CigWharf2 Calc'!R50*$E$238</f>
        <v>0.645774028818806</v>
      </c>
      <c r="S238" s="58" t="n">
        <f aca="false">'P01 CigWharf2 Calc'!S50*$E$238</f>
        <v>0.597423484648626</v>
      </c>
    </row>
    <row r="239" customFormat="false" ht="15" hidden="false" customHeight="false" outlineLevel="0" collapsed="false">
      <c r="B239" s="77" t="s">
        <v>46</v>
      </c>
      <c r="C239" s="25" t="s">
        <v>170</v>
      </c>
      <c r="E239" s="55" t="n">
        <f aca="false">'Global Inputs'!$L$94</f>
        <v>1</v>
      </c>
      <c r="F239" s="58" t="n">
        <f aca="false">'P02 CigConveyor Calc'!F45*$E$239</f>
        <v>0</v>
      </c>
      <c r="G239" s="58" t="n">
        <f aca="false">'P02 CigConveyor Calc'!G45*$E$239</f>
        <v>0</v>
      </c>
      <c r="H239" s="58" t="n">
        <f aca="false">'P02 CigConveyor Calc'!H45*$E$239</f>
        <v>3.68407198761725</v>
      </c>
      <c r="I239" s="58" t="n">
        <f aca="false">'P02 CigConveyor Calc'!I45*$E$239</f>
        <v>0.107614494182877</v>
      </c>
      <c r="J239" s="58" t="n">
        <f aca="false">'P02 CigConveyor Calc'!J45*$E$239</f>
        <v>0.110568155234777</v>
      </c>
      <c r="K239" s="58" t="n">
        <f aca="false">'P02 CigConveyor Calc'!K45*$E$239</f>
        <v>0.102621429200262</v>
      </c>
      <c r="L239" s="58" t="n">
        <f aca="false">'P02 CigConveyor Calc'!L45*$E$239</f>
        <v>0.127664506059525</v>
      </c>
      <c r="M239" s="58" t="n">
        <f aca="false">'P02 CigConveyor Calc'!M45*$E$239</f>
        <v>0.119864915894918</v>
      </c>
      <c r="N239" s="58" t="n">
        <f aca="false">'P02 CigConveyor Calc'!N45*$E$239</f>
        <v>0.123112788176238</v>
      </c>
      <c r="O239" s="58" t="n">
        <f aca="false">'P02 CigConveyor Calc'!O45*$E$239</f>
        <v>0.114136474870602</v>
      </c>
      <c r="P239" s="58" t="n">
        <f aca="false">'P02 CigConveyor Calc'!P45*$E$239</f>
        <v>0.14213866808887</v>
      </c>
      <c r="Q239" s="58" t="n">
        <f aca="false">'P02 CigConveyor Calc'!Q45*$E$239</f>
        <v>0.133317771449683</v>
      </c>
      <c r="R239" s="58" t="n">
        <f aca="false">'P02 CigConveyor Calc'!R45*$E$239</f>
        <v>0.136876373349406</v>
      </c>
      <c r="S239" s="58" t="n">
        <f aca="false">'P02 CigConveyor Calc'!S45*$E$239</f>
        <v>0.126737551509448</v>
      </c>
    </row>
    <row r="240" customFormat="false" ht="15" hidden="false" customHeight="false" outlineLevel="0" collapsed="false">
      <c r="B240" s="77" t="s">
        <v>48</v>
      </c>
      <c r="C240" s="25" t="s">
        <v>170</v>
      </c>
      <c r="E240" s="55" t="n">
        <f aca="false">'Global Inputs'!$L$95</f>
        <v>1</v>
      </c>
      <c r="F240" s="58" t="n">
        <f aca="false">'P03 KBSWarehouse Calc'!F45*$E$240</f>
        <v>0</v>
      </c>
      <c r="G240" s="58" t="n">
        <f aca="false">'P03 KBSWarehouse Calc'!G45*$E$240</f>
        <v>0</v>
      </c>
      <c r="H240" s="58" t="n">
        <f aca="false">'P03 KBSWarehouse Calc'!H45*$E$240</f>
        <v>0</v>
      </c>
      <c r="I240" s="58" t="n">
        <f aca="false">'P03 KBSWarehouse Calc'!I45*$E$240</f>
        <v>0</v>
      </c>
      <c r="J240" s="58" t="n">
        <f aca="false">'P03 KBSWarehouse Calc'!J45*$E$240</f>
        <v>6.10136669589041</v>
      </c>
      <c r="K240" s="58" t="n">
        <f aca="false">'P03 KBSWarehouse Calc'!K45*$E$240</f>
        <v>0.165870488044015</v>
      </c>
      <c r="L240" s="58" t="n">
        <f aca="false">'P03 KBSWarehouse Calc'!L45*$E$240</f>
        <v>0.205702743735712</v>
      </c>
      <c r="M240" s="58" t="n">
        <f aca="false">'P03 KBSWarehouse Calc'!M45*$E$240</f>
        <v>0.194188197830104</v>
      </c>
      <c r="N240" s="58" t="n">
        <f aca="false">'P03 KBSWarehouse Calc'!N45*$E$240</f>
        <v>0.200013843765008</v>
      </c>
      <c r="O240" s="58" t="n">
        <f aca="false">'P03 KBSWarehouse Calc'!O45*$E$240</f>
        <v>0.186688695612538</v>
      </c>
      <c r="P240" s="58" t="n">
        <f aca="false">'P03 KBSWarehouse Calc'!P45*$E$240</f>
        <v>0.231520250315716</v>
      </c>
      <c r="Q240" s="58" t="n">
        <f aca="false">'P03 KBSWarehouse Calc'!Q45*$E$240</f>
        <v>0.218560527455803</v>
      </c>
      <c r="R240" s="58" t="n">
        <f aca="false">'P03 KBSWarehouse Calc'!R45*$E$240</f>
        <v>0.225117343279483</v>
      </c>
      <c r="S240" s="58" t="n">
        <f aca="false">'P03 KBSWarehouse Calc'!S45*$E$240</f>
        <v>0.210119771639318</v>
      </c>
    </row>
    <row r="241" customFormat="false" ht="15" hidden="false" customHeight="false" outlineLevel="0" collapsed="false">
      <c r="B241" s="77" t="s">
        <v>51</v>
      </c>
      <c r="C241" s="25" t="s">
        <v>170</v>
      </c>
      <c r="E241" s="55" t="n">
        <f aca="false">'Global Inputs'!$L$96</f>
        <v>1</v>
      </c>
      <c r="F241" s="58" t="n">
        <f aca="false">'P04 TTLSilo Calc'!F51*$E$241</f>
        <v>0</v>
      </c>
      <c r="G241" s="58" t="n">
        <f aca="false">'P04 TTLSilo Calc'!G51*$E$241</f>
        <v>0</v>
      </c>
      <c r="H241" s="58" t="n">
        <f aca="false">'P04 TTLSilo Calc'!H51*$E$241</f>
        <v>0</v>
      </c>
      <c r="I241" s="58" t="n">
        <f aca="false">'P04 TTLSilo Calc'!I51*$E$241</f>
        <v>0</v>
      </c>
      <c r="J241" s="58" t="n">
        <f aca="false">'P04 TTLSilo Calc'!J51*$E$241</f>
        <v>1.63479452054795</v>
      </c>
      <c r="K241" s="58" t="n">
        <f aca="false">'P04 TTLSilo Calc'!K51*$E$241</f>
        <v>-0.0044666516954861</v>
      </c>
      <c r="L241" s="58" t="n">
        <f aca="false">'P04 TTLSilo Calc'!L51*$E$241</f>
        <v>0.0044666516954861</v>
      </c>
      <c r="M241" s="58" t="n">
        <f aca="false">'P04 TTLSilo Calc'!M51*$E$241</f>
        <v>0</v>
      </c>
      <c r="N241" s="58" t="n">
        <f aca="false">'P04 TTLSilo Calc'!N51*$E$241</f>
        <v>0</v>
      </c>
      <c r="O241" s="58" t="n">
        <f aca="false">'P04 TTLSilo Calc'!O51*$E$241</f>
        <v>-0.0044666516954861</v>
      </c>
      <c r="P241" s="58" t="n">
        <f aca="false">'P04 TTLSilo Calc'!P51*$E$241</f>
        <v>0.0044666516954861</v>
      </c>
      <c r="Q241" s="58" t="n">
        <f aca="false">'P04 TTLSilo Calc'!Q51*$E$241</f>
        <v>0</v>
      </c>
      <c r="R241" s="58" t="n">
        <f aca="false">'P04 TTLSilo Calc'!R51*$E$241</f>
        <v>0</v>
      </c>
      <c r="S241" s="58" t="n">
        <f aca="false">'P04 TTLSilo Calc'!S51*$E$241</f>
        <v>-0.0044666516954861</v>
      </c>
    </row>
    <row r="242" customFormat="false" ht="15" hidden="false" customHeight="false" outlineLevel="0" collapsed="false">
      <c r="B242" s="77" t="s">
        <v>54</v>
      </c>
      <c r="C242" s="25" t="s">
        <v>170</v>
      </c>
      <c r="E242" s="55" t="n">
        <f aca="false">'Global Inputs'!$L$97</f>
        <v>1</v>
      </c>
      <c r="F242" s="58" t="n">
        <f aca="false">'P05 Dumai Calc'!F55*$E$242</f>
        <v>0</v>
      </c>
      <c r="G242" s="58" t="n">
        <f aca="false">'P05 Dumai Calc'!G55*$E$242</f>
        <v>0</v>
      </c>
      <c r="H242" s="58" t="n">
        <f aca="false">'P05 Dumai Calc'!H55*$E$242</f>
        <v>0</v>
      </c>
      <c r="I242" s="58" t="n">
        <f aca="false">'P05 Dumai Calc'!I55*$E$242</f>
        <v>5.93013698630137</v>
      </c>
      <c r="J242" s="58" t="n">
        <f aca="false">'P05 Dumai Calc'!J55*$E$242</f>
        <v>0</v>
      </c>
      <c r="K242" s="58" t="n">
        <f aca="false">'P05 Dumai Calc'!K55*$E$242</f>
        <v>-0.0162025600718616</v>
      </c>
      <c r="L242" s="58" t="n">
        <f aca="false">'P05 Dumai Calc'!L55*$E$242</f>
        <v>0.425221738154053</v>
      </c>
      <c r="M242" s="58" t="n">
        <f aca="false">'P05 Dumai Calc'!M55*$E$242</f>
        <v>0</v>
      </c>
      <c r="N242" s="58" t="n">
        <f aca="false">'P05 Dumai Calc'!N55*$E$242</f>
        <v>0</v>
      </c>
      <c r="O242" s="58" t="n">
        <f aca="false">'P05 Dumai Calc'!O55*$E$242</f>
        <v>-0.0173200988097904</v>
      </c>
      <c r="P242" s="58" t="n">
        <f aca="false">'P05 Dumai Calc'!P55*$E$242</f>
        <v>0.455065245111161</v>
      </c>
      <c r="Q242" s="58" t="n">
        <f aca="false">'P05 Dumai Calc'!Q55*$E$242</f>
        <v>0</v>
      </c>
      <c r="R242" s="58" t="n">
        <f aca="false">'P05 Dumai Calc'!R55*$E$242</f>
        <v>0</v>
      </c>
      <c r="S242" s="58" t="n">
        <f aca="false">'P05 Dumai Calc'!S55*$E$242</f>
        <v>-0.0185161237996851</v>
      </c>
    </row>
    <row r="243" customFormat="false" ht="15" hidden="false" customHeight="false" outlineLevel="0" collapsed="false">
      <c r="B243" s="77" t="s">
        <v>57</v>
      </c>
      <c r="C243" s="25" t="s">
        <v>170</v>
      </c>
      <c r="E243" s="55" t="n">
        <f aca="false">'Global Inputs'!$L$98</f>
        <v>1</v>
      </c>
      <c r="F243" s="58" t="n">
        <f aca="false">'P06 Ciwandan Calc'!F49*$E$243</f>
        <v>0</v>
      </c>
      <c r="G243" s="58" t="n">
        <f aca="false">'P06 Ciwandan Calc'!G49*$E$243</f>
        <v>0</v>
      </c>
      <c r="H243" s="58" t="n">
        <f aca="false">'P06 Ciwandan Calc'!H49*$E$243</f>
        <v>0</v>
      </c>
      <c r="I243" s="58" t="n">
        <f aca="false">'P06 Ciwandan Calc'!I49*$E$243</f>
        <v>0</v>
      </c>
      <c r="J243" s="58" t="n">
        <f aca="false">'P06 Ciwandan Calc'!J49*$E$243</f>
        <v>0</v>
      </c>
      <c r="K243" s="58" t="n">
        <f aca="false">'P06 Ciwandan Calc'!K49*$E$243</f>
        <v>5.92839291223733</v>
      </c>
      <c r="L243" s="58" t="n">
        <f aca="false">'P06 Ciwandan Calc'!L49*$E$243</f>
        <v>2.0489105112554</v>
      </c>
      <c r="M243" s="58" t="n">
        <f aca="false">'P06 Ciwandan Calc'!M49*$E$243</f>
        <v>0.780575261325453</v>
      </c>
      <c r="N243" s="58" t="n">
        <f aca="false">'P06 Ciwandan Calc'!N49*$E$243</f>
        <v>1.93329252968946</v>
      </c>
      <c r="O243" s="58" t="n">
        <f aca="false">'P06 Ciwandan Calc'!O49*$E$243</f>
        <v>0.584549479072292</v>
      </c>
      <c r="P243" s="58" t="n">
        <f aca="false">'P06 Ciwandan Calc'!P49*$E$243</f>
        <v>1.53561284300863</v>
      </c>
      <c r="Q243" s="58" t="n">
        <f aca="false">'P06 Ciwandan Calc'!Q49*$E$243</f>
        <v>0.741890733445395</v>
      </c>
      <c r="R243" s="58" t="n">
        <f aca="false">'P06 Ciwandan Calc'!R49*$E$243</f>
        <v>1.6440196182873</v>
      </c>
      <c r="S243" s="58" t="n">
        <f aca="false">'P06 Ciwandan Calc'!S49*$E$243</f>
        <v>0.833741637291814</v>
      </c>
    </row>
    <row r="244" customFormat="false" ht="15" hidden="false" customHeight="false" outlineLevel="0" collapsed="false">
      <c r="B244" s="77" t="s">
        <v>60</v>
      </c>
      <c r="C244" s="25" t="s">
        <v>170</v>
      </c>
      <c r="E244" s="55" t="n">
        <f aca="false">'Global Inputs'!$L$99</f>
        <v>1</v>
      </c>
      <c r="F244" s="58" t="n">
        <f aca="false">'P08 DMSTrucking Calc'!F71*$E$244</f>
        <v>0</v>
      </c>
      <c r="G244" s="58" t="n">
        <f aca="false">'P08 DMSTrucking Calc'!G71*$E$244</f>
        <v>0</v>
      </c>
      <c r="H244" s="58" t="n">
        <f aca="false">'P08 DMSTrucking Calc'!H71*$E$244</f>
        <v>0</v>
      </c>
      <c r="I244" s="58" t="n">
        <f aca="false">'P08 DMSTrucking Calc'!I71*$E$244</f>
        <v>0</v>
      </c>
      <c r="J244" s="58" t="n">
        <f aca="false">'P08 DMSTrucking Calc'!J71*$E$244</f>
        <v>0.339336932040986</v>
      </c>
      <c r="K244" s="58" t="n">
        <f aca="false">'P08 DMSTrucking Calc'!K71*$E$244</f>
        <v>0.0664956351743384</v>
      </c>
      <c r="L244" s="58" t="n">
        <f aca="false">'P08 DMSTrucking Calc'!L71*$E$244</f>
        <v>0.0175465045349029</v>
      </c>
      <c r="M244" s="58" t="n">
        <f aca="false">'P08 DMSTrucking Calc'!M71*$E$244</f>
        <v>0.0173281118785343</v>
      </c>
      <c r="N244" s="58" t="n">
        <f aca="false">'P08 DMSTrucking Calc'!N71*$E$244</f>
        <v>0.0182884374266711</v>
      </c>
      <c r="O244" s="58" t="n">
        <f aca="false">'P08 DMSTrucking Calc'!O71*$E$244</f>
        <v>0.0149774448893486</v>
      </c>
      <c r="P244" s="58" t="n">
        <f aca="false">'P08 DMSTrucking Calc'!P71*$E$244</f>
        <v>0.0181998905041603</v>
      </c>
      <c r="Q244" s="58" t="n">
        <f aca="false">'P08 DMSTrucking Calc'!Q71*$E$244</f>
        <v>0.0175536502448107</v>
      </c>
      <c r="R244" s="58" t="n">
        <f aca="false">'P08 DMSTrucking Calc'!R71*$E$244</f>
        <v>0.0182342523767426</v>
      </c>
      <c r="S244" s="58" t="n">
        <f aca="false">'P08 DMSTrucking Calc'!S71*$E$244</f>
        <v>0.0174502351596137</v>
      </c>
    </row>
    <row r="245" customFormat="false" ht="15" hidden="false" customHeight="false" outlineLevel="0" collapsed="false">
      <c r="B245" s="77" t="s">
        <v>63</v>
      </c>
      <c r="C245" s="25" t="s">
        <v>170</v>
      </c>
      <c r="E245" s="55" t="n">
        <f aca="false">'Global Inputs'!$L$100</f>
        <v>1</v>
      </c>
      <c r="F245" s="58" t="n">
        <f aca="false">'P12 BUMNOps Calc'!F75*$E$245</f>
        <v>0</v>
      </c>
      <c r="G245" s="58" t="n">
        <f aca="false">'P12 BUMNOps Calc'!G75*$E$245</f>
        <v>0</v>
      </c>
      <c r="H245" s="58" t="n">
        <f aca="false">'P12 BUMNOps Calc'!H75*$E$245</f>
        <v>0</v>
      </c>
      <c r="I245" s="58" t="n">
        <f aca="false">'P12 BUMNOps Calc'!I75*$E$245</f>
        <v>15.7184032770723</v>
      </c>
      <c r="J245" s="58" t="n">
        <f aca="false">'P12 BUMNOps Calc'!J75*$E$245</f>
        <v>0.868273685059654</v>
      </c>
      <c r="K245" s="58" t="n">
        <f aca="false">'P12 BUMNOps Calc'!K75*$E$245</f>
        <v>0.537962238221407</v>
      </c>
      <c r="L245" s="58" t="n">
        <f aca="false">'P12 BUMNOps Calc'!L75*$E$245</f>
        <v>0.646366837513245</v>
      </c>
      <c r="M245" s="58" t="n">
        <f aca="false">'P12 BUMNOps Calc'!M75*$E$245</f>
        <v>0.614458106419232</v>
      </c>
      <c r="N245" s="58" t="n">
        <f aca="false">'P12 BUMNOps Calc'!N75*$E$245</f>
        <v>0.629916437711202</v>
      </c>
      <c r="O245" s="58" t="n">
        <f aca="false">'P12 BUMNOps Calc'!O75*$E$245</f>
        <v>0.592119341070514</v>
      </c>
      <c r="P245" s="58" t="n">
        <f aca="false">'P12 BUMNOps Calc'!P75*$E$245</f>
        <v>0.715957440481002</v>
      </c>
      <c r="Q245" s="58" t="n">
        <f aca="false">'P12 BUMNOps Calc'!Q75*$E$245</f>
        <v>0.679129998587268</v>
      </c>
      <c r="R245" s="58" t="n">
        <f aca="false">'P12 BUMNOps Calc'!R75*$E$245</f>
        <v>-0.49363627359817</v>
      </c>
      <c r="S245" s="58" t="n">
        <f aca="false">'P12 BUMNOps Calc'!S75*$E$245</f>
        <v>0.557552085603689</v>
      </c>
    </row>
    <row r="246" customFormat="false" ht="15" hidden="false" customHeight="false" outlineLevel="0" collapsed="false">
      <c r="B246" s="77" t="s">
        <v>66</v>
      </c>
      <c r="C246" s="25" t="s">
        <v>170</v>
      </c>
      <c r="E246" s="55" t="n">
        <f aca="false">'Global Inputs'!$L$101</f>
        <v>0</v>
      </c>
      <c r="F246" s="58" t="n">
        <f aca="false">'P15 TBM Calc'!F72*$E$246</f>
        <v>0</v>
      </c>
      <c r="G246" s="58" t="n">
        <f aca="false">'P15 TBM Calc'!G72*$E$246</f>
        <v>0</v>
      </c>
      <c r="H246" s="58" t="n">
        <f aca="false">'P15 TBM Calc'!H72*$E$246</f>
        <v>0</v>
      </c>
      <c r="I246" s="58" t="n">
        <f aca="false">'P15 TBM Calc'!I72*$E$246</f>
        <v>0</v>
      </c>
      <c r="J246" s="58" t="n">
        <f aca="false">'P15 TBM Calc'!J72*$E$246</f>
        <v>0</v>
      </c>
      <c r="K246" s="58" t="n">
        <f aca="false">'P15 TBM Calc'!K72*$E$246</f>
        <v>0</v>
      </c>
      <c r="L246" s="58" t="n">
        <f aca="false">'P15 TBM Calc'!L72*$E$246</f>
        <v>0</v>
      </c>
      <c r="M246" s="58" t="n">
        <f aca="false">'P15 TBM Calc'!M72*$E$246</f>
        <v>0</v>
      </c>
      <c r="N246" s="58" t="n">
        <f aca="false">'P15 TBM Calc'!N72*$E$246</f>
        <v>0</v>
      </c>
      <c r="O246" s="58" t="n">
        <f aca="false">'P15 TBM Calc'!O72*$E$246</f>
        <v>0</v>
      </c>
      <c r="P246" s="58" t="n">
        <f aca="false">'P15 TBM Calc'!P72*$E$246</f>
        <v>0</v>
      </c>
      <c r="Q246" s="58" t="n">
        <f aca="false">'P15 TBM Calc'!Q72*$E$246</f>
        <v>0</v>
      </c>
      <c r="R246" s="58" t="n">
        <f aca="false">'P15 TBM Calc'!R72*$E$246</f>
        <v>0</v>
      </c>
      <c r="S246" s="58" t="n">
        <f aca="false">'P15 TBM Calc'!S72*$E$246</f>
        <v>0</v>
      </c>
    </row>
    <row r="247" customFormat="false" ht="15" hidden="false" customHeight="false" outlineLevel="0" collapsed="false">
      <c r="B247" s="77" t="s">
        <v>69</v>
      </c>
      <c r="C247" s="25" t="s">
        <v>170</v>
      </c>
      <c r="E247" s="55" t="n">
        <f aca="false">'Global Inputs'!$L$102</f>
        <v>0</v>
      </c>
      <c r="F247" s="58" t="n">
        <f aca="false">'P19 Badas Calculation'!F63*$E$247</f>
        <v>0</v>
      </c>
      <c r="G247" s="58" t="n">
        <f aca="false">'P19 Badas Calculation'!G63*$E$247</f>
        <v>0</v>
      </c>
      <c r="H247" s="58" t="n">
        <f aca="false">'P19 Badas Calculation'!H63*$E$247</f>
        <v>0</v>
      </c>
      <c r="I247" s="58" t="n">
        <f aca="false">'P19 Badas Calculation'!I63*$E$247</f>
        <v>0</v>
      </c>
      <c r="J247" s="58" t="n">
        <f aca="false">'P19 Badas Calculation'!J63*$E$247</f>
        <v>0</v>
      </c>
      <c r="K247" s="58" t="n">
        <f aca="false">'P19 Badas Calculation'!K63*$E$247</f>
        <v>0</v>
      </c>
      <c r="L247" s="58" t="n">
        <f aca="false">'P19 Badas Calculation'!L63*$E$247</f>
        <v>0</v>
      </c>
      <c r="M247" s="58" t="n">
        <f aca="false">'P19 Badas Calculation'!M63*$E$247</f>
        <v>0</v>
      </c>
      <c r="N247" s="58" t="n">
        <f aca="false">'P19 Badas Calculation'!N63*$E$247</f>
        <v>0</v>
      </c>
      <c r="O247" s="58" t="n">
        <f aca="false">'P19 Badas Calculation'!O63*$E$247</f>
        <v>0</v>
      </c>
      <c r="P247" s="58" t="n">
        <f aca="false">'P19 Badas Calculation'!P63*$E$247</f>
        <v>0</v>
      </c>
      <c r="Q247" s="58" t="n">
        <f aca="false">'P19 Badas Calculation'!Q63*$E$247</f>
        <v>0</v>
      </c>
      <c r="R247" s="58" t="n">
        <f aca="false">'P19 Badas Calculation'!R63*$E$247</f>
        <v>0</v>
      </c>
      <c r="S247" s="58" t="n">
        <f aca="false">'P19 Badas Calculation'!S63*$E$247</f>
        <v>0</v>
      </c>
    </row>
    <row r="248" customFormat="false" ht="15" hidden="false" customHeight="false" outlineLevel="0" collapsed="false">
      <c r="B248" s="69" t="s">
        <v>462</v>
      </c>
      <c r="C248" s="25" t="s">
        <v>170</v>
      </c>
      <c r="E248" s="70" t="n">
        <f aca="false">SUM(F248:S248)</f>
        <v>100.942694484536</v>
      </c>
      <c r="F248" s="68" t="n">
        <f aca="false">F234+F235+F236+F237+F238+F239+F240+F241+F242+F243+F244+F245+F246+F247</f>
        <v>0</v>
      </c>
      <c r="G248" s="68" t="n">
        <f aca="false">G234+G235+G236+G237+G238+G239+G240+G241+G242+G243+G244+G245+G246+G247</f>
        <v>-2.83706483520217</v>
      </c>
      <c r="H248" s="68" t="n">
        <f aca="false">H234+H235+H236+H237+H238+H239+H240+H241+H242+H243+H244+H245+H246+H247</f>
        <v>15.80317779642</v>
      </c>
      <c r="I248" s="68" t="n">
        <f aca="false">I234+I235+I236+I237+I238+I239+I240+I241+I242+I243+I244+I245+I246+I247</f>
        <v>24.1747955271044</v>
      </c>
      <c r="J248" s="68" t="n">
        <f aca="false">J234+J235+J236+J237+J238+J239+J240+J241+J242+J243+J244+J245+J246+J247</f>
        <v>15.3074577442108</v>
      </c>
      <c r="K248" s="68" t="n">
        <f aca="false">K234+K235+K236+K237+K238+K239+K240+K241+K242+K243+K244+K245+K246+K247</f>
        <v>8.63582772641501</v>
      </c>
      <c r="L248" s="68" t="n">
        <f aca="false">L234+L235+L236+L237+L238+L239+L240+L241+L242+L243+L244+L245+L246+L247</f>
        <v>8.80387517116507</v>
      </c>
      <c r="M248" s="68" t="n">
        <f aca="false">M234+M235+M236+M237+M238+M239+M240+M241+M242+M243+M244+M245+M246+M247</f>
        <v>3.99501126960277</v>
      </c>
      <c r="N248" s="68" t="n">
        <f aca="false">N234+N235+N236+N237+N238+N239+N240+N241+N242+N243+N244+N245+N246+N247</f>
        <v>6.98493088699822</v>
      </c>
      <c r="O248" s="68" t="n">
        <f aca="false">O234+O235+O236+O237+O238+O239+O240+O241+O242+O243+O244+O245+O246+O247</f>
        <v>4.57103155035614</v>
      </c>
      <c r="P248" s="68" t="n">
        <f aca="false">P234+P235+P236+P237+P238+P239+P240+P241+P242+P243+P244+P245+P246+P247</f>
        <v>7.86825477135907</v>
      </c>
      <c r="Q248" s="68" t="n">
        <f aca="false">Q234+Q235+Q236+Q237+Q238+Q239+Q240+Q241+Q242+Q243+Q244+Q245+Q246+Q247</f>
        <v>3.46716154246492</v>
      </c>
      <c r="R248" s="68" t="n">
        <f aca="false">R234+R235+R236+R237+R238+R239+R240+R241+R242+R243+R244+R245+R246+R247</f>
        <v>0.328616902558818</v>
      </c>
      <c r="S248" s="68" t="n">
        <f aca="false">S234+S235+S236+S237+S238+S239+S240+S241+S242+S243+S244+S245+S246+S247</f>
        <v>3.83961843108331</v>
      </c>
    </row>
    <row r="249" customFormat="false" ht="15" hidden="false" customHeight="false" outlineLevel="0" collapsed="false">
      <c r="B249" s="78" t="s">
        <v>463</v>
      </c>
      <c r="C249" s="79"/>
      <c r="D249" s="79"/>
      <c r="E249" s="79"/>
      <c r="F249" s="79"/>
      <c r="G249" s="79"/>
      <c r="H249" s="79"/>
      <c r="I249" s="79"/>
      <c r="J249" s="79"/>
      <c r="K249" s="79"/>
      <c r="L249" s="79"/>
      <c r="M249" s="79"/>
      <c r="N249" s="79"/>
      <c r="O249" s="79"/>
      <c r="P249" s="79"/>
      <c r="Q249" s="79"/>
      <c r="R249" s="79"/>
      <c r="S249" s="79"/>
    </row>
    <row r="250" customFormat="false" ht="15" hidden="false" customHeight="false" outlineLevel="0" collapsed="false">
      <c r="B250" s="77" t="s">
        <v>31</v>
      </c>
      <c r="C250" s="25" t="s">
        <v>170</v>
      </c>
      <c r="E250" s="55" t="n">
        <f aca="false">'Global Inputs'!$L$89</f>
        <v>1</v>
      </c>
      <c r="F250" s="58" t="n">
        <f aca="false">'E1 TelukLamong Output'!F37*$E$250</f>
        <v>23.0592525460196</v>
      </c>
      <c r="G250" s="58" t="n">
        <f aca="false">'E1 TelukLamong Output'!G37*$E$250</f>
        <v>19.2342147540984</v>
      </c>
      <c r="H250" s="58" t="n">
        <f aca="false">'E1 TelukLamong Output'!H37*$E$250</f>
        <v>19.865518569863</v>
      </c>
      <c r="I250" s="58" t="n">
        <f aca="false">'E1 TelukLamong Output'!I37*$E$250</f>
        <v>20.4614841269589</v>
      </c>
      <c r="J250" s="58" t="n">
        <f aca="false">'E1 TelukLamong Output'!J37*$E$250</f>
        <v>21.0753286507677</v>
      </c>
      <c r="K250" s="58" t="n">
        <f aca="false">'E1 TelukLamong Output'!K37*$E$250</f>
        <v>21.6482781591697</v>
      </c>
      <c r="L250" s="58" t="n">
        <f aca="false">'E1 TelukLamong Output'!L37*$E$250</f>
        <v>23.0295806505674</v>
      </c>
      <c r="M250" s="58" t="n">
        <f aca="false">'E1 TelukLamong Output'!M37*$E$250</f>
        <v>23.7204680700844</v>
      </c>
      <c r="N250" s="58" t="n">
        <f aca="false">'E1 TelukLamong Output'!N37*$E$250</f>
        <v>24.432082112187</v>
      </c>
      <c r="O250" s="58" t="n">
        <f aca="false">'E1 TelukLamong Output'!O37*$E$250</f>
        <v>25.8491762518552</v>
      </c>
      <c r="P250" s="58" t="n">
        <f aca="false">'E1 TelukLamong Output'!P37*$E$250</f>
        <v>26.6975957902037</v>
      </c>
      <c r="Q250" s="58" t="n">
        <f aca="false">'E1 TelukLamong Output'!Q37*$E$250</f>
        <v>27.4985236639098</v>
      </c>
      <c r="R250" s="58" t="n">
        <f aca="false">'E1 TelukLamong Output'!R37*$E$250</f>
        <v>28.3234793738271</v>
      </c>
      <c r="S250" s="58" t="n">
        <f aca="false">'E1 TelukLamong Output'!S37*$E$250</f>
        <v>29.0934756027058</v>
      </c>
    </row>
    <row r="251" customFormat="false" ht="15" hidden="false" customHeight="false" outlineLevel="0" collapsed="false">
      <c r="B251" s="77" t="s">
        <v>34</v>
      </c>
      <c r="C251" s="25" t="s">
        <v>170</v>
      </c>
      <c r="E251" s="55" t="n">
        <f aca="false">'Global Inputs'!$L$90</f>
        <v>1</v>
      </c>
      <c r="F251" s="58" t="n">
        <f aca="false">'E2 CigadingExist Output'!F37*$E$251</f>
        <v>5.69824510058487</v>
      </c>
      <c r="G251" s="58" t="n">
        <f aca="false">'E2 CigadingExist Output'!G37*$E$251</f>
        <v>4.75302786885246</v>
      </c>
      <c r="H251" s="58" t="n">
        <f aca="false">'E2 CigadingExist Output'!H37*$E$251</f>
        <v>5.71925983561644</v>
      </c>
      <c r="I251" s="58" t="n">
        <f aca="false">'E2 CigadingExist Output'!I37*$E$251</f>
        <v>5.89083763068493</v>
      </c>
      <c r="J251" s="58" t="n">
        <f aca="false">'E2 CigadingExist Output'!J37*$E$251</f>
        <v>7.28107531152658</v>
      </c>
      <c r="K251" s="58" t="n">
        <f aca="false">'E2 CigadingExist Output'!K37*$E$251</f>
        <v>7.47901711302846</v>
      </c>
      <c r="L251" s="58" t="n">
        <f aca="false">'E2 CigadingExist Output'!L37*$E$251</f>
        <v>8.4969420777984</v>
      </c>
      <c r="M251" s="58" t="n">
        <f aca="false">'E2 CigadingExist Output'!M37*$E$251</f>
        <v>8.75185034013235</v>
      </c>
      <c r="N251" s="58" t="n">
        <f aca="false">'E2 CigadingExist Output'!N37*$E$251</f>
        <v>9.5552702013565</v>
      </c>
      <c r="O251" s="58" t="n">
        <f aca="false">'E2 CigadingExist Output'!O37*$E$251</f>
        <v>9.81503779289611</v>
      </c>
      <c r="P251" s="58" t="n">
        <f aca="false">'E2 CigadingExist Output'!P37*$E$251</f>
        <v>10.7454173260163</v>
      </c>
      <c r="Q251" s="58" t="n">
        <f aca="false">'E2 CigadingExist Output'!Q37*$E$251</f>
        <v>11.0677798457967</v>
      </c>
      <c r="R251" s="58" t="n">
        <f aca="false">'E2 CigadingExist Output'!R37*$E$251</f>
        <v>11.3998132411707</v>
      </c>
      <c r="S251" s="58" t="n">
        <f aca="false">'E2 CigadingExist Output'!S37*$E$251</f>
        <v>11.7097261967708</v>
      </c>
    </row>
    <row r="252" customFormat="false" ht="15" hidden="false" customHeight="false" outlineLevel="0" collapsed="false">
      <c r="B252" s="77" t="s">
        <v>37</v>
      </c>
      <c r="C252" s="25" t="s">
        <v>170</v>
      </c>
      <c r="E252" s="55" t="n">
        <f aca="false">'Global Inputs'!$L$91</f>
        <v>1</v>
      </c>
      <c r="F252" s="58" t="n">
        <f aca="false">'E3 Belawan Output'!F37*$E$252</f>
        <v>3.27872745729106</v>
      </c>
      <c r="G252" s="58" t="n">
        <f aca="false">'E3 Belawan Output'!G37*$E$252</f>
        <v>2.73485655737705</v>
      </c>
      <c r="H252" s="58" t="n">
        <f aca="false">'E3 Belawan Output'!H37*$E$252</f>
        <v>2.82461979452055</v>
      </c>
      <c r="I252" s="58" t="n">
        <f aca="false">'E3 Belawan Output'!I37*$E$252</f>
        <v>4.31111429537671</v>
      </c>
      <c r="J252" s="58" t="n">
        <f aca="false">'E3 Belawan Output'!J37*$E$252</f>
        <v>5.52408471053938</v>
      </c>
      <c r="K252" s="58" t="n">
        <f aca="false">'E3 Belawan Output'!K37*$E$252</f>
        <v>6.08937040392104</v>
      </c>
      <c r="L252" s="58" t="n">
        <f aca="false">'E3 Belawan Output'!L37*$E$252</f>
        <v>6.72220875212502</v>
      </c>
      <c r="M252" s="58" t="n">
        <f aca="false">'E3 Belawan Output'!M37*$E$252</f>
        <v>7.37433574072111</v>
      </c>
      <c r="N252" s="58" t="n">
        <f aca="false">'E3 Belawan Output'!N37*$E$252</f>
        <v>8.06431227487853</v>
      </c>
      <c r="O252" s="58" t="n">
        <f aca="false">'E3 Belawan Output'!O37*$E$252</f>
        <v>8.77008539131587</v>
      </c>
      <c r="P252" s="58" t="n">
        <f aca="false">'E3 Belawan Output'!P37*$E$252</f>
        <v>9.5658147654521</v>
      </c>
      <c r="Q252" s="58" t="n">
        <f aca="false">'E3 Belawan Output'!Q37*$E$252</f>
        <v>10.3816210336973</v>
      </c>
      <c r="R252" s="58" t="n">
        <f aca="false">'E3 Belawan Output'!R37*$E$252</f>
        <v>7.12562823890183</v>
      </c>
      <c r="S252" s="58" t="n">
        <f aca="false">'E3 Belawan Output'!S37*$E$252</f>
        <v>7.53892441122294</v>
      </c>
    </row>
    <row r="253" customFormat="false" ht="15" hidden="false" customHeight="false" outlineLevel="0" collapsed="false">
      <c r="B253" s="77" t="s">
        <v>40</v>
      </c>
      <c r="C253" s="25" t="s">
        <v>170</v>
      </c>
      <c r="E253" s="55" t="n">
        <f aca="false">'Global Inputs'!$L$92</f>
        <v>1</v>
      </c>
      <c r="F253" s="58" t="n">
        <f aca="false">'E4 WIN Output'!F37*$E$253</f>
        <v>12.9637748961044</v>
      </c>
      <c r="G253" s="58" t="n">
        <f aca="false">'E4 WIN Output'!G37*$E$253</f>
        <v>10.8133613558304</v>
      </c>
      <c r="H253" s="58" t="n">
        <f aca="false">'E4 WIN Output'!H37*$E$253</f>
        <v>8.05791464791984</v>
      </c>
      <c r="I253" s="58" t="n">
        <f aca="false">'E4 WIN Output'!I37*$E$253</f>
        <v>7.64256930725775</v>
      </c>
      <c r="J253" s="58" t="n">
        <f aca="false">'E4 WIN Output'!J37*$E$253</f>
        <v>8.24273080744447</v>
      </c>
      <c r="K253" s="58" t="n">
        <f aca="false">'E4 WIN Output'!K37*$E$253</f>
        <v>8.86589853456215</v>
      </c>
      <c r="L253" s="58" t="n">
        <f aca="false">'E4 WIN Output'!L37*$E$253</f>
        <v>9.58868242452879</v>
      </c>
      <c r="M253" s="58" t="n">
        <f aca="false">'E4 WIN Output'!M37*$E$253</f>
        <v>10.3422481914172</v>
      </c>
      <c r="N253" s="58" t="n">
        <f aca="false">'E4 WIN Output'!N37*$E$253</f>
        <v>11.1552422445365</v>
      </c>
      <c r="O253" s="58" t="n">
        <f aca="false">'E4 WIN Output'!O37*$E$253</f>
        <v>11.9994911734784</v>
      </c>
      <c r="P253" s="58" t="n">
        <f aca="false">'E4 WIN Output'!P37*$E$253</f>
        <v>12.9786959718421</v>
      </c>
      <c r="Q253" s="58" t="n">
        <f aca="false">'E4 WIN Output'!Q37*$E$253</f>
        <v>11.4889120218016</v>
      </c>
      <c r="R253" s="58" t="n">
        <f aca="false">'E4 WIN Output'!R37*$E$253</f>
        <v>12.0472800495917</v>
      </c>
      <c r="S253" s="58" t="n">
        <f aca="false">'E4 WIN Output'!S37*$E$253</f>
        <v>12.5984071917523</v>
      </c>
    </row>
    <row r="254" customFormat="false" ht="15" hidden="false" customHeight="false" outlineLevel="0" collapsed="false">
      <c r="B254" s="77" t="s">
        <v>43</v>
      </c>
      <c r="C254" s="25" t="s">
        <v>170</v>
      </c>
      <c r="E254" s="55" t="n">
        <f aca="false">'Global Inputs'!$L$93</f>
        <v>1</v>
      </c>
      <c r="F254" s="58" t="n">
        <f aca="false">'P01 CigWharf2 Output'!F37*$E$254</f>
        <v>0</v>
      </c>
      <c r="G254" s="58" t="n">
        <f aca="false">'P01 CigWharf2 Output'!G37*$E$254</f>
        <v>0</v>
      </c>
      <c r="H254" s="58" t="n">
        <f aca="false">'P01 CigWharf2 Output'!H37*$E$254</f>
        <v>12.3672586556949</v>
      </c>
      <c r="I254" s="58" t="n">
        <f aca="false">'P01 CigWharf2 Output'!I37*$E$254</f>
        <v>12.7382764153658</v>
      </c>
      <c r="J254" s="58" t="n">
        <f aca="false">'P01 CigWharf2 Output'!J37*$E$254</f>
        <v>15.7445096493921</v>
      </c>
      <c r="K254" s="58" t="n">
        <f aca="false">'P01 CigWharf2 Output'!K37*$E$254</f>
        <v>16.1725366193687</v>
      </c>
      <c r="L254" s="58" t="n">
        <f aca="false">'P01 CigWharf2 Output'!L37*$E$254</f>
        <v>18.3736853157441</v>
      </c>
      <c r="M254" s="58" t="n">
        <f aca="false">'P01 CigWharf2 Output'!M37*$E$254</f>
        <v>18.9248958752164</v>
      </c>
      <c r="N254" s="58" t="n">
        <f aca="false">'P01 CigWharf2 Output'!N37*$E$254</f>
        <v>20.6622013165612</v>
      </c>
      <c r="O254" s="58" t="n">
        <f aca="false">'P01 CigWharf2 Output'!O37*$E$254</f>
        <v>21.2239196310415</v>
      </c>
      <c r="P254" s="58" t="n">
        <f aca="false">'P01 CigWharf2 Output'!P37*$E$254</f>
        <v>23.2357611393442</v>
      </c>
      <c r="Q254" s="58" t="n">
        <f aca="false">'P01 CigWharf2 Output'!Q37*$E$254</f>
        <v>23.9328339735245</v>
      </c>
      <c r="R254" s="58" t="n">
        <f aca="false">'P01 CigWharf2 Output'!R37*$E$254</f>
        <v>24.6508189927303</v>
      </c>
      <c r="S254" s="58" t="n">
        <f aca="false">'P01 CigWharf2 Output'!S37*$E$254</f>
        <v>25.3209710391173</v>
      </c>
    </row>
    <row r="255" customFormat="false" ht="15" hidden="false" customHeight="false" outlineLevel="0" collapsed="false">
      <c r="B255" s="77" t="s">
        <v>46</v>
      </c>
      <c r="C255" s="25" t="s">
        <v>170</v>
      </c>
      <c r="E255" s="55" t="n">
        <f aca="false">'Global Inputs'!$L$94</f>
        <v>1</v>
      </c>
      <c r="F255" s="58" t="n">
        <f aca="false">'P02 CigConveyor Output'!F37*$E$255</f>
        <v>0</v>
      </c>
      <c r="G255" s="58" t="n">
        <f aca="false">'P02 CigConveyor Output'!G37*$E$255</f>
        <v>0</v>
      </c>
      <c r="H255" s="58" t="n">
        <f aca="false">'P02 CigConveyor Output'!H37*$E$255</f>
        <v>3.88356164383562</v>
      </c>
      <c r="I255" s="58" t="n">
        <f aca="false">'P02 CigConveyor Output'!I37*$E$255</f>
        <v>4.00006849315069</v>
      </c>
      <c r="J255" s="58" t="n">
        <f aca="false">'P02 CigConveyor Output'!J37*$E$255</f>
        <v>4.12007054794521</v>
      </c>
      <c r="K255" s="58" t="n">
        <f aca="false">'P02 CigConveyor Output'!K37*$E$255</f>
        <v>4.23207793032787</v>
      </c>
      <c r="L255" s="58" t="n">
        <f aca="false">'P02 CigConveyor Output'!L37*$E$255</f>
        <v>4.37098284431507</v>
      </c>
      <c r="M255" s="58" t="n">
        <f aca="false">'P02 CigConveyor Output'!M37*$E$255</f>
        <v>4.50211232964452</v>
      </c>
      <c r="N255" s="58" t="n">
        <f aca="false">'P02 CigConveyor Output'!N37*$E$255</f>
        <v>4.63717569953386</v>
      </c>
      <c r="O255" s="58" t="n">
        <f aca="false">'P02 CigConveyor Output'!O37*$E$255</f>
        <v>4.76324099519058</v>
      </c>
      <c r="P255" s="58" t="n">
        <f aca="false">'P02 CigConveyor Output'!P37*$E$255</f>
        <v>4.91957969963547</v>
      </c>
      <c r="Q255" s="58" t="n">
        <f aca="false">'P02 CigConveyor Output'!Q37*$E$255</f>
        <v>5.06716709062453</v>
      </c>
      <c r="R255" s="58" t="n">
        <f aca="false">'P02 CigConveyor Output'!R37*$E$255</f>
        <v>5.21918210334327</v>
      </c>
      <c r="S255" s="58" t="n">
        <f aca="false">'P02 CigConveyor Output'!S37*$E$255</f>
        <v>5.36106970424017</v>
      </c>
    </row>
    <row r="256" customFormat="false" ht="15" hidden="false" customHeight="false" outlineLevel="0" collapsed="false">
      <c r="B256" s="77" t="s">
        <v>48</v>
      </c>
      <c r="C256" s="25" t="s">
        <v>170</v>
      </c>
      <c r="E256" s="55" t="n">
        <f aca="false">'Global Inputs'!$L$95</f>
        <v>1</v>
      </c>
      <c r="F256" s="58" t="n">
        <f aca="false">'P03 KBSWarehouse Output'!F37*$E$256</f>
        <v>0</v>
      </c>
      <c r="G256" s="58" t="n">
        <f aca="false">'P03 KBSWarehouse Output'!G37*$E$256</f>
        <v>0</v>
      </c>
      <c r="H256" s="58" t="n">
        <f aca="false">'P03 KBSWarehouse Output'!H37*$E$256</f>
        <v>0</v>
      </c>
      <c r="I256" s="58" t="n">
        <f aca="false">'P03 KBSWarehouse Output'!I37*$E$256</f>
        <v>0</v>
      </c>
      <c r="J256" s="58" t="n">
        <f aca="false">'P03 KBSWarehouse Output'!J37*$E$256</f>
        <v>6.53717860273973</v>
      </c>
      <c r="K256" s="58" t="n">
        <f aca="false">'P03 KBSWarehouse Output'!K37*$E$256</f>
        <v>6.71489698278688</v>
      </c>
      <c r="L256" s="58" t="n">
        <f aca="false">'P03 KBSWarehouse Output'!L37*$E$256</f>
        <v>6.93529277964658</v>
      </c>
      <c r="M256" s="58" t="n">
        <f aca="false">'P03 KBSWarehouse Output'!M37*$E$256</f>
        <v>7.14335156303597</v>
      </c>
      <c r="N256" s="58" t="n">
        <f aca="false">'P03 KBSWarehouse Output'!N37*$E$256</f>
        <v>7.35765210992705</v>
      </c>
      <c r="O256" s="58" t="n">
        <f aca="false">'P03 KBSWarehouse Output'!O37*$E$256</f>
        <v>7.55767571236906</v>
      </c>
      <c r="P256" s="58" t="n">
        <f aca="false">'P03 KBSWarehouse Output'!P37*$E$256</f>
        <v>7.80573312342161</v>
      </c>
      <c r="Q256" s="58" t="n">
        <f aca="false">'P03 KBSWarehouse Output'!Q37*$E$256</f>
        <v>8.03990511712426</v>
      </c>
      <c r="R256" s="58" t="n">
        <f aca="false">'P03 KBSWarehouse Output'!R37*$E$256</f>
        <v>8.28110227063799</v>
      </c>
      <c r="S256" s="58" t="n">
        <f aca="false">'P03 KBSWarehouse Output'!S37*$E$256</f>
        <v>8.5062305973944</v>
      </c>
    </row>
    <row r="257" customFormat="false" ht="15" hidden="false" customHeight="false" outlineLevel="0" collapsed="false">
      <c r="B257" s="77" t="s">
        <v>51</v>
      </c>
      <c r="C257" s="25" t="s">
        <v>170</v>
      </c>
      <c r="E257" s="55" t="n">
        <f aca="false">'Global Inputs'!$L$96</f>
        <v>1</v>
      </c>
      <c r="F257" s="58" t="n">
        <f aca="false">'P04 TTLSilo Output'!F37*$E$257</f>
        <v>0</v>
      </c>
      <c r="G257" s="58" t="n">
        <f aca="false">'P04 TTLSilo Output'!G37*$E$257</f>
        <v>0</v>
      </c>
      <c r="H257" s="58" t="n">
        <f aca="false">'P04 TTLSilo Output'!H37*$E$257</f>
        <v>0</v>
      </c>
      <c r="I257" s="58" t="n">
        <f aca="false">'P04 TTLSilo Output'!I37*$E$257</f>
        <v>0</v>
      </c>
      <c r="J257" s="58" t="n">
        <f aca="false">'P04 TTLSilo Output'!J37*$E$257</f>
        <v>1.63479452054795</v>
      </c>
      <c r="K257" s="58" t="n">
        <f aca="false">'P04 TTLSilo Output'!K37*$E$257</f>
        <v>1.63032786885246</v>
      </c>
      <c r="L257" s="58" t="n">
        <f aca="false">'P04 TTLSilo Output'!L37*$E$257</f>
        <v>1.63479452054795</v>
      </c>
      <c r="M257" s="58" t="n">
        <f aca="false">'P04 TTLSilo Output'!M37*$E$257</f>
        <v>1.63479452054795</v>
      </c>
      <c r="N257" s="58" t="n">
        <f aca="false">'P04 TTLSilo Output'!N37*$E$257</f>
        <v>1.63479452054795</v>
      </c>
      <c r="O257" s="58" t="n">
        <f aca="false">'P04 TTLSilo Output'!O37*$E$257</f>
        <v>1.63032786885246</v>
      </c>
      <c r="P257" s="58" t="n">
        <f aca="false">'P04 TTLSilo Output'!P37*$E$257</f>
        <v>1.63479452054795</v>
      </c>
      <c r="Q257" s="58" t="n">
        <f aca="false">'P04 TTLSilo Output'!Q37*$E$257</f>
        <v>1.63479452054795</v>
      </c>
      <c r="R257" s="58" t="n">
        <f aca="false">'P04 TTLSilo Output'!R37*$E$257</f>
        <v>1.63479452054795</v>
      </c>
      <c r="S257" s="58" t="n">
        <f aca="false">'P04 TTLSilo Output'!S37*$E$257</f>
        <v>1.63032786885246</v>
      </c>
    </row>
    <row r="258" customFormat="false" ht="15" hidden="false" customHeight="false" outlineLevel="0" collapsed="false">
      <c r="B258" s="77" t="s">
        <v>54</v>
      </c>
      <c r="C258" s="25" t="s">
        <v>170</v>
      </c>
      <c r="E258" s="55" t="n">
        <f aca="false">'Global Inputs'!$L$97</f>
        <v>1</v>
      </c>
      <c r="F258" s="58" t="n">
        <f aca="false">'P05 Dumai Output'!F37*$E$258</f>
        <v>0</v>
      </c>
      <c r="G258" s="58" t="n">
        <f aca="false">'P05 Dumai Output'!G37*$E$258</f>
        <v>0</v>
      </c>
      <c r="H258" s="58" t="n">
        <f aca="false">'P05 Dumai Output'!H37*$E$258</f>
        <v>0</v>
      </c>
      <c r="I258" s="58" t="n">
        <f aca="false">'P05 Dumai Output'!I37*$E$258</f>
        <v>5.93013698630137</v>
      </c>
      <c r="J258" s="58" t="n">
        <f aca="false">'P05 Dumai Output'!J37*$E$258</f>
        <v>5.93013698630137</v>
      </c>
      <c r="K258" s="58" t="n">
        <f aca="false">'P05 Dumai Output'!K37*$E$258</f>
        <v>5.91393442622951</v>
      </c>
      <c r="L258" s="58" t="n">
        <f aca="false">'P05 Dumai Output'!L37*$E$258</f>
        <v>6.33915616438356</v>
      </c>
      <c r="M258" s="58" t="n">
        <f aca="false">'P05 Dumai Output'!M37*$E$258</f>
        <v>6.33915616438356</v>
      </c>
      <c r="N258" s="58" t="n">
        <f aca="false">'P05 Dumai Output'!N37*$E$258</f>
        <v>6.33915616438356</v>
      </c>
      <c r="O258" s="58" t="n">
        <f aca="false">'P05 Dumai Output'!O37*$E$258</f>
        <v>6.32183606557377</v>
      </c>
      <c r="P258" s="58" t="n">
        <f aca="false">'P05 Dumai Output'!P37*$E$258</f>
        <v>6.77690131068493</v>
      </c>
      <c r="Q258" s="58" t="n">
        <f aca="false">'P05 Dumai Output'!Q37*$E$258</f>
        <v>6.77690131068493</v>
      </c>
      <c r="R258" s="58" t="n">
        <f aca="false">'P05 Dumai Output'!R37*$E$258</f>
        <v>6.77690131068493</v>
      </c>
      <c r="S258" s="58" t="n">
        <f aca="false">'P05 Dumai Output'!S37*$E$258</f>
        <v>6.75838518688525</v>
      </c>
    </row>
    <row r="259" customFormat="false" ht="15" hidden="false" customHeight="false" outlineLevel="0" collapsed="false">
      <c r="B259" s="77" t="s">
        <v>57</v>
      </c>
      <c r="C259" s="25" t="s">
        <v>170</v>
      </c>
      <c r="E259" s="55" t="n">
        <f aca="false">'Global Inputs'!$L$98</f>
        <v>1</v>
      </c>
      <c r="F259" s="58" t="n">
        <f aca="false">'P06 Ciwandan Output'!F37*$E$259</f>
        <v>0</v>
      </c>
      <c r="G259" s="58" t="n">
        <f aca="false">'P06 Ciwandan Output'!G37*$E$259</f>
        <v>0</v>
      </c>
      <c r="H259" s="58" t="n">
        <f aca="false">'P06 Ciwandan Output'!H37*$E$259</f>
        <v>0</v>
      </c>
      <c r="I259" s="58" t="n">
        <f aca="false">'P06 Ciwandan Output'!I37*$E$259</f>
        <v>0</v>
      </c>
      <c r="J259" s="58" t="n">
        <f aca="false">'P06 Ciwandan Output'!J37*$E$259</f>
        <v>0</v>
      </c>
      <c r="K259" s="58" t="n">
        <f aca="false">'P06 Ciwandan Output'!K37*$E$259</f>
        <v>7.16284912965178</v>
      </c>
      <c r="L259" s="58" t="n">
        <f aca="false">'P06 Ciwandan Output'!L37*$E$259</f>
        <v>9.48086485347224</v>
      </c>
      <c r="M259" s="58" t="n">
        <f aca="false">'P06 Ciwandan Output'!M37*$E$259</f>
        <v>10.4289513388195</v>
      </c>
      <c r="N259" s="58" t="n">
        <f aca="false">'P06 Ciwandan Output'!N37*$E$259</f>
        <v>12.6190311199716</v>
      </c>
      <c r="O259" s="58" t="n">
        <f aca="false">'P06 Ciwandan Output'!O37*$E$259</f>
        <v>13.3396260664399</v>
      </c>
      <c r="P259" s="58" t="n">
        <f aca="false">'P06 Ciwandan Output'!P37*$E$259</f>
        <v>15.029467968384</v>
      </c>
      <c r="Q259" s="58" t="n">
        <f aca="false">'P06 Ciwandan Output'!Q37*$E$259</f>
        <v>15.9312360464871</v>
      </c>
      <c r="R259" s="58" t="n">
        <f aca="false">'P06 Ciwandan Output'!R37*$E$259</f>
        <v>17.9003368218329</v>
      </c>
      <c r="S259" s="58" t="n">
        <f aca="false">'P06 Ciwandan Output'!S37*$E$259</f>
        <v>18.9225145255933</v>
      </c>
    </row>
    <row r="260" customFormat="false" ht="15" hidden="false" customHeight="false" outlineLevel="0" collapsed="false">
      <c r="B260" s="77" t="s">
        <v>60</v>
      </c>
      <c r="C260" s="25" t="s">
        <v>170</v>
      </c>
      <c r="E260" s="55" t="n">
        <f aca="false">'Global Inputs'!$L$99</f>
        <v>1</v>
      </c>
      <c r="F260" s="58" t="n">
        <f aca="false">'P08 DMSTrucking Output'!F37*$E$260</f>
        <v>0</v>
      </c>
      <c r="G260" s="58" t="n">
        <f aca="false">'P08 DMSTrucking Output'!G37*$E$260</f>
        <v>0</v>
      </c>
      <c r="H260" s="58" t="n">
        <f aca="false">'P08 DMSTrucking Output'!H37*$E$260</f>
        <v>0</v>
      </c>
      <c r="I260" s="58" t="n">
        <f aca="false">'P08 DMSTrucking Output'!I37*$E$260</f>
        <v>0</v>
      </c>
      <c r="J260" s="58" t="n">
        <f aca="false">'P08 DMSTrucking Output'!J37*$E$260</f>
        <v>0.339336932040986</v>
      </c>
      <c r="K260" s="58" t="n">
        <f aca="false">'P08 DMSTrucking Output'!K37*$E$260</f>
        <v>0.405832567215325</v>
      </c>
      <c r="L260" s="58" t="n">
        <f aca="false">'P08 DMSTrucking Output'!L37*$E$260</f>
        <v>0.423379071750228</v>
      </c>
      <c r="M260" s="58" t="n">
        <f aca="false">'P08 DMSTrucking Output'!M37*$E$260</f>
        <v>0.440707183628762</v>
      </c>
      <c r="N260" s="58" t="n">
        <f aca="false">'P08 DMSTrucking Output'!N37*$E$260</f>
        <v>0.458995621055433</v>
      </c>
      <c r="O260" s="58" t="n">
        <f aca="false">'P08 DMSTrucking Output'!O37*$E$260</f>
        <v>0.473973065944782</v>
      </c>
      <c r="P260" s="58" t="n">
        <f aca="false">'P08 DMSTrucking Output'!P37*$E$260</f>
        <v>0.492172956448942</v>
      </c>
      <c r="Q260" s="58" t="n">
        <f aca="false">'P08 DMSTrucking Output'!Q37*$E$260</f>
        <v>0.509726606693753</v>
      </c>
      <c r="R260" s="58" t="n">
        <f aca="false">'P08 DMSTrucking Output'!R37*$E$260</f>
        <v>0.527960859070495</v>
      </c>
      <c r="S260" s="58" t="n">
        <f aca="false">'P08 DMSTrucking Output'!S37*$E$260</f>
        <v>0.545411094230109</v>
      </c>
    </row>
    <row r="261" customFormat="false" ht="15" hidden="false" customHeight="false" outlineLevel="0" collapsed="false">
      <c r="B261" s="77" t="s">
        <v>63</v>
      </c>
      <c r="C261" s="25" t="s">
        <v>170</v>
      </c>
      <c r="E261" s="55" t="n">
        <f aca="false">'Global Inputs'!$L$100</f>
        <v>1</v>
      </c>
      <c r="F261" s="58" t="n">
        <f aca="false">'P12 BUMNOps Output'!F37*$E$261</f>
        <v>0</v>
      </c>
      <c r="G261" s="58" t="n">
        <f aca="false">'P12 BUMNOps Output'!G37*$E$261</f>
        <v>0</v>
      </c>
      <c r="H261" s="58" t="n">
        <f aca="false">'P12 BUMNOps Output'!H37*$E$261</f>
        <v>0</v>
      </c>
      <c r="I261" s="58" t="n">
        <f aca="false">'P12 BUMNOps Output'!I37*$E$261</f>
        <v>15.7184032770723</v>
      </c>
      <c r="J261" s="58" t="n">
        <f aca="false">'P12 BUMNOps Output'!J37*$E$261</f>
        <v>16.5866769621319</v>
      </c>
      <c r="K261" s="58" t="n">
        <f aca="false">'P12 BUMNOps Output'!K37*$E$261</f>
        <v>17.1246392003533</v>
      </c>
      <c r="L261" s="58" t="n">
        <f aca="false">'P12 BUMNOps Output'!L37*$E$261</f>
        <v>17.7710060378666</v>
      </c>
      <c r="M261" s="58" t="n">
        <f aca="false">'P12 BUMNOps Output'!M37*$E$261</f>
        <v>18.3854641442858</v>
      </c>
      <c r="N261" s="58" t="n">
        <f aca="false">'P12 BUMNOps Output'!N37*$E$261</f>
        <v>19.015380581997</v>
      </c>
      <c r="O261" s="58" t="n">
        <f aca="false">'P12 BUMNOps Output'!O37*$E$261</f>
        <v>19.6074999230675</v>
      </c>
      <c r="P261" s="58" t="n">
        <f aca="false">'P12 BUMNOps Output'!P37*$E$261</f>
        <v>20.3234573635485</v>
      </c>
      <c r="Q261" s="58" t="n">
        <f aca="false">'P12 BUMNOps Output'!Q37*$E$261</f>
        <v>21.0025873621358</v>
      </c>
      <c r="R261" s="58" t="n">
        <f aca="false">'P12 BUMNOps Output'!R37*$E$261</f>
        <v>20.5089510885376</v>
      </c>
      <c r="S261" s="58" t="n">
        <f aca="false">'P12 BUMNOps Output'!S37*$E$261</f>
        <v>21.0665031741413</v>
      </c>
    </row>
    <row r="262" customFormat="false" ht="15" hidden="false" customHeight="false" outlineLevel="0" collapsed="false">
      <c r="B262" s="77" t="s">
        <v>66</v>
      </c>
      <c r="C262" s="25" t="s">
        <v>170</v>
      </c>
      <c r="E262" s="55" t="n">
        <f aca="false">'Global Inputs'!$L$101</f>
        <v>0</v>
      </c>
      <c r="F262" s="58" t="n">
        <f aca="false">'P15 TBM Output'!F37*$E$262</f>
        <v>0</v>
      </c>
      <c r="G262" s="58" t="n">
        <f aca="false">'P15 TBM Output'!G37*$E$262</f>
        <v>0</v>
      </c>
      <c r="H262" s="58" t="n">
        <f aca="false">'P15 TBM Output'!H37*$E$262</f>
        <v>0</v>
      </c>
      <c r="I262" s="58" t="n">
        <f aca="false">'P15 TBM Output'!I37*$E$262</f>
        <v>0</v>
      </c>
      <c r="J262" s="58" t="n">
        <f aca="false">'P15 TBM Output'!J37*$E$262</f>
        <v>0</v>
      </c>
      <c r="K262" s="58" t="n">
        <f aca="false">'P15 TBM Output'!K37*$E$262</f>
        <v>0</v>
      </c>
      <c r="L262" s="58" t="n">
        <f aca="false">'P15 TBM Output'!L37*$E$262</f>
        <v>0</v>
      </c>
      <c r="M262" s="58" t="n">
        <f aca="false">'P15 TBM Output'!M37*$E$262</f>
        <v>0</v>
      </c>
      <c r="N262" s="58" t="n">
        <f aca="false">'P15 TBM Output'!N37*$E$262</f>
        <v>0</v>
      </c>
      <c r="O262" s="58" t="n">
        <f aca="false">'P15 TBM Output'!O37*$E$262</f>
        <v>0</v>
      </c>
      <c r="P262" s="58" t="n">
        <f aca="false">'P15 TBM Output'!P37*$E$262</f>
        <v>0</v>
      </c>
      <c r="Q262" s="58" t="n">
        <f aca="false">'P15 TBM Output'!Q37*$E$262</f>
        <v>0</v>
      </c>
      <c r="R262" s="58" t="n">
        <f aca="false">'P15 TBM Output'!R37*$E$262</f>
        <v>0</v>
      </c>
      <c r="S262" s="58" t="n">
        <f aca="false">'P15 TBM Output'!S37*$E$262</f>
        <v>0</v>
      </c>
    </row>
    <row r="263" customFormat="false" ht="15" hidden="false" customHeight="false" outlineLevel="0" collapsed="false">
      <c r="B263" s="77" t="s">
        <v>69</v>
      </c>
      <c r="C263" s="25" t="s">
        <v>170</v>
      </c>
      <c r="E263" s="55" t="n">
        <f aca="false">'Global Inputs'!$L$102</f>
        <v>0</v>
      </c>
      <c r="F263" s="58" t="n">
        <f aca="false">'P19 Badas Output'!F37*$E$263</f>
        <v>0</v>
      </c>
      <c r="G263" s="58" t="n">
        <f aca="false">'P19 Badas Output'!G37*$E$263</f>
        <v>0</v>
      </c>
      <c r="H263" s="58" t="n">
        <f aca="false">'P19 Badas Output'!H37*$E$263</f>
        <v>0</v>
      </c>
      <c r="I263" s="58" t="n">
        <f aca="false">'P19 Badas Output'!I37*$E$263</f>
        <v>0</v>
      </c>
      <c r="J263" s="58" t="n">
        <f aca="false">'P19 Badas Output'!J37*$E$263</f>
        <v>0</v>
      </c>
      <c r="K263" s="58" t="n">
        <f aca="false">'P19 Badas Output'!K37*$E$263</f>
        <v>0</v>
      </c>
      <c r="L263" s="58" t="n">
        <f aca="false">'P19 Badas Output'!L37*$E$263</f>
        <v>0</v>
      </c>
      <c r="M263" s="58" t="n">
        <f aca="false">'P19 Badas Output'!M37*$E$263</f>
        <v>0</v>
      </c>
      <c r="N263" s="58" t="n">
        <f aca="false">'P19 Badas Output'!N37*$E$263</f>
        <v>0</v>
      </c>
      <c r="O263" s="58" t="n">
        <f aca="false">'P19 Badas Output'!O37*$E$263</f>
        <v>0</v>
      </c>
      <c r="P263" s="58" t="n">
        <f aca="false">'P19 Badas Output'!P37*$E$263</f>
        <v>0</v>
      </c>
      <c r="Q263" s="58" t="n">
        <f aca="false">'P19 Badas Output'!Q37*$E$263</f>
        <v>0</v>
      </c>
      <c r="R263" s="58" t="n">
        <f aca="false">'P19 Badas Output'!R37*$E$263</f>
        <v>0</v>
      </c>
      <c r="S263" s="58" t="n">
        <f aca="false">'P19 Badas Output'!S37*$E$263</f>
        <v>0</v>
      </c>
    </row>
    <row r="264" customFormat="false" ht="15" hidden="false" customHeight="false" outlineLevel="0" collapsed="false">
      <c r="B264" s="69" t="s">
        <v>464</v>
      </c>
      <c r="C264" s="25" t="s">
        <v>170</v>
      </c>
      <c r="E264" s="70" t="n">
        <f aca="false">SUM(F264:S264)</f>
        <v>1473.82573768459</v>
      </c>
      <c r="F264" s="68" t="n">
        <f aca="false">F250+F251+F252+F253+F254+F255+F256+F257+F258+F259+F260+F261+F262+F263</f>
        <v>45</v>
      </c>
      <c r="G264" s="68" t="n">
        <f aca="false">G250+G251+G252+G253+G254+G255+G256+G257+G258+G259+G260+G261+G262+G263</f>
        <v>37.5354605361583</v>
      </c>
      <c r="H264" s="68" t="n">
        <f aca="false">H250+H251+H252+H253+H254+H255+H256+H257+H258+H259+H260+H261+H262+H263</f>
        <v>52.7181331474504</v>
      </c>
      <c r="I264" s="68" t="n">
        <f aca="false">I250+I251+I252+I253+I254+I255+I256+I257+I258+I259+I260+I261+I262+I263</f>
        <v>76.6928905321684</v>
      </c>
      <c r="J264" s="68" t="n">
        <f aca="false">J250+J251+J252+J253+J254+J255+J256+J257+J258+J259+J260+J261+J262+J263</f>
        <v>93.0159236813773</v>
      </c>
      <c r="K264" s="68" t="n">
        <f aca="false">K250+K251+K252+K253+K254+K255+K256+K257+K258+K259+K260+K261+K262+K263</f>
        <v>103.439658935467</v>
      </c>
      <c r="L264" s="68" t="n">
        <f aca="false">L250+L251+L252+L253+L254+L255+L256+L257+L258+L259+L260+L261+L262+L263</f>
        <v>113.166575492746</v>
      </c>
      <c r="M264" s="68" t="n">
        <f aca="false">M250+M251+M252+M253+M254+M255+M256+M257+M258+M259+M260+M261+M262+M263</f>
        <v>117.988335461918</v>
      </c>
      <c r="N264" s="68" t="n">
        <f aca="false">N250+N251+N252+N253+N254+N255+N256+N257+N258+N259+N260+N261+N262+N263</f>
        <v>125.931293966936</v>
      </c>
      <c r="O264" s="68" t="n">
        <f aca="false">O250+O251+O252+O253+O254+O255+O256+O257+O258+O259+O260+O261+O262+O263</f>
        <v>131.351889938025</v>
      </c>
      <c r="P264" s="68" t="n">
        <f aca="false">P250+P251+P252+P253+P254+P255+P256+P257+P258+P259+P260+P261+P262+P263</f>
        <v>140.20539193553</v>
      </c>
      <c r="Q264" s="68" t="n">
        <f aca="false">Q250+Q251+Q252+Q253+Q254+Q255+Q256+Q257+Q258+Q259+Q260+Q261+Q262+Q263</f>
        <v>143.331988593028</v>
      </c>
      <c r="R264" s="68" t="n">
        <f aca="false">R250+R251+R252+R253+R254+R255+R256+R257+R258+R259+R260+R261+R262+R263</f>
        <v>144.396248870877</v>
      </c>
      <c r="S264" s="68" t="n">
        <f aca="false">S250+S251+S252+S253+S254+S255+S256+S257+S258+S259+S260+S261+S262+S263</f>
        <v>149.051946592906</v>
      </c>
    </row>
    <row r="265" customFormat="false" ht="15" hidden="false" customHeight="false" outlineLevel="0" collapsed="false">
      <c r="B265" s="78" t="s">
        <v>465</v>
      </c>
      <c r="C265" s="79"/>
      <c r="D265" s="79"/>
      <c r="E265" s="79"/>
      <c r="F265" s="79"/>
      <c r="G265" s="79"/>
      <c r="H265" s="79"/>
      <c r="I265" s="79"/>
      <c r="J265" s="79"/>
      <c r="K265" s="79"/>
      <c r="L265" s="79"/>
      <c r="M265" s="79"/>
      <c r="N265" s="79"/>
      <c r="O265" s="79"/>
      <c r="P265" s="79"/>
      <c r="Q265" s="79"/>
      <c r="R265" s="79"/>
      <c r="S265" s="79"/>
    </row>
    <row r="266" customFormat="false" ht="15" hidden="false" customHeight="false" outlineLevel="0" collapsed="false">
      <c r="B266" s="77" t="s">
        <v>31</v>
      </c>
      <c r="C266" s="25" t="s">
        <v>170</v>
      </c>
      <c r="E266" s="55" t="n">
        <f aca="false">'Global Inputs'!$L$89</f>
        <v>1</v>
      </c>
      <c r="F266" s="58" t="n">
        <f aca="false">'E1 TelukLamong Output'!F38*$E$266</f>
        <v>-3.58394966961942</v>
      </c>
      <c r="G266" s="58" t="n">
        <f aca="false">'E1 TelukLamong Output'!G38*$E$266</f>
        <v>-2.45358898185645</v>
      </c>
      <c r="H266" s="58" t="n">
        <f aca="false">'E1 TelukLamong Output'!H38*$E$266</f>
        <v>-2.57360722187744</v>
      </c>
      <c r="I266" s="58" t="n">
        <f aca="false">'E1 TelukLamong Output'!I38*$E$266</f>
        <v>-2.69445621864038</v>
      </c>
      <c r="J266" s="58" t="n">
        <f aca="false">'E1 TelukLamong Output'!J38*$E$266</f>
        <v>-2.81967305161033</v>
      </c>
      <c r="K266" s="58" t="n">
        <f aca="false">'E1 TelukLamong Output'!K38*$E$266</f>
        <v>-2.94327959700272</v>
      </c>
      <c r="L266" s="58" t="n">
        <f aca="false">'E1 TelukLamong Output'!L38*$E$266</f>
        <v>-3.09157203600629</v>
      </c>
      <c r="M266" s="58" t="n">
        <f aca="false">'E1 TelukLamong Output'!M38*$E$266</f>
        <v>-3.23723157014051</v>
      </c>
      <c r="N266" s="58" t="n">
        <f aca="false">'E1 TelukLamong Output'!N38*$E$266</f>
        <v>-3.39046866515628</v>
      </c>
      <c r="O266" s="58" t="n">
        <f aca="false">'E1 TelukLamong Output'!O38*$E$266</f>
        <v>-3.54374391858123</v>
      </c>
      <c r="P266" s="58" t="n">
        <f aca="false">'E1 TelukLamong Output'!P38*$E$266</f>
        <v>-3.72312500731182</v>
      </c>
      <c r="Q266" s="58" t="n">
        <f aca="false">'E1 TelukLamong Output'!Q38*$E$266</f>
        <v>-3.90170449127994</v>
      </c>
      <c r="R266" s="58" t="n">
        <f aca="false">'E1 TelukLamong Output'!R38*$E$266</f>
        <v>-4.08968671311892</v>
      </c>
      <c r="S266" s="58" t="n">
        <f aca="false">'E1 TelukLamong Output'!S38*$E$266</f>
        <v>-4.27588110528686</v>
      </c>
    </row>
    <row r="267" customFormat="false" ht="15" hidden="false" customHeight="false" outlineLevel="0" collapsed="false">
      <c r="B267" s="77" t="s">
        <v>34</v>
      </c>
      <c r="C267" s="25" t="s">
        <v>170</v>
      </c>
      <c r="E267" s="55" t="n">
        <f aca="false">'Global Inputs'!$L$90</f>
        <v>1</v>
      </c>
      <c r="F267" s="58" t="n">
        <f aca="false">'E2 CigadingExist Output'!F38*$E$267</f>
        <v>-1.60697070234504</v>
      </c>
      <c r="G267" s="58" t="n">
        <f aca="false">'E2 CigadingExist Output'!G38*$E$267</f>
        <v>-1.10013978233645</v>
      </c>
      <c r="H267" s="58" t="n">
        <f aca="false">'E2 CigadingExist Output'!H38*$E$267</f>
        <v>-1.14662013229574</v>
      </c>
      <c r="I267" s="58" t="n">
        <f aca="false">'E2 CigadingExist Output'!I38*$E$267</f>
        <v>-1.19486413230925</v>
      </c>
      <c r="J267" s="58" t="n">
        <f aca="false">'E2 CigadingExist Output'!J38*$E$267</f>
        <v>-1.24253767142726</v>
      </c>
      <c r="K267" s="58" t="n">
        <f aca="false">'E2 CigadingExist Output'!K38*$E$267</f>
        <v>-1.28894508431115</v>
      </c>
      <c r="L267" s="58" t="n">
        <f aca="false">'E2 CigadingExist Output'!L38*$E$267</f>
        <v>-1.34752204344192</v>
      </c>
      <c r="M267" s="58" t="n">
        <f aca="false">'E2 CigadingExist Output'!M38*$E$267</f>
        <v>-1.40234404209642</v>
      </c>
      <c r="N267" s="58" t="n">
        <f aca="false">'E2 CigadingExist Output'!N38*$E$267</f>
        <v>-1.45979688392359</v>
      </c>
      <c r="O267" s="58" t="n">
        <f aca="false">'E2 CigadingExist Output'!O38*$E$267</f>
        <v>-1.51858149056707</v>
      </c>
      <c r="P267" s="58" t="n">
        <f aca="false">'E2 CigadingExist Output'!P38*$E$267</f>
        <v>-1.58586985281097</v>
      </c>
      <c r="Q267" s="58" t="n">
        <f aca="false">'E2 CigadingExist Output'!Q38*$E$267</f>
        <v>-1.65205704916404</v>
      </c>
      <c r="R267" s="58" t="n">
        <f aca="false">'E2 CigadingExist Output'!R38*$E$267</f>
        <v>-1.72146227874195</v>
      </c>
      <c r="S267" s="58" t="n">
        <f aca="false">'E2 CigadingExist Output'!S38*$E$267</f>
        <v>-1.78935060845088</v>
      </c>
    </row>
    <row r="268" customFormat="false" ht="15" hidden="false" customHeight="false" outlineLevel="0" collapsed="false">
      <c r="B268" s="77" t="s">
        <v>37</v>
      </c>
      <c r="C268" s="25" t="s">
        <v>170</v>
      </c>
      <c r="E268" s="55" t="n">
        <f aca="false">'Global Inputs'!$L$91</f>
        <v>1</v>
      </c>
      <c r="F268" s="58" t="n">
        <f aca="false">'E3 Belawan Output'!F38*$E$268</f>
        <v>-0.960963844884674</v>
      </c>
      <c r="G268" s="58" t="n">
        <f aca="false">'E3 Belawan Output'!G38*$E$268</f>
        <v>-0.657880416613613</v>
      </c>
      <c r="H268" s="58" t="n">
        <f aca="false">'E3 Belawan Output'!H38*$E$268</f>
        <v>-0.686772040405011</v>
      </c>
      <c r="I268" s="58" t="n">
        <f aca="false">'E3 Belawan Output'!I38*$E$268</f>
        <v>-0.773584361399035</v>
      </c>
      <c r="J268" s="58" t="n">
        <f aca="false">'E3 Belawan Output'!J38*$E$268</f>
        <v>-0.868041939075447</v>
      </c>
      <c r="K268" s="58" t="n">
        <f aca="false">'E3 Belawan Output'!K38*$E$268</f>
        <v>-0.918599159744272</v>
      </c>
      <c r="L268" s="58" t="n">
        <f aca="false">'E3 Belawan Output'!L38*$E$268</f>
        <v>-0.97692049765346</v>
      </c>
      <c r="M268" s="58" t="n">
        <f aca="false">'E3 Belawan Output'!M38*$E$268</f>
        <v>-1.03558929188361</v>
      </c>
      <c r="N268" s="58" t="n">
        <f aca="false">'E3 Belawan Output'!N38*$E$268</f>
        <v>-1.09726231767916</v>
      </c>
      <c r="O268" s="58" t="n">
        <f aca="false">'E3 Belawan Output'!O38*$E$268</f>
        <v>-1.15891147547829</v>
      </c>
      <c r="P268" s="58" t="n">
        <f aca="false">'E3 Belawan Output'!P38*$E$268</f>
        <v>-1.23021635799177</v>
      </c>
      <c r="Q268" s="58" t="n">
        <f aca="false">'E3 Belawan Output'!Q38*$E$268</f>
        <v>-1.30181394768735</v>
      </c>
      <c r="R268" s="58" t="n">
        <f aca="false">'E3 Belawan Output'!R38*$E$268</f>
        <v>-1.12341008061297</v>
      </c>
      <c r="S268" s="58" t="n">
        <f aca="false">'E3 Belawan Output'!S38*$E$268</f>
        <v>-1.16976384998758</v>
      </c>
    </row>
    <row r="269" customFormat="false" ht="15" hidden="false" customHeight="false" outlineLevel="0" collapsed="false">
      <c r="B269" s="77" t="s">
        <v>40</v>
      </c>
      <c r="C269" s="25" t="s">
        <v>170</v>
      </c>
      <c r="E269" s="55" t="n">
        <f aca="false">'Global Inputs'!$L$92</f>
        <v>1</v>
      </c>
      <c r="F269" s="58" t="n">
        <f aca="false">'E4 WIN Output'!F38*$E$269</f>
        <v>-8.52010176605575</v>
      </c>
      <c r="G269" s="58" t="n">
        <f aca="false">'E4 WIN Output'!G38*$E$269</f>
        <v>-5.8329021734588</v>
      </c>
      <c r="H269" s="58" t="n">
        <f aca="false">'E4 WIN Output'!H38*$E$269</f>
        <v>-4.035467032063</v>
      </c>
      <c r="I269" s="58" t="n">
        <f aca="false">'E4 WIN Output'!I38*$E$269</f>
        <v>-3.52821487041006</v>
      </c>
      <c r="J269" s="58" t="n">
        <f aca="false">'E4 WIN Output'!J38*$E$269</f>
        <v>-3.78619701737733</v>
      </c>
      <c r="K269" s="58" t="n">
        <f aca="false">'E4 WIN Output'!K38*$E$269</f>
        <v>-4.05260935905214</v>
      </c>
      <c r="L269" s="58" t="n">
        <f aca="false">'E4 WIN Output'!L38*$E$269</f>
        <v>-4.36226797265366</v>
      </c>
      <c r="M269" s="58" t="n">
        <f aca="false">'E4 WIN Output'!M38*$E$269</f>
        <v>-4.68348820765252</v>
      </c>
      <c r="N269" s="58" t="n">
        <f aca="false">'E4 WIN Output'!N38*$E$269</f>
        <v>-5.02912430410222</v>
      </c>
      <c r="O269" s="58" t="n">
        <f aca="false">'E4 WIN Output'!O38*$E$269</f>
        <v>-5.38630714268224</v>
      </c>
      <c r="P269" s="58" t="n">
        <f aca="false">'E4 WIN Output'!P38*$E$269</f>
        <v>-5.80134305130062</v>
      </c>
      <c r="Q269" s="58" t="n">
        <f aca="false">'E4 WIN Output'!Q38*$E$269</f>
        <v>-4.88658968174031</v>
      </c>
      <c r="R269" s="58" t="n">
        <f aca="false">'E4 WIN Output'!R38*$E$269</f>
        <v>-5.1147388756384</v>
      </c>
      <c r="S269" s="58" t="n">
        <f aca="false">'E4 WIN Output'!S38*$E$269</f>
        <v>-5.33905844262141</v>
      </c>
    </row>
    <row r="270" customFormat="false" ht="15" hidden="false" customHeight="false" outlineLevel="0" collapsed="false">
      <c r="B270" s="77" t="s">
        <v>43</v>
      </c>
      <c r="C270" s="25" t="s">
        <v>170</v>
      </c>
      <c r="E270" s="55" t="n">
        <f aca="false">'Global Inputs'!$L$93</f>
        <v>1</v>
      </c>
      <c r="F270" s="58" t="n">
        <f aca="false">'P01 CigWharf2 Output'!F38*$E$270</f>
        <v>-0</v>
      </c>
      <c r="G270" s="58" t="n">
        <f aca="false">'P01 CigWharf2 Output'!G38*$E$270</f>
        <v>-0</v>
      </c>
      <c r="H270" s="58" t="n">
        <f aca="false">'P01 CigWharf2 Output'!H38*$E$270</f>
        <v>-0.782050086277868</v>
      </c>
      <c r="I270" s="58" t="n">
        <f aca="false">'P01 CigWharf2 Output'!I38*$E$270</f>
        <v>-0.824466432641779</v>
      </c>
      <c r="J270" s="58" t="n">
        <f aca="false">'P01 CigWharf2 Output'!J38*$E$270</f>
        <v>-0.869465934499253</v>
      </c>
      <c r="K270" s="58" t="n">
        <f aca="false">'P01 CigWharf2 Output'!K38*$E$270</f>
        <v>-0.914699878954218</v>
      </c>
      <c r="L270" s="58" t="n">
        <f aca="false">'P01 CigWharf2 Output'!L38*$E$270</f>
        <v>-0.967853241806044</v>
      </c>
      <c r="M270" s="58" t="n">
        <f aca="false">'P01 CigWharf2 Output'!M38*$E$270</f>
        <v>-1.02158500034162</v>
      </c>
      <c r="N270" s="58" t="n">
        <f aca="false">'P01 CigWharf2 Output'!N38*$E$270</f>
        <v>-1.07858902297201</v>
      </c>
      <c r="O270" s="58" t="n">
        <f aca="false">'P01 CigWharf2 Output'!O38*$E$270</f>
        <v>-1.13595239224568</v>
      </c>
      <c r="P270" s="58" t="n">
        <f aca="false">'P01 CigWharf2 Output'!P38*$E$270</f>
        <v>-1.20322312025655</v>
      </c>
      <c r="Q270" s="58" t="n">
        <f aca="false">'P01 CigWharf2 Output'!Q38*$E$270</f>
        <v>-1.27128890438976</v>
      </c>
      <c r="R270" s="58" t="n">
        <f aca="false">'P01 CigWharf2 Output'!R38*$E$270</f>
        <v>-1.34349989477669</v>
      </c>
      <c r="S270" s="58" t="n">
        <f aca="false">'P01 CigWharf2 Output'!S38*$E$270</f>
        <v>-1.41622845651512</v>
      </c>
    </row>
    <row r="271" customFormat="false" ht="15" hidden="false" customHeight="false" outlineLevel="0" collapsed="false">
      <c r="B271" s="77" t="s">
        <v>46</v>
      </c>
      <c r="C271" s="25" t="s">
        <v>170</v>
      </c>
      <c r="E271" s="55" t="n">
        <f aca="false">'Global Inputs'!$L$94</f>
        <v>1</v>
      </c>
      <c r="F271" s="58" t="n">
        <f aca="false">'P02 CigConveyor Output'!F38*$E$271</f>
        <v>-0</v>
      </c>
      <c r="G271" s="58" t="n">
        <f aca="false">'P02 CigConveyor Output'!G38*$E$271</f>
        <v>-0</v>
      </c>
      <c r="H271" s="58" t="n">
        <f aca="false">'P02 CigConveyor Output'!H38*$E$271</f>
        <v>-0.199489656218372</v>
      </c>
      <c r="I271" s="58" t="n">
        <f aca="false">'P02 CigConveyor Output'!I38*$E$271</f>
        <v>-0.208382011350564</v>
      </c>
      <c r="J271" s="58" t="n">
        <f aca="false">'P02 CigConveyor Output'!J38*$E$271</f>
        <v>-0.217815910910306</v>
      </c>
      <c r="K271" s="58" t="n">
        <f aca="false">'P02 CigConveyor Output'!K38*$E$271</f>
        <v>-0.227201864092709</v>
      </c>
      <c r="L271" s="58" t="n">
        <f aca="false">'P02 CigConveyor Output'!L38*$E$271</f>
        <v>-0.238442272020382</v>
      </c>
      <c r="M271" s="58" t="n">
        <f aca="false">'P02 CigConveyor Output'!M38*$E$271</f>
        <v>-0.249706841454917</v>
      </c>
      <c r="N271" s="58" t="n">
        <f aca="false">'P02 CigConveyor Output'!N38*$E$271</f>
        <v>-0.261657423168014</v>
      </c>
      <c r="O271" s="58" t="n">
        <f aca="false">'P02 CigConveyor Output'!O38*$E$271</f>
        <v>-0.273586243954141</v>
      </c>
      <c r="P271" s="58" t="n">
        <f aca="false">'P02 CigConveyor Output'!P38*$E$271</f>
        <v>-0.287786280310156</v>
      </c>
      <c r="Q271" s="58" t="n">
        <f aca="false">'P02 CigConveyor Output'!Q38*$E$271</f>
        <v>-0.302055899849537</v>
      </c>
      <c r="R271" s="58" t="n">
        <f aca="false">'P02 CigConveyor Output'!R38*$E$271</f>
        <v>-0.317194539218867</v>
      </c>
      <c r="S271" s="58" t="n">
        <f aca="false">'P02 CigConveyor Output'!S38*$E$271</f>
        <v>-0.33234458860632</v>
      </c>
    </row>
    <row r="272" customFormat="false" ht="15" hidden="false" customHeight="false" outlineLevel="0" collapsed="false">
      <c r="B272" s="77" t="s">
        <v>48</v>
      </c>
      <c r="C272" s="25" t="s">
        <v>170</v>
      </c>
      <c r="E272" s="55" t="n">
        <f aca="false">'Global Inputs'!$L$95</f>
        <v>1</v>
      </c>
      <c r="F272" s="58" t="n">
        <f aca="false">'P03 KBSWarehouse Output'!F38*$E$272</f>
        <v>-0</v>
      </c>
      <c r="G272" s="58" t="n">
        <f aca="false">'P03 KBSWarehouse Output'!G38*$E$272</f>
        <v>-0</v>
      </c>
      <c r="H272" s="58" t="n">
        <f aca="false">'P03 KBSWarehouse Output'!H38*$E$272</f>
        <v>-0</v>
      </c>
      <c r="I272" s="58" t="n">
        <f aca="false">'P03 KBSWarehouse Output'!I38*$E$272</f>
        <v>-0</v>
      </c>
      <c r="J272" s="58" t="n">
        <f aca="false">'P03 KBSWarehouse Output'!J38*$E$272</f>
        <v>-0.435811906849315</v>
      </c>
      <c r="K272" s="58" t="n">
        <f aca="false">'P03 KBSWarehouse Output'!K38*$E$272</f>
        <v>-0.447659798852459</v>
      </c>
      <c r="L272" s="58" t="n">
        <f aca="false">'P03 KBSWarehouse Output'!L38*$E$272</f>
        <v>-0.462352851976438</v>
      </c>
      <c r="M272" s="58" t="n">
        <f aca="false">'P03 KBSWarehouse Output'!M38*$E$272</f>
        <v>-0.476223437535732</v>
      </c>
      <c r="N272" s="58" t="n">
        <f aca="false">'P03 KBSWarehouse Output'!N38*$E$272</f>
        <v>-0.490510140661804</v>
      </c>
      <c r="O272" s="58" t="n">
        <f aca="false">'P03 KBSWarehouse Output'!O38*$E$272</f>
        <v>-0.503845047491271</v>
      </c>
      <c r="P272" s="58" t="n">
        <f aca="false">'P03 KBSWarehouse Output'!P38*$E$272</f>
        <v>-0.520382208228107</v>
      </c>
      <c r="Q272" s="58" t="n">
        <f aca="false">'P03 KBSWarehouse Output'!Q38*$E$272</f>
        <v>-0.535993674474951</v>
      </c>
      <c r="R272" s="58" t="n">
        <f aca="false">'P03 KBSWarehouse Output'!R38*$E$272</f>
        <v>-0.552073484709199</v>
      </c>
      <c r="S272" s="58" t="n">
        <f aca="false">'P03 KBSWarehouse Output'!S38*$E$272</f>
        <v>-0.567082039826294</v>
      </c>
    </row>
    <row r="273" customFormat="false" ht="15" hidden="false" customHeight="false" outlineLevel="0" collapsed="false">
      <c r="B273" s="77" t="s">
        <v>51</v>
      </c>
      <c r="C273" s="25" t="s">
        <v>170</v>
      </c>
      <c r="E273" s="55" t="n">
        <f aca="false">'Global Inputs'!$L$96</f>
        <v>1</v>
      </c>
      <c r="F273" s="58" t="n">
        <f aca="false">'P04 TTLSilo Output'!F38*$E$273</f>
        <v>-0</v>
      </c>
      <c r="G273" s="58" t="n">
        <f aca="false">'P04 TTLSilo Output'!G38*$E$273</f>
        <v>-0</v>
      </c>
      <c r="H273" s="58" t="n">
        <f aca="false">'P04 TTLSilo Output'!H38*$E$273</f>
        <v>-0</v>
      </c>
      <c r="I273" s="58" t="n">
        <f aca="false">'P04 TTLSilo Output'!I38*$E$273</f>
        <v>-0</v>
      </c>
      <c r="J273" s="58" t="n">
        <f aca="false">'P04 TTLSilo Output'!J38*$E$273</f>
        <v>-0</v>
      </c>
      <c r="K273" s="58" t="n">
        <f aca="false">'P04 TTLSilo Output'!K38*$E$273</f>
        <v>-0</v>
      </c>
      <c r="L273" s="58" t="n">
        <f aca="false">'P04 TTLSilo Output'!L38*$E$273</f>
        <v>-0</v>
      </c>
      <c r="M273" s="58" t="n">
        <f aca="false">'P04 TTLSilo Output'!M38*$E$273</f>
        <v>-0</v>
      </c>
      <c r="N273" s="58" t="n">
        <f aca="false">'P04 TTLSilo Output'!N38*$E$273</f>
        <v>-0</v>
      </c>
      <c r="O273" s="58" t="n">
        <f aca="false">'P04 TTLSilo Output'!O38*$E$273</f>
        <v>-0</v>
      </c>
      <c r="P273" s="58" t="n">
        <f aca="false">'P04 TTLSilo Output'!P38*$E$273</f>
        <v>-0</v>
      </c>
      <c r="Q273" s="58" t="n">
        <f aca="false">'P04 TTLSilo Output'!Q38*$E$273</f>
        <v>-0</v>
      </c>
      <c r="R273" s="58" t="n">
        <f aca="false">'P04 TTLSilo Output'!R38*$E$273</f>
        <v>-0</v>
      </c>
      <c r="S273" s="58" t="n">
        <f aca="false">'P04 TTLSilo Output'!S38*$E$273</f>
        <v>-0</v>
      </c>
    </row>
    <row r="274" customFormat="false" ht="15" hidden="false" customHeight="false" outlineLevel="0" collapsed="false">
      <c r="B274" s="77" t="s">
        <v>54</v>
      </c>
      <c r="C274" s="25" t="s">
        <v>170</v>
      </c>
      <c r="E274" s="55" t="n">
        <f aca="false">'Global Inputs'!$L$97</f>
        <v>1</v>
      </c>
      <c r="F274" s="58" t="n">
        <f aca="false">'P05 Dumai Output'!F38*$E$274</f>
        <v>-0</v>
      </c>
      <c r="G274" s="58" t="n">
        <f aca="false">'P05 Dumai Output'!G38*$E$274</f>
        <v>-0</v>
      </c>
      <c r="H274" s="58" t="n">
        <f aca="false">'P05 Dumai Output'!H38*$E$274</f>
        <v>-0</v>
      </c>
      <c r="I274" s="58" t="n">
        <f aca="false">'P05 Dumai Output'!I38*$E$274</f>
        <v>-0</v>
      </c>
      <c r="J274" s="58" t="n">
        <f aca="false">'P05 Dumai Output'!J38*$E$274</f>
        <v>-0</v>
      </c>
      <c r="K274" s="58" t="n">
        <f aca="false">'P05 Dumai Output'!K38*$E$274</f>
        <v>-0</v>
      </c>
      <c r="L274" s="58" t="n">
        <f aca="false">'P05 Dumai Output'!L38*$E$274</f>
        <v>-0</v>
      </c>
      <c r="M274" s="58" t="n">
        <f aca="false">'P05 Dumai Output'!M38*$E$274</f>
        <v>-0</v>
      </c>
      <c r="N274" s="58" t="n">
        <f aca="false">'P05 Dumai Output'!N38*$E$274</f>
        <v>-0</v>
      </c>
      <c r="O274" s="58" t="n">
        <f aca="false">'P05 Dumai Output'!O38*$E$274</f>
        <v>-0</v>
      </c>
      <c r="P274" s="58" t="n">
        <f aca="false">'P05 Dumai Output'!P38*$E$274</f>
        <v>-0</v>
      </c>
      <c r="Q274" s="58" t="n">
        <f aca="false">'P05 Dumai Output'!Q38*$E$274</f>
        <v>-0</v>
      </c>
      <c r="R274" s="58" t="n">
        <f aca="false">'P05 Dumai Output'!R38*$E$274</f>
        <v>-0</v>
      </c>
      <c r="S274" s="58" t="n">
        <f aca="false">'P05 Dumai Output'!S38*$E$274</f>
        <v>-0</v>
      </c>
    </row>
    <row r="275" customFormat="false" ht="15" hidden="false" customHeight="false" outlineLevel="0" collapsed="false">
      <c r="B275" s="77" t="s">
        <v>57</v>
      </c>
      <c r="C275" s="25" t="s">
        <v>170</v>
      </c>
      <c r="E275" s="55" t="n">
        <f aca="false">'Global Inputs'!$L$98</f>
        <v>1</v>
      </c>
      <c r="F275" s="58" t="n">
        <f aca="false">'P06 Ciwandan Output'!F38*$E$275</f>
        <v>-0</v>
      </c>
      <c r="G275" s="58" t="n">
        <f aca="false">'P06 Ciwandan Output'!G38*$E$275</f>
        <v>-0</v>
      </c>
      <c r="H275" s="58" t="n">
        <f aca="false">'P06 Ciwandan Output'!H38*$E$275</f>
        <v>-0</v>
      </c>
      <c r="I275" s="58" t="n">
        <f aca="false">'P06 Ciwandan Output'!I38*$E$275</f>
        <v>-0</v>
      </c>
      <c r="J275" s="58" t="n">
        <f aca="false">'P06 Ciwandan Output'!J38*$E$275</f>
        <v>-0</v>
      </c>
      <c r="K275" s="58" t="n">
        <f aca="false">'P06 Ciwandan Output'!K38*$E$275</f>
        <v>-1.23445621741445</v>
      </c>
      <c r="L275" s="58" t="n">
        <f aca="false">'P06 Ciwandan Output'!L38*$E$275</f>
        <v>-1.50356142997951</v>
      </c>
      <c r="M275" s="58" t="n">
        <f aca="false">'P06 Ciwandan Output'!M38*$E$275</f>
        <v>-1.67107265400128</v>
      </c>
      <c r="N275" s="58" t="n">
        <f aca="false">'P06 Ciwandan Output'!N38*$E$275</f>
        <v>-1.92785990546391</v>
      </c>
      <c r="O275" s="58" t="n">
        <f aca="false">'P06 Ciwandan Output'!O38*$E$275</f>
        <v>-2.06390537285994</v>
      </c>
      <c r="P275" s="58" t="n">
        <f aca="false">'P06 Ciwandan Output'!P38*$E$275</f>
        <v>-2.21813443179548</v>
      </c>
      <c r="Q275" s="58" t="n">
        <f aca="false">'P06 Ciwandan Output'!Q38*$E$275</f>
        <v>-2.37801177645313</v>
      </c>
      <c r="R275" s="58" t="n">
        <f aca="false">'P06 Ciwandan Output'!R38*$E$275</f>
        <v>-2.70309293351164</v>
      </c>
      <c r="S275" s="58" t="n">
        <f aca="false">'P06 Ciwandan Output'!S38*$E$275</f>
        <v>-2.89152899998023</v>
      </c>
    </row>
    <row r="276" customFormat="false" ht="15" hidden="false" customHeight="false" outlineLevel="0" collapsed="false">
      <c r="B276" s="77" t="s">
        <v>60</v>
      </c>
      <c r="C276" s="25" t="s">
        <v>170</v>
      </c>
      <c r="E276" s="55" t="n">
        <f aca="false">'Global Inputs'!$L$99</f>
        <v>1</v>
      </c>
      <c r="F276" s="58" t="n">
        <f aca="false">'P08 DMSTrucking Output'!F38*$E$276</f>
        <v>-0</v>
      </c>
      <c r="G276" s="58" t="n">
        <f aca="false">'P08 DMSTrucking Output'!G38*$E$276</f>
        <v>-0</v>
      </c>
      <c r="H276" s="58" t="n">
        <f aca="false">'P08 DMSTrucking Output'!H38*$E$276</f>
        <v>-0</v>
      </c>
      <c r="I276" s="58" t="n">
        <f aca="false">'P08 DMSTrucking Output'!I38*$E$276</f>
        <v>-0</v>
      </c>
      <c r="J276" s="58" t="n">
        <f aca="false">'P08 DMSTrucking Output'!J38*$E$276</f>
        <v>-0</v>
      </c>
      <c r="K276" s="58" t="n">
        <f aca="false">'P08 DMSTrucking Output'!K38*$E$276</f>
        <v>-0</v>
      </c>
      <c r="L276" s="58" t="n">
        <f aca="false">'P08 DMSTrucking Output'!L38*$E$276</f>
        <v>-0</v>
      </c>
      <c r="M276" s="58" t="n">
        <f aca="false">'P08 DMSTrucking Output'!M38*$E$276</f>
        <v>-0</v>
      </c>
      <c r="N276" s="58" t="n">
        <f aca="false">'P08 DMSTrucking Output'!N38*$E$276</f>
        <v>-0</v>
      </c>
      <c r="O276" s="58" t="n">
        <f aca="false">'P08 DMSTrucking Output'!O38*$E$276</f>
        <v>-0</v>
      </c>
      <c r="P276" s="58" t="n">
        <f aca="false">'P08 DMSTrucking Output'!P38*$E$276</f>
        <v>-0</v>
      </c>
      <c r="Q276" s="58" t="n">
        <f aca="false">'P08 DMSTrucking Output'!Q38*$E$276</f>
        <v>-0</v>
      </c>
      <c r="R276" s="58" t="n">
        <f aca="false">'P08 DMSTrucking Output'!R38*$E$276</f>
        <v>-0</v>
      </c>
      <c r="S276" s="58" t="n">
        <f aca="false">'P08 DMSTrucking Output'!S38*$E$276</f>
        <v>-0</v>
      </c>
    </row>
    <row r="277" customFormat="false" ht="15" hidden="false" customHeight="false" outlineLevel="0" collapsed="false">
      <c r="B277" s="77" t="s">
        <v>63</v>
      </c>
      <c r="C277" s="25" t="s">
        <v>170</v>
      </c>
      <c r="E277" s="55" t="n">
        <f aca="false">'Global Inputs'!$L$100</f>
        <v>1</v>
      </c>
      <c r="F277" s="58" t="n">
        <f aca="false">'P12 BUMNOps Output'!F38*$E$277</f>
        <v>-0</v>
      </c>
      <c r="G277" s="58" t="n">
        <f aca="false">'P12 BUMNOps Output'!G38*$E$277</f>
        <v>-0</v>
      </c>
      <c r="H277" s="58" t="n">
        <f aca="false">'P12 BUMNOps Output'!H38*$E$277</f>
        <v>-0</v>
      </c>
      <c r="I277" s="58" t="n">
        <f aca="false">'P12 BUMNOps Output'!I38*$E$277</f>
        <v>-0</v>
      </c>
      <c r="J277" s="58" t="n">
        <f aca="false">'P12 BUMNOps Output'!J38*$E$277</f>
        <v>-0</v>
      </c>
      <c r="K277" s="58" t="n">
        <f aca="false">'P12 BUMNOps Output'!K38*$E$277</f>
        <v>-0</v>
      </c>
      <c r="L277" s="58" t="n">
        <f aca="false">'P12 BUMNOps Output'!L38*$E$277</f>
        <v>-0</v>
      </c>
      <c r="M277" s="58" t="n">
        <f aca="false">'P12 BUMNOps Output'!M38*$E$277</f>
        <v>-0</v>
      </c>
      <c r="N277" s="58" t="n">
        <f aca="false">'P12 BUMNOps Output'!N38*$E$277</f>
        <v>-0</v>
      </c>
      <c r="O277" s="58" t="n">
        <f aca="false">'P12 BUMNOps Output'!O38*$E$277</f>
        <v>-0</v>
      </c>
      <c r="P277" s="58" t="n">
        <f aca="false">'P12 BUMNOps Output'!P38*$E$277</f>
        <v>-0</v>
      </c>
      <c r="Q277" s="58" t="n">
        <f aca="false">'P12 BUMNOps Output'!Q38*$E$277</f>
        <v>-0</v>
      </c>
      <c r="R277" s="58" t="n">
        <f aca="false">'P12 BUMNOps Output'!R38*$E$277</f>
        <v>-0</v>
      </c>
      <c r="S277" s="58" t="n">
        <f aca="false">'P12 BUMNOps Output'!S38*$E$277</f>
        <v>-0</v>
      </c>
    </row>
    <row r="278" customFormat="false" ht="15" hidden="false" customHeight="false" outlineLevel="0" collapsed="false">
      <c r="B278" s="77" t="s">
        <v>66</v>
      </c>
      <c r="C278" s="25" t="s">
        <v>170</v>
      </c>
      <c r="E278" s="55" t="n">
        <f aca="false">'Global Inputs'!$L$101</f>
        <v>0</v>
      </c>
      <c r="F278" s="58" t="n">
        <f aca="false">'P15 TBM Output'!F38*$E$278</f>
        <v>-0</v>
      </c>
      <c r="G278" s="58" t="n">
        <f aca="false">'P15 TBM Output'!G38*$E$278</f>
        <v>-0</v>
      </c>
      <c r="H278" s="58" t="n">
        <f aca="false">'P15 TBM Output'!H38*$E$278</f>
        <v>-0</v>
      </c>
      <c r="I278" s="58" t="n">
        <f aca="false">'P15 TBM Output'!I38*$E$278</f>
        <v>-0</v>
      </c>
      <c r="J278" s="58" t="n">
        <f aca="false">'P15 TBM Output'!J38*$E$278</f>
        <v>-0</v>
      </c>
      <c r="K278" s="58" t="n">
        <f aca="false">'P15 TBM Output'!K38*$E$278</f>
        <v>-0</v>
      </c>
      <c r="L278" s="58" t="n">
        <f aca="false">'P15 TBM Output'!L38*$E$278</f>
        <v>-0</v>
      </c>
      <c r="M278" s="58" t="n">
        <f aca="false">'P15 TBM Output'!M38*$E$278</f>
        <v>-0</v>
      </c>
      <c r="N278" s="58" t="n">
        <f aca="false">'P15 TBM Output'!N38*$E$278</f>
        <v>-0</v>
      </c>
      <c r="O278" s="58" t="n">
        <f aca="false">'P15 TBM Output'!O38*$E$278</f>
        <v>-0</v>
      </c>
      <c r="P278" s="58" t="n">
        <f aca="false">'P15 TBM Output'!P38*$E$278</f>
        <v>-0</v>
      </c>
      <c r="Q278" s="58" t="n">
        <f aca="false">'P15 TBM Output'!Q38*$E$278</f>
        <v>-0</v>
      </c>
      <c r="R278" s="58" t="n">
        <f aca="false">'P15 TBM Output'!R38*$E$278</f>
        <v>-0</v>
      </c>
      <c r="S278" s="58" t="n">
        <f aca="false">'P15 TBM Output'!S38*$E$278</f>
        <v>-0</v>
      </c>
    </row>
    <row r="279" customFormat="false" ht="15" hidden="false" customHeight="false" outlineLevel="0" collapsed="false">
      <c r="B279" s="77" t="s">
        <v>69</v>
      </c>
      <c r="C279" s="25" t="s">
        <v>170</v>
      </c>
      <c r="E279" s="55" t="n">
        <f aca="false">'Global Inputs'!$L$102</f>
        <v>0</v>
      </c>
      <c r="F279" s="58" t="n">
        <f aca="false">'P19 Badas Output'!F38*$E$279</f>
        <v>-0</v>
      </c>
      <c r="G279" s="58" t="n">
        <f aca="false">'P19 Badas Output'!G38*$E$279</f>
        <v>-0</v>
      </c>
      <c r="H279" s="58" t="n">
        <f aca="false">'P19 Badas Output'!H38*$E$279</f>
        <v>-0</v>
      </c>
      <c r="I279" s="58" t="n">
        <f aca="false">'P19 Badas Output'!I38*$E$279</f>
        <v>-0</v>
      </c>
      <c r="J279" s="58" t="n">
        <f aca="false">'P19 Badas Output'!J38*$E$279</f>
        <v>-0</v>
      </c>
      <c r="K279" s="58" t="n">
        <f aca="false">'P19 Badas Output'!K38*$E$279</f>
        <v>-0</v>
      </c>
      <c r="L279" s="58" t="n">
        <f aca="false">'P19 Badas Output'!L38*$E$279</f>
        <v>-0</v>
      </c>
      <c r="M279" s="58" t="n">
        <f aca="false">'P19 Badas Output'!M38*$E$279</f>
        <v>-0</v>
      </c>
      <c r="N279" s="58" t="n">
        <f aca="false">'P19 Badas Output'!N38*$E$279</f>
        <v>-0</v>
      </c>
      <c r="O279" s="58" t="n">
        <f aca="false">'P19 Badas Output'!O38*$E$279</f>
        <v>-0</v>
      </c>
      <c r="P279" s="58" t="n">
        <f aca="false">'P19 Badas Output'!P38*$E$279</f>
        <v>-0</v>
      </c>
      <c r="Q279" s="58" t="n">
        <f aca="false">'P19 Badas Output'!Q38*$E$279</f>
        <v>-0</v>
      </c>
      <c r="R279" s="58" t="n">
        <f aca="false">'P19 Badas Output'!R38*$E$279</f>
        <v>-0</v>
      </c>
      <c r="S279" s="58" t="n">
        <f aca="false">'P19 Badas Output'!S38*$E$279</f>
        <v>-0</v>
      </c>
    </row>
    <row r="280" customFormat="false" ht="15" hidden="false" customHeight="false" outlineLevel="0" collapsed="false">
      <c r="B280" s="69" t="s">
        <v>466</v>
      </c>
      <c r="C280" s="25" t="s">
        <v>170</v>
      </c>
      <c r="E280" s="70" t="n">
        <f aca="false">SUM(F280:S280)</f>
        <v>-190.225293688511</v>
      </c>
      <c r="F280" s="68" t="n">
        <f aca="false">F266+F267+F268+F269+F270+F271+F272+F273+F274+F275+F276+F277+F278+F279</f>
        <v>-14.6719859829049</v>
      </c>
      <c r="G280" s="68" t="n">
        <f aca="false">G266+G267+G268+G269+G270+G271+G272+G273+G274+G275+G276+G277+G278+G279</f>
        <v>-10.0445113542653</v>
      </c>
      <c r="H280" s="68" t="n">
        <f aca="false">H266+H267+H268+H269+H270+H271+H272+H273+H274+H275+H276+H277+H278+H279</f>
        <v>-9.42400616913743</v>
      </c>
      <c r="I280" s="68" t="n">
        <f aca="false">I266+I267+I268+I269+I270+I271+I272+I273+I274+I275+I276+I277+I278+I279</f>
        <v>-9.22396802675108</v>
      </c>
      <c r="J280" s="68" t="n">
        <f aca="false">J266+J267+J268+J269+J270+J271+J272+J273+J274+J275+J276+J277+J278+J279</f>
        <v>-10.2395434317493</v>
      </c>
      <c r="K280" s="68" t="n">
        <f aca="false">K266+K267+K268+K269+K270+K271+K272+K273+K274+K275+K276+K277+K278+K279</f>
        <v>-12.0274509594241</v>
      </c>
      <c r="L280" s="68" t="n">
        <f aca="false">L266+L267+L268+L269+L270+L271+L272+L273+L274+L275+L276+L277+L278+L279</f>
        <v>-12.9504923455377</v>
      </c>
      <c r="M280" s="68" t="n">
        <f aca="false">M266+M267+M268+M269+M270+M271+M272+M273+M274+M275+M276+M277+M278+M279</f>
        <v>-13.7772410451066</v>
      </c>
      <c r="N280" s="68" t="n">
        <f aca="false">N266+N267+N268+N269+N270+N271+N272+N273+N274+N275+N276+N277+N278+N279</f>
        <v>-14.735268663127</v>
      </c>
      <c r="O280" s="68" t="n">
        <f aca="false">O266+O267+O268+O269+O270+O271+O272+O273+O274+O275+O276+O277+O278+O279</f>
        <v>-15.5848330838599</v>
      </c>
      <c r="P280" s="68" t="n">
        <f aca="false">P266+P267+P268+P269+P270+P271+P272+P273+P274+P275+P276+P277+P278+P279</f>
        <v>-16.5700803100055</v>
      </c>
      <c r="Q280" s="68" t="n">
        <f aca="false">Q266+Q267+Q268+Q269+Q270+Q271+Q272+Q273+Q274+Q275+Q276+Q277+Q278+Q279</f>
        <v>-16.229515425039</v>
      </c>
      <c r="R280" s="68" t="n">
        <f aca="false">R266+R267+R268+R269+R270+R271+R272+R273+R274+R275+R276+R277+R278+R279</f>
        <v>-16.9651588003286</v>
      </c>
      <c r="S280" s="68" t="n">
        <f aca="false">S266+S267+S268+S269+S270+S271+S272+S273+S274+S275+S276+S277+S278+S279</f>
        <v>-17.7812380912747</v>
      </c>
    </row>
    <row r="281" customFormat="false" ht="15" hidden="false" customHeight="false" outlineLevel="0" collapsed="false">
      <c r="B281" s="78" t="s">
        <v>467</v>
      </c>
      <c r="C281" s="79"/>
      <c r="D281" s="79"/>
      <c r="E281" s="79"/>
      <c r="F281" s="79"/>
      <c r="G281" s="79"/>
      <c r="H281" s="79"/>
      <c r="I281" s="79"/>
      <c r="J281" s="79"/>
      <c r="K281" s="79"/>
      <c r="L281" s="79"/>
      <c r="M281" s="79"/>
      <c r="N281" s="79"/>
      <c r="O281" s="79"/>
      <c r="P281" s="79"/>
      <c r="Q281" s="79"/>
      <c r="R281" s="79"/>
      <c r="S281" s="79"/>
    </row>
    <row r="282" customFormat="false" ht="15" hidden="false" customHeight="false" outlineLevel="0" collapsed="false">
      <c r="B282" s="77" t="s">
        <v>31</v>
      </c>
      <c r="C282" s="25" t="s">
        <v>170</v>
      </c>
      <c r="E282" s="55" t="n">
        <f aca="false">'Global Inputs'!$L$89</f>
        <v>1</v>
      </c>
      <c r="F282" s="58" t="n">
        <f aca="false">'E1 TelukLamong Output'!F36*$E$282</f>
        <v>0</v>
      </c>
      <c r="G282" s="58" t="n">
        <f aca="false">'E1 TelukLamong Output'!G36*$E$282</f>
        <v>0</v>
      </c>
      <c r="H282" s="58" t="n">
        <f aca="false">'E1 TelukLamong Output'!H36*$E$282</f>
        <v>0</v>
      </c>
      <c r="I282" s="58" t="n">
        <f aca="false">'E1 TelukLamong Output'!I36*$E$282</f>
        <v>0</v>
      </c>
      <c r="J282" s="58" t="n">
        <f aca="false">'E1 TelukLamong Output'!J36*$E$282</f>
        <v>0</v>
      </c>
      <c r="K282" s="58" t="n">
        <f aca="false">'E1 TelukLamong Output'!K36*$E$282</f>
        <v>0</v>
      </c>
      <c r="L282" s="58" t="n">
        <f aca="false">'E1 TelukLamong Output'!L36*$E$282</f>
        <v>0</v>
      </c>
      <c r="M282" s="58" t="n">
        <f aca="false">'E1 TelukLamong Output'!M36*$E$282</f>
        <v>0</v>
      </c>
      <c r="N282" s="58" t="n">
        <f aca="false">'E1 TelukLamong Output'!N36*$E$282</f>
        <v>0</v>
      </c>
      <c r="O282" s="58" t="n">
        <f aca="false">'E1 TelukLamong Output'!O36*$E$282</f>
        <v>0</v>
      </c>
      <c r="P282" s="58" t="n">
        <f aca="false">'E1 TelukLamong Output'!P36*$E$282</f>
        <v>0</v>
      </c>
      <c r="Q282" s="58" t="n">
        <f aca="false">'E1 TelukLamong Output'!Q36*$E$282</f>
        <v>0</v>
      </c>
      <c r="R282" s="58" t="n">
        <f aca="false">'E1 TelukLamong Output'!R36*$E$282</f>
        <v>0</v>
      </c>
      <c r="S282" s="58" t="n">
        <f aca="false">'E1 TelukLamong Output'!S36*$E$282</f>
        <v>0</v>
      </c>
    </row>
    <row r="283" customFormat="false" ht="15" hidden="false" customHeight="false" outlineLevel="0" collapsed="false">
      <c r="B283" s="77" t="s">
        <v>34</v>
      </c>
      <c r="C283" s="25" t="s">
        <v>170</v>
      </c>
      <c r="E283" s="55" t="n">
        <f aca="false">'Global Inputs'!$L$90</f>
        <v>1</v>
      </c>
      <c r="F283" s="58" t="n">
        <f aca="false">'E2 CigadingExist Output'!F36*$E$283</f>
        <v>0</v>
      </c>
      <c r="G283" s="58" t="n">
        <f aca="false">'E2 CigadingExist Output'!G36*$E$283</f>
        <v>0</v>
      </c>
      <c r="H283" s="58" t="n">
        <f aca="false">'E2 CigadingExist Output'!H36*$E$283</f>
        <v>0</v>
      </c>
      <c r="I283" s="58" t="n">
        <f aca="false">'E2 CigadingExist Output'!I36*$E$283</f>
        <v>0</v>
      </c>
      <c r="J283" s="58" t="n">
        <f aca="false">'E2 CigadingExist Output'!J36*$E$283</f>
        <v>0</v>
      </c>
      <c r="K283" s="58" t="n">
        <f aca="false">'E2 CigadingExist Output'!K36*$E$283</f>
        <v>0</v>
      </c>
      <c r="L283" s="58" t="n">
        <f aca="false">'E2 CigadingExist Output'!L36*$E$283</f>
        <v>0</v>
      </c>
      <c r="M283" s="58" t="n">
        <f aca="false">'E2 CigadingExist Output'!M36*$E$283</f>
        <v>0</v>
      </c>
      <c r="N283" s="58" t="n">
        <f aca="false">'E2 CigadingExist Output'!N36*$E$283</f>
        <v>0</v>
      </c>
      <c r="O283" s="58" t="n">
        <f aca="false">'E2 CigadingExist Output'!O36*$E$283</f>
        <v>0</v>
      </c>
      <c r="P283" s="58" t="n">
        <f aca="false">'E2 CigadingExist Output'!P36*$E$283</f>
        <v>0</v>
      </c>
      <c r="Q283" s="58" t="n">
        <f aca="false">'E2 CigadingExist Output'!Q36*$E$283</f>
        <v>0</v>
      </c>
      <c r="R283" s="58" t="n">
        <f aca="false">'E2 CigadingExist Output'!R36*$E$283</f>
        <v>0</v>
      </c>
      <c r="S283" s="58" t="n">
        <f aca="false">'E2 CigadingExist Output'!S36*$E$283</f>
        <v>0</v>
      </c>
    </row>
    <row r="284" customFormat="false" ht="15" hidden="false" customHeight="false" outlineLevel="0" collapsed="false">
      <c r="B284" s="77" t="s">
        <v>37</v>
      </c>
      <c r="C284" s="25" t="s">
        <v>170</v>
      </c>
      <c r="E284" s="55" t="n">
        <f aca="false">'Global Inputs'!$L$91</f>
        <v>1</v>
      </c>
      <c r="F284" s="58" t="n">
        <f aca="false">'E3 Belawan Output'!F36*$E$284</f>
        <v>0</v>
      </c>
      <c r="G284" s="58" t="n">
        <f aca="false">'E3 Belawan Output'!G36*$E$284</f>
        <v>0</v>
      </c>
      <c r="H284" s="58" t="n">
        <f aca="false">'E3 Belawan Output'!H36*$E$284</f>
        <v>0</v>
      </c>
      <c r="I284" s="58" t="n">
        <f aca="false">'E3 Belawan Output'!I36*$E$284</f>
        <v>107.6853375</v>
      </c>
      <c r="J284" s="58" t="n">
        <f aca="false">'E3 Belawan Output'!J36*$E$284</f>
        <v>208.4240125</v>
      </c>
      <c r="K284" s="58" t="n">
        <f aca="false">'E3 Belawan Output'!K36*$E$284</f>
        <v>195.3076875</v>
      </c>
      <c r="L284" s="58" t="n">
        <f aca="false">'E3 Belawan Output'!L36*$E$284</f>
        <v>182.1913625</v>
      </c>
      <c r="M284" s="58" t="n">
        <f aca="false">'E3 Belawan Output'!M36*$E$284</f>
        <v>169.0750375</v>
      </c>
      <c r="N284" s="58" t="n">
        <f aca="false">'E3 Belawan Output'!N36*$E$284</f>
        <v>155.9587125</v>
      </c>
      <c r="O284" s="58" t="n">
        <f aca="false">'E3 Belawan Output'!O36*$E$284</f>
        <v>142.8423875</v>
      </c>
      <c r="P284" s="58" t="n">
        <f aca="false">'E3 Belawan Output'!P36*$E$284</f>
        <v>129.7260625</v>
      </c>
      <c r="Q284" s="58" t="n">
        <f aca="false">'E3 Belawan Output'!Q36*$E$284</f>
        <v>118.037925</v>
      </c>
      <c r="R284" s="58" t="n">
        <f aca="false">'E3 Belawan Output'!R36*$E$284</f>
        <v>107.772975</v>
      </c>
      <c r="S284" s="58" t="n">
        <f aca="false">'E3 Belawan Output'!S36*$E$284</f>
        <v>97.508025</v>
      </c>
    </row>
    <row r="285" customFormat="false" ht="15" hidden="false" customHeight="false" outlineLevel="0" collapsed="false">
      <c r="B285" s="77" t="s">
        <v>40</v>
      </c>
      <c r="C285" s="25" t="s">
        <v>170</v>
      </c>
      <c r="E285" s="55" t="n">
        <f aca="false">'Global Inputs'!$L$92</f>
        <v>1</v>
      </c>
      <c r="F285" s="58" t="n">
        <f aca="false">'E4 WIN Output'!F36*$E$285</f>
        <v>0</v>
      </c>
      <c r="G285" s="58" t="n">
        <f aca="false">'E4 WIN Output'!G36*$E$285</f>
        <v>0</v>
      </c>
      <c r="H285" s="58" t="n">
        <f aca="false">'E4 WIN Output'!H36*$E$285</f>
        <v>0</v>
      </c>
      <c r="I285" s="58" t="n">
        <f aca="false">'E4 WIN Output'!I36*$E$285</f>
        <v>0</v>
      </c>
      <c r="J285" s="58" t="n">
        <f aca="false">'E4 WIN Output'!J36*$E$285</f>
        <v>0</v>
      </c>
      <c r="K285" s="58" t="n">
        <f aca="false">'E4 WIN Output'!K36*$E$285</f>
        <v>0</v>
      </c>
      <c r="L285" s="58" t="n">
        <f aca="false">'E4 WIN Output'!L36*$E$285</f>
        <v>0</v>
      </c>
      <c r="M285" s="58" t="n">
        <f aca="false">'E4 WIN Output'!M36*$E$285</f>
        <v>0</v>
      </c>
      <c r="N285" s="58" t="n">
        <f aca="false">'E4 WIN Output'!N36*$E$285</f>
        <v>0</v>
      </c>
      <c r="O285" s="58" t="n">
        <f aca="false">'E4 WIN Output'!O36*$E$285</f>
        <v>0</v>
      </c>
      <c r="P285" s="58" t="n">
        <f aca="false">'E4 WIN Output'!P36*$E$285</f>
        <v>0</v>
      </c>
      <c r="Q285" s="58" t="n">
        <f aca="false">'E4 WIN Output'!Q36*$E$285</f>
        <v>0</v>
      </c>
      <c r="R285" s="58" t="n">
        <f aca="false">'E4 WIN Output'!R36*$E$285</f>
        <v>0</v>
      </c>
      <c r="S285" s="58" t="n">
        <f aca="false">'E4 WIN Output'!S36*$E$285</f>
        <v>0</v>
      </c>
    </row>
    <row r="286" customFormat="false" ht="15" hidden="false" customHeight="false" outlineLevel="0" collapsed="false">
      <c r="B286" s="77" t="s">
        <v>43</v>
      </c>
      <c r="C286" s="25" t="s">
        <v>170</v>
      </c>
      <c r="E286" s="55" t="n">
        <f aca="false">'Global Inputs'!$L$93</f>
        <v>1</v>
      </c>
      <c r="F286" s="58" t="n">
        <f aca="false">'P01 CigWharf2 Output'!F36*$E$286</f>
        <v>162.65</v>
      </c>
      <c r="G286" s="58" t="n">
        <f aca="false">'P01 CigWharf2 Output'!G36*$E$286</f>
        <v>200.0595</v>
      </c>
      <c r="H286" s="58" t="n">
        <f aca="false">'P01 CigWharf2 Output'!H36*$E$286</f>
        <v>190.393464136878</v>
      </c>
      <c r="I286" s="58" t="n">
        <f aca="false">'P01 CigWharf2 Output'!I36*$E$286</f>
        <v>172.594928273756</v>
      </c>
      <c r="J286" s="58" t="n">
        <f aca="false">'P01 CigWharf2 Output'!J36*$E$286</f>
        <v>154.796392410634</v>
      </c>
      <c r="K286" s="58" t="n">
        <f aca="false">'P01 CigWharf2 Output'!K36*$E$286</f>
        <v>136.997856547512</v>
      </c>
      <c r="L286" s="58" t="n">
        <f aca="false">'P01 CigWharf2 Output'!L36*$E$286</f>
        <v>119.19932068439</v>
      </c>
      <c r="M286" s="58" t="n">
        <f aca="false">'P01 CigWharf2 Output'!M36*$E$286</f>
        <v>101.400784821268</v>
      </c>
      <c r="N286" s="58" t="n">
        <f aca="false">'P01 CigWharf2 Output'!N36*$E$286</f>
        <v>83.6022489581462</v>
      </c>
      <c r="O286" s="58" t="n">
        <f aca="false">'P01 CigWharf2 Output'!O36*$E$286</f>
        <v>65.8037130950242</v>
      </c>
      <c r="P286" s="58" t="n">
        <f aca="false">'P01 CigWharf2 Output'!P36*$E$286</f>
        <v>60.3200703371055</v>
      </c>
      <c r="Q286" s="58" t="n">
        <f aca="false">'P01 CigWharf2 Output'!Q36*$E$286</f>
        <v>54.8364275791868</v>
      </c>
      <c r="R286" s="58" t="n">
        <f aca="false">'P01 CigWharf2 Output'!R36*$E$286</f>
        <v>49.3527848212682</v>
      </c>
      <c r="S286" s="58" t="n">
        <f aca="false">'P01 CigWharf2 Output'!S36*$E$286</f>
        <v>43.8691420633495</v>
      </c>
    </row>
    <row r="287" customFormat="false" ht="15" hidden="false" customHeight="false" outlineLevel="0" collapsed="false">
      <c r="B287" s="77" t="s">
        <v>46</v>
      </c>
      <c r="C287" s="25" t="s">
        <v>170</v>
      </c>
      <c r="E287" s="55" t="n">
        <f aca="false">'Global Inputs'!$L$94</f>
        <v>1</v>
      </c>
      <c r="F287" s="58" t="n">
        <f aca="false">'P02 CigConveyor Output'!F36*$E$287</f>
        <v>35.783</v>
      </c>
      <c r="G287" s="58" t="n">
        <f aca="false">'P02 CigConveyor Output'!G36*$E$287</f>
        <v>123.614</v>
      </c>
      <c r="H287" s="58" t="n">
        <f aca="false">'P02 CigConveyor Output'!H36*$E$287</f>
        <v>122.699980194834</v>
      </c>
      <c r="I287" s="58" t="n">
        <f aca="false">'P02 CigConveyor Output'!I36*$E$287</f>
        <v>115.279960389668</v>
      </c>
      <c r="J287" s="58" t="n">
        <f aca="false">'P02 CigConveyor Output'!J36*$E$287</f>
        <v>107.859940584501</v>
      </c>
      <c r="K287" s="58" t="n">
        <f aca="false">'P02 CigConveyor Output'!K36*$E$287</f>
        <v>100.439920779335</v>
      </c>
      <c r="L287" s="58" t="n">
        <f aca="false">'P02 CigConveyor Output'!L36*$E$287</f>
        <v>93.019900974169</v>
      </c>
      <c r="M287" s="58" t="n">
        <f aca="false">'P02 CigConveyor Output'!M36*$E$287</f>
        <v>85.5998811690028</v>
      </c>
      <c r="N287" s="58" t="n">
        <f aca="false">'P02 CigConveyor Output'!N36*$E$287</f>
        <v>78.1798613638366</v>
      </c>
      <c r="O287" s="58" t="n">
        <f aca="false">'P02 CigConveyor Output'!O36*$E$287</f>
        <v>70.7598415586704</v>
      </c>
      <c r="P287" s="58" t="n">
        <f aca="false">'P02 CigConveyor Output'!P36*$E$287</f>
        <v>64.8631880954478</v>
      </c>
      <c r="Q287" s="58" t="n">
        <f aca="false">'P02 CigConveyor Output'!Q36*$E$287</f>
        <v>58.9665346322253</v>
      </c>
      <c r="R287" s="58" t="n">
        <f aca="false">'P02 CigConveyor Output'!R36*$E$287</f>
        <v>53.0698811690028</v>
      </c>
      <c r="S287" s="58" t="n">
        <f aca="false">'P02 CigConveyor Output'!S36*$E$287</f>
        <v>47.1732277057802</v>
      </c>
    </row>
    <row r="288" customFormat="false" ht="15" hidden="false" customHeight="false" outlineLevel="0" collapsed="false">
      <c r="B288" s="77" t="s">
        <v>48</v>
      </c>
      <c r="C288" s="25" t="s">
        <v>170</v>
      </c>
      <c r="E288" s="55" t="n">
        <f aca="false">'Global Inputs'!$L$95</f>
        <v>1</v>
      </c>
      <c r="F288" s="58" t="n">
        <f aca="false">'P03 KBSWarehouse Output'!F36*$E$288</f>
        <v>0</v>
      </c>
      <c r="G288" s="58" t="n">
        <f aca="false">'P03 KBSWarehouse Output'!G36*$E$288</f>
        <v>0</v>
      </c>
      <c r="H288" s="58" t="n">
        <f aca="false">'P03 KBSWarehouse Output'!H36*$E$288</f>
        <v>0</v>
      </c>
      <c r="I288" s="58" t="n">
        <f aca="false">'P03 KBSWarehouse Output'!I36*$E$288</f>
        <v>97.98995635</v>
      </c>
      <c r="J288" s="58" t="n">
        <f aca="false">'P03 KBSWarehouse Output'!J36*$E$288</f>
        <v>93.0904585325</v>
      </c>
      <c r="K288" s="58" t="n">
        <f aca="false">'P03 KBSWarehouse Output'!K36*$E$288</f>
        <v>88.190960715</v>
      </c>
      <c r="L288" s="58" t="n">
        <f aca="false">'P03 KBSWarehouse Output'!L36*$E$288</f>
        <v>83.2914628975</v>
      </c>
      <c r="M288" s="58" t="n">
        <f aca="false">'P03 KBSWarehouse Output'!M36*$E$288</f>
        <v>78.39196508</v>
      </c>
      <c r="N288" s="58" t="n">
        <f aca="false">'P03 KBSWarehouse Output'!N36*$E$288</f>
        <v>73.4924672625</v>
      </c>
      <c r="O288" s="58" t="n">
        <f aca="false">'P03 KBSWarehouse Output'!O36*$E$288</f>
        <v>68.592969445</v>
      </c>
      <c r="P288" s="58" t="n">
        <f aca="false">'P03 KBSWarehouse Output'!P36*$E$288</f>
        <v>63.6934716275</v>
      </c>
      <c r="Q288" s="58" t="n">
        <f aca="false">'P03 KBSWarehouse Output'!Q36*$E$288</f>
        <v>58.79397381</v>
      </c>
      <c r="R288" s="58" t="n">
        <f aca="false">'P03 KBSWarehouse Output'!R36*$E$288</f>
        <v>53.8944759925</v>
      </c>
      <c r="S288" s="58" t="n">
        <f aca="false">'P03 KBSWarehouse Output'!S36*$E$288</f>
        <v>48.994978175</v>
      </c>
    </row>
    <row r="289" customFormat="false" ht="15" hidden="false" customHeight="false" outlineLevel="0" collapsed="false">
      <c r="B289" s="77" t="s">
        <v>51</v>
      </c>
      <c r="C289" s="25" t="s">
        <v>170</v>
      </c>
      <c r="E289" s="55" t="n">
        <f aca="false">'Global Inputs'!$L$96</f>
        <v>1</v>
      </c>
      <c r="F289" s="58" t="n">
        <f aca="false">'P04 TTLSilo Output'!F36*$E$289</f>
        <v>0</v>
      </c>
      <c r="G289" s="58" t="n">
        <f aca="false">'P04 TTLSilo Output'!G36*$E$289</f>
        <v>0</v>
      </c>
      <c r="H289" s="58" t="n">
        <f aca="false">'P04 TTLSilo Output'!H36*$E$289</f>
        <v>0</v>
      </c>
      <c r="I289" s="58" t="n">
        <f aca="false">'P04 TTLSilo Output'!I36*$E$289</f>
        <v>61.1938095</v>
      </c>
      <c r="J289" s="58" t="n">
        <f aca="false">'P04 TTLSilo Output'!J36*$E$289</f>
        <v>57.00203354925</v>
      </c>
      <c r="K289" s="58" t="n">
        <f aca="false">'P04 TTLSilo Output'!K36*$E$289</f>
        <v>52.8102575985</v>
      </c>
      <c r="L289" s="58" t="n">
        <f aca="false">'P04 TTLSilo Output'!L36*$E$289</f>
        <v>48.61848164775</v>
      </c>
      <c r="M289" s="58" t="n">
        <f aca="false">'P04 TTLSilo Output'!M36*$E$289</f>
        <v>44.426705697</v>
      </c>
      <c r="N289" s="58" t="n">
        <f aca="false">'P04 TTLSilo Output'!N36*$E$289</f>
        <v>40.23492974625</v>
      </c>
      <c r="O289" s="58" t="n">
        <f aca="false">'P04 TTLSilo Output'!O36*$E$289</f>
        <v>36.0431537955</v>
      </c>
      <c r="P289" s="58" t="n">
        <f aca="false">'P04 TTLSilo Output'!P36*$E$289</f>
        <v>31.85137784475</v>
      </c>
      <c r="Q289" s="58" t="n">
        <f aca="false">'P04 TTLSilo Output'!Q36*$E$289</f>
        <v>27.659601894</v>
      </c>
      <c r="R289" s="58" t="n">
        <f aca="false">'P04 TTLSilo Output'!R36*$E$289</f>
        <v>23.46782594325</v>
      </c>
      <c r="S289" s="58" t="n">
        <f aca="false">'P04 TTLSilo Output'!S36*$E$289</f>
        <v>19.2760499925</v>
      </c>
    </row>
    <row r="290" customFormat="false" ht="15" hidden="false" customHeight="false" outlineLevel="0" collapsed="false">
      <c r="B290" s="77" t="s">
        <v>54</v>
      </c>
      <c r="C290" s="25" t="s">
        <v>170</v>
      </c>
      <c r="E290" s="55" t="n">
        <f aca="false">'Global Inputs'!$L$97</f>
        <v>1</v>
      </c>
      <c r="F290" s="58" t="n">
        <f aca="false">'P05 Dumai Output'!F36*$E$290</f>
        <v>0</v>
      </c>
      <c r="G290" s="58" t="n">
        <f aca="false">'P05 Dumai Output'!G36*$E$290</f>
        <v>0</v>
      </c>
      <c r="H290" s="58" t="n">
        <f aca="false">'P05 Dumai Output'!H36*$E$290</f>
        <v>0</v>
      </c>
      <c r="I290" s="58" t="n">
        <f aca="false">'P05 Dumai Output'!I36*$E$290</f>
        <v>97.0331173809524</v>
      </c>
      <c r="J290" s="58" t="n">
        <f aca="false">'P05 Dumai Output'!J36*$E$290</f>
        <v>93.45869</v>
      </c>
      <c r="K290" s="58" t="n">
        <f aca="false">'P05 Dumai Output'!K36*$E$290</f>
        <v>84.5981376190476</v>
      </c>
      <c r="L290" s="58" t="n">
        <f aca="false">'P05 Dumai Output'!L36*$E$290</f>
        <v>75.7375852380952</v>
      </c>
      <c r="M290" s="58" t="n">
        <f aca="false">'P05 Dumai Output'!M36*$E$290</f>
        <v>66.8770328571428</v>
      </c>
      <c r="N290" s="58" t="n">
        <f aca="false">'P05 Dumai Output'!N36*$E$290</f>
        <v>58.0164804761905</v>
      </c>
      <c r="O290" s="58" t="n">
        <f aca="false">'P05 Dumai Output'!O36*$E$290</f>
        <v>49.1559280952381</v>
      </c>
      <c r="P290" s="58" t="n">
        <f aca="false">'P05 Dumai Output'!P36*$E$290</f>
        <v>40.2953757142857</v>
      </c>
      <c r="Q290" s="58" t="n">
        <f aca="false">'P05 Dumai Output'!Q36*$E$290</f>
        <v>36.7083623214285</v>
      </c>
      <c r="R290" s="58" t="n">
        <f aca="false">'P05 Dumai Output'!R36*$E$290</f>
        <v>33.3856551785714</v>
      </c>
      <c r="S290" s="58" t="n">
        <f aca="false">'P05 Dumai Output'!S36*$E$290</f>
        <v>30.0629480357143</v>
      </c>
    </row>
    <row r="291" customFormat="false" ht="15" hidden="false" customHeight="false" outlineLevel="0" collapsed="false">
      <c r="B291" s="77" t="s">
        <v>57</v>
      </c>
      <c r="C291" s="25" t="s">
        <v>170</v>
      </c>
      <c r="E291" s="55" t="n">
        <f aca="false">'Global Inputs'!$L$98</f>
        <v>1</v>
      </c>
      <c r="F291" s="58" t="n">
        <f aca="false">'P06 Ciwandan Output'!F36*$E$291</f>
        <v>0</v>
      </c>
      <c r="G291" s="58" t="n">
        <f aca="false">'P06 Ciwandan Output'!G36*$E$291</f>
        <v>0</v>
      </c>
      <c r="H291" s="58" t="n">
        <f aca="false">'P06 Ciwandan Output'!H36*$E$291</f>
        <v>0</v>
      </c>
      <c r="I291" s="58" t="n">
        <f aca="false">'P06 Ciwandan Output'!I36*$E$291</f>
        <v>40.8625</v>
      </c>
      <c r="J291" s="58" t="n">
        <f aca="false">'P06 Ciwandan Output'!J36*$E$291</f>
        <v>81.725</v>
      </c>
      <c r="K291" s="58" t="n">
        <f aca="false">'P06 Ciwandan Output'!K36*$E$291</f>
        <v>74.5740625</v>
      </c>
      <c r="L291" s="58" t="n">
        <f aca="false">'P06 Ciwandan Output'!L36*$E$291</f>
        <v>67.423125</v>
      </c>
      <c r="M291" s="58" t="n">
        <f aca="false">'P06 Ciwandan Output'!M36*$E$291</f>
        <v>60.2721875</v>
      </c>
      <c r="N291" s="58" t="n">
        <f aca="false">'P06 Ciwandan Output'!N36*$E$291</f>
        <v>53.12125</v>
      </c>
      <c r="O291" s="58" t="n">
        <f aca="false">'P06 Ciwandan Output'!O36*$E$291</f>
        <v>45.9703125</v>
      </c>
      <c r="P291" s="58" t="n">
        <f aca="false">'P06 Ciwandan Output'!P36*$E$291</f>
        <v>38.819375</v>
      </c>
      <c r="Q291" s="58" t="n">
        <f aca="false">'P06 Ciwandan Output'!Q36*$E$291</f>
        <v>31.6684375</v>
      </c>
      <c r="R291" s="58" t="n">
        <f aca="false">'P06 Ciwandan Output'!R36*$E$291</f>
        <v>24.5175</v>
      </c>
      <c r="S291" s="58" t="n">
        <f aca="false">'P06 Ciwandan Output'!S36*$E$291</f>
        <v>22.474375</v>
      </c>
    </row>
    <row r="292" customFormat="false" ht="15" hidden="false" customHeight="false" outlineLevel="0" collapsed="false">
      <c r="B292" s="77" t="s">
        <v>60</v>
      </c>
      <c r="C292" s="25" t="s">
        <v>170</v>
      </c>
      <c r="E292" s="55" t="n">
        <f aca="false">'Global Inputs'!$L$99</f>
        <v>1</v>
      </c>
      <c r="F292" s="58" t="n">
        <f aca="false">'P08 DMSTrucking Output'!F36*$E$292</f>
        <v>0</v>
      </c>
      <c r="G292" s="58" t="n">
        <f aca="false">'P08 DMSTrucking Output'!G36*$E$292</f>
        <v>0</v>
      </c>
      <c r="H292" s="58" t="n">
        <f aca="false">'P08 DMSTrucking Output'!H36*$E$292</f>
        <v>0</v>
      </c>
      <c r="I292" s="58" t="n">
        <f aca="false">'P08 DMSTrucking Output'!I36*$E$292</f>
        <v>0</v>
      </c>
      <c r="J292" s="58" t="n">
        <f aca="false">'P08 DMSTrucking Output'!J36*$E$292</f>
        <v>0</v>
      </c>
      <c r="K292" s="58" t="n">
        <f aca="false">'P08 DMSTrucking Output'!K36*$E$292</f>
        <v>0</v>
      </c>
      <c r="L292" s="58" t="n">
        <f aca="false">'P08 DMSTrucking Output'!L36*$E$292</f>
        <v>0</v>
      </c>
      <c r="M292" s="58" t="n">
        <f aca="false">'P08 DMSTrucking Output'!M36*$E$292</f>
        <v>0</v>
      </c>
      <c r="N292" s="58" t="n">
        <f aca="false">'P08 DMSTrucking Output'!N36*$E$292</f>
        <v>0</v>
      </c>
      <c r="O292" s="58" t="n">
        <f aca="false">'P08 DMSTrucking Output'!O36*$E$292</f>
        <v>0</v>
      </c>
      <c r="P292" s="58" t="n">
        <f aca="false">'P08 DMSTrucking Output'!P36*$E$292</f>
        <v>0</v>
      </c>
      <c r="Q292" s="58" t="n">
        <f aca="false">'P08 DMSTrucking Output'!Q36*$E$292</f>
        <v>0</v>
      </c>
      <c r="R292" s="58" t="n">
        <f aca="false">'P08 DMSTrucking Output'!R36*$E$292</f>
        <v>0</v>
      </c>
      <c r="S292" s="58" t="n">
        <f aca="false">'P08 DMSTrucking Output'!S36*$E$292</f>
        <v>0</v>
      </c>
    </row>
    <row r="293" customFormat="false" ht="15" hidden="false" customHeight="false" outlineLevel="0" collapsed="false">
      <c r="B293" s="77" t="s">
        <v>63</v>
      </c>
      <c r="C293" s="25" t="s">
        <v>170</v>
      </c>
      <c r="E293" s="55" t="n">
        <f aca="false">'Global Inputs'!$L$100</f>
        <v>1</v>
      </c>
      <c r="F293" s="58" t="n">
        <f aca="false">'P12 BUMNOps Output'!F36*$E$293</f>
        <v>0</v>
      </c>
      <c r="G293" s="58" t="n">
        <f aca="false">'P12 BUMNOps Output'!G36*$E$293</f>
        <v>0</v>
      </c>
      <c r="H293" s="58" t="n">
        <f aca="false">'P12 BUMNOps Output'!H36*$E$293</f>
        <v>0</v>
      </c>
      <c r="I293" s="58" t="n">
        <f aca="false">'P12 BUMNOps Output'!I36*$E$293</f>
        <v>0</v>
      </c>
      <c r="J293" s="58" t="n">
        <f aca="false">'P12 BUMNOps Output'!J36*$E$293</f>
        <v>0</v>
      </c>
      <c r="K293" s="58" t="n">
        <f aca="false">'P12 BUMNOps Output'!K36*$E$293</f>
        <v>0</v>
      </c>
      <c r="L293" s="58" t="n">
        <f aca="false">'P12 BUMNOps Output'!L36*$E$293</f>
        <v>0</v>
      </c>
      <c r="M293" s="58" t="n">
        <f aca="false">'P12 BUMNOps Output'!M36*$E$293</f>
        <v>0</v>
      </c>
      <c r="N293" s="58" t="n">
        <f aca="false">'P12 BUMNOps Output'!N36*$E$293</f>
        <v>0</v>
      </c>
      <c r="O293" s="58" t="n">
        <f aca="false">'P12 BUMNOps Output'!O36*$E$293</f>
        <v>0</v>
      </c>
      <c r="P293" s="58" t="n">
        <f aca="false">'P12 BUMNOps Output'!P36*$E$293</f>
        <v>0</v>
      </c>
      <c r="Q293" s="58" t="n">
        <f aca="false">'P12 BUMNOps Output'!Q36*$E$293</f>
        <v>0</v>
      </c>
      <c r="R293" s="58" t="n">
        <f aca="false">'P12 BUMNOps Output'!R36*$E$293</f>
        <v>0</v>
      </c>
      <c r="S293" s="58" t="n">
        <f aca="false">'P12 BUMNOps Output'!S36*$E$293</f>
        <v>0</v>
      </c>
    </row>
    <row r="294" customFormat="false" ht="15" hidden="false" customHeight="false" outlineLevel="0" collapsed="false">
      <c r="B294" s="77" t="s">
        <v>66</v>
      </c>
      <c r="C294" s="25" t="s">
        <v>170</v>
      </c>
      <c r="E294" s="55" t="n">
        <f aca="false">'Global Inputs'!$L$101</f>
        <v>0</v>
      </c>
      <c r="F294" s="58" t="n">
        <f aca="false">'P15 TBM Output'!F36*$E$294</f>
        <v>0</v>
      </c>
      <c r="G294" s="58" t="n">
        <f aca="false">'P15 TBM Output'!G36*$E$294</f>
        <v>0</v>
      </c>
      <c r="H294" s="58" t="n">
        <f aca="false">'P15 TBM Output'!H36*$E$294</f>
        <v>0</v>
      </c>
      <c r="I294" s="58" t="n">
        <f aca="false">'P15 TBM Output'!I36*$E$294</f>
        <v>0</v>
      </c>
      <c r="J294" s="58" t="n">
        <f aca="false">'P15 TBM Output'!J36*$E$294</f>
        <v>0</v>
      </c>
      <c r="K294" s="58" t="n">
        <f aca="false">'P15 TBM Output'!K36*$E$294</f>
        <v>0</v>
      </c>
      <c r="L294" s="58" t="n">
        <f aca="false">'P15 TBM Output'!L36*$E$294</f>
        <v>0</v>
      </c>
      <c r="M294" s="58" t="n">
        <f aca="false">'P15 TBM Output'!M36*$E$294</f>
        <v>0</v>
      </c>
      <c r="N294" s="58" t="n">
        <f aca="false">'P15 TBM Output'!N36*$E$294</f>
        <v>0</v>
      </c>
      <c r="O294" s="58" t="n">
        <f aca="false">'P15 TBM Output'!O36*$E$294</f>
        <v>0</v>
      </c>
      <c r="P294" s="58" t="n">
        <f aca="false">'P15 TBM Output'!P36*$E$294</f>
        <v>0</v>
      </c>
      <c r="Q294" s="58" t="n">
        <f aca="false">'P15 TBM Output'!Q36*$E$294</f>
        <v>0</v>
      </c>
      <c r="R294" s="58" t="n">
        <f aca="false">'P15 TBM Output'!R36*$E$294</f>
        <v>0</v>
      </c>
      <c r="S294" s="58" t="n">
        <f aca="false">'P15 TBM Output'!S36*$E$294</f>
        <v>0</v>
      </c>
    </row>
    <row r="295" customFormat="false" ht="15" hidden="false" customHeight="false" outlineLevel="0" collapsed="false">
      <c r="B295" s="77" t="s">
        <v>69</v>
      </c>
      <c r="C295" s="25" t="s">
        <v>170</v>
      </c>
      <c r="E295" s="55" t="n">
        <f aca="false">'Global Inputs'!$L$102</f>
        <v>0</v>
      </c>
      <c r="F295" s="58" t="n">
        <f aca="false">'P19 Badas Output'!F36*$E$295</f>
        <v>0</v>
      </c>
      <c r="G295" s="58" t="n">
        <f aca="false">'P19 Badas Output'!G36*$E$295</f>
        <v>0</v>
      </c>
      <c r="H295" s="58" t="n">
        <f aca="false">'P19 Badas Output'!H36*$E$295</f>
        <v>0</v>
      </c>
      <c r="I295" s="58" t="n">
        <f aca="false">'P19 Badas Output'!I36*$E$295</f>
        <v>0</v>
      </c>
      <c r="J295" s="58" t="n">
        <f aca="false">'P19 Badas Output'!J36*$E$295</f>
        <v>0</v>
      </c>
      <c r="K295" s="58" t="n">
        <f aca="false">'P19 Badas Output'!K36*$E$295</f>
        <v>0</v>
      </c>
      <c r="L295" s="58" t="n">
        <f aca="false">'P19 Badas Output'!L36*$E$295</f>
        <v>0</v>
      </c>
      <c r="M295" s="58" t="n">
        <f aca="false">'P19 Badas Output'!M36*$E$295</f>
        <v>0</v>
      </c>
      <c r="N295" s="58" t="n">
        <f aca="false">'P19 Badas Output'!N36*$E$295</f>
        <v>0</v>
      </c>
      <c r="O295" s="58" t="n">
        <f aca="false">'P19 Badas Output'!O36*$E$295</f>
        <v>0</v>
      </c>
      <c r="P295" s="58" t="n">
        <f aca="false">'P19 Badas Output'!P36*$E$295</f>
        <v>0</v>
      </c>
      <c r="Q295" s="58" t="n">
        <f aca="false">'P19 Badas Output'!Q36*$E$295</f>
        <v>0</v>
      </c>
      <c r="R295" s="58" t="n">
        <f aca="false">'P19 Badas Output'!R36*$E$295</f>
        <v>0</v>
      </c>
      <c r="S295" s="58" t="n">
        <f aca="false">'P19 Badas Output'!S36*$E$295</f>
        <v>0</v>
      </c>
    </row>
    <row r="296" customFormat="false" ht="15" hidden="false" customHeight="false" outlineLevel="0" collapsed="false">
      <c r="B296" s="69" t="s">
        <v>468</v>
      </c>
      <c r="C296" s="25" t="s">
        <v>170</v>
      </c>
      <c r="E296" s="70" t="n">
        <f aca="false">SUM(F296:S296)</f>
        <v>6825.47408235791</v>
      </c>
      <c r="F296" s="68" t="n">
        <f aca="false">F282+F283+F284+F285+F286+F287+F288+F289+F290+F291+F292+F293+F294+F295</f>
        <v>198.433</v>
      </c>
      <c r="G296" s="68" t="n">
        <f aca="false">G282+G283+G284+G285+G286+G287+G288+G289+G290+G291+G292+G293+G294+G295</f>
        <v>323.6735</v>
      </c>
      <c r="H296" s="68" t="n">
        <f aca="false">H282+H283+H284+H285+H286+H287+H288+H289+H290+H291+H292+H293+H294+H295</f>
        <v>313.093444331712</v>
      </c>
      <c r="I296" s="68" t="n">
        <f aca="false">I282+I283+I284+I285+I286+I287+I288+I289+I290+I291+I292+I293+I294+I295</f>
        <v>692.639609394376</v>
      </c>
      <c r="J296" s="68" t="n">
        <f aca="false">J282+J283+J284+J285+J286+J287+J288+J289+J290+J291+J292+J293+J294+J295</f>
        <v>796.356527576886</v>
      </c>
      <c r="K296" s="68" t="n">
        <f aca="false">K282+K283+K284+K285+K286+K287+K288+K289+K290+K291+K292+K293+K294+K295</f>
        <v>732.918883259395</v>
      </c>
      <c r="L296" s="68" t="n">
        <f aca="false">L282+L283+L284+L285+L286+L287+L288+L289+L290+L291+L292+L293+L294+L295</f>
        <v>669.481238941904</v>
      </c>
      <c r="M296" s="68" t="n">
        <f aca="false">M282+M283+M284+M285+M286+M287+M288+M289+M290+M291+M292+M293+M294+M295</f>
        <v>606.043594624414</v>
      </c>
      <c r="N296" s="68" t="n">
        <f aca="false">N282+N283+N284+N285+N286+N287+N288+N289+N290+N291+N292+N293+N294+N295</f>
        <v>542.605950306923</v>
      </c>
      <c r="O296" s="68" t="n">
        <f aca="false">O282+O283+O284+O285+O286+O287+O288+O289+O290+O291+O292+O293+O294+O295</f>
        <v>479.168305989433</v>
      </c>
      <c r="P296" s="68" t="n">
        <f aca="false">P282+P283+P284+P285+P286+P287+P288+P289+P290+P291+P292+P293+P294+P295</f>
        <v>429.568921119089</v>
      </c>
      <c r="Q296" s="68" t="n">
        <f aca="false">Q282+Q283+Q284+Q285+Q286+Q287+Q288+Q289+Q290+Q291+Q292+Q293+Q294+Q295</f>
        <v>386.671262736841</v>
      </c>
      <c r="R296" s="68" t="n">
        <f aca="false">R282+R283+R284+R285+R286+R287+R288+R289+R290+R291+R292+R293+R294+R295</f>
        <v>345.461098104592</v>
      </c>
      <c r="S296" s="68" t="n">
        <f aca="false">S282+S283+S284+S285+S286+S287+S288+S289+S290+S291+S292+S293+S294+S295</f>
        <v>309.358745972344</v>
      </c>
    </row>
    <row r="297" customFormat="false" ht="15" hidden="false" customHeight="false" outlineLevel="0" collapsed="false">
      <c r="B297" s="78" t="s">
        <v>469</v>
      </c>
      <c r="C297" s="79"/>
      <c r="D297" s="79"/>
      <c r="E297" s="79"/>
      <c r="F297" s="79"/>
      <c r="G297" s="79"/>
      <c r="H297" s="79"/>
      <c r="I297" s="79"/>
      <c r="J297" s="79"/>
      <c r="K297" s="79"/>
      <c r="L297" s="79"/>
      <c r="M297" s="79"/>
      <c r="N297" s="79"/>
      <c r="O297" s="79"/>
      <c r="P297" s="79"/>
      <c r="Q297" s="79"/>
      <c r="R297" s="79"/>
      <c r="S297" s="79"/>
    </row>
    <row r="298" customFormat="false" ht="15" hidden="false" customHeight="false" outlineLevel="0" collapsed="false">
      <c r="B298" s="77" t="s">
        <v>31</v>
      </c>
      <c r="C298" s="25" t="s">
        <v>170</v>
      </c>
      <c r="E298" s="55" t="n">
        <f aca="false">'Global Inputs'!$L$89</f>
        <v>1</v>
      </c>
      <c r="F298" s="58" t="n">
        <f aca="false">('E1 TelukLamong Calc'!F93-'E1 TelukLamong Calc'!F91)*$E$298</f>
        <v>0</v>
      </c>
      <c r="G298" s="58" t="n">
        <f aca="false">('E1 TelukLamong Calc'!G93-'E1 TelukLamong Calc'!G91)*$E$298</f>
        <v>41.7407824824223</v>
      </c>
      <c r="H298" s="58" t="n">
        <f aca="false">('E1 TelukLamong Calc'!H93-'E1 TelukLamong Calc'!H91)*$E$298</f>
        <v>41.7462566184223</v>
      </c>
      <c r="I298" s="58" t="n">
        <f aca="false">('E1 TelukLamong Calc'!I93-'E1 TelukLamong Calc'!I91)*$E$298</f>
        <v>42.7518402371423</v>
      </c>
      <c r="J298" s="58" t="n">
        <f aca="false">('E1 TelukLamong Calc'!J93-'E1 TelukLamong Calc'!J91)*$E$298</f>
        <v>42.7575355282367</v>
      </c>
      <c r="K298" s="58" t="n">
        <f aca="false">('E1 TelukLamong Calc'!K93-'E1 TelukLamong Calc'!K91)*$E$298</f>
        <v>42.763344725153</v>
      </c>
      <c r="L298" s="58" t="n">
        <f aca="false">('E1 TelukLamong Calc'!L93-'E1 TelukLamong Calc'!L91)*$E$298</f>
        <v>43.7692701060076</v>
      </c>
      <c r="M298" s="58" t="n">
        <f aca="false">('E1 TelukLamong Calc'!M93-'E1 TelukLamong Calc'!M91)*$E$298</f>
        <v>43.7753139944793</v>
      </c>
      <c r="N298" s="58" t="n">
        <f aca="false">('E1 TelukLamong Calc'!N93-'E1 TelukLamong Calc'!N91)*$E$298</f>
        <v>43.7814787607205</v>
      </c>
      <c r="O298" s="58" t="n">
        <f aca="false">('E1 TelukLamong Calc'!O93-'E1 TelukLamong Calc'!O91)*$E$298</f>
        <v>44.7877668222864</v>
      </c>
      <c r="P298" s="58" t="n">
        <f aca="false">('E1 TelukLamong Calc'!P93-'E1 TelukLamong Calc'!P91)*$E$298</f>
        <v>44.7941806450837</v>
      </c>
      <c r="Q298" s="58" t="n">
        <f aca="false">('E1 TelukLamong Calc'!Q93-'E1 TelukLamong Calc'!Q91)*$E$298</f>
        <v>44.8007227443369</v>
      </c>
      <c r="R298" s="58" t="n">
        <f aca="false">('E1 TelukLamong Calc'!R93-'E1 TelukLamong Calc'!R91)*$E$298</f>
        <v>44.8073956855752</v>
      </c>
      <c r="S298" s="58" t="n">
        <f aca="false">('E1 TelukLamong Calc'!S93-'E1 TelukLamong Calc'!S91)*$E$298</f>
        <v>44.8142020856383</v>
      </c>
    </row>
    <row r="299" customFormat="false" ht="15" hidden="false" customHeight="false" outlineLevel="0" collapsed="false">
      <c r="B299" s="77" t="s">
        <v>34</v>
      </c>
      <c r="C299" s="25" t="s">
        <v>170</v>
      </c>
      <c r="E299" s="55" t="n">
        <f aca="false">'Global Inputs'!$L$90</f>
        <v>1</v>
      </c>
      <c r="F299" s="58" t="n">
        <f aca="false">('E2 CigadingExist Calc'!F87-'E2 CigadingExist Calc'!F85)*$E$299</f>
        <v>0</v>
      </c>
      <c r="G299" s="58" t="n">
        <f aca="false">('E2 CigadingExist Calc'!G87-'E2 CigadingExist Calc'!G85)*$E$299</f>
        <v>40.95884914</v>
      </c>
      <c r="H299" s="58" t="n">
        <f aca="false">('E2 CigadingExist Calc'!H87-'E2 CigadingExist Calc'!H85)*$E$299</f>
        <v>40.9614421228</v>
      </c>
      <c r="I299" s="58" t="n">
        <f aca="false">('E2 CigadingExist Calc'!I87-'E2 CigadingExist Calc'!I85)*$E$299</f>
        <v>41.964086965256</v>
      </c>
      <c r="J299" s="58" t="n">
        <f aca="false">('E2 CigadingExist Calc'!J87-'E2 CigadingExist Calc'!J85)*$E$299</f>
        <v>41.9667847045611</v>
      </c>
      <c r="K299" s="58" t="n">
        <f aca="false">('E2 CigadingExist Calc'!K87-'E2 CigadingExist Calc'!K85)*$E$299</f>
        <v>41.9695363986523</v>
      </c>
      <c r="L299" s="58" t="n">
        <f aca="false">('E2 CigadingExist Calc'!L87-'E2 CigadingExist Calc'!L85)*$E$299</f>
        <v>42.9723431266254</v>
      </c>
      <c r="M299" s="58" t="n">
        <f aca="false">('E2 CigadingExist Calc'!M87-'E2 CigadingExist Calc'!M85)*$E$299</f>
        <v>42.9752059891579</v>
      </c>
      <c r="N299" s="58" t="n">
        <f aca="false">('E2 CigadingExist Calc'!N87-'E2 CigadingExist Calc'!N85)*$E$299</f>
        <v>42.9781261089411</v>
      </c>
      <c r="O299" s="58" t="n">
        <f aca="false">('E2 CigadingExist Calc'!O87-'E2 CigadingExist Calc'!O85)*$E$299</f>
        <v>43.9811046311199</v>
      </c>
      <c r="P299" s="58" t="n">
        <f aca="false">('E2 CigadingExist Calc'!P87-'E2 CigadingExist Calc'!P85)*$E$299</f>
        <v>43.9841427237423</v>
      </c>
      <c r="Q299" s="58" t="n">
        <f aca="false">('E2 CigadingExist Calc'!Q87-'E2 CigadingExist Calc'!Q85)*$E$299</f>
        <v>43.9872415782171</v>
      </c>
      <c r="R299" s="58" t="n">
        <f aca="false">('E2 CigadingExist Calc'!R87-'E2 CigadingExist Calc'!R85)*$E$299</f>
        <v>43.9904024097815</v>
      </c>
      <c r="S299" s="58" t="n">
        <f aca="false">('E2 CigadingExist Calc'!S87-'E2 CigadingExist Calc'!S85)*$E$299</f>
        <v>43.9936264579771</v>
      </c>
    </row>
    <row r="300" customFormat="false" ht="15" hidden="false" customHeight="false" outlineLevel="0" collapsed="false">
      <c r="B300" s="77" t="s">
        <v>37</v>
      </c>
      <c r="C300" s="25" t="s">
        <v>170</v>
      </c>
      <c r="E300" s="55" t="n">
        <f aca="false">'Global Inputs'!$L$91</f>
        <v>1</v>
      </c>
      <c r="F300" s="58" t="n">
        <f aca="false">('E3 Belawan Calc'!F92-'E3 Belawan Calc'!F89)*$E$300</f>
        <v>0</v>
      </c>
      <c r="G300" s="58" t="n">
        <f aca="false">('E3 Belawan Calc'!G92-'E3 Belawan Calc'!G89)*$E$300</f>
        <v>5.23397421343</v>
      </c>
      <c r="H300" s="58" t="n">
        <f aca="false">('E3 Belawan Calc'!H92-'E3 Belawan Calc'!H89)*$E$300</f>
        <v>5.23397421343</v>
      </c>
      <c r="I300" s="58" t="n">
        <f aca="false">('E3 Belawan Calc'!I92-'E3 Belawan Calc'!I89)*$E$300</f>
        <v>2.616987106715</v>
      </c>
      <c r="J300" s="58" t="n">
        <f aca="false">('E3 Belawan Calc'!J92-'E3 Belawan Calc'!J89)*$E$300</f>
        <v>0</v>
      </c>
      <c r="K300" s="58" t="n">
        <f aca="false">('E3 Belawan Calc'!K92-'E3 Belawan Calc'!K89)*$E$300</f>
        <v>0</v>
      </c>
      <c r="L300" s="58" t="n">
        <f aca="false">('E3 Belawan Calc'!L92-'E3 Belawan Calc'!L89)*$E$300</f>
        <v>0</v>
      </c>
      <c r="M300" s="58" t="n">
        <f aca="false">('E3 Belawan Calc'!M92-'E3 Belawan Calc'!M89)*$E$300</f>
        <v>0</v>
      </c>
      <c r="N300" s="58" t="n">
        <f aca="false">('E3 Belawan Calc'!N92-'E3 Belawan Calc'!N89)*$E$300</f>
        <v>0</v>
      </c>
      <c r="O300" s="58" t="n">
        <f aca="false">('E3 Belawan Calc'!O92-'E3 Belawan Calc'!O89)*$E$300</f>
        <v>0</v>
      </c>
      <c r="P300" s="58" t="n">
        <f aca="false">('E3 Belawan Calc'!P92-'E3 Belawan Calc'!P89)*$E$300</f>
        <v>0</v>
      </c>
      <c r="Q300" s="58" t="n">
        <f aca="false">('E3 Belawan Calc'!Q92-'E3 Belawan Calc'!Q89)*$E$300</f>
        <v>0</v>
      </c>
      <c r="R300" s="58" t="n">
        <f aca="false">('E3 Belawan Calc'!R92-'E3 Belawan Calc'!R89)*$E$300</f>
        <v>0</v>
      </c>
      <c r="S300" s="58" t="n">
        <f aca="false">('E3 Belawan Calc'!S92-'E3 Belawan Calc'!S89)*$E$300</f>
        <v>0</v>
      </c>
    </row>
    <row r="301" customFormat="false" ht="15" hidden="false" customHeight="false" outlineLevel="0" collapsed="false">
      <c r="B301" s="77" t="s">
        <v>40</v>
      </c>
      <c r="C301" s="25" t="s">
        <v>170</v>
      </c>
      <c r="E301" s="55" t="n">
        <f aca="false">'Global Inputs'!$L$92</f>
        <v>1</v>
      </c>
      <c r="F301" s="58" t="n">
        <f aca="false">('E4 WIN Calc'!F203-'E4 WIN Calc'!F201)*$E$301</f>
        <v>0</v>
      </c>
      <c r="G301" s="58" t="n">
        <f aca="false">('E4 WIN Calc'!G203-'E4 WIN Calc'!G201)*$E$301</f>
        <v>0.43948041535</v>
      </c>
      <c r="H301" s="58" t="n">
        <f aca="false">('E4 WIN Calc'!H203-'E4 WIN Calc'!H201)*$E$301</f>
        <v>0.43948041535</v>
      </c>
      <c r="I301" s="58" t="n">
        <f aca="false">('E4 WIN Calc'!I203-'E4 WIN Calc'!I201)*$E$301</f>
        <v>0.43948041535</v>
      </c>
      <c r="J301" s="58" t="n">
        <f aca="false">('E4 WIN Calc'!J203-'E4 WIN Calc'!J201)*$E$301</f>
        <v>0.43948041535</v>
      </c>
      <c r="K301" s="58" t="n">
        <f aca="false">('E4 WIN Calc'!K203-'E4 WIN Calc'!K201)*$E$301</f>
        <v>0.43948041535</v>
      </c>
      <c r="L301" s="58" t="n">
        <f aca="false">('E4 WIN Calc'!L203-'E4 WIN Calc'!L201)*$E$301</f>
        <v>0.43948041535</v>
      </c>
      <c r="M301" s="58" t="n">
        <f aca="false">('E4 WIN Calc'!M203-'E4 WIN Calc'!M201)*$E$301</f>
        <v>0.43948041535</v>
      </c>
      <c r="N301" s="58" t="n">
        <f aca="false">('E4 WIN Calc'!N203-'E4 WIN Calc'!N201)*$E$301</f>
        <v>0.43948041535</v>
      </c>
      <c r="O301" s="58" t="n">
        <f aca="false">('E4 WIN Calc'!O203-'E4 WIN Calc'!O201)*$E$301</f>
        <v>0.43948041535</v>
      </c>
      <c r="P301" s="58" t="n">
        <f aca="false">('E4 WIN Calc'!P203-'E4 WIN Calc'!P201)*$E$301</f>
        <v>0.43948041535</v>
      </c>
      <c r="Q301" s="58" t="n">
        <f aca="false">('E4 WIN Calc'!Q203-'E4 WIN Calc'!Q201)*$E$301</f>
        <v>0.43948041535</v>
      </c>
      <c r="R301" s="58" t="n">
        <f aca="false">('E4 WIN Calc'!R203-'E4 WIN Calc'!R201)*$E$301</f>
        <v>0.43948041535</v>
      </c>
      <c r="S301" s="58" t="n">
        <f aca="false">('E4 WIN Calc'!S203-'E4 WIN Calc'!S201)*$E$301</f>
        <v>0.43948041535</v>
      </c>
    </row>
    <row r="302" customFormat="false" ht="15" hidden="false" customHeight="false" outlineLevel="0" collapsed="false">
      <c r="B302" s="77" t="s">
        <v>43</v>
      </c>
      <c r="C302" s="25" t="s">
        <v>170</v>
      </c>
      <c r="E302" s="55" t="n">
        <f aca="false">'Global Inputs'!$L$93</f>
        <v>1</v>
      </c>
      <c r="F302" s="58" t="n">
        <f aca="false">('P01 CigWharf2 Calc'!F44-'P01 CigWharf2 Calc'!F41)*$E$302</f>
        <v>0</v>
      </c>
      <c r="G302" s="58" t="n">
        <f aca="false">('P01 CigWharf2 Calc'!G44-'P01 CigWharf2 Calc'!G41)*$E$302</f>
        <v>0</v>
      </c>
      <c r="H302" s="58" t="n">
        <f aca="false">('P01 CigWharf2 Calc'!H44-'P01 CigWharf2 Calc'!H41)*$E$302</f>
        <v>0</v>
      </c>
      <c r="I302" s="58" t="n">
        <f aca="false">('P01 CigWharf2 Calc'!I44-'P01 CigWharf2 Calc'!I41)*$E$302</f>
        <v>0</v>
      </c>
      <c r="J302" s="58" t="n">
        <f aca="false">('P01 CigWharf2 Calc'!J44-'P01 CigWharf2 Calc'!J41)*$E$302</f>
        <v>0</v>
      </c>
      <c r="K302" s="58" t="n">
        <f aca="false">('P01 CigWharf2 Calc'!K44-'P01 CigWharf2 Calc'!K41)*$E$302</f>
        <v>0</v>
      </c>
      <c r="L302" s="58" t="n">
        <f aca="false">('P01 CigWharf2 Calc'!L44-'P01 CigWharf2 Calc'!L41)*$E$302</f>
        <v>0</v>
      </c>
      <c r="M302" s="58" t="n">
        <f aca="false">('P01 CigWharf2 Calc'!M44-'P01 CigWharf2 Calc'!M41)*$E$302</f>
        <v>0</v>
      </c>
      <c r="N302" s="58" t="n">
        <f aca="false">('P01 CigWharf2 Calc'!N44-'P01 CigWharf2 Calc'!N41)*$E$302</f>
        <v>0</v>
      </c>
      <c r="O302" s="58" t="n">
        <f aca="false">('P01 CigWharf2 Calc'!O44-'P01 CigWharf2 Calc'!O41)*$E$302</f>
        <v>0</v>
      </c>
      <c r="P302" s="58" t="n">
        <f aca="false">('P01 CigWharf2 Calc'!P44-'P01 CigWharf2 Calc'!P41)*$E$302</f>
        <v>0</v>
      </c>
      <c r="Q302" s="58" t="n">
        <f aca="false">('P01 CigWharf2 Calc'!Q44-'P01 CigWharf2 Calc'!Q41)*$E$302</f>
        <v>0</v>
      </c>
      <c r="R302" s="58" t="n">
        <f aca="false">('P01 CigWharf2 Calc'!R44-'P01 CigWharf2 Calc'!R41)*$E$302</f>
        <v>0</v>
      </c>
      <c r="S302" s="58" t="n">
        <f aca="false">('P01 CigWharf2 Calc'!S44-'P01 CigWharf2 Calc'!S41)*$E$302</f>
        <v>0</v>
      </c>
    </row>
    <row r="303" customFormat="false" ht="15" hidden="false" customHeight="false" outlineLevel="0" collapsed="false">
      <c r="B303" s="77" t="s">
        <v>46</v>
      </c>
      <c r="C303" s="25" t="s">
        <v>170</v>
      </c>
      <c r="E303" s="55" t="n">
        <f aca="false">'Global Inputs'!$L$94</f>
        <v>1</v>
      </c>
      <c r="F303" s="58" t="n">
        <f aca="false">('P02 CigConveyor Calc'!F39-'P02 CigConveyor Calc'!F36)*$E$303</f>
        <v>0</v>
      </c>
      <c r="G303" s="58" t="n">
        <f aca="false">('P02 CigConveyor Calc'!G39-'P02 CigConveyor Calc'!G36)*$E$303</f>
        <v>0</v>
      </c>
      <c r="H303" s="58" t="n">
        <f aca="false">('P02 CigConveyor Calc'!H39-'P02 CigConveyor Calc'!H36)*$E$303</f>
        <v>0</v>
      </c>
      <c r="I303" s="58" t="n">
        <f aca="false">('P02 CigConveyor Calc'!I39-'P02 CigConveyor Calc'!I36)*$E$303</f>
        <v>0</v>
      </c>
      <c r="J303" s="58" t="n">
        <f aca="false">('P02 CigConveyor Calc'!J39-'P02 CigConveyor Calc'!J36)*$E$303</f>
        <v>0</v>
      </c>
      <c r="K303" s="58" t="n">
        <f aca="false">('P02 CigConveyor Calc'!K39-'P02 CigConveyor Calc'!K36)*$E$303</f>
        <v>0</v>
      </c>
      <c r="L303" s="58" t="n">
        <f aca="false">('P02 CigConveyor Calc'!L39-'P02 CigConveyor Calc'!L36)*$E$303</f>
        <v>0</v>
      </c>
      <c r="M303" s="58" t="n">
        <f aca="false">('P02 CigConveyor Calc'!M39-'P02 CigConveyor Calc'!M36)*$E$303</f>
        <v>0</v>
      </c>
      <c r="N303" s="58" t="n">
        <f aca="false">('P02 CigConveyor Calc'!N39-'P02 CigConveyor Calc'!N36)*$E$303</f>
        <v>0</v>
      </c>
      <c r="O303" s="58" t="n">
        <f aca="false">('P02 CigConveyor Calc'!O39-'P02 CigConveyor Calc'!O36)*$E$303</f>
        <v>0</v>
      </c>
      <c r="P303" s="58" t="n">
        <f aca="false">('P02 CigConveyor Calc'!P39-'P02 CigConveyor Calc'!P36)*$E$303</f>
        <v>0</v>
      </c>
      <c r="Q303" s="58" t="n">
        <f aca="false">('P02 CigConveyor Calc'!Q39-'P02 CigConveyor Calc'!Q36)*$E$303</f>
        <v>0</v>
      </c>
      <c r="R303" s="58" t="n">
        <f aca="false">('P02 CigConveyor Calc'!R39-'P02 CigConveyor Calc'!R36)*$E$303</f>
        <v>0</v>
      </c>
      <c r="S303" s="58" t="n">
        <f aca="false">('P02 CigConveyor Calc'!S39-'P02 CigConveyor Calc'!S36)*$E$303</f>
        <v>0</v>
      </c>
    </row>
    <row r="304" customFormat="false" ht="15" hidden="false" customHeight="false" outlineLevel="0" collapsed="false">
      <c r="B304" s="77" t="s">
        <v>48</v>
      </c>
      <c r="C304" s="25" t="s">
        <v>170</v>
      </c>
      <c r="E304" s="55" t="n">
        <f aca="false">'Global Inputs'!$L$95</f>
        <v>1</v>
      </c>
      <c r="F304" s="58" t="n">
        <f aca="false">('P03 KBSWarehouse Calc'!F39-'P03 KBSWarehouse Calc'!F36)*$E$304</f>
        <v>0</v>
      </c>
      <c r="G304" s="58" t="n">
        <f aca="false">('P03 KBSWarehouse Calc'!G39-'P03 KBSWarehouse Calc'!G36)*$E$304</f>
        <v>0</v>
      </c>
      <c r="H304" s="58" t="n">
        <f aca="false">('P03 KBSWarehouse Calc'!H39-'P03 KBSWarehouse Calc'!H36)*$E$304</f>
        <v>0</v>
      </c>
      <c r="I304" s="58" t="n">
        <f aca="false">('P03 KBSWarehouse Calc'!I39-'P03 KBSWarehouse Calc'!I36)*$E$304</f>
        <v>0</v>
      </c>
      <c r="J304" s="58" t="n">
        <f aca="false">('P03 KBSWarehouse Calc'!J39-'P03 KBSWarehouse Calc'!J36)*$E$304</f>
        <v>0</v>
      </c>
      <c r="K304" s="58" t="n">
        <f aca="false">('P03 KBSWarehouse Calc'!K39-'P03 KBSWarehouse Calc'!K36)*$E$304</f>
        <v>0</v>
      </c>
      <c r="L304" s="58" t="n">
        <f aca="false">('P03 KBSWarehouse Calc'!L39-'P03 KBSWarehouse Calc'!L36)*$E$304</f>
        <v>0</v>
      </c>
      <c r="M304" s="58" t="n">
        <f aca="false">('P03 KBSWarehouse Calc'!M39-'P03 KBSWarehouse Calc'!M36)*$E$304</f>
        <v>0</v>
      </c>
      <c r="N304" s="58" t="n">
        <f aca="false">('P03 KBSWarehouse Calc'!N39-'P03 KBSWarehouse Calc'!N36)*$E$304</f>
        <v>0</v>
      </c>
      <c r="O304" s="58" t="n">
        <f aca="false">('P03 KBSWarehouse Calc'!O39-'P03 KBSWarehouse Calc'!O36)*$E$304</f>
        <v>0</v>
      </c>
      <c r="P304" s="58" t="n">
        <f aca="false">('P03 KBSWarehouse Calc'!P39-'P03 KBSWarehouse Calc'!P36)*$E$304</f>
        <v>0</v>
      </c>
      <c r="Q304" s="58" t="n">
        <f aca="false">('P03 KBSWarehouse Calc'!Q39-'P03 KBSWarehouse Calc'!Q36)*$E$304</f>
        <v>0</v>
      </c>
      <c r="R304" s="58" t="n">
        <f aca="false">('P03 KBSWarehouse Calc'!R39-'P03 KBSWarehouse Calc'!R36)*$E$304</f>
        <v>0</v>
      </c>
      <c r="S304" s="58" t="n">
        <f aca="false">('P03 KBSWarehouse Calc'!S39-'P03 KBSWarehouse Calc'!S36)*$E$304</f>
        <v>0</v>
      </c>
    </row>
    <row r="305" customFormat="false" ht="15" hidden="false" customHeight="false" outlineLevel="0" collapsed="false">
      <c r="B305" s="77" t="s">
        <v>51</v>
      </c>
      <c r="C305" s="25" t="s">
        <v>170</v>
      </c>
      <c r="E305" s="55" t="n">
        <f aca="false">'Global Inputs'!$L$96</f>
        <v>1</v>
      </c>
      <c r="F305" s="58" t="n">
        <f aca="false">('P04 TTLSilo Calc'!F45-'P04 TTLSilo Calc'!F42)*$E$305</f>
        <v>0</v>
      </c>
      <c r="G305" s="58" t="n">
        <f aca="false">('P04 TTLSilo Calc'!G45-'P04 TTLSilo Calc'!G42)*$E$305</f>
        <v>0</v>
      </c>
      <c r="H305" s="58" t="n">
        <f aca="false">('P04 TTLSilo Calc'!H45-'P04 TTLSilo Calc'!H42)*$E$305</f>
        <v>0</v>
      </c>
      <c r="I305" s="58" t="n">
        <f aca="false">('P04 TTLSilo Calc'!I45-'P04 TTLSilo Calc'!I42)*$E$305</f>
        <v>0</v>
      </c>
      <c r="J305" s="58" t="n">
        <f aca="false">('P04 TTLSilo Calc'!J45-'P04 TTLSilo Calc'!J42)*$E$305</f>
        <v>0</v>
      </c>
      <c r="K305" s="58" t="n">
        <f aca="false">('P04 TTLSilo Calc'!K45-'P04 TTLSilo Calc'!K42)*$E$305</f>
        <v>0</v>
      </c>
      <c r="L305" s="58" t="n">
        <f aca="false">('P04 TTLSilo Calc'!L45-'P04 TTLSilo Calc'!L42)*$E$305</f>
        <v>0</v>
      </c>
      <c r="M305" s="58" t="n">
        <f aca="false">('P04 TTLSilo Calc'!M45-'P04 TTLSilo Calc'!M42)*$E$305</f>
        <v>0</v>
      </c>
      <c r="N305" s="58" t="n">
        <f aca="false">('P04 TTLSilo Calc'!N45-'P04 TTLSilo Calc'!N42)*$E$305</f>
        <v>0</v>
      </c>
      <c r="O305" s="58" t="n">
        <f aca="false">('P04 TTLSilo Calc'!O45-'P04 TTLSilo Calc'!O42)*$E$305</f>
        <v>0</v>
      </c>
      <c r="P305" s="58" t="n">
        <f aca="false">('P04 TTLSilo Calc'!P45-'P04 TTLSilo Calc'!P42)*$E$305</f>
        <v>0</v>
      </c>
      <c r="Q305" s="58" t="n">
        <f aca="false">('P04 TTLSilo Calc'!Q45-'P04 TTLSilo Calc'!Q42)*$E$305</f>
        <v>0</v>
      </c>
      <c r="R305" s="58" t="n">
        <f aca="false">('P04 TTLSilo Calc'!R45-'P04 TTLSilo Calc'!R42)*$E$305</f>
        <v>0</v>
      </c>
      <c r="S305" s="58" t="n">
        <f aca="false">('P04 TTLSilo Calc'!S45-'P04 TTLSilo Calc'!S42)*$E$305</f>
        <v>0</v>
      </c>
    </row>
    <row r="306" customFormat="false" ht="15" hidden="false" customHeight="false" outlineLevel="0" collapsed="false">
      <c r="B306" s="77" t="s">
        <v>54</v>
      </c>
      <c r="C306" s="25" t="s">
        <v>170</v>
      </c>
      <c r="E306" s="55" t="n">
        <f aca="false">'Global Inputs'!$L$97</f>
        <v>1</v>
      </c>
      <c r="F306" s="58" t="n">
        <f aca="false">('P05 Dumai Calc'!F49-'P05 Dumai Calc'!F46)*$E$306</f>
        <v>0</v>
      </c>
      <c r="G306" s="58" t="n">
        <f aca="false">('P05 Dumai Calc'!G49-'P05 Dumai Calc'!G46)*$E$306</f>
        <v>0</v>
      </c>
      <c r="H306" s="58" t="n">
        <f aca="false">('P05 Dumai Calc'!H49-'P05 Dumai Calc'!H46)*$E$306</f>
        <v>0</v>
      </c>
      <c r="I306" s="58" t="n">
        <f aca="false">('P05 Dumai Calc'!I49-'P05 Dumai Calc'!I46)*$E$306</f>
        <v>0</v>
      </c>
      <c r="J306" s="58" t="n">
        <f aca="false">('P05 Dumai Calc'!J49-'P05 Dumai Calc'!J46)*$E$306</f>
        <v>0</v>
      </c>
      <c r="K306" s="58" t="n">
        <f aca="false">('P05 Dumai Calc'!K49-'P05 Dumai Calc'!K46)*$E$306</f>
        <v>0</v>
      </c>
      <c r="L306" s="58" t="n">
        <f aca="false">('P05 Dumai Calc'!L49-'P05 Dumai Calc'!L46)*$E$306</f>
        <v>0</v>
      </c>
      <c r="M306" s="58" t="n">
        <f aca="false">('P05 Dumai Calc'!M49-'P05 Dumai Calc'!M46)*$E$306</f>
        <v>0</v>
      </c>
      <c r="N306" s="58" t="n">
        <f aca="false">('P05 Dumai Calc'!N49-'P05 Dumai Calc'!N46)*$E$306</f>
        <v>0</v>
      </c>
      <c r="O306" s="58" t="n">
        <f aca="false">('P05 Dumai Calc'!O49-'P05 Dumai Calc'!O46)*$E$306</f>
        <v>0</v>
      </c>
      <c r="P306" s="58" t="n">
        <f aca="false">('P05 Dumai Calc'!P49-'P05 Dumai Calc'!P46)*$E$306</f>
        <v>0</v>
      </c>
      <c r="Q306" s="58" t="n">
        <f aca="false">('P05 Dumai Calc'!Q49-'P05 Dumai Calc'!Q46)*$E$306</f>
        <v>0</v>
      </c>
      <c r="R306" s="58" t="n">
        <f aca="false">('P05 Dumai Calc'!R49-'P05 Dumai Calc'!R46)*$E$306</f>
        <v>0</v>
      </c>
      <c r="S306" s="58" t="n">
        <f aca="false">('P05 Dumai Calc'!S49-'P05 Dumai Calc'!S46)*$E$306</f>
        <v>0</v>
      </c>
    </row>
    <row r="307" customFormat="false" ht="15" hidden="false" customHeight="false" outlineLevel="0" collapsed="false">
      <c r="B307" s="77" t="s">
        <v>57</v>
      </c>
      <c r="C307" s="25" t="s">
        <v>170</v>
      </c>
      <c r="E307" s="55" t="n">
        <f aca="false">'Global Inputs'!$L$98</f>
        <v>1</v>
      </c>
      <c r="F307" s="58" t="n">
        <f aca="false">('P06 Ciwandan Calc'!F43-'P06 Ciwandan Calc'!F40)*$E$307</f>
        <v>0</v>
      </c>
      <c r="G307" s="58" t="n">
        <f aca="false">('P06 Ciwandan Calc'!G43-'P06 Ciwandan Calc'!G40)*$E$307</f>
        <v>0</v>
      </c>
      <c r="H307" s="58" t="n">
        <f aca="false">('P06 Ciwandan Calc'!H43-'P06 Ciwandan Calc'!H40)*$E$307</f>
        <v>0</v>
      </c>
      <c r="I307" s="58" t="n">
        <f aca="false">('P06 Ciwandan Calc'!I43-'P06 Ciwandan Calc'!I40)*$E$307</f>
        <v>0</v>
      </c>
      <c r="J307" s="58" t="n">
        <f aca="false">('P06 Ciwandan Calc'!J43-'P06 Ciwandan Calc'!J40)*$E$307</f>
        <v>0</v>
      </c>
      <c r="K307" s="58" t="n">
        <f aca="false">('P06 Ciwandan Calc'!K43-'P06 Ciwandan Calc'!K40)*$E$307</f>
        <v>0</v>
      </c>
      <c r="L307" s="58" t="n">
        <f aca="false">('P06 Ciwandan Calc'!L43-'P06 Ciwandan Calc'!L40)*$E$307</f>
        <v>0</v>
      </c>
      <c r="M307" s="58" t="n">
        <f aca="false">('P06 Ciwandan Calc'!M43-'P06 Ciwandan Calc'!M40)*$E$307</f>
        <v>0</v>
      </c>
      <c r="N307" s="58" t="n">
        <f aca="false">('P06 Ciwandan Calc'!N43-'P06 Ciwandan Calc'!N40)*$E$307</f>
        <v>0</v>
      </c>
      <c r="O307" s="58" t="n">
        <f aca="false">('P06 Ciwandan Calc'!O43-'P06 Ciwandan Calc'!O40)*$E$307</f>
        <v>0</v>
      </c>
      <c r="P307" s="58" t="n">
        <f aca="false">('P06 Ciwandan Calc'!P43-'P06 Ciwandan Calc'!P40)*$E$307</f>
        <v>0</v>
      </c>
      <c r="Q307" s="58" t="n">
        <f aca="false">('P06 Ciwandan Calc'!Q43-'P06 Ciwandan Calc'!Q40)*$E$307</f>
        <v>0</v>
      </c>
      <c r="R307" s="58" t="n">
        <f aca="false">('P06 Ciwandan Calc'!R43-'P06 Ciwandan Calc'!R40)*$E$307</f>
        <v>0</v>
      </c>
      <c r="S307" s="58" t="n">
        <f aca="false">('P06 Ciwandan Calc'!S43-'P06 Ciwandan Calc'!S40)*$E$307</f>
        <v>0</v>
      </c>
    </row>
    <row r="308" customFormat="false" ht="15" hidden="false" customHeight="false" outlineLevel="0" collapsed="false">
      <c r="B308" s="77" t="s">
        <v>60</v>
      </c>
      <c r="C308" s="25" t="s">
        <v>170</v>
      </c>
      <c r="E308" s="55" t="n">
        <f aca="false">'Global Inputs'!$L$99</f>
        <v>1</v>
      </c>
      <c r="F308" s="58" t="n">
        <f aca="false">('P08 DMSTrucking Calc'!F65-'P08 DMSTrucking Calc'!F63)*$E$308</f>
        <v>0</v>
      </c>
      <c r="G308" s="58" t="n">
        <f aca="false">('P08 DMSTrucking Calc'!G65-'P08 DMSTrucking Calc'!G63)*$E$308</f>
        <v>0</v>
      </c>
      <c r="H308" s="58" t="n">
        <f aca="false">('P08 DMSTrucking Calc'!H65-'P08 DMSTrucking Calc'!H63)*$E$308</f>
        <v>0</v>
      </c>
      <c r="I308" s="58" t="n">
        <f aca="false">('P08 DMSTrucking Calc'!I65-'P08 DMSTrucking Calc'!I63)*$E$308</f>
        <v>0</v>
      </c>
      <c r="J308" s="58" t="n">
        <f aca="false">('P08 DMSTrucking Calc'!J65-'P08 DMSTrucking Calc'!J63)*$E$308</f>
        <v>0.39036</v>
      </c>
      <c r="K308" s="58" t="n">
        <f aca="false">('P08 DMSTrucking Calc'!K65-'P08 DMSTrucking Calc'!K63)*$E$308</f>
        <v>0.48795</v>
      </c>
      <c r="L308" s="58" t="n">
        <f aca="false">('P08 DMSTrucking Calc'!L65-'P08 DMSTrucking Calc'!L63)*$E$308</f>
        <v>0.48795</v>
      </c>
      <c r="M308" s="58" t="n">
        <f aca="false">('P08 DMSTrucking Calc'!M65-'P08 DMSTrucking Calc'!M63)*$E$308</f>
        <v>0.48795</v>
      </c>
      <c r="N308" s="58" t="n">
        <f aca="false">('P08 DMSTrucking Calc'!N65-'P08 DMSTrucking Calc'!N63)*$E$308</f>
        <v>0.48795</v>
      </c>
      <c r="O308" s="58" t="n">
        <f aca="false">('P08 DMSTrucking Calc'!O65-'P08 DMSTrucking Calc'!O63)*$E$308</f>
        <v>0.48795</v>
      </c>
      <c r="P308" s="58" t="n">
        <f aca="false">('P08 DMSTrucking Calc'!P65-'P08 DMSTrucking Calc'!P63)*$E$308</f>
        <v>0.48795</v>
      </c>
      <c r="Q308" s="58" t="n">
        <f aca="false">('P08 DMSTrucking Calc'!Q65-'P08 DMSTrucking Calc'!Q63)*$E$308</f>
        <v>0.48795</v>
      </c>
      <c r="R308" s="58" t="n">
        <f aca="false">('P08 DMSTrucking Calc'!R65-'P08 DMSTrucking Calc'!R63)*$E$308</f>
        <v>0.48795</v>
      </c>
      <c r="S308" s="58" t="n">
        <f aca="false">('P08 DMSTrucking Calc'!S65-'P08 DMSTrucking Calc'!S63)*$E$308</f>
        <v>0.48795</v>
      </c>
    </row>
    <row r="309" customFormat="false" ht="15" hidden="false" customHeight="false" outlineLevel="0" collapsed="false">
      <c r="B309" s="77" t="s">
        <v>63</v>
      </c>
      <c r="C309" s="25" t="s">
        <v>170</v>
      </c>
      <c r="E309" s="55" t="n">
        <f aca="false">'Global Inputs'!$L$100</f>
        <v>1</v>
      </c>
      <c r="F309" s="58" t="n">
        <f aca="false">('P12 BUMNOps Calc'!F69-'P12 BUMNOps Calc'!F67)*$E$309</f>
        <v>0</v>
      </c>
      <c r="G309" s="58" t="n">
        <f aca="false">('P12 BUMNOps Calc'!G69-'P12 BUMNOps Calc'!G67)*$E$309</f>
        <v>0</v>
      </c>
      <c r="H309" s="58" t="n">
        <f aca="false">('P12 BUMNOps Calc'!H69-'P12 BUMNOps Calc'!H67)*$E$309</f>
        <v>0</v>
      </c>
      <c r="I309" s="58" t="n">
        <f aca="false">('P12 BUMNOps Calc'!I69-'P12 BUMNOps Calc'!I67)*$E$309</f>
        <v>0</v>
      </c>
      <c r="J309" s="58" t="n">
        <f aca="false">('P12 BUMNOps Calc'!J69-'P12 BUMNOps Calc'!J67)*$E$309</f>
        <v>0</v>
      </c>
      <c r="K309" s="58" t="n">
        <f aca="false">('P12 BUMNOps Calc'!K69-'P12 BUMNOps Calc'!K67)*$E$309</f>
        <v>0</v>
      </c>
      <c r="L309" s="58" t="n">
        <f aca="false">('P12 BUMNOps Calc'!L69-'P12 BUMNOps Calc'!L67)*$E$309</f>
        <v>0</v>
      </c>
      <c r="M309" s="58" t="n">
        <f aca="false">('P12 BUMNOps Calc'!M69-'P12 BUMNOps Calc'!M67)*$E$309</f>
        <v>0</v>
      </c>
      <c r="N309" s="58" t="n">
        <f aca="false">('P12 BUMNOps Calc'!N69-'P12 BUMNOps Calc'!N67)*$E$309</f>
        <v>0</v>
      </c>
      <c r="O309" s="58" t="n">
        <f aca="false">('P12 BUMNOps Calc'!O69-'P12 BUMNOps Calc'!O67)*$E$309</f>
        <v>0</v>
      </c>
      <c r="P309" s="58" t="n">
        <f aca="false">('P12 BUMNOps Calc'!P69-'P12 BUMNOps Calc'!P67)*$E$309</f>
        <v>0</v>
      </c>
      <c r="Q309" s="58" t="n">
        <f aca="false">('P12 BUMNOps Calc'!Q69-'P12 BUMNOps Calc'!Q67)*$E$309</f>
        <v>0</v>
      </c>
      <c r="R309" s="58" t="n">
        <f aca="false">('P12 BUMNOps Calc'!R69-'P12 BUMNOps Calc'!R67)*$E$309</f>
        <v>0</v>
      </c>
      <c r="S309" s="58" t="n">
        <f aca="false">('P12 BUMNOps Calc'!S69-'P12 BUMNOps Calc'!S67)*$E$309</f>
        <v>0</v>
      </c>
    </row>
    <row r="310" customFormat="false" ht="15" hidden="false" customHeight="false" outlineLevel="0" collapsed="false">
      <c r="B310" s="77" t="s">
        <v>66</v>
      </c>
      <c r="C310" s="25" t="s">
        <v>170</v>
      </c>
      <c r="E310" s="55" t="n">
        <f aca="false">'Global Inputs'!$L$101</f>
        <v>0</v>
      </c>
      <c r="F310" s="58" t="n">
        <f aca="false">('P15 TBM Calc'!F66-'P15 TBM Calc'!F63)*$E$310</f>
        <v>0</v>
      </c>
      <c r="G310" s="58" t="n">
        <f aca="false">('P15 TBM Calc'!G66-'P15 TBM Calc'!G63)*$E$310</f>
        <v>0</v>
      </c>
      <c r="H310" s="58" t="n">
        <f aca="false">('P15 TBM Calc'!H66-'P15 TBM Calc'!H63)*$E$310</f>
        <v>0</v>
      </c>
      <c r="I310" s="58" t="n">
        <f aca="false">('P15 TBM Calc'!I66-'P15 TBM Calc'!I63)*$E$310</f>
        <v>0</v>
      </c>
      <c r="J310" s="58" t="n">
        <f aca="false">('P15 TBM Calc'!J66-'P15 TBM Calc'!J63)*$E$310</f>
        <v>0</v>
      </c>
      <c r="K310" s="58" t="n">
        <f aca="false">('P15 TBM Calc'!K66-'P15 TBM Calc'!K63)*$E$310</f>
        <v>0</v>
      </c>
      <c r="L310" s="58" t="n">
        <f aca="false">('P15 TBM Calc'!L66-'P15 TBM Calc'!L63)*$E$310</f>
        <v>0</v>
      </c>
      <c r="M310" s="58" t="n">
        <f aca="false">('P15 TBM Calc'!M66-'P15 TBM Calc'!M63)*$E$310</f>
        <v>0</v>
      </c>
      <c r="N310" s="58" t="n">
        <f aca="false">('P15 TBM Calc'!N66-'P15 TBM Calc'!N63)*$E$310</f>
        <v>0</v>
      </c>
      <c r="O310" s="58" t="n">
        <f aca="false">('P15 TBM Calc'!O66-'P15 TBM Calc'!O63)*$E$310</f>
        <v>0</v>
      </c>
      <c r="P310" s="58" t="n">
        <f aca="false">('P15 TBM Calc'!P66-'P15 TBM Calc'!P63)*$E$310</f>
        <v>0</v>
      </c>
      <c r="Q310" s="58" t="n">
        <f aca="false">('P15 TBM Calc'!Q66-'P15 TBM Calc'!Q63)*$E$310</f>
        <v>0</v>
      </c>
      <c r="R310" s="58" t="n">
        <f aca="false">('P15 TBM Calc'!R66-'P15 TBM Calc'!R63)*$E$310</f>
        <v>0</v>
      </c>
      <c r="S310" s="58" t="n">
        <f aca="false">('P15 TBM Calc'!S66-'P15 TBM Calc'!S63)*$E$310</f>
        <v>0</v>
      </c>
    </row>
    <row r="311" customFormat="false" ht="15" hidden="false" customHeight="false" outlineLevel="0" collapsed="false">
      <c r="B311" s="77" t="s">
        <v>69</v>
      </c>
      <c r="C311" s="25" t="s">
        <v>170</v>
      </c>
      <c r="E311" s="55" t="n">
        <f aca="false">'Global Inputs'!$L$102</f>
        <v>0</v>
      </c>
      <c r="F311" s="58" t="n">
        <f aca="false">('P19 Badas Calculation'!F57-'P19 Badas Calculation'!F54)*$E$311</f>
        <v>0</v>
      </c>
      <c r="G311" s="58" t="n">
        <f aca="false">('P19 Badas Calculation'!G57-'P19 Badas Calculation'!G54)*$E$311</f>
        <v>0</v>
      </c>
      <c r="H311" s="58" t="n">
        <f aca="false">('P19 Badas Calculation'!H57-'P19 Badas Calculation'!H54)*$E$311</f>
        <v>0</v>
      </c>
      <c r="I311" s="58" t="n">
        <f aca="false">('P19 Badas Calculation'!I57-'P19 Badas Calculation'!I54)*$E$311</f>
        <v>0</v>
      </c>
      <c r="J311" s="58" t="n">
        <f aca="false">('P19 Badas Calculation'!J57-'P19 Badas Calculation'!J54)*$E$311</f>
        <v>0</v>
      </c>
      <c r="K311" s="58" t="n">
        <f aca="false">('P19 Badas Calculation'!K57-'P19 Badas Calculation'!K54)*$E$311</f>
        <v>0</v>
      </c>
      <c r="L311" s="58" t="n">
        <f aca="false">('P19 Badas Calculation'!L57-'P19 Badas Calculation'!L54)*$E$311</f>
        <v>0</v>
      </c>
      <c r="M311" s="58" t="n">
        <f aca="false">('P19 Badas Calculation'!M57-'P19 Badas Calculation'!M54)*$E$311</f>
        <v>0</v>
      </c>
      <c r="N311" s="58" t="n">
        <f aca="false">('P19 Badas Calculation'!N57-'P19 Badas Calculation'!N54)*$E$311</f>
        <v>0</v>
      </c>
      <c r="O311" s="58" t="n">
        <f aca="false">('P19 Badas Calculation'!O57-'P19 Badas Calculation'!O54)*$E$311</f>
        <v>0</v>
      </c>
      <c r="P311" s="58" t="n">
        <f aca="false">('P19 Badas Calculation'!P57-'P19 Badas Calculation'!P54)*$E$311</f>
        <v>0</v>
      </c>
      <c r="Q311" s="58" t="n">
        <f aca="false">('P19 Badas Calculation'!Q57-'P19 Badas Calculation'!Q54)*$E$311</f>
        <v>0</v>
      </c>
      <c r="R311" s="58" t="n">
        <f aca="false">('P19 Badas Calculation'!R57-'P19 Badas Calculation'!R54)*$E$311</f>
        <v>0</v>
      </c>
      <c r="S311" s="58" t="n">
        <f aca="false">('P19 Badas Calculation'!S57-'P19 Badas Calculation'!S54)*$E$311</f>
        <v>0</v>
      </c>
    </row>
    <row r="312" customFormat="false" ht="15" hidden="false" customHeight="false" outlineLevel="0" collapsed="false">
      <c r="B312" s="69" t="s">
        <v>470</v>
      </c>
      <c r="C312" s="25" t="s">
        <v>170</v>
      </c>
      <c r="E312" s="70" t="n">
        <f aca="false">SUM(F312:S312)</f>
        <v>1147.35307372546</v>
      </c>
      <c r="F312" s="68" t="n">
        <f aca="false">F298+F299+F300+F301+F302+F303+F304+F305+F306+F307+F308+F309+F310+F311</f>
        <v>0</v>
      </c>
      <c r="G312" s="68" t="n">
        <f aca="false">G298+G299+G300+G301+G302+G303+G304+G305+G306+G307+G308+G309+G310+G311</f>
        <v>88.3730862512023</v>
      </c>
      <c r="H312" s="68" t="n">
        <f aca="false">H298+H299+H300+H301+H302+H303+H304+H305+H306+H307+H308+H309+H310+H311</f>
        <v>88.3811533700023</v>
      </c>
      <c r="I312" s="68" t="n">
        <f aca="false">I298+I299+I300+I301+I302+I303+I304+I305+I306+I307+I308+I309+I310+I311</f>
        <v>87.7723947244633</v>
      </c>
      <c r="J312" s="68" t="n">
        <f aca="false">J298+J299+J300+J301+J302+J303+J304+J305+J306+J307+J308+J309+J310+J311</f>
        <v>85.5541606481478</v>
      </c>
      <c r="K312" s="68" t="n">
        <f aca="false">K298+K299+K300+K301+K302+K303+K304+K305+K306+K307+K308+K309+K310+K311</f>
        <v>85.6603115391553</v>
      </c>
      <c r="L312" s="68" t="n">
        <f aca="false">L298+L299+L300+L301+L302+L303+L304+L305+L306+L307+L308+L309+L310+L311</f>
        <v>87.669043647983</v>
      </c>
      <c r="M312" s="68" t="n">
        <f aca="false">M298+M299+M300+M301+M302+M303+M304+M305+M306+M307+M308+M309+M310+M311</f>
        <v>87.6779503989872</v>
      </c>
      <c r="N312" s="68" t="n">
        <f aca="false">N298+N299+N300+N301+N302+N303+N304+N305+N306+N307+N308+N309+N310+N311</f>
        <v>87.6870352850115</v>
      </c>
      <c r="O312" s="68" t="n">
        <f aca="false">O298+O299+O300+O301+O302+O303+O304+O305+O306+O307+O308+O309+O310+O311</f>
        <v>89.6963018687563</v>
      </c>
      <c r="P312" s="68" t="n">
        <f aca="false">P298+P299+P300+P301+P302+P303+P304+P305+P306+P307+P308+P309+P310+P311</f>
        <v>89.705753784176</v>
      </c>
      <c r="Q312" s="68" t="n">
        <f aca="false">Q298+Q299+Q300+Q301+Q302+Q303+Q304+Q305+Q306+Q307+Q308+Q309+Q310+Q311</f>
        <v>89.715394737904</v>
      </c>
      <c r="R312" s="68" t="n">
        <f aca="false">R298+R299+R300+R301+R302+R303+R304+R305+R306+R307+R308+R309+R310+R311</f>
        <v>89.7252285107067</v>
      </c>
      <c r="S312" s="68" t="n">
        <f aca="false">S298+S299+S300+S301+S302+S303+S304+S305+S306+S307+S308+S309+S310+S311</f>
        <v>89.7352589589654</v>
      </c>
    </row>
    <row r="313" customFormat="false" ht="15" hidden="false" customHeight="false" outlineLevel="0" collapsed="false">
      <c r="B313" s="78" t="s">
        <v>353</v>
      </c>
      <c r="C313" s="79"/>
      <c r="D313" s="79"/>
      <c r="E313" s="79"/>
      <c r="F313" s="79"/>
      <c r="G313" s="79"/>
      <c r="H313" s="79"/>
      <c r="I313" s="79"/>
      <c r="J313" s="79"/>
      <c r="K313" s="79"/>
      <c r="L313" s="79"/>
      <c r="M313" s="79"/>
      <c r="N313" s="79"/>
      <c r="O313" s="79"/>
      <c r="P313" s="79"/>
      <c r="Q313" s="79"/>
      <c r="R313" s="79"/>
      <c r="S313" s="79"/>
    </row>
    <row r="314" customFormat="false" ht="15" hidden="false" customHeight="false" outlineLevel="0" collapsed="false">
      <c r="B314" s="77" t="s">
        <v>31</v>
      </c>
      <c r="C314" s="25" t="s">
        <v>170</v>
      </c>
      <c r="E314" s="55" t="n">
        <f aca="false">'Global Inputs'!$L$89</f>
        <v>1</v>
      </c>
      <c r="F314" s="58" t="n">
        <f aca="false">'E1 TelukLamong Output'!F28*$E$314</f>
        <v>0</v>
      </c>
      <c r="G314" s="58" t="n">
        <f aca="false">'E1 TelukLamong Output'!G28*$E$314</f>
        <v>99.6359143152692</v>
      </c>
      <c r="H314" s="58" t="n">
        <f aca="false">'E1 TelukLamong Output'!H28*$E$314</f>
        <v>98.6994174663888</v>
      </c>
      <c r="I314" s="58" t="n">
        <f aca="false">'E1 TelukLamong Output'!I28*$E$314</f>
        <v>101.253907298589</v>
      </c>
      <c r="J314" s="58" t="n">
        <f aca="false">'E1 TelukLamong Output'!J28*$E$314</f>
        <v>103.600818221715</v>
      </c>
      <c r="K314" s="58" t="n">
        <f aca="false">'E1 TelukLamong Output'!K28*$E$314</f>
        <v>106.045943858656</v>
      </c>
      <c r="L314" s="58" t="n">
        <f aca="false">'E1 TelukLamong Output'!L28*$E$314</f>
        <v>112.160468778096</v>
      </c>
      <c r="M314" s="58" t="n">
        <f aca="false">'E1 TelukLamong Output'!M28*$E$314</f>
        <v>115.471678209207</v>
      </c>
      <c r="N314" s="58" t="n">
        <f aca="false">'E1 TelukLamong Output'!N28*$E$314</f>
        <v>118.130430326507</v>
      </c>
      <c r="O314" s="58" t="n">
        <f aca="false">'E1 TelukLamong Output'!O28*$E$314</f>
        <v>125.124716335916</v>
      </c>
      <c r="P314" s="58" t="n">
        <f aca="false">'E1 TelukLamong Output'!P28*$E$314</f>
        <v>128.630444471493</v>
      </c>
      <c r="Q314" s="58" t="n">
        <f aca="false">'E1 TelukLamong Output'!Q28*$E$314</f>
        <v>131.639412134673</v>
      </c>
      <c r="R314" s="58" t="n">
        <f aca="false">'E1 TelukLamong Output'!R28*$E$314</f>
        <v>134.637772992991</v>
      </c>
      <c r="S314" s="58" t="n">
        <f aca="false">'E1 TelukLamong Output'!S28*$E$314</f>
        <v>137.753867350256</v>
      </c>
    </row>
    <row r="315" customFormat="false" ht="15" hidden="false" customHeight="false" outlineLevel="0" collapsed="false">
      <c r="B315" s="77" t="s">
        <v>34</v>
      </c>
      <c r="C315" s="25" t="s">
        <v>170</v>
      </c>
      <c r="E315" s="55" t="n">
        <f aca="false">'Global Inputs'!$L$90</f>
        <v>1</v>
      </c>
      <c r="F315" s="58" t="n">
        <f aca="false">'E2 CigadingExist Output'!F28*$E$315</f>
        <v>0</v>
      </c>
      <c r="G315" s="58" t="n">
        <f aca="false">'E2 CigadingExist Output'!G28*$E$315</f>
        <v>16.5219765642192</v>
      </c>
      <c r="H315" s="58" t="n">
        <f aca="false">'E2 CigadingExist Output'!H28*$E$315</f>
        <v>22.0704121135938</v>
      </c>
      <c r="I315" s="58" t="n">
        <f aca="false">'E2 CigadingExist Output'!I28*$E$315</f>
        <v>23.3657198268632</v>
      </c>
      <c r="J315" s="58" t="n">
        <f aca="false">'E2 CigadingExist Output'!J28*$E$315</f>
        <v>32.527040284347</v>
      </c>
      <c r="K315" s="58" t="n">
        <f aca="false">'E2 CigadingExist Output'!K28*$E$315</f>
        <v>34.5561243399768</v>
      </c>
      <c r="L315" s="58" t="n">
        <f aca="false">'E2 CigadingExist Output'!L28*$E$315</f>
        <v>40.8321758712327</v>
      </c>
      <c r="M315" s="58" t="n">
        <f aca="false">'E2 CigadingExist Output'!M28*$E$315</f>
        <v>42.6443318937596</v>
      </c>
      <c r="N315" s="58" t="n">
        <f aca="false">'E2 CigadingExist Output'!N28*$E$315</f>
        <v>46.3855635633837</v>
      </c>
      <c r="O315" s="58" t="n">
        <f aca="false">'E2 CigadingExist Output'!O28*$E$315</f>
        <v>48.0782641549865</v>
      </c>
      <c r="P315" s="58" t="n">
        <f aca="false">'E2 CigadingExist Output'!P28*$E$315</f>
        <v>52.2352005183309</v>
      </c>
      <c r="Q315" s="58" t="n">
        <f aca="false">'E2 CigadingExist Output'!Q28*$E$315</f>
        <v>53.945803566953</v>
      </c>
      <c r="R315" s="58" t="n">
        <f aca="false">'E2 CigadingExist Output'!R28*$E$315</f>
        <v>55.0636328622892</v>
      </c>
      <c r="S315" s="58" t="n">
        <f aca="false">'E2 CigadingExist Output'!S28*$E$315</f>
        <v>56.2290301543192</v>
      </c>
    </row>
    <row r="316" customFormat="false" ht="15" hidden="false" customHeight="false" outlineLevel="0" collapsed="false">
      <c r="B316" s="77" t="s">
        <v>37</v>
      </c>
      <c r="C316" s="25" t="s">
        <v>170</v>
      </c>
      <c r="E316" s="55" t="n">
        <f aca="false">'Global Inputs'!$L$91</f>
        <v>1</v>
      </c>
      <c r="F316" s="58" t="n">
        <f aca="false">'E3 Belawan Output'!F28*$E$316</f>
        <v>0</v>
      </c>
      <c r="G316" s="58" t="n">
        <f aca="false">'E3 Belawan Output'!G28*$E$316</f>
        <v>10.0858338264791</v>
      </c>
      <c r="H316" s="58" t="n">
        <f aca="false">'E3 Belawan Output'!H28*$E$316</f>
        <v>9.97954625430167</v>
      </c>
      <c r="I316" s="58" t="n">
        <f aca="false">'E3 Belawan Output'!I28*$E$316</f>
        <v>-96.2339926558447</v>
      </c>
      <c r="J316" s="58" t="n">
        <f aca="false">'E3 Belawan Output'!J28*$E$316</f>
        <v>-87.9826924440988</v>
      </c>
      <c r="K316" s="58" t="n">
        <f aca="false">'E3 Belawan Output'!K28*$E$316</f>
        <v>29.5801973003833</v>
      </c>
      <c r="L316" s="58" t="n">
        <f aca="false">'E3 Belawan Output'!L28*$E$316</f>
        <v>32.8127316613259</v>
      </c>
      <c r="M316" s="58" t="n">
        <f aca="false">'E3 Belawan Output'!M28*$E$316</f>
        <v>36.2842977024336</v>
      </c>
      <c r="N316" s="58" t="n">
        <f aca="false">'E3 Belawan Output'!N28*$E$316</f>
        <v>39.948628900156</v>
      </c>
      <c r="O316" s="58" t="n">
        <f aca="false">'E3 Belawan Output'!O28*$E$316</f>
        <v>43.8516849343983</v>
      </c>
      <c r="P316" s="58" t="n">
        <f aca="false">'E3 Belawan Output'!P28*$E$316</f>
        <v>47.9215663686452</v>
      </c>
      <c r="Q316" s="58" t="n">
        <f aca="false">'E3 Belawan Output'!Q28*$E$316</f>
        <v>51.9813978954446</v>
      </c>
      <c r="R316" s="58" t="n">
        <f aca="false">'E3 Belawan Output'!R28*$E$316</f>
        <v>36.4929459295205</v>
      </c>
      <c r="S316" s="58" t="n">
        <f aca="false">'E3 Belawan Output'!S28*$E$316</f>
        <v>35.2303058711774</v>
      </c>
    </row>
    <row r="317" customFormat="false" ht="15" hidden="false" customHeight="false" outlineLevel="0" collapsed="false">
      <c r="B317" s="77" t="s">
        <v>40</v>
      </c>
      <c r="C317" s="25" t="s">
        <v>170</v>
      </c>
      <c r="E317" s="55" t="n">
        <f aca="false">'Global Inputs'!$L$92</f>
        <v>1</v>
      </c>
      <c r="F317" s="58" t="n">
        <f aca="false">'E4 WIN Output'!F28*$E$317</f>
        <v>0</v>
      </c>
      <c r="G317" s="58" t="n">
        <f aca="false">'E4 WIN Output'!G28*$E$317</f>
        <v>10.8663752257492</v>
      </c>
      <c r="H317" s="58" t="n">
        <f aca="false">'E4 WIN Output'!H28*$E$317</f>
        <v>11.9323874396738</v>
      </c>
      <c r="I317" s="58" t="n">
        <f aca="false">'E4 WIN Output'!I28*$E$317</f>
        <v>13.0504858674346</v>
      </c>
      <c r="J317" s="58" t="n">
        <f aca="false">'E4 WIN Output'!J28*$E$317</f>
        <v>14.1307492946678</v>
      </c>
      <c r="K317" s="58" t="n">
        <f aca="false">'E4 WIN Output'!K28*$E$317</f>
        <v>15.5603847822086</v>
      </c>
      <c r="L317" s="58" t="n">
        <f aca="false">'E4 WIN Output'!L28*$E$317</f>
        <v>17.0712579091374</v>
      </c>
      <c r="M317" s="58" t="n">
        <f aca="false">'E4 WIN Output'!M28*$E$317</f>
        <v>18.7524292728089</v>
      </c>
      <c r="N317" s="58" t="n">
        <f aca="false">'E4 WIN Output'!N28*$E$317</f>
        <v>20.5618970219182</v>
      </c>
      <c r="O317" s="58" t="n">
        <f aca="false">'E4 WIN Output'!O28*$E$317</f>
        <v>22.5425870984983</v>
      </c>
      <c r="P317" s="58" t="n">
        <f aca="false">'E4 WIN Output'!P28*$E$317</f>
        <v>24.6345916319703</v>
      </c>
      <c r="Q317" s="58" t="n">
        <f aca="false">'E4 WIN Output'!Q28*$E$317</f>
        <v>25.0098834941203</v>
      </c>
      <c r="R317" s="58" t="n">
        <f aca="false">'E4 WIN Output'!R28*$E$317</f>
        <v>25.452360484581</v>
      </c>
      <c r="S317" s="58" t="n">
        <f aca="false">'E4 WIN Output'!S28*$E$317</f>
        <v>26.8733900482765</v>
      </c>
    </row>
    <row r="318" customFormat="false" ht="15" hidden="false" customHeight="false" outlineLevel="0" collapsed="false">
      <c r="B318" s="77" t="s">
        <v>43</v>
      </c>
      <c r="C318" s="25" t="s">
        <v>170</v>
      </c>
      <c r="E318" s="55" t="n">
        <f aca="false">'Global Inputs'!$L$93</f>
        <v>1</v>
      </c>
      <c r="F318" s="58" t="n">
        <f aca="false">'P01 CigWharf2 Output'!F28*$E$318</f>
        <v>-162.65</v>
      </c>
      <c r="G318" s="58" t="n">
        <f aca="false">'P01 CigWharf2 Output'!G28*$E$318</f>
        <v>-37.4095</v>
      </c>
      <c r="H318" s="58" t="n">
        <f aca="false">'P01 CigWharf2 Output'!H28*$E$318</f>
        <v>39.3711324777166</v>
      </c>
      <c r="I318" s="58" t="n">
        <f aca="false">'P01 CigWharf2 Output'!I28*$E$318</f>
        <v>60.2355530611139</v>
      </c>
      <c r="J318" s="58" t="n">
        <f aca="false">'P01 CigWharf2 Output'!J28*$E$318</f>
        <v>72.3914239447765</v>
      </c>
      <c r="K318" s="58" t="n">
        <f aca="false">'P01 CigWharf2 Output'!K28*$E$318</f>
        <v>76.9074586668569</v>
      </c>
      <c r="L318" s="58" t="n">
        <f aca="false">'P01 CigWharf2 Output'!L28*$E$318</f>
        <v>85.5781012363765</v>
      </c>
      <c r="M318" s="58" t="n">
        <f aca="false">'P01 CigWharf2 Output'!M28*$E$318</f>
        <v>89.5085637588032</v>
      </c>
      <c r="N318" s="58" t="n">
        <f aca="false">'P01 CigWharf2 Output'!N28*$E$318</f>
        <v>96.5778549067232</v>
      </c>
      <c r="O318" s="58" t="n">
        <f aca="false">'P01 CigWharf2 Output'!O28*$E$318</f>
        <v>100.317236891532</v>
      </c>
      <c r="P318" s="58" t="n">
        <f aca="false">'P01 CigWharf2 Output'!P28*$E$318</f>
        <v>105.44717559515</v>
      </c>
      <c r="Q318" s="58" t="n">
        <f aca="false">'P01 CigWharf2 Output'!Q28*$E$318</f>
        <v>109.644913005368</v>
      </c>
      <c r="R318" s="58" t="n">
        <f aca="false">'P01 CigWharf2 Output'!R28*$E$318</f>
        <v>112.576825238365</v>
      </c>
      <c r="S318" s="58" t="n">
        <f aca="false">'P01 CigWharf2 Output'!S28*$E$318</f>
        <v>115.641140147624</v>
      </c>
    </row>
    <row r="319" customFormat="false" ht="15" hidden="false" customHeight="false" outlineLevel="0" collapsed="false">
      <c r="B319" s="77" t="s">
        <v>46</v>
      </c>
      <c r="C319" s="25" t="s">
        <v>170</v>
      </c>
      <c r="E319" s="55" t="n">
        <f aca="false">'Global Inputs'!$L$94</f>
        <v>1</v>
      </c>
      <c r="F319" s="58" t="n">
        <f aca="false">'P02 CigConveyor Output'!F28*$E$319</f>
        <v>-35.783</v>
      </c>
      <c r="G319" s="58" t="n">
        <f aca="false">'P02 CigConveyor Output'!G28*$E$319</f>
        <v>-87.831</v>
      </c>
      <c r="H319" s="58" t="n">
        <f aca="false">'P02 CigConveyor Output'!H28*$E$319</f>
        <v>14.119175532007</v>
      </c>
      <c r="I319" s="58" t="n">
        <f aca="false">'P02 CigConveyor Output'!I28*$E$319</f>
        <v>24.8543445752368</v>
      </c>
      <c r="J319" s="58" t="n">
        <f aca="false">'P02 CigConveyor Output'!J28*$E$319</f>
        <v>25.521076207363</v>
      </c>
      <c r="K319" s="58" t="n">
        <f aca="false">'P02 CigConveyor Output'!K28*$E$319</f>
        <v>26.2160323792301</v>
      </c>
      <c r="L319" s="58" t="n">
        <f aca="false">'P02 CigConveyor Output'!L28*$E$319</f>
        <v>26.8956741513036</v>
      </c>
      <c r="M319" s="58" t="n">
        <f aca="false">'P02 CigConveyor Output'!M28*$E$319</f>
        <v>27.6261855213855</v>
      </c>
      <c r="N319" s="58" t="n">
        <f aca="false">'P02 CigConveyor Output'!N28*$E$319</f>
        <v>28.3640275488134</v>
      </c>
      <c r="O319" s="58" t="n">
        <f aca="false">'P02 CigConveyor Output'!O28*$E$319</f>
        <v>29.1328220582874</v>
      </c>
      <c r="P319" s="58" t="n">
        <f aca="false">'P02 CigConveyor Output'!P28*$E$319</f>
        <v>29.5485741933704</v>
      </c>
      <c r="Q319" s="58" t="n">
        <f aca="false">'P02 CigConveyor Output'!Q28*$E$319</f>
        <v>30.3557126275717</v>
      </c>
      <c r="R319" s="58" t="n">
        <f aca="false">'P02 CigConveyor Output'!R28*$E$319</f>
        <v>31.1702366518576</v>
      </c>
      <c r="S319" s="58" t="n">
        <f aca="false">'P02 CigConveyor Output'!S28*$E$319</f>
        <v>32.0185613089214</v>
      </c>
    </row>
    <row r="320" customFormat="false" ht="15" hidden="false" customHeight="false" outlineLevel="0" collapsed="false">
      <c r="B320" s="77" t="s">
        <v>48</v>
      </c>
      <c r="C320" s="25" t="s">
        <v>170</v>
      </c>
      <c r="E320" s="55" t="n">
        <f aca="false">'Global Inputs'!$L$95</f>
        <v>1</v>
      </c>
      <c r="F320" s="58" t="n">
        <f aca="false">'P03 KBSWarehouse Output'!F28*$E$320</f>
        <v>0</v>
      </c>
      <c r="G320" s="58" t="n">
        <f aca="false">'P03 KBSWarehouse Output'!G28*$E$320</f>
        <v>0</v>
      </c>
      <c r="H320" s="58" t="n">
        <f aca="false">'P03 KBSWarehouse Output'!H28*$E$320</f>
        <v>0</v>
      </c>
      <c r="I320" s="58" t="n">
        <f aca="false">'P03 KBSWarehouse Output'!I28*$E$320</f>
        <v>-97.98995635</v>
      </c>
      <c r="J320" s="58" t="n">
        <f aca="false">'P03 KBSWarehouse Output'!J28*$E$320</f>
        <v>11.5199428079596</v>
      </c>
      <c r="K320" s="58" t="n">
        <f aca="false">'P03 KBSWarehouse Output'!K28*$E$320</f>
        <v>17.951741615326</v>
      </c>
      <c r="L320" s="58" t="n">
        <f aca="false">'P03 KBSWarehouse Output'!L28*$E$320</f>
        <v>18.4231010371399</v>
      </c>
      <c r="M320" s="58" t="n">
        <f aca="false">'P03 KBSWarehouse Output'!M28*$E$320</f>
        <v>18.9611430108763</v>
      </c>
      <c r="N320" s="58" t="n">
        <f aca="false">'P03 KBSWarehouse Output'!N28*$E$320</f>
        <v>19.4976406156071</v>
      </c>
      <c r="O320" s="58" t="n">
        <f aca="false">'P03 KBSWarehouse Output'!O28*$E$320</f>
        <v>20.0695587119452</v>
      </c>
      <c r="P320" s="58" t="n">
        <f aca="false">'P03 KBSWarehouse Output'!P28*$E$320</f>
        <v>20.6000778938732</v>
      </c>
      <c r="Q320" s="58" t="n">
        <f aca="false">'P03 KBSWarehouse Output'!Q28*$E$320</f>
        <v>21.2056488754633</v>
      </c>
      <c r="R320" s="58" t="n">
        <f aca="false">'P03 KBSWarehouse Output'!R28*$E$320</f>
        <v>21.8094816561317</v>
      </c>
      <c r="S320" s="58" t="n">
        <f aca="false">'P03 KBSWarehouse Output'!S28*$E$320</f>
        <v>22.4531805121587</v>
      </c>
    </row>
    <row r="321" customFormat="false" ht="15" hidden="false" customHeight="false" outlineLevel="0" collapsed="false">
      <c r="B321" s="77" t="s">
        <v>51</v>
      </c>
      <c r="C321" s="25" t="s">
        <v>170</v>
      </c>
      <c r="E321" s="55" t="n">
        <f aca="false">'Global Inputs'!$L$96</f>
        <v>1</v>
      </c>
      <c r="F321" s="58" t="n">
        <f aca="false">'P04 TTLSilo Output'!F28*$E$321</f>
        <v>0</v>
      </c>
      <c r="G321" s="58" t="n">
        <f aca="false">'P04 TTLSilo Output'!G28*$E$321</f>
        <v>0</v>
      </c>
      <c r="H321" s="58" t="n">
        <f aca="false">'P04 TTLSilo Output'!H28*$E$321</f>
        <v>0</v>
      </c>
      <c r="I321" s="58" t="n">
        <f aca="false">'P04 TTLSilo Output'!I28*$E$321</f>
        <v>-61.1938095</v>
      </c>
      <c r="J321" s="58" t="n">
        <f aca="false">'P04 TTLSilo Output'!J28*$E$321</f>
        <v>9.58246018861706</v>
      </c>
      <c r="K321" s="58" t="n">
        <f aca="false">'P04 TTLSilo Output'!K28*$E$321</f>
        <v>11.2217213608605</v>
      </c>
      <c r="L321" s="58" t="n">
        <f aca="false">'P04 TTLSilo Output'!L28*$E$321</f>
        <v>11.2127880574695</v>
      </c>
      <c r="M321" s="58" t="n">
        <f aca="false">'P04 TTLSilo Output'!M28*$E$321</f>
        <v>11.217254709165</v>
      </c>
      <c r="N321" s="58" t="n">
        <f aca="false">'P04 TTLSilo Output'!N28*$E$321</f>
        <v>11.217254709165</v>
      </c>
      <c r="O321" s="58" t="n">
        <f aca="false">'P04 TTLSilo Output'!O28*$E$321</f>
        <v>11.2217213608605</v>
      </c>
      <c r="P321" s="58" t="n">
        <f aca="false">'P04 TTLSilo Output'!P28*$E$321</f>
        <v>11.2127880574695</v>
      </c>
      <c r="Q321" s="58" t="n">
        <f aca="false">'P04 TTLSilo Output'!Q28*$E$321</f>
        <v>11.217254709165</v>
      </c>
      <c r="R321" s="58" t="n">
        <f aca="false">'P04 TTLSilo Output'!R28*$E$321</f>
        <v>11.217254709165</v>
      </c>
      <c r="S321" s="58" t="n">
        <f aca="false">'P04 TTLSilo Output'!S28*$E$321</f>
        <v>11.2217213608605</v>
      </c>
    </row>
    <row r="322" customFormat="false" ht="15" hidden="false" customHeight="false" outlineLevel="0" collapsed="false">
      <c r="B322" s="77" t="s">
        <v>54</v>
      </c>
      <c r="C322" s="25" t="s">
        <v>170</v>
      </c>
      <c r="E322" s="55" t="n">
        <f aca="false">'Global Inputs'!$L$97</f>
        <v>1</v>
      </c>
      <c r="F322" s="58" t="n">
        <f aca="false">'P05 Dumai Output'!F28*$E$322</f>
        <v>0</v>
      </c>
      <c r="G322" s="58" t="n">
        <f aca="false">'P05 Dumai Output'!G28*$E$322</f>
        <v>0</v>
      </c>
      <c r="H322" s="58" t="n">
        <f aca="false">'P05 Dumai Output'!H28*$E$322</f>
        <v>0</v>
      </c>
      <c r="I322" s="58" t="n">
        <f aca="false">'P05 Dumai Output'!I28*$E$322</f>
        <v>-89.4589934275323</v>
      </c>
      <c r="J322" s="58" t="n">
        <f aca="false">'P05 Dumai Output'!J28*$E$322</f>
        <v>16.3497283979769</v>
      </c>
      <c r="K322" s="58" t="n">
        <f aca="false">'P05 Dumai Output'!K28*$E$322</f>
        <v>21.2429725922845</v>
      </c>
      <c r="L322" s="58" t="n">
        <f aca="false">'P05 Dumai Output'!L28*$E$322</f>
        <v>22.6226495817981</v>
      </c>
      <c r="M322" s="58" t="n">
        <f aca="false">'P05 Dumai Output'!M28*$E$322</f>
        <v>22.2693545617857</v>
      </c>
      <c r="N322" s="58" t="n">
        <f aca="false">'P05 Dumai Output'!N28*$E$322</f>
        <v>21.9924079286537</v>
      </c>
      <c r="O322" s="58" t="n">
        <f aca="false">'P05 Dumai Output'!O28*$E$322</f>
        <v>21.5507564596218</v>
      </c>
      <c r="P322" s="58" t="n">
        <f aca="false">'P05 Dumai Output'!P28*$E$322</f>
        <v>22.9867846705396</v>
      </c>
      <c r="Q322" s="58" t="n">
        <f aca="false">'P05 Dumai Output'!Q28*$E$322</f>
        <v>21.7914347466191</v>
      </c>
      <c r="R322" s="58" t="n">
        <f aca="false">'P05 Dumai Output'!R28*$E$322</f>
        <v>20.8890085223254</v>
      </c>
      <c r="S322" s="58" t="n">
        <f aca="false">'P05 Dumai Output'!S28*$E$322</f>
        <v>20.7000775355884</v>
      </c>
    </row>
    <row r="323" customFormat="false" ht="15" hidden="false" customHeight="false" outlineLevel="0" collapsed="false">
      <c r="B323" s="77" t="s">
        <v>57</v>
      </c>
      <c r="C323" s="25" t="s">
        <v>170</v>
      </c>
      <c r="E323" s="55" t="n">
        <f aca="false">'Global Inputs'!$L$98</f>
        <v>1</v>
      </c>
      <c r="F323" s="58" t="n">
        <f aca="false">'P06 Ciwandan Output'!F28*$E$323</f>
        <v>0</v>
      </c>
      <c r="G323" s="58" t="n">
        <f aca="false">'P06 Ciwandan Output'!G28*$E$323</f>
        <v>0</v>
      </c>
      <c r="H323" s="58" t="n">
        <f aca="false">'P06 Ciwandan Output'!H28*$E$323</f>
        <v>0</v>
      </c>
      <c r="I323" s="58" t="n">
        <f aca="false">'P06 Ciwandan Output'!I28*$E$323</f>
        <v>-40.8625</v>
      </c>
      <c r="J323" s="58" t="n">
        <f aca="false">'P06 Ciwandan Output'!J28*$E$323</f>
        <v>-40.8625</v>
      </c>
      <c r="K323" s="58" t="n">
        <f aca="false">'P06 Ciwandan Output'!K28*$E$323</f>
        <v>21.4675114972037</v>
      </c>
      <c r="L323" s="58" t="n">
        <f aca="false">'P06 Ciwandan Output'!L28*$E$323</f>
        <v>35.771792685535</v>
      </c>
      <c r="M323" s="58" t="n">
        <f aca="false">'P06 Ciwandan Output'!M28*$E$323</f>
        <v>40.4795227252258</v>
      </c>
      <c r="N323" s="58" t="n">
        <f aca="false">'P06 Ciwandan Output'!N28*$E$323</f>
        <v>49.2432296164788</v>
      </c>
      <c r="O323" s="58" t="n">
        <f aca="false">'P06 Ciwandan Output'!O28*$E$323</f>
        <v>53.2935416768089</v>
      </c>
      <c r="P323" s="58" t="n">
        <f aca="false">'P06 Ciwandan Output'!P28*$E$323</f>
        <v>60.6020037993356</v>
      </c>
      <c r="Q323" s="58" t="n">
        <f aca="false">'P06 Ciwandan Output'!Q28*$E$323</f>
        <v>64.7439519488697</v>
      </c>
      <c r="R323" s="58" t="n">
        <f aca="false">'P06 Ciwandan Output'!R28*$E$323</f>
        <v>71.4102254387299</v>
      </c>
      <c r="S323" s="58" t="n">
        <f aca="false">'P06 Ciwandan Output'!S28*$E$323</f>
        <v>75.0234940264715</v>
      </c>
    </row>
    <row r="324" customFormat="false" ht="15" hidden="false" customHeight="false" outlineLevel="0" collapsed="false">
      <c r="B324" s="77" t="s">
        <v>60</v>
      </c>
      <c r="C324" s="25" t="s">
        <v>170</v>
      </c>
      <c r="E324" s="55" t="n">
        <f aca="false">'Global Inputs'!$L$99</f>
        <v>1</v>
      </c>
      <c r="F324" s="58" t="n">
        <f aca="false">'P08 DMSTrucking Output'!F28*$E$324</f>
        <v>0</v>
      </c>
      <c r="G324" s="58" t="n">
        <f aca="false">'P08 DMSTrucking Output'!G28*$E$324</f>
        <v>0</v>
      </c>
      <c r="H324" s="58" t="n">
        <f aca="false">'P08 DMSTrucking Output'!H28*$E$324</f>
        <v>0</v>
      </c>
      <c r="I324" s="58" t="n">
        <f aca="false">'P08 DMSTrucking Output'!I28*$E$324</f>
        <v>0</v>
      </c>
      <c r="J324" s="58" t="n">
        <f aca="false">'P08 DMSTrucking Output'!J28*$E$324</f>
        <v>1.46403959332913</v>
      </c>
      <c r="K324" s="58" t="n">
        <f aca="false">'P08 DMSTrucking Output'!K28*$E$324</f>
        <v>2.10053480995688</v>
      </c>
      <c r="L324" s="58" t="n">
        <f aca="false">'P08 DMSTrucking Output'!L28*$E$324</f>
        <v>2.23266510395025</v>
      </c>
      <c r="M324" s="58" t="n">
        <f aca="false">'P08 DMSTrucking Output'!M28*$E$324</f>
        <v>2.32058684686117</v>
      </c>
      <c r="N324" s="58" t="n">
        <f aca="false">'P08 DMSTrucking Output'!N28*$E$324</f>
        <v>2.41219039927523</v>
      </c>
      <c r="O324" s="58" t="n">
        <f aca="false">'P08 DMSTrucking Output'!O28*$E$324</f>
        <v>2.49787965939361</v>
      </c>
      <c r="P324" s="58" t="n">
        <f aca="false">'P08 DMSTrucking Output'!P28*$E$324</f>
        <v>2.58020049973608</v>
      </c>
      <c r="Q324" s="58" t="n">
        <f aca="false">'P08 DMSTrucking Output'!Q28*$E$324</f>
        <v>2.66969161510117</v>
      </c>
      <c r="R324" s="58" t="n">
        <f aca="false">'P08 DMSTrucking Output'!R28*$E$324</f>
        <v>2.76130064233206</v>
      </c>
      <c r="S324" s="58" t="n">
        <f aca="false">'P08 DMSTrucking Output'!S28*$E$324</f>
        <v>2.85796915027703</v>
      </c>
    </row>
    <row r="325" customFormat="false" ht="15" hidden="false" customHeight="false" outlineLevel="0" collapsed="false">
      <c r="B325" s="77" t="s">
        <v>63</v>
      </c>
      <c r="C325" s="25" t="s">
        <v>170</v>
      </c>
      <c r="E325" s="55" t="n">
        <f aca="false">'Global Inputs'!$L$100</f>
        <v>1</v>
      </c>
      <c r="F325" s="58" t="n">
        <f aca="false">'P12 BUMNOps Output'!F28*$E$325</f>
        <v>0</v>
      </c>
      <c r="G325" s="58" t="n">
        <f aca="false">'P12 BUMNOps Output'!G28*$E$325</f>
        <v>0</v>
      </c>
      <c r="H325" s="58" t="n">
        <f aca="false">'P12 BUMNOps Output'!H28*$E$325</f>
        <v>0</v>
      </c>
      <c r="I325" s="58" t="n">
        <f aca="false">'P12 BUMNOps Output'!I28*$E$325</f>
        <v>29.7697365858386</v>
      </c>
      <c r="J325" s="58" t="n">
        <f aca="false">'P12 BUMNOps Output'!J28*$E$325</f>
        <v>47.0637782264322</v>
      </c>
      <c r="K325" s="58" t="n">
        <f aca="false">'P12 BUMNOps Output'!K28*$E$325</f>
        <v>49.0694901582078</v>
      </c>
      <c r="L325" s="58" t="n">
        <f aca="false">'P12 BUMNOps Output'!L28*$E$325</f>
        <v>50.6786535495062</v>
      </c>
      <c r="M325" s="58" t="n">
        <f aca="false">'P12 BUMNOps Output'!M28*$E$325</f>
        <v>52.471562802013</v>
      </c>
      <c r="N325" s="58" t="n">
        <f aca="false">'P12 BUMNOps Output'!N28*$E$325</f>
        <v>54.261840498881</v>
      </c>
      <c r="O325" s="58" t="n">
        <f aca="false">'P12 BUMNOps Output'!O28*$E$325</f>
        <v>56.1514511956312</v>
      </c>
      <c r="P325" s="58" t="n">
        <f aca="false">'P12 BUMNOps Output'!P28*$E$325</f>
        <v>57.9268865954384</v>
      </c>
      <c r="Q325" s="58" t="n">
        <f aca="false">'P12 BUMNOps Output'!Q28*$E$325</f>
        <v>59.9118712326311</v>
      </c>
      <c r="R325" s="58" t="n">
        <f aca="false">'P12 BUMNOps Output'!R28*$E$325</f>
        <v>59.8453413489983</v>
      </c>
      <c r="S325" s="58" t="n">
        <f aca="false">'P12 BUMNOps Output'!S28*$E$325</f>
        <v>60.5747041420585</v>
      </c>
    </row>
    <row r="326" customFormat="false" ht="15" hidden="false" customHeight="false" outlineLevel="0" collapsed="false">
      <c r="B326" s="77" t="s">
        <v>66</v>
      </c>
      <c r="C326" s="25" t="s">
        <v>170</v>
      </c>
      <c r="E326" s="55" t="n">
        <f aca="false">'Global Inputs'!$L$101</f>
        <v>0</v>
      </c>
      <c r="F326" s="58" t="n">
        <f aca="false">'P15 TBM Output'!F28*$E$326</f>
        <v>0</v>
      </c>
      <c r="G326" s="58" t="n">
        <f aca="false">'P15 TBM Output'!G28*$E$326</f>
        <v>0</v>
      </c>
      <c r="H326" s="58" t="n">
        <f aca="false">'P15 TBM Output'!H28*$E$326</f>
        <v>-0</v>
      </c>
      <c r="I326" s="58" t="n">
        <f aca="false">'P15 TBM Output'!I28*$E$326</f>
        <v>-0</v>
      </c>
      <c r="J326" s="58" t="n">
        <f aca="false">'P15 TBM Output'!J28*$E$326</f>
        <v>0</v>
      </c>
      <c r="K326" s="58" t="n">
        <f aca="false">'P15 TBM Output'!K28*$E$326</f>
        <v>0</v>
      </c>
      <c r="L326" s="58" t="n">
        <f aca="false">'P15 TBM Output'!L28*$E$326</f>
        <v>0</v>
      </c>
      <c r="M326" s="58" t="n">
        <f aca="false">'P15 TBM Output'!M28*$E$326</f>
        <v>0</v>
      </c>
      <c r="N326" s="58" t="n">
        <f aca="false">'P15 TBM Output'!N28*$E$326</f>
        <v>0</v>
      </c>
      <c r="O326" s="58" t="n">
        <f aca="false">'P15 TBM Output'!O28*$E$326</f>
        <v>0</v>
      </c>
      <c r="P326" s="58" t="n">
        <f aca="false">'P15 TBM Output'!P28*$E$326</f>
        <v>0</v>
      </c>
      <c r="Q326" s="58" t="n">
        <f aca="false">'P15 TBM Output'!Q28*$E$326</f>
        <v>0</v>
      </c>
      <c r="R326" s="58" t="n">
        <f aca="false">'P15 TBM Output'!R28*$E$326</f>
        <v>0</v>
      </c>
      <c r="S326" s="58" t="n">
        <f aca="false">'P15 TBM Output'!S28*$E$326</f>
        <v>0</v>
      </c>
    </row>
    <row r="327" customFormat="false" ht="15" hidden="false" customHeight="false" outlineLevel="0" collapsed="false">
      <c r="B327" s="77" t="s">
        <v>69</v>
      </c>
      <c r="C327" s="25" t="s">
        <v>170</v>
      </c>
      <c r="E327" s="55" t="n">
        <f aca="false">'Global Inputs'!$L$102</f>
        <v>0</v>
      </c>
      <c r="F327" s="58" t="n">
        <f aca="false">'P19 Badas Output'!F28*$E$327</f>
        <v>0</v>
      </c>
      <c r="G327" s="58" t="n">
        <f aca="false">'P19 Badas Output'!G28*$E$327</f>
        <v>0</v>
      </c>
      <c r="H327" s="58" t="n">
        <f aca="false">'P19 Badas Output'!H28*$E$327</f>
        <v>0</v>
      </c>
      <c r="I327" s="58" t="n">
        <f aca="false">'P19 Badas Output'!I28*$E$327</f>
        <v>0</v>
      </c>
      <c r="J327" s="58" t="n">
        <f aca="false">'P19 Badas Output'!J28*$E$327</f>
        <v>-0</v>
      </c>
      <c r="K327" s="58" t="n">
        <f aca="false">'P19 Badas Output'!K28*$E$327</f>
        <v>-0</v>
      </c>
      <c r="L327" s="58" t="n">
        <f aca="false">'P19 Badas Output'!L28*$E$327</f>
        <v>0</v>
      </c>
      <c r="M327" s="58" t="n">
        <f aca="false">'P19 Badas Output'!M28*$E$327</f>
        <v>0</v>
      </c>
      <c r="N327" s="58" t="n">
        <f aca="false">'P19 Badas Output'!N28*$E$327</f>
        <v>0</v>
      </c>
      <c r="O327" s="58" t="n">
        <f aca="false">'P19 Badas Output'!O28*$E$327</f>
        <v>0</v>
      </c>
      <c r="P327" s="58" t="n">
        <f aca="false">'P19 Badas Output'!P28*$E$327</f>
        <v>0</v>
      </c>
      <c r="Q327" s="58" t="n">
        <f aca="false">'P19 Badas Output'!Q28*$E$327</f>
        <v>0</v>
      </c>
      <c r="R327" s="58" t="n">
        <f aca="false">'P19 Badas Output'!R28*$E$327</f>
        <v>0</v>
      </c>
      <c r="S327" s="58" t="n">
        <f aca="false">'P19 Badas Output'!S28*$E$327</f>
        <v>0</v>
      </c>
    </row>
    <row r="328" customFormat="false" ht="15" hidden="false" customHeight="false" outlineLevel="0" collapsed="false">
      <c r="B328" s="69" t="s">
        <v>471</v>
      </c>
      <c r="C328" s="25" t="s">
        <v>170</v>
      </c>
      <c r="E328" s="70" t="n">
        <f aca="false">SUM(F328:S328)</f>
        <v>4798.69640002458</v>
      </c>
      <c r="F328" s="68" t="n">
        <f aca="false">F314+F315+F316+F317+F318+F319+F320+F321+F322+F323+F324+F325+F326+F327</f>
        <v>-198.433</v>
      </c>
      <c r="G328" s="68" t="n">
        <f aca="false">G314+G315+G316+G317+G318+G319+G320+G321+G322+G323+G324+G325+G326+G327</f>
        <v>11.8695999317167</v>
      </c>
      <c r="H328" s="68" t="n">
        <f aca="false">H314+H315+H316+H317+H318+H319+H320+H321+H322+H323+H324+H325+H326+H327</f>
        <v>196.172071283682</v>
      </c>
      <c r="I328" s="68" t="n">
        <f aca="false">I314+I315+I316+I317+I318+I319+I320+I321+I322+I323+I324+I325+I326+I327</f>
        <v>-133.209504718301</v>
      </c>
      <c r="J328" s="68" t="n">
        <f aca="false">J314+J315+J316+J317+J318+J319+J320+J321+J322+J323+J324+J325+J326+J327</f>
        <v>205.305864723085</v>
      </c>
      <c r="K328" s="68" t="n">
        <f aca="false">K314+K315+K316+K317+K318+K319+K320+K321+K322+K323+K324+K325+K326+K327</f>
        <v>411.920113361151</v>
      </c>
      <c r="L328" s="68" t="n">
        <f aca="false">L314+L315+L316+L317+L318+L319+L320+L321+L322+L323+L324+L325+L326+L327</f>
        <v>456.292059622871</v>
      </c>
      <c r="M328" s="68" t="n">
        <f aca="false">M314+M315+M316+M317+M318+M319+M320+M321+M322+M323+M324+M325+M326+M327</f>
        <v>478.006911014325</v>
      </c>
      <c r="N328" s="68" t="n">
        <f aca="false">N314+N315+N316+N317+N318+N319+N320+N321+N322+N323+N324+N325+N326+N327</f>
        <v>508.592966035562</v>
      </c>
      <c r="O328" s="68" t="n">
        <f aca="false">O314+O315+O316+O317+O318+O319+O320+O321+O322+O323+O324+O325+O326+O327</f>
        <v>533.83222053788</v>
      </c>
      <c r="P328" s="68" t="n">
        <f aca="false">P314+P315+P316+P317+P318+P319+P320+P321+P322+P323+P324+P325+P326+P327</f>
        <v>564.326294295352</v>
      </c>
      <c r="Q328" s="68" t="n">
        <f aca="false">Q314+Q315+Q316+Q317+Q318+Q319+Q320+Q321+Q322+Q323+Q324+Q325+Q326+Q327</f>
        <v>584.11697585198</v>
      </c>
      <c r="R328" s="68" t="n">
        <f aca="false">R314+R315+R316+R317+R318+R319+R320+R321+R322+R323+R324+R325+R326+R327</f>
        <v>583.326386477287</v>
      </c>
      <c r="S328" s="68" t="n">
        <f aca="false">S314+S315+S316+S317+S318+S319+S320+S321+S322+S323+S324+S325+S326+S327</f>
        <v>596.577441607989</v>
      </c>
    </row>
    <row r="329" customFormat="false" ht="15" hidden="false" customHeight="false" outlineLevel="0" collapsed="false">
      <c r="B329" s="78" t="s">
        <v>472</v>
      </c>
      <c r="C329" s="79"/>
      <c r="D329" s="79"/>
      <c r="E329" s="79"/>
      <c r="F329" s="79"/>
      <c r="G329" s="79"/>
      <c r="H329" s="79"/>
      <c r="I329" s="79"/>
      <c r="J329" s="79"/>
      <c r="K329" s="79"/>
      <c r="L329" s="79"/>
      <c r="M329" s="79"/>
      <c r="N329" s="79"/>
      <c r="O329" s="79"/>
      <c r="P329" s="79"/>
      <c r="Q329" s="79"/>
      <c r="R329" s="79"/>
      <c r="S329" s="79"/>
    </row>
    <row r="330" customFormat="false" ht="15" hidden="false" customHeight="false" outlineLevel="0" collapsed="false">
      <c r="B330" s="77" t="s">
        <v>31</v>
      </c>
      <c r="C330" s="25" t="s">
        <v>170</v>
      </c>
      <c r="E330" s="55" t="n">
        <f aca="false">'Global Inputs'!$L$89</f>
        <v>1</v>
      </c>
      <c r="F330" s="58" t="n">
        <f aca="false">'E1 TelukLamong Output'!F31*$E$330</f>
        <v>-0</v>
      </c>
      <c r="G330" s="58" t="n">
        <f aca="false">'E1 TelukLamong Output'!G31*$E$330</f>
        <v>0</v>
      </c>
      <c r="H330" s="58" t="n">
        <f aca="false">'E1 TelukLamong Output'!H31*$E$330</f>
        <v>0</v>
      </c>
      <c r="I330" s="58" t="n">
        <f aca="false">'E1 TelukLamong Output'!I31*$E$330</f>
        <v>0</v>
      </c>
      <c r="J330" s="58" t="n">
        <f aca="false">'E1 TelukLamong Output'!J31*$E$330</f>
        <v>0</v>
      </c>
      <c r="K330" s="58" t="n">
        <f aca="false">'E1 TelukLamong Output'!K31*$E$330</f>
        <v>0</v>
      </c>
      <c r="L330" s="58" t="n">
        <f aca="false">'E1 TelukLamong Output'!L31*$E$330</f>
        <v>0</v>
      </c>
      <c r="M330" s="58" t="n">
        <f aca="false">'E1 TelukLamong Output'!M31*$E$330</f>
        <v>0</v>
      </c>
      <c r="N330" s="58" t="n">
        <f aca="false">'E1 TelukLamong Output'!N31*$E$330</f>
        <v>0</v>
      </c>
      <c r="O330" s="58" t="n">
        <f aca="false">'E1 TelukLamong Output'!O31*$E$330</f>
        <v>0</v>
      </c>
      <c r="P330" s="58" t="n">
        <f aca="false">'E1 TelukLamong Output'!P31*$E$330</f>
        <v>0</v>
      </c>
      <c r="Q330" s="58" t="n">
        <f aca="false">'E1 TelukLamong Output'!Q31*$E$330</f>
        <v>0</v>
      </c>
      <c r="R330" s="58" t="n">
        <f aca="false">'E1 TelukLamong Output'!R31*$E$330</f>
        <v>0</v>
      </c>
      <c r="S330" s="58" t="n">
        <f aca="false">'E1 TelukLamong Output'!S31*$E$330</f>
        <v>0</v>
      </c>
    </row>
    <row r="331" customFormat="false" ht="15" hidden="false" customHeight="false" outlineLevel="0" collapsed="false">
      <c r="B331" s="77" t="s">
        <v>34</v>
      </c>
      <c r="C331" s="25" t="s">
        <v>170</v>
      </c>
      <c r="E331" s="55" t="n">
        <f aca="false">'Global Inputs'!$L$90</f>
        <v>1</v>
      </c>
      <c r="F331" s="58" t="n">
        <f aca="false">'E2 CigadingExist Output'!F31*$E$331</f>
        <v>-0</v>
      </c>
      <c r="G331" s="58" t="n">
        <f aca="false">'E2 CigadingExist Output'!G31*$E$331</f>
        <v>0</v>
      </c>
      <c r="H331" s="58" t="n">
        <f aca="false">'E2 CigadingExist Output'!H31*$E$331</f>
        <v>0</v>
      </c>
      <c r="I331" s="58" t="n">
        <f aca="false">'E2 CigadingExist Output'!I31*$E$331</f>
        <v>0</v>
      </c>
      <c r="J331" s="58" t="n">
        <f aca="false">'E2 CigadingExist Output'!J31*$E$331</f>
        <v>0</v>
      </c>
      <c r="K331" s="58" t="n">
        <f aca="false">'E2 CigadingExist Output'!K31*$E$331</f>
        <v>0</v>
      </c>
      <c r="L331" s="58" t="n">
        <f aca="false">'E2 CigadingExist Output'!L31*$E$331</f>
        <v>0</v>
      </c>
      <c r="M331" s="58" t="n">
        <f aca="false">'E2 CigadingExist Output'!M31*$E$331</f>
        <v>0</v>
      </c>
      <c r="N331" s="58" t="n">
        <f aca="false">'E2 CigadingExist Output'!N31*$E$331</f>
        <v>0</v>
      </c>
      <c r="O331" s="58" t="n">
        <f aca="false">'E2 CigadingExist Output'!O31*$E$331</f>
        <v>0</v>
      </c>
      <c r="P331" s="58" t="n">
        <f aca="false">'E2 CigadingExist Output'!P31*$E$331</f>
        <v>0</v>
      </c>
      <c r="Q331" s="58" t="n">
        <f aca="false">'E2 CigadingExist Output'!Q31*$E$331</f>
        <v>0</v>
      </c>
      <c r="R331" s="58" t="n">
        <f aca="false">'E2 CigadingExist Output'!R31*$E$331</f>
        <v>0</v>
      </c>
      <c r="S331" s="58" t="n">
        <f aca="false">'E2 CigadingExist Output'!S31*$E$331</f>
        <v>0</v>
      </c>
    </row>
    <row r="332" customFormat="false" ht="15" hidden="false" customHeight="false" outlineLevel="0" collapsed="false">
      <c r="B332" s="77" t="s">
        <v>37</v>
      </c>
      <c r="C332" s="25" t="s">
        <v>170</v>
      </c>
      <c r="E332" s="55" t="n">
        <f aca="false">'Global Inputs'!$L$91</f>
        <v>1</v>
      </c>
      <c r="F332" s="58" t="n">
        <f aca="false">'E3 Belawan Output'!F31*$E$332</f>
        <v>-0</v>
      </c>
      <c r="G332" s="58" t="n">
        <f aca="false">'E3 Belawan Output'!G31*$E$332</f>
        <v>0</v>
      </c>
      <c r="H332" s="58" t="n">
        <f aca="false">'E3 Belawan Output'!H31*$E$332</f>
        <v>0</v>
      </c>
      <c r="I332" s="58" t="n">
        <f aca="false">'E3 Belawan Output'!I31*$E$332</f>
        <v>96.2339926558447</v>
      </c>
      <c r="J332" s="58" t="n">
        <f aca="false">'E3 Belawan Output'!J31*$E$332</f>
        <v>87.9826924440988</v>
      </c>
      <c r="K332" s="58" t="n">
        <f aca="false">'E3 Belawan Output'!K31*$E$332</f>
        <v>0</v>
      </c>
      <c r="L332" s="58" t="n">
        <f aca="false">'E3 Belawan Output'!L31*$E$332</f>
        <v>0</v>
      </c>
      <c r="M332" s="58" t="n">
        <f aca="false">'E3 Belawan Output'!M31*$E$332</f>
        <v>0</v>
      </c>
      <c r="N332" s="58" t="n">
        <f aca="false">'E3 Belawan Output'!N31*$E$332</f>
        <v>0</v>
      </c>
      <c r="O332" s="58" t="n">
        <f aca="false">'E3 Belawan Output'!O31*$E$332</f>
        <v>0</v>
      </c>
      <c r="P332" s="58" t="n">
        <f aca="false">'E3 Belawan Output'!P31*$E$332</f>
        <v>0</v>
      </c>
      <c r="Q332" s="58" t="n">
        <f aca="false">'E3 Belawan Output'!Q31*$E$332</f>
        <v>0</v>
      </c>
      <c r="R332" s="58" t="n">
        <f aca="false">'E3 Belawan Output'!R31*$E$332</f>
        <v>0</v>
      </c>
      <c r="S332" s="58" t="n">
        <f aca="false">'E3 Belawan Output'!S31*$E$332</f>
        <v>0</v>
      </c>
    </row>
    <row r="333" customFormat="false" ht="15" hidden="false" customHeight="false" outlineLevel="0" collapsed="false">
      <c r="B333" s="77" t="s">
        <v>40</v>
      </c>
      <c r="C333" s="25" t="s">
        <v>170</v>
      </c>
      <c r="E333" s="55" t="n">
        <f aca="false">'Global Inputs'!$L$92</f>
        <v>1</v>
      </c>
      <c r="F333" s="58" t="n">
        <f aca="false">'E4 WIN Output'!F31*$E$333</f>
        <v>-0</v>
      </c>
      <c r="G333" s="58" t="n">
        <f aca="false">'E4 WIN Output'!G31*$E$333</f>
        <v>0</v>
      </c>
      <c r="H333" s="58" t="n">
        <f aca="false">'E4 WIN Output'!H31*$E$333</f>
        <v>0</v>
      </c>
      <c r="I333" s="58" t="n">
        <f aca="false">'E4 WIN Output'!I31*$E$333</f>
        <v>0</v>
      </c>
      <c r="J333" s="58" t="n">
        <f aca="false">'E4 WIN Output'!J31*$E$333</f>
        <v>0</v>
      </c>
      <c r="K333" s="58" t="n">
        <f aca="false">'E4 WIN Output'!K31*$E$333</f>
        <v>0</v>
      </c>
      <c r="L333" s="58" t="n">
        <f aca="false">'E4 WIN Output'!L31*$E$333</f>
        <v>0</v>
      </c>
      <c r="M333" s="58" t="n">
        <f aca="false">'E4 WIN Output'!M31*$E$333</f>
        <v>0</v>
      </c>
      <c r="N333" s="58" t="n">
        <f aca="false">'E4 WIN Output'!N31*$E$333</f>
        <v>0</v>
      </c>
      <c r="O333" s="58" t="n">
        <f aca="false">'E4 WIN Output'!O31*$E$333</f>
        <v>0</v>
      </c>
      <c r="P333" s="58" t="n">
        <f aca="false">'E4 WIN Output'!P31*$E$333</f>
        <v>0</v>
      </c>
      <c r="Q333" s="58" t="n">
        <f aca="false">'E4 WIN Output'!Q31*$E$333</f>
        <v>0</v>
      </c>
      <c r="R333" s="58" t="n">
        <f aca="false">'E4 WIN Output'!R31*$E$333</f>
        <v>0</v>
      </c>
      <c r="S333" s="58" t="n">
        <f aca="false">'E4 WIN Output'!S31*$E$333</f>
        <v>0</v>
      </c>
    </row>
    <row r="334" customFormat="false" ht="15" hidden="false" customHeight="false" outlineLevel="0" collapsed="false">
      <c r="B334" s="77" t="s">
        <v>43</v>
      </c>
      <c r="C334" s="25" t="s">
        <v>170</v>
      </c>
      <c r="E334" s="55" t="n">
        <f aca="false">'Global Inputs'!$L$93</f>
        <v>1</v>
      </c>
      <c r="F334" s="58" t="n">
        <f aca="false">'P01 CigWharf2 Output'!F31*$E$334</f>
        <v>162.65</v>
      </c>
      <c r="G334" s="58" t="n">
        <f aca="false">'P01 CigWharf2 Output'!G31*$E$334</f>
        <v>37.4095</v>
      </c>
      <c r="H334" s="58" t="n">
        <f aca="false">'P01 CigWharf2 Output'!H31*$E$334</f>
        <v>0</v>
      </c>
      <c r="I334" s="58" t="n">
        <f aca="false">'P01 CigWharf2 Output'!I31*$E$334</f>
        <v>0</v>
      </c>
      <c r="J334" s="58" t="n">
        <f aca="false">'P01 CigWharf2 Output'!J31*$E$334</f>
        <v>0</v>
      </c>
      <c r="K334" s="58" t="n">
        <f aca="false">'P01 CigWharf2 Output'!K31*$E$334</f>
        <v>0</v>
      </c>
      <c r="L334" s="58" t="n">
        <f aca="false">'P01 CigWharf2 Output'!L31*$E$334</f>
        <v>0</v>
      </c>
      <c r="M334" s="58" t="n">
        <f aca="false">'P01 CigWharf2 Output'!M31*$E$334</f>
        <v>0</v>
      </c>
      <c r="N334" s="58" t="n">
        <f aca="false">'P01 CigWharf2 Output'!N31*$E$334</f>
        <v>0</v>
      </c>
      <c r="O334" s="58" t="n">
        <f aca="false">'P01 CigWharf2 Output'!O31*$E$334</f>
        <v>0</v>
      </c>
      <c r="P334" s="58" t="n">
        <f aca="false">'P01 CigWharf2 Output'!P31*$E$334</f>
        <v>0</v>
      </c>
      <c r="Q334" s="58" t="n">
        <f aca="false">'P01 CigWharf2 Output'!Q31*$E$334</f>
        <v>0</v>
      </c>
      <c r="R334" s="58" t="n">
        <f aca="false">'P01 CigWharf2 Output'!R31*$E$334</f>
        <v>0</v>
      </c>
      <c r="S334" s="58" t="n">
        <f aca="false">'P01 CigWharf2 Output'!S31*$E$334</f>
        <v>0</v>
      </c>
    </row>
    <row r="335" customFormat="false" ht="15" hidden="false" customHeight="false" outlineLevel="0" collapsed="false">
      <c r="B335" s="77" t="s">
        <v>46</v>
      </c>
      <c r="C335" s="25" t="s">
        <v>170</v>
      </c>
      <c r="E335" s="55" t="n">
        <f aca="false">'Global Inputs'!$L$94</f>
        <v>1</v>
      </c>
      <c r="F335" s="58" t="n">
        <f aca="false">'P02 CigConveyor Output'!F31*$E$335</f>
        <v>35.783</v>
      </c>
      <c r="G335" s="58" t="n">
        <f aca="false">'P02 CigConveyor Output'!G31*$E$335</f>
        <v>87.831</v>
      </c>
      <c r="H335" s="58" t="n">
        <f aca="false">'P02 CigConveyor Output'!H31*$E$335</f>
        <v>0</v>
      </c>
      <c r="I335" s="58" t="n">
        <f aca="false">'P02 CigConveyor Output'!I31*$E$335</f>
        <v>0</v>
      </c>
      <c r="J335" s="58" t="n">
        <f aca="false">'P02 CigConveyor Output'!J31*$E$335</f>
        <v>0</v>
      </c>
      <c r="K335" s="58" t="n">
        <f aca="false">'P02 CigConveyor Output'!K31*$E$335</f>
        <v>0</v>
      </c>
      <c r="L335" s="58" t="n">
        <f aca="false">'P02 CigConveyor Output'!L31*$E$335</f>
        <v>0</v>
      </c>
      <c r="M335" s="58" t="n">
        <f aca="false">'P02 CigConveyor Output'!M31*$E$335</f>
        <v>0</v>
      </c>
      <c r="N335" s="58" t="n">
        <f aca="false">'P02 CigConveyor Output'!N31*$E$335</f>
        <v>0</v>
      </c>
      <c r="O335" s="58" t="n">
        <f aca="false">'P02 CigConveyor Output'!O31*$E$335</f>
        <v>0</v>
      </c>
      <c r="P335" s="58" t="n">
        <f aca="false">'P02 CigConveyor Output'!P31*$E$335</f>
        <v>0</v>
      </c>
      <c r="Q335" s="58" t="n">
        <f aca="false">'P02 CigConveyor Output'!Q31*$E$335</f>
        <v>0</v>
      </c>
      <c r="R335" s="58" t="n">
        <f aca="false">'P02 CigConveyor Output'!R31*$E$335</f>
        <v>0</v>
      </c>
      <c r="S335" s="58" t="n">
        <f aca="false">'P02 CigConveyor Output'!S31*$E$335</f>
        <v>0</v>
      </c>
    </row>
    <row r="336" customFormat="false" ht="15" hidden="false" customHeight="false" outlineLevel="0" collapsed="false">
      <c r="B336" s="77" t="s">
        <v>48</v>
      </c>
      <c r="C336" s="25" t="s">
        <v>170</v>
      </c>
      <c r="E336" s="55" t="n">
        <f aca="false">'Global Inputs'!$L$95</f>
        <v>1</v>
      </c>
      <c r="F336" s="58" t="n">
        <f aca="false">'P03 KBSWarehouse Output'!F31*$E$336</f>
        <v>-0</v>
      </c>
      <c r="G336" s="58" t="n">
        <f aca="false">'P03 KBSWarehouse Output'!G31*$E$336</f>
        <v>-0</v>
      </c>
      <c r="H336" s="58" t="n">
        <f aca="false">'P03 KBSWarehouse Output'!H31*$E$336</f>
        <v>-0</v>
      </c>
      <c r="I336" s="58" t="n">
        <f aca="false">'P03 KBSWarehouse Output'!I31*$E$336</f>
        <v>97.98995635</v>
      </c>
      <c r="J336" s="58" t="n">
        <f aca="false">'P03 KBSWarehouse Output'!J31*$E$336</f>
        <v>0</v>
      </c>
      <c r="K336" s="58" t="n">
        <f aca="false">'P03 KBSWarehouse Output'!K31*$E$336</f>
        <v>0</v>
      </c>
      <c r="L336" s="58" t="n">
        <f aca="false">'P03 KBSWarehouse Output'!L31*$E$336</f>
        <v>0</v>
      </c>
      <c r="M336" s="58" t="n">
        <f aca="false">'P03 KBSWarehouse Output'!M31*$E$336</f>
        <v>0</v>
      </c>
      <c r="N336" s="58" t="n">
        <f aca="false">'P03 KBSWarehouse Output'!N31*$E$336</f>
        <v>0</v>
      </c>
      <c r="O336" s="58" t="n">
        <f aca="false">'P03 KBSWarehouse Output'!O31*$E$336</f>
        <v>0</v>
      </c>
      <c r="P336" s="58" t="n">
        <f aca="false">'P03 KBSWarehouse Output'!P31*$E$336</f>
        <v>0</v>
      </c>
      <c r="Q336" s="58" t="n">
        <f aca="false">'P03 KBSWarehouse Output'!Q31*$E$336</f>
        <v>0</v>
      </c>
      <c r="R336" s="58" t="n">
        <f aca="false">'P03 KBSWarehouse Output'!R31*$E$336</f>
        <v>0</v>
      </c>
      <c r="S336" s="58" t="n">
        <f aca="false">'P03 KBSWarehouse Output'!S31*$E$336</f>
        <v>0</v>
      </c>
    </row>
    <row r="337" customFormat="false" ht="15" hidden="false" customHeight="false" outlineLevel="0" collapsed="false">
      <c r="B337" s="77" t="s">
        <v>51</v>
      </c>
      <c r="C337" s="25" t="s">
        <v>170</v>
      </c>
      <c r="E337" s="55" t="n">
        <f aca="false">'Global Inputs'!$L$96</f>
        <v>1</v>
      </c>
      <c r="F337" s="58" t="n">
        <f aca="false">'P04 TTLSilo Output'!F31*$E$337</f>
        <v>-0</v>
      </c>
      <c r="G337" s="58" t="n">
        <f aca="false">'P04 TTLSilo Output'!G31*$E$337</f>
        <v>-0</v>
      </c>
      <c r="H337" s="58" t="n">
        <f aca="false">'P04 TTLSilo Output'!H31*$E$337</f>
        <v>-0</v>
      </c>
      <c r="I337" s="58" t="n">
        <f aca="false">'P04 TTLSilo Output'!I31*$E$337</f>
        <v>61.1938095</v>
      </c>
      <c r="J337" s="58" t="n">
        <f aca="false">'P04 TTLSilo Output'!J31*$E$337</f>
        <v>0</v>
      </c>
      <c r="K337" s="58" t="n">
        <f aca="false">'P04 TTLSilo Output'!K31*$E$337</f>
        <v>0</v>
      </c>
      <c r="L337" s="58" t="n">
        <f aca="false">'P04 TTLSilo Output'!L31*$E$337</f>
        <v>0</v>
      </c>
      <c r="M337" s="58" t="n">
        <f aca="false">'P04 TTLSilo Output'!M31*$E$337</f>
        <v>0</v>
      </c>
      <c r="N337" s="58" t="n">
        <f aca="false">'P04 TTLSilo Output'!N31*$E$337</f>
        <v>0</v>
      </c>
      <c r="O337" s="58" t="n">
        <f aca="false">'P04 TTLSilo Output'!O31*$E$337</f>
        <v>0</v>
      </c>
      <c r="P337" s="58" t="n">
        <f aca="false">'P04 TTLSilo Output'!P31*$E$337</f>
        <v>0</v>
      </c>
      <c r="Q337" s="58" t="n">
        <f aca="false">'P04 TTLSilo Output'!Q31*$E$337</f>
        <v>0</v>
      </c>
      <c r="R337" s="58" t="n">
        <f aca="false">'P04 TTLSilo Output'!R31*$E$337</f>
        <v>0</v>
      </c>
      <c r="S337" s="58" t="n">
        <f aca="false">'P04 TTLSilo Output'!S31*$E$337</f>
        <v>0</v>
      </c>
    </row>
    <row r="338" customFormat="false" ht="15" hidden="false" customHeight="false" outlineLevel="0" collapsed="false">
      <c r="B338" s="77" t="s">
        <v>54</v>
      </c>
      <c r="C338" s="25" t="s">
        <v>170</v>
      </c>
      <c r="E338" s="55" t="n">
        <f aca="false">'Global Inputs'!$L$97</f>
        <v>1</v>
      </c>
      <c r="F338" s="58" t="n">
        <f aca="false">'P05 Dumai Output'!F31*$E$338</f>
        <v>-0</v>
      </c>
      <c r="G338" s="58" t="n">
        <f aca="false">'P05 Dumai Output'!G31*$E$338</f>
        <v>-0</v>
      </c>
      <c r="H338" s="58" t="n">
        <f aca="false">'P05 Dumai Output'!H31*$E$338</f>
        <v>-0</v>
      </c>
      <c r="I338" s="58" t="n">
        <f aca="false">'P05 Dumai Output'!I31*$E$338</f>
        <v>89.4589934275323</v>
      </c>
      <c r="J338" s="58" t="n">
        <f aca="false">'P05 Dumai Output'!J31*$E$338</f>
        <v>0</v>
      </c>
      <c r="K338" s="58" t="n">
        <f aca="false">'P05 Dumai Output'!K31*$E$338</f>
        <v>0</v>
      </c>
      <c r="L338" s="58" t="n">
        <f aca="false">'P05 Dumai Output'!L31*$E$338</f>
        <v>0</v>
      </c>
      <c r="M338" s="58" t="n">
        <f aca="false">'P05 Dumai Output'!M31*$E$338</f>
        <v>0</v>
      </c>
      <c r="N338" s="58" t="n">
        <f aca="false">'P05 Dumai Output'!N31*$E$338</f>
        <v>0</v>
      </c>
      <c r="O338" s="58" t="n">
        <f aca="false">'P05 Dumai Output'!O31*$E$338</f>
        <v>0</v>
      </c>
      <c r="P338" s="58" t="n">
        <f aca="false">'P05 Dumai Output'!P31*$E$338</f>
        <v>0</v>
      </c>
      <c r="Q338" s="58" t="n">
        <f aca="false">'P05 Dumai Output'!Q31*$E$338</f>
        <v>0</v>
      </c>
      <c r="R338" s="58" t="n">
        <f aca="false">'P05 Dumai Output'!R31*$E$338</f>
        <v>0</v>
      </c>
      <c r="S338" s="58" t="n">
        <f aca="false">'P05 Dumai Output'!S31*$E$338</f>
        <v>0</v>
      </c>
    </row>
    <row r="339" customFormat="false" ht="15" hidden="false" customHeight="false" outlineLevel="0" collapsed="false">
      <c r="B339" s="77" t="s">
        <v>57</v>
      </c>
      <c r="C339" s="25" t="s">
        <v>170</v>
      </c>
      <c r="E339" s="55" t="n">
        <f aca="false">'Global Inputs'!$L$98</f>
        <v>1</v>
      </c>
      <c r="F339" s="58" t="n">
        <f aca="false">'P06 Ciwandan Output'!F31*$E$339</f>
        <v>-0</v>
      </c>
      <c r="G339" s="58" t="n">
        <f aca="false">'P06 Ciwandan Output'!G31*$E$339</f>
        <v>-0</v>
      </c>
      <c r="H339" s="58" t="n">
        <f aca="false">'P06 Ciwandan Output'!H31*$E$339</f>
        <v>-0</v>
      </c>
      <c r="I339" s="58" t="n">
        <f aca="false">'P06 Ciwandan Output'!I31*$E$339</f>
        <v>40.8625</v>
      </c>
      <c r="J339" s="58" t="n">
        <f aca="false">'P06 Ciwandan Output'!J31*$E$339</f>
        <v>40.8625</v>
      </c>
      <c r="K339" s="58" t="n">
        <f aca="false">'P06 Ciwandan Output'!K31*$E$339</f>
        <v>0</v>
      </c>
      <c r="L339" s="58" t="n">
        <f aca="false">'P06 Ciwandan Output'!L31*$E$339</f>
        <v>0</v>
      </c>
      <c r="M339" s="58" t="n">
        <f aca="false">'P06 Ciwandan Output'!M31*$E$339</f>
        <v>0</v>
      </c>
      <c r="N339" s="58" t="n">
        <f aca="false">'P06 Ciwandan Output'!N31*$E$339</f>
        <v>0</v>
      </c>
      <c r="O339" s="58" t="n">
        <f aca="false">'P06 Ciwandan Output'!O31*$E$339</f>
        <v>0</v>
      </c>
      <c r="P339" s="58" t="n">
        <f aca="false">'P06 Ciwandan Output'!P31*$E$339</f>
        <v>0</v>
      </c>
      <c r="Q339" s="58" t="n">
        <f aca="false">'P06 Ciwandan Output'!Q31*$E$339</f>
        <v>0</v>
      </c>
      <c r="R339" s="58" t="n">
        <f aca="false">'P06 Ciwandan Output'!R31*$E$339</f>
        <v>0</v>
      </c>
      <c r="S339" s="58" t="n">
        <f aca="false">'P06 Ciwandan Output'!S31*$E$339</f>
        <v>0</v>
      </c>
    </row>
    <row r="340" customFormat="false" ht="15" hidden="false" customHeight="false" outlineLevel="0" collapsed="false">
      <c r="B340" s="77" t="s">
        <v>60</v>
      </c>
      <c r="C340" s="25" t="s">
        <v>170</v>
      </c>
      <c r="E340" s="55" t="n">
        <f aca="false">'Global Inputs'!$L$99</f>
        <v>1</v>
      </c>
      <c r="F340" s="58" t="n">
        <f aca="false">'P08 DMSTrucking Output'!F31*$E$340</f>
        <v>-0</v>
      </c>
      <c r="G340" s="58" t="n">
        <f aca="false">'P08 DMSTrucking Output'!G31*$E$340</f>
        <v>-0</v>
      </c>
      <c r="H340" s="58" t="n">
        <f aca="false">'P08 DMSTrucking Output'!H31*$E$340</f>
        <v>-0</v>
      </c>
      <c r="I340" s="58" t="n">
        <f aca="false">'P08 DMSTrucking Output'!I31*$E$340</f>
        <v>-0</v>
      </c>
      <c r="J340" s="58" t="n">
        <f aca="false">'P08 DMSTrucking Output'!J31*$E$340</f>
        <v>0</v>
      </c>
      <c r="K340" s="58" t="n">
        <f aca="false">'P08 DMSTrucking Output'!K31*$E$340</f>
        <v>0</v>
      </c>
      <c r="L340" s="58" t="n">
        <f aca="false">'P08 DMSTrucking Output'!L31*$E$340</f>
        <v>0</v>
      </c>
      <c r="M340" s="58" t="n">
        <f aca="false">'P08 DMSTrucking Output'!M31*$E$340</f>
        <v>0</v>
      </c>
      <c r="N340" s="58" t="n">
        <f aca="false">'P08 DMSTrucking Output'!N31*$E$340</f>
        <v>0</v>
      </c>
      <c r="O340" s="58" t="n">
        <f aca="false">'P08 DMSTrucking Output'!O31*$E$340</f>
        <v>0</v>
      </c>
      <c r="P340" s="58" t="n">
        <f aca="false">'P08 DMSTrucking Output'!P31*$E$340</f>
        <v>0</v>
      </c>
      <c r="Q340" s="58" t="n">
        <f aca="false">'P08 DMSTrucking Output'!Q31*$E$340</f>
        <v>0</v>
      </c>
      <c r="R340" s="58" t="n">
        <f aca="false">'P08 DMSTrucking Output'!R31*$E$340</f>
        <v>0</v>
      </c>
      <c r="S340" s="58" t="n">
        <f aca="false">'P08 DMSTrucking Output'!S31*$E$340</f>
        <v>0</v>
      </c>
    </row>
    <row r="341" customFormat="false" ht="15" hidden="false" customHeight="false" outlineLevel="0" collapsed="false">
      <c r="B341" s="77" t="s">
        <v>63</v>
      </c>
      <c r="C341" s="25" t="s">
        <v>170</v>
      </c>
      <c r="E341" s="55" t="n">
        <f aca="false">'Global Inputs'!$L$100</f>
        <v>1</v>
      </c>
      <c r="F341" s="58" t="n">
        <f aca="false">'P12 BUMNOps Output'!F31*$E$341</f>
        <v>-0</v>
      </c>
      <c r="G341" s="58" t="n">
        <f aca="false">'P12 BUMNOps Output'!G31*$E$341</f>
        <v>-0</v>
      </c>
      <c r="H341" s="58" t="n">
        <f aca="false">'P12 BUMNOps Output'!H31*$E$341</f>
        <v>-0</v>
      </c>
      <c r="I341" s="58" t="n">
        <f aca="false">'P12 BUMNOps Output'!I31*$E$341</f>
        <v>0</v>
      </c>
      <c r="J341" s="58" t="n">
        <f aca="false">'P12 BUMNOps Output'!J31*$E$341</f>
        <v>0</v>
      </c>
      <c r="K341" s="58" t="n">
        <f aca="false">'P12 BUMNOps Output'!K31*$E$341</f>
        <v>0</v>
      </c>
      <c r="L341" s="58" t="n">
        <f aca="false">'P12 BUMNOps Output'!L31*$E$341</f>
        <v>0</v>
      </c>
      <c r="M341" s="58" t="n">
        <f aca="false">'P12 BUMNOps Output'!M31*$E$341</f>
        <v>0</v>
      </c>
      <c r="N341" s="58" t="n">
        <f aca="false">'P12 BUMNOps Output'!N31*$E$341</f>
        <v>0</v>
      </c>
      <c r="O341" s="58" t="n">
        <f aca="false">'P12 BUMNOps Output'!O31*$E$341</f>
        <v>0</v>
      </c>
      <c r="P341" s="58" t="n">
        <f aca="false">'P12 BUMNOps Output'!P31*$E$341</f>
        <v>0</v>
      </c>
      <c r="Q341" s="58" t="n">
        <f aca="false">'P12 BUMNOps Output'!Q31*$E$341</f>
        <v>0</v>
      </c>
      <c r="R341" s="58" t="n">
        <f aca="false">'P12 BUMNOps Output'!R31*$E$341</f>
        <v>0</v>
      </c>
      <c r="S341" s="58" t="n">
        <f aca="false">'P12 BUMNOps Output'!S31*$E$341</f>
        <v>0</v>
      </c>
    </row>
    <row r="342" customFormat="false" ht="15" hidden="false" customHeight="false" outlineLevel="0" collapsed="false">
      <c r="B342" s="77" t="s">
        <v>66</v>
      </c>
      <c r="C342" s="25" t="s">
        <v>170</v>
      </c>
      <c r="E342" s="55" t="n">
        <f aca="false">'Global Inputs'!$L$101</f>
        <v>0</v>
      </c>
      <c r="F342" s="58" t="n">
        <f aca="false">'P15 TBM Output'!F31*$E$342</f>
        <v>-0</v>
      </c>
      <c r="G342" s="58" t="n">
        <f aca="false">'P15 TBM Output'!G31*$E$342</f>
        <v>-0</v>
      </c>
      <c r="H342" s="58" t="n">
        <f aca="false">'P15 TBM Output'!H31*$E$342</f>
        <v>0</v>
      </c>
      <c r="I342" s="58" t="n">
        <f aca="false">'P15 TBM Output'!I31*$E$342</f>
        <v>0</v>
      </c>
      <c r="J342" s="58" t="n">
        <f aca="false">'P15 TBM Output'!J31*$E$342</f>
        <v>-0</v>
      </c>
      <c r="K342" s="58" t="n">
        <f aca="false">'P15 TBM Output'!K31*$E$342</f>
        <v>-0</v>
      </c>
      <c r="L342" s="58" t="n">
        <f aca="false">'P15 TBM Output'!L31*$E$342</f>
        <v>0</v>
      </c>
      <c r="M342" s="58" t="n">
        <f aca="false">'P15 TBM Output'!M31*$E$342</f>
        <v>0</v>
      </c>
      <c r="N342" s="58" t="n">
        <f aca="false">'P15 TBM Output'!N31*$E$342</f>
        <v>0</v>
      </c>
      <c r="O342" s="58" t="n">
        <f aca="false">'P15 TBM Output'!O31*$E$342</f>
        <v>0</v>
      </c>
      <c r="P342" s="58" t="n">
        <f aca="false">'P15 TBM Output'!P31*$E$342</f>
        <v>0</v>
      </c>
      <c r="Q342" s="58" t="n">
        <f aca="false">'P15 TBM Output'!Q31*$E$342</f>
        <v>0</v>
      </c>
      <c r="R342" s="58" t="n">
        <f aca="false">'P15 TBM Output'!R31*$E$342</f>
        <v>0</v>
      </c>
      <c r="S342" s="58" t="n">
        <f aca="false">'P15 TBM Output'!S31*$E$342</f>
        <v>0</v>
      </c>
    </row>
    <row r="343" customFormat="false" ht="15" hidden="false" customHeight="false" outlineLevel="0" collapsed="false">
      <c r="B343" s="77" t="s">
        <v>69</v>
      </c>
      <c r="C343" s="25" t="s">
        <v>170</v>
      </c>
      <c r="E343" s="55" t="n">
        <f aca="false">'Global Inputs'!$L$102</f>
        <v>0</v>
      </c>
      <c r="F343" s="58" t="n">
        <f aca="false">'P19 Badas Output'!F31*$E$343</f>
        <v>-0</v>
      </c>
      <c r="G343" s="58" t="n">
        <f aca="false">'P19 Badas Output'!G31*$E$343</f>
        <v>-0</v>
      </c>
      <c r="H343" s="58" t="n">
        <f aca="false">'P19 Badas Output'!H31*$E$343</f>
        <v>-0</v>
      </c>
      <c r="I343" s="58" t="n">
        <f aca="false">'P19 Badas Output'!I31*$E$343</f>
        <v>-0</v>
      </c>
      <c r="J343" s="58" t="n">
        <f aca="false">'P19 Badas Output'!J31*$E$343</f>
        <v>0</v>
      </c>
      <c r="K343" s="58" t="n">
        <f aca="false">'P19 Badas Output'!K31*$E$343</f>
        <v>0</v>
      </c>
      <c r="L343" s="58" t="n">
        <f aca="false">'P19 Badas Output'!L31*$E$343</f>
        <v>0</v>
      </c>
      <c r="M343" s="58" t="n">
        <f aca="false">'P19 Badas Output'!M31*$E$343</f>
        <v>0</v>
      </c>
      <c r="N343" s="58" t="n">
        <f aca="false">'P19 Badas Output'!N31*$E$343</f>
        <v>0</v>
      </c>
      <c r="O343" s="58" t="n">
        <f aca="false">'P19 Badas Output'!O31*$E$343</f>
        <v>0</v>
      </c>
      <c r="P343" s="58" t="n">
        <f aca="false">'P19 Badas Output'!P31*$E$343</f>
        <v>0</v>
      </c>
      <c r="Q343" s="58" t="n">
        <f aca="false">'P19 Badas Output'!Q31*$E$343</f>
        <v>0</v>
      </c>
      <c r="R343" s="58" t="n">
        <f aca="false">'P19 Badas Output'!R31*$E$343</f>
        <v>0</v>
      </c>
      <c r="S343" s="58" t="n">
        <f aca="false">'P19 Badas Output'!S31*$E$343</f>
        <v>0</v>
      </c>
    </row>
    <row r="344" customFormat="false" ht="15" hidden="false" customHeight="false" outlineLevel="0" collapsed="false">
      <c r="B344" s="69" t="s">
        <v>473</v>
      </c>
      <c r="C344" s="25" t="s">
        <v>170</v>
      </c>
      <c r="E344" s="70" t="n">
        <f aca="false">SUM(F344:S344)</f>
        <v>838.257944377476</v>
      </c>
      <c r="F344" s="68" t="n">
        <f aca="false">F330+F331+F332+F333+F334+F335+F336+F337+F338+F339+F340+F341+F342+F343</f>
        <v>198.433</v>
      </c>
      <c r="G344" s="68" t="n">
        <f aca="false">G330+G331+G332+G333+G334+G335+G336+G337+G338+G339+G340+G341+G342+G343</f>
        <v>125.2405</v>
      </c>
      <c r="H344" s="68" t="n">
        <f aca="false">H330+H331+H332+H333+H334+H335+H336+H337+H338+H339+H340+H341+H342+H343</f>
        <v>0</v>
      </c>
      <c r="I344" s="68" t="n">
        <f aca="false">I330+I331+I332+I333+I334+I335+I336+I337+I338+I339+I340+I341+I342+I343</f>
        <v>385.739251933377</v>
      </c>
      <c r="J344" s="68" t="n">
        <f aca="false">J330+J331+J332+J333+J334+J335+J336+J337+J338+J339+J340+J341+J342+J343</f>
        <v>128.845192444099</v>
      </c>
      <c r="K344" s="68" t="n">
        <f aca="false">K330+K331+K332+K333+K334+K335+K336+K337+K338+K339+K340+K341+K342+K343</f>
        <v>0</v>
      </c>
      <c r="L344" s="68" t="n">
        <f aca="false">L330+L331+L332+L333+L334+L335+L336+L337+L338+L339+L340+L341+L342+L343</f>
        <v>0</v>
      </c>
      <c r="M344" s="68" t="n">
        <f aca="false">M330+M331+M332+M333+M334+M335+M336+M337+M338+M339+M340+M341+M342+M343</f>
        <v>0</v>
      </c>
      <c r="N344" s="68" t="n">
        <f aca="false">N330+N331+N332+N333+N334+N335+N336+N337+N338+N339+N340+N341+N342+N343</f>
        <v>0</v>
      </c>
      <c r="O344" s="68" t="n">
        <f aca="false">O330+O331+O332+O333+O334+O335+O336+O337+O338+O339+O340+O341+O342+O343</f>
        <v>0</v>
      </c>
      <c r="P344" s="68" t="n">
        <f aca="false">P330+P331+P332+P333+P334+P335+P336+P337+P338+P339+P340+P341+P342+P343</f>
        <v>0</v>
      </c>
      <c r="Q344" s="68" t="n">
        <f aca="false">Q330+Q331+Q332+Q333+Q334+Q335+Q336+Q337+Q338+Q339+Q340+Q341+Q342+Q343</f>
        <v>0</v>
      </c>
      <c r="R344" s="68" t="n">
        <f aca="false">R330+R331+R332+R333+R334+R335+R336+R337+R338+R339+R340+R341+R342+R343</f>
        <v>0</v>
      </c>
      <c r="S344" s="68" t="n">
        <f aca="false">S330+S331+S332+S333+S334+S335+S336+S337+S338+S339+S340+S341+S342+S343</f>
        <v>0</v>
      </c>
    </row>
  </sheetData>
  <hyperlinks>
    <hyperlink ref="C3" r:id="rId1" location="'Navigation'!A1" display="Navigation"/>
    <hyperlink ref="D3" r:id="rId2" location="'Global%20Inputs'!A1" display="Global Inputs"/>
    <hyperlink ref="E3" r:id="rId3" location="'Project%20Summary'!A1" display="Project Summary"/>
    <hyperlink ref="F3" r:id="rId4" location="'Funding%20Requirement'!A1" display="Funding"/>
    <hyperlink ref="G3" r:id="rId5" location="'FSL%20Financials%20—%20Without%20BUMN'!A1" display="FSL w/o BUMN"/>
    <hyperlink ref="H3" r:id="rId6" location="'FSL%20Financials%20—%20With%20BUMN'!A1" display="FSL w/ BUMN"/>
    <hyperlink ref="I3" r:id="rId7" location="'Valuation%20—%20Without%20BUMN'!A1" display="Val w/o BUMN"/>
    <hyperlink ref="J3" r:id="rId8" location="'Valuation%20—%20With%20BUMN'!A1" display="Val w/ BUMN"/>
    <hyperlink ref="K3" r:id="rId9" location="'Checks'!A1" display="Checks"/>
    <hyperlink ref="L3" r:id="rId10" location="'Model%20Flow'!A1" display="Model Flow"/>
  </hyperlink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0000"/>
    <pageSetUpPr fitToPage="true"/>
  </sheetPr>
  <dimension ref="B1:U13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5" ySplit="9" topLeftCell="F10" activePane="bottomRight" state="frozen"/>
      <selection pane="topLeft" activeCell="A1" activeCellId="0" sqref="A1"/>
      <selection pane="topRight" activeCell="F1" activeCellId="0" sqref="F1"/>
      <selection pane="bottomLeft" activeCell="A10" activeCellId="0" sqref="A10"/>
      <selection pane="bottomRigh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66"/>
    <col collapsed="false" customWidth="true" hidden="false" outlineLevel="0" max="3" min="3" style="0" width="11"/>
    <col collapsed="false" customWidth="true" hidden="false" outlineLevel="0" max="4" min="4" style="0" width="12"/>
    <col collapsed="false" customWidth="true" hidden="false" outlineLevel="0" max="5" min="5" style="0" width="13"/>
    <col collapsed="false" customWidth="true" hidden="false" outlineLevel="0" max="19" min="6" style="0" width="11.5"/>
    <col collapsed="false" customWidth="true" hidden="false" outlineLevel="0" max="20" min="20" style="0" width="40"/>
    <col collapsed="false" customWidth="true" hidden="false" outlineLevel="0" max="21" min="21" style="0" width="48"/>
  </cols>
  <sheetData>
    <row r="1" customFormat="false" ht="21.75" hidden="false" customHeight="true" outlineLevel="0" collapsed="false">
      <c r="B1" s="1" t="s">
        <v>479</v>
      </c>
    </row>
    <row r="2" customFormat="false" ht="15" hidden="false" customHeight="false" outlineLevel="0" collapsed="false">
      <c r="B2" s="2" t="s">
        <v>480</v>
      </c>
    </row>
    <row r="3" customFormat="false" ht="15" hidden="false" customHeight="false" outlineLevel="0" collapsed="false">
      <c r="B3" s="5" t="s">
        <v>112</v>
      </c>
      <c r="C3" s="17" t="s">
        <v>113</v>
      </c>
      <c r="D3" s="17" t="s">
        <v>5</v>
      </c>
      <c r="E3" s="17" t="s">
        <v>7</v>
      </c>
      <c r="F3" s="17" t="s">
        <v>114</v>
      </c>
      <c r="G3" s="17" t="s">
        <v>115</v>
      </c>
      <c r="H3" s="17" t="s">
        <v>116</v>
      </c>
      <c r="I3" s="17" t="s">
        <v>117</v>
      </c>
      <c r="J3" s="17" t="s">
        <v>118</v>
      </c>
      <c r="K3" s="17" t="s">
        <v>21</v>
      </c>
      <c r="L3" s="17" t="s">
        <v>3</v>
      </c>
    </row>
    <row r="5" customFormat="false" ht="15" hidden="false" customHeight="false" outlineLevel="0" collapsed="false">
      <c r="B5" s="6" t="s">
        <v>119</v>
      </c>
      <c r="C5" s="6" t="s">
        <v>120</v>
      </c>
      <c r="D5" s="6" t="s">
        <v>121</v>
      </c>
      <c r="E5" s="6" t="s">
        <v>122</v>
      </c>
      <c r="F5" s="18" t="n">
        <f aca="false">'Global Inputs'!F$5</f>
        <v>2023</v>
      </c>
      <c r="G5" s="18" t="n">
        <f aca="false">'Global Inputs'!G$5</f>
        <v>2024</v>
      </c>
      <c r="H5" s="18" t="n">
        <f aca="false">'Global Inputs'!H$5</f>
        <v>2025</v>
      </c>
      <c r="I5" s="18" t="n">
        <f aca="false">'Global Inputs'!I$5</f>
        <v>2026</v>
      </c>
      <c r="J5" s="18" t="n">
        <f aca="false">'Global Inputs'!J$5</f>
        <v>2027</v>
      </c>
      <c r="K5" s="18" t="n">
        <f aca="false">'Global Inputs'!K$5</f>
        <v>2028</v>
      </c>
      <c r="L5" s="18" t="n">
        <f aca="false">'Global Inputs'!L$5</f>
        <v>2029</v>
      </c>
      <c r="M5" s="18" t="n">
        <f aca="false">'Global Inputs'!M$5</f>
        <v>2030</v>
      </c>
      <c r="N5" s="18" t="n">
        <f aca="false">'Global Inputs'!N$5</f>
        <v>2031</v>
      </c>
      <c r="O5" s="18" t="n">
        <f aca="false">'Global Inputs'!O$5</f>
        <v>2032</v>
      </c>
      <c r="P5" s="18" t="n">
        <f aca="false">'Global Inputs'!P$5</f>
        <v>2033</v>
      </c>
      <c r="Q5" s="18" t="n">
        <f aca="false">'Global Inputs'!Q$5</f>
        <v>2034</v>
      </c>
      <c r="R5" s="18" t="n">
        <f aca="false">'Global Inputs'!R$5</f>
        <v>2035</v>
      </c>
      <c r="S5" s="18" t="n">
        <f aca="false">'Global Inputs'!S$5</f>
        <v>2036</v>
      </c>
      <c r="T5" s="6" t="s">
        <v>123</v>
      </c>
      <c r="U5" s="6" t="s">
        <v>124</v>
      </c>
    </row>
    <row r="6" customFormat="false" ht="15" hidden="false" customHeight="false" outlineLevel="0" collapsed="false">
      <c r="B6" s="19" t="s">
        <v>125</v>
      </c>
      <c r="F6" s="20" t="n">
        <f aca="false">'Global Inputs'!F$6</f>
        <v>45291</v>
      </c>
      <c r="G6" s="20" t="n">
        <f aca="false">'Global Inputs'!G$6</f>
        <v>45657</v>
      </c>
      <c r="H6" s="20" t="n">
        <f aca="false">'Global Inputs'!H$6</f>
        <v>46022</v>
      </c>
      <c r="I6" s="20" t="n">
        <f aca="false">'Global Inputs'!I$6</f>
        <v>46387</v>
      </c>
      <c r="J6" s="20" t="n">
        <f aca="false">'Global Inputs'!J$6</f>
        <v>46752</v>
      </c>
      <c r="K6" s="20" t="n">
        <f aca="false">'Global Inputs'!K$6</f>
        <v>47118</v>
      </c>
      <c r="L6" s="20" t="n">
        <f aca="false">'Global Inputs'!L$6</f>
        <v>47483</v>
      </c>
      <c r="M6" s="20" t="n">
        <f aca="false">'Global Inputs'!M$6</f>
        <v>47848</v>
      </c>
      <c r="N6" s="20" t="n">
        <f aca="false">'Global Inputs'!N$6</f>
        <v>48213</v>
      </c>
      <c r="O6" s="20" t="n">
        <f aca="false">'Global Inputs'!O$6</f>
        <v>48579</v>
      </c>
      <c r="P6" s="20" t="n">
        <f aca="false">'Global Inputs'!P$6</f>
        <v>48944</v>
      </c>
      <c r="Q6" s="20" t="n">
        <f aca="false">'Global Inputs'!Q$6</f>
        <v>49309</v>
      </c>
      <c r="R6" s="20" t="n">
        <f aca="false">'Global Inputs'!R$6</f>
        <v>49674</v>
      </c>
      <c r="S6" s="20" t="n">
        <f aca="false">'Global Inputs'!S$6</f>
        <v>50040</v>
      </c>
    </row>
    <row r="7" customFormat="false" ht="15" hidden="false" customHeight="false" outlineLevel="0" collapsed="false">
      <c r="B7" s="19" t="s">
        <v>126</v>
      </c>
      <c r="F7" s="21" t="n">
        <f aca="false">'Global Inputs'!F$7</f>
        <v>365</v>
      </c>
      <c r="G7" s="21" t="n">
        <f aca="false">'Global Inputs'!G$7</f>
        <v>366</v>
      </c>
      <c r="H7" s="21" t="n">
        <f aca="false">'Global Inputs'!H$7</f>
        <v>365</v>
      </c>
      <c r="I7" s="21" t="n">
        <f aca="false">'Global Inputs'!I$7</f>
        <v>365</v>
      </c>
      <c r="J7" s="21" t="n">
        <f aca="false">'Global Inputs'!J$7</f>
        <v>365</v>
      </c>
      <c r="K7" s="21" t="n">
        <f aca="false">'Global Inputs'!K$7</f>
        <v>366</v>
      </c>
      <c r="L7" s="21" t="n">
        <f aca="false">'Global Inputs'!L$7</f>
        <v>365</v>
      </c>
      <c r="M7" s="21" t="n">
        <f aca="false">'Global Inputs'!M$7</f>
        <v>365</v>
      </c>
      <c r="N7" s="21" t="n">
        <f aca="false">'Global Inputs'!N$7</f>
        <v>365</v>
      </c>
      <c r="O7" s="21" t="n">
        <f aca="false">'Global Inputs'!O$7</f>
        <v>366</v>
      </c>
      <c r="P7" s="21" t="n">
        <f aca="false">'Global Inputs'!P$7</f>
        <v>365</v>
      </c>
      <c r="Q7" s="21" t="n">
        <f aca="false">'Global Inputs'!Q$7</f>
        <v>365</v>
      </c>
      <c r="R7" s="21" t="n">
        <f aca="false">'Global Inputs'!R$7</f>
        <v>365</v>
      </c>
      <c r="S7" s="21" t="n">
        <f aca="false">'Global Inputs'!S$7</f>
        <v>366</v>
      </c>
    </row>
    <row r="8" customFormat="false" ht="15" hidden="false" customHeight="false" outlineLevel="0" collapsed="false">
      <c r="B8" s="19" t="s">
        <v>127</v>
      </c>
      <c r="F8" s="21" t="n">
        <f aca="false">'Global Inputs'!F$8</f>
        <v>0</v>
      </c>
      <c r="G8" s="21" t="n">
        <f aca="false">'Global Inputs'!G$8</f>
        <v>1</v>
      </c>
      <c r="H8" s="21" t="n">
        <f aca="false">'Global Inputs'!H$8</f>
        <v>1</v>
      </c>
      <c r="I8" s="21" t="n">
        <f aca="false">'Global Inputs'!I$8</f>
        <v>1</v>
      </c>
      <c r="J8" s="21" t="n">
        <f aca="false">'Global Inputs'!J$8</f>
        <v>1</v>
      </c>
      <c r="K8" s="21" t="n">
        <f aca="false">'Global Inputs'!K$8</f>
        <v>1</v>
      </c>
      <c r="L8" s="21" t="n">
        <f aca="false">'Global Inputs'!L$8</f>
        <v>1</v>
      </c>
      <c r="M8" s="21" t="n">
        <f aca="false">'Global Inputs'!M$8</f>
        <v>1</v>
      </c>
      <c r="N8" s="21" t="n">
        <f aca="false">'Global Inputs'!N$8</f>
        <v>1</v>
      </c>
      <c r="O8" s="21" t="n">
        <f aca="false">'Global Inputs'!O$8</f>
        <v>1</v>
      </c>
      <c r="P8" s="21" t="n">
        <f aca="false">'Global Inputs'!P$8</f>
        <v>1</v>
      </c>
      <c r="Q8" s="21" t="n">
        <f aca="false">'Global Inputs'!Q$8</f>
        <v>1</v>
      </c>
      <c r="R8" s="21" t="n">
        <f aca="false">'Global Inputs'!R$8</f>
        <v>1</v>
      </c>
      <c r="S8" s="21" t="n">
        <f aca="false">'Global Inputs'!S$8</f>
        <v>1</v>
      </c>
    </row>
    <row r="10" customFormat="false" ht="15" hidden="false" customHeight="false" outlineLevel="0" collapsed="false">
      <c r="B10" s="22" t="s">
        <v>481</v>
      </c>
      <c r="C10" s="23"/>
      <c r="D10" s="23"/>
      <c r="E10" s="23"/>
      <c r="F10" s="23"/>
      <c r="G10" s="23"/>
      <c r="H10" s="23"/>
      <c r="I10" s="23"/>
      <c r="J10" s="23"/>
      <c r="K10" s="23"/>
      <c r="L10" s="23"/>
      <c r="M10" s="23"/>
      <c r="N10" s="23"/>
      <c r="O10" s="23"/>
      <c r="P10" s="23"/>
      <c r="Q10" s="23"/>
      <c r="R10" s="23"/>
      <c r="S10" s="23"/>
    </row>
    <row r="11" customFormat="false" ht="15" hidden="false" customHeight="false" outlineLevel="0" collapsed="false">
      <c r="B11" s="69" t="s">
        <v>482</v>
      </c>
      <c r="E11" s="82" t="str">
        <f aca="false">IF('Global Inputs'!$E$36=1,"Without BUMN (conservative)","With BUMN")</f>
        <v>Without BUMN (conservative)</v>
      </c>
    </row>
    <row r="12" customFormat="false" ht="15" hidden="false" customHeight="false" outlineLevel="0" collapsed="false">
      <c r="B12" s="24" t="s">
        <v>483</v>
      </c>
      <c r="C12" s="25" t="s">
        <v>130</v>
      </c>
      <c r="E12" s="83" t="n">
        <f aca="false">'Global Inputs'!$E$76</f>
        <v>46568</v>
      </c>
    </row>
    <row r="13" customFormat="false" ht="15" hidden="false" customHeight="false" outlineLevel="0" collapsed="false">
      <c r="B13" s="24" t="s">
        <v>484</v>
      </c>
      <c r="C13" s="25" t="s">
        <v>175</v>
      </c>
      <c r="E13" s="65" t="n">
        <f aca="false">'Global Inputs'!$E$79</f>
        <v>1</v>
      </c>
    </row>
    <row r="14" customFormat="false" ht="15" hidden="false" customHeight="false" outlineLevel="0" collapsed="false">
      <c r="B14" s="69" t="s">
        <v>485</v>
      </c>
      <c r="C14" s="25" t="s">
        <v>170</v>
      </c>
      <c r="E14" s="70" t="n">
        <f aca="false">SUM($F$39:$S$39)</f>
        <v>195.18</v>
      </c>
    </row>
    <row r="15" customFormat="false" ht="15" hidden="false" customHeight="false" outlineLevel="0" collapsed="false">
      <c r="B15" s="24" t="s">
        <v>486</v>
      </c>
      <c r="C15" s="25" t="s">
        <v>240</v>
      </c>
      <c r="E15" s="44" t="n">
        <f aca="false">$E$14/INDEX('Global Inputs'!$F$22:$S$22,MATCH('Global Inputs'!$E$77,'Global Inputs'!$F$15:$S$15,0))*1000</f>
        <v>12</v>
      </c>
    </row>
    <row r="16" customFormat="false" ht="15" hidden="false" customHeight="false" outlineLevel="0" collapsed="false">
      <c r="B16" s="69" t="s">
        <v>487</v>
      </c>
      <c r="C16" s="25" t="s">
        <v>170</v>
      </c>
      <c r="E16" s="70" t="n">
        <f aca="false">SUM($F$112:$S$112)</f>
        <v>162.65</v>
      </c>
    </row>
    <row r="17" customFormat="false" ht="15" hidden="false" customHeight="false" outlineLevel="0" collapsed="false">
      <c r="B17" s="69" t="s">
        <v>488</v>
      </c>
      <c r="C17" s="25" t="s">
        <v>170</v>
      </c>
      <c r="E17" s="70" t="n">
        <f aca="false">$E$14+$E$16</f>
        <v>357.83</v>
      </c>
    </row>
    <row r="18" customFormat="false" ht="15" hidden="false" customHeight="false" outlineLevel="0" collapsed="false">
      <c r="B18" s="69" t="s">
        <v>489</v>
      </c>
      <c r="C18" s="25" t="s">
        <v>240</v>
      </c>
      <c r="E18" s="80" t="n">
        <f aca="false">$E$17/INDEX('Global Inputs'!$F$22:$S$22,MATCH('Global Inputs'!$E$77,'Global Inputs'!$F$15:$S$15,0))*1000</f>
        <v>22</v>
      </c>
    </row>
    <row r="19" customFormat="false" ht="15" hidden="false" customHeight="false" outlineLevel="0" collapsed="false">
      <c r="B19" s="24" t="s">
        <v>490</v>
      </c>
      <c r="C19" s="25" t="s">
        <v>170</v>
      </c>
      <c r="E19" s="47" t="n">
        <f aca="false">$E$16+$E$20</f>
        <v>357.83</v>
      </c>
    </row>
    <row r="20" customFormat="false" ht="15" hidden="false" customHeight="false" outlineLevel="0" collapsed="false">
      <c r="B20" s="24" t="s">
        <v>491</v>
      </c>
      <c r="C20" s="25" t="s">
        <v>170</v>
      </c>
      <c r="E20" s="47" t="n">
        <f aca="false">MIN($E$14,-SUMPRODUCT($F$31:$S$31,--('Global Inputs'!$F$15:$S$15&lt;='Global Inputs'!$E$12),--('Global Inputs'!$F$15:$S$15&gt;=2024)))</f>
        <v>195.18</v>
      </c>
    </row>
    <row r="21" customFormat="false" ht="15" hidden="false" customHeight="false" outlineLevel="0" collapsed="false">
      <c r="B21" s="24" t="s">
        <v>492</v>
      </c>
      <c r="C21" s="25" t="s">
        <v>170</v>
      </c>
      <c r="E21" s="58" t="n">
        <f aca="false">SUM(Financing!$F$16:$S$16)</f>
        <v>195.18</v>
      </c>
    </row>
    <row r="22" customFormat="false" ht="15" hidden="false" customHeight="false" outlineLevel="0" collapsed="false">
      <c r="B22" s="24" t="s">
        <v>493</v>
      </c>
      <c r="C22" s="25" t="s">
        <v>170</v>
      </c>
      <c r="E22" s="47" t="n">
        <f aca="false">MAX($F$37:$S$37)</f>
        <v>0</v>
      </c>
    </row>
    <row r="23" customFormat="false" ht="15" hidden="false" customHeight="false" outlineLevel="0" collapsed="false">
      <c r="B23" s="24" t="s">
        <v>494</v>
      </c>
      <c r="C23" s="25" t="s">
        <v>170</v>
      </c>
      <c r="E23" s="58" t="n">
        <f aca="false">SUM('FSL Financials — Without BUMN'!$F$85:$S$85)</f>
        <v>195.18</v>
      </c>
    </row>
    <row r="24" customFormat="false" ht="15" hidden="false" customHeight="false" outlineLevel="0" collapsed="false">
      <c r="B24" s="24" t="s">
        <v>495</v>
      </c>
      <c r="C24" s="25" t="s">
        <v>170</v>
      </c>
      <c r="E24" s="58" t="n">
        <f aca="false">SUM('FSL Financials — With BUMN'!$F$85:$S$85)</f>
        <v>195.18</v>
      </c>
    </row>
    <row r="25" customFormat="false" ht="15" hidden="false" customHeight="false" outlineLevel="0" collapsed="false">
      <c r="B25" s="24" t="s">
        <v>496</v>
      </c>
      <c r="C25" s="25" t="s">
        <v>170</v>
      </c>
      <c r="E25" s="47" t="n">
        <f aca="false">SUM($F$42:$S$42)</f>
        <v>0</v>
      </c>
    </row>
    <row r="26" customFormat="false" ht="15" hidden="false" customHeight="false" outlineLevel="0" collapsed="false">
      <c r="B26" s="5" t="s">
        <v>497</v>
      </c>
    </row>
    <row r="28" customFormat="false" ht="15" hidden="false" customHeight="false" outlineLevel="0" collapsed="false">
      <c r="B28" s="22" t="s">
        <v>498</v>
      </c>
      <c r="C28" s="23"/>
      <c r="D28" s="23"/>
      <c r="E28" s="23"/>
      <c r="F28" s="23"/>
      <c r="G28" s="23"/>
      <c r="H28" s="23"/>
      <c r="I28" s="23"/>
      <c r="J28" s="23"/>
      <c r="K28" s="23"/>
      <c r="L28" s="23"/>
      <c r="M28" s="23"/>
      <c r="N28" s="23"/>
      <c r="O28" s="23"/>
      <c r="P28" s="23"/>
      <c r="Q28" s="23"/>
      <c r="R28" s="23"/>
      <c r="S28" s="23"/>
    </row>
    <row r="29" customFormat="false" ht="15" hidden="false" customHeight="false" outlineLevel="0" collapsed="false">
      <c r="B29" s="24" t="s">
        <v>499</v>
      </c>
      <c r="C29" s="25" t="s">
        <v>170</v>
      </c>
      <c r="F29" s="58" t="n">
        <f aca="false">IF('Global Inputs'!$E$36=1,'FSL Financials — Without BUMN'!F70,'FSL Financials — With BUMN'!F70)</f>
        <v>0</v>
      </c>
      <c r="G29" s="58" t="n">
        <f aca="false">IF('Global Inputs'!$E$36=1,'FSL Financials — Without BUMN'!G70,'FSL Financials — With BUMN'!G70)</f>
        <v>60.6389</v>
      </c>
      <c r="H29" s="58" t="n">
        <f aca="false">IF('Global Inputs'!$E$36=1,'FSL Financials — Without BUMN'!H70,'FSL Financials — With BUMN'!H70)</f>
        <v>32.2094486119924</v>
      </c>
      <c r="I29" s="58" t="n">
        <f aca="false">IF('Global Inputs'!$E$36=1,'FSL Financials — Without BUMN'!I70,'FSL Financials — With BUMN'!I70)</f>
        <v>192.171764763442</v>
      </c>
      <c r="J29" s="58" t="n">
        <f aca="false">IF('Global Inputs'!$E$36=1,'FSL Financials — Without BUMN'!J70,'FSL Financials — With BUMN'!J70)</f>
        <v>3</v>
      </c>
      <c r="K29" s="58" t="n">
        <f aca="false">IF('Global Inputs'!$E$36=1,'FSL Financials — Without BUMN'!K70,'FSL Financials — With BUMN'!K70)</f>
        <v>-39.8456047321</v>
      </c>
      <c r="L29" s="58" t="n">
        <f aca="false">IF('Global Inputs'!$E$36=1,'FSL Financials — Without BUMN'!L70,'FSL Financials — With BUMN'!L70)</f>
        <v>263.14171254063</v>
      </c>
      <c r="M29" s="58" t="n">
        <f aca="false">IF('Global Inputs'!$E$36=1,'FSL Financials — Without BUMN'!M70,'FSL Financials — With BUMN'!M70)</f>
        <v>597.266392597603</v>
      </c>
      <c r="N29" s="58" t="n">
        <f aca="false">IF('Global Inputs'!$E$36=1,'FSL Financials — Without BUMN'!N70,'FSL Financials — With BUMN'!N70)</f>
        <v>947.047015982721</v>
      </c>
      <c r="O29" s="58" t="n">
        <f aca="false">IF('Global Inputs'!$E$36=1,'FSL Financials — Without BUMN'!O70,'FSL Financials — With BUMN'!O70)</f>
        <v>1316.37497289821</v>
      </c>
      <c r="P29" s="58" t="n">
        <f aca="false">IF('Global Inputs'!$E$36=1,'FSL Financials — Without BUMN'!P70,'FSL Financials — With BUMN'!P70)</f>
        <v>1704.06610231286</v>
      </c>
      <c r="Q29" s="58" t="n">
        <f aca="false">IF('Global Inputs'!$E$36=1,'FSL Financials — Without BUMN'!Q70,'FSL Financials — With BUMN'!Q70)</f>
        <v>2107.06459683888</v>
      </c>
      <c r="R29" s="58" t="n">
        <f aca="false">IF('Global Inputs'!$E$36=1,'FSL Financials — Without BUMN'!R70,'FSL Financials — With BUMN'!R70)</f>
        <v>2522.13908551221</v>
      </c>
      <c r="S29" s="58" t="n">
        <f aca="false">IF('Global Inputs'!$E$36=1,'FSL Financials — Without BUMN'!S70,'FSL Financials — With BUMN'!S70)</f>
        <v>2937.10883092558</v>
      </c>
    </row>
    <row r="30" customFormat="false" ht="15" hidden="false" customHeight="false" outlineLevel="0" collapsed="false">
      <c r="B30" s="24" t="s">
        <v>500</v>
      </c>
      <c r="C30" s="25" t="s">
        <v>170</v>
      </c>
      <c r="F30" s="58" t="n">
        <f aca="false">IF('Global Inputs'!$E$36=1,'FSL Financials — Without BUMN'!F71,'FSL Financials — With BUMN'!F71)</f>
        <v>0</v>
      </c>
      <c r="G30" s="58" t="n">
        <f aca="false">IF('Global Inputs'!$E$36=1,'FSL Financials — Without BUMN'!G71,'FSL Financials — With BUMN'!G71)</f>
        <v>132.842793627941</v>
      </c>
      <c r="H30" s="58" t="n">
        <f aca="false">IF('Global Inputs'!$E$36=1,'FSL Financials — Without BUMN'!H71,'FSL Financials — With BUMN'!H71)</f>
        <v>198.897271291998</v>
      </c>
      <c r="I30" s="58" t="n">
        <f aca="false">IF('Global Inputs'!$E$36=1,'FSL Financials — Without BUMN'!I71,'FSL Financials — With BUMN'!I71)</f>
        <v>244.879504316081</v>
      </c>
      <c r="J30" s="58" t="n">
        <f aca="false">IF('Global Inputs'!$E$36=1,'FSL Financials — Without BUMN'!J71,'FSL Financials — With BUMN'!J71)</f>
        <v>312.3380202679</v>
      </c>
      <c r="K30" s="58" t="n">
        <f aca="false">IF('Global Inputs'!$E$36=1,'FSL Financials — Without BUMN'!K71,'FSL Financials — With BUMN'!K71)</f>
        <v>362.850623202944</v>
      </c>
      <c r="L30" s="58" t="n">
        <f aca="false">IF('Global Inputs'!$E$36=1,'FSL Financials — Without BUMN'!L71,'FSL Financials — With BUMN'!L71)</f>
        <v>405.613406073365</v>
      </c>
      <c r="M30" s="58" t="n">
        <f aca="false">IF('Global Inputs'!$E$36=1,'FSL Financials — Without BUMN'!M71,'FSL Financials — With BUMN'!M71)</f>
        <v>425.535348212312</v>
      </c>
      <c r="N30" s="58" t="n">
        <f aca="false">IF('Global Inputs'!$E$36=1,'FSL Financials — Without BUMN'!N71,'FSL Financials — With BUMN'!N71)</f>
        <v>454.331125536681</v>
      </c>
      <c r="O30" s="58" t="n">
        <f aca="false">IF('Global Inputs'!$E$36=1,'FSL Financials — Without BUMN'!O71,'FSL Financials — With BUMN'!O71)</f>
        <v>477.680769342249</v>
      </c>
      <c r="P30" s="58" t="n">
        <f aca="false">IF('Global Inputs'!$E$36=1,'FSL Financials — Without BUMN'!P71,'FSL Financials — With BUMN'!P71)</f>
        <v>506.399407699914</v>
      </c>
      <c r="Q30" s="58" t="n">
        <f aca="false">IF('Global Inputs'!$E$36=1,'FSL Financials — Without BUMN'!Q71,'FSL Financials — With BUMN'!Q71)</f>
        <v>524.205104619349</v>
      </c>
      <c r="R30" s="58" t="n">
        <f aca="false">IF('Global Inputs'!$E$36=1,'FSL Financials — Without BUMN'!R71,'FSL Financials — With BUMN'!R71)</f>
        <v>523.481045128288</v>
      </c>
      <c r="S30" s="58" t="n">
        <f aca="false">IF('Global Inputs'!$E$36=1,'FSL Financials — Without BUMN'!S71,'FSL Financials — With BUMN'!S71)</f>
        <v>536.002737465931</v>
      </c>
    </row>
    <row r="31" customFormat="false" ht="15" hidden="false" customHeight="false" outlineLevel="0" collapsed="false">
      <c r="B31" s="24" t="s">
        <v>501</v>
      </c>
      <c r="C31" s="25" t="s">
        <v>170</v>
      </c>
      <c r="E31" s="47" t="n">
        <f aca="false">SUM(F31:S31)</f>
        <v>-918.087670611905</v>
      </c>
      <c r="F31" s="58" t="n">
        <f aca="false">IF('Global Inputs'!$E$36=1,'FSL Financials — Without BUMN'!F72,'FSL Financials — With BUMN'!F72)</f>
        <v>-198.433</v>
      </c>
      <c r="G31" s="58" t="n">
        <f aca="false">IF('Global Inputs'!$E$36=1,'FSL Financials — Without BUMN'!G72,'FSL Financials — With BUMN'!G72)</f>
        <v>-125.2405</v>
      </c>
      <c r="H31" s="58" t="n">
        <f aca="false">IF('Global Inputs'!$E$36=1,'FSL Financials — Without BUMN'!H72,'FSL Financials — With BUMN'!H72)</f>
        <v>-14.6385</v>
      </c>
      <c r="I31" s="58" t="n">
        <f aca="false">IF('Global Inputs'!$E$36=1,'FSL Financials — Without BUMN'!I72,'FSL Financials — With BUMN'!I72)</f>
        <v>-419.772045611905</v>
      </c>
      <c r="J31" s="58" t="n">
        <f aca="false">IF('Global Inputs'!$E$36=1,'FSL Financials — Without BUMN'!J72,'FSL Financials — With BUMN'!J72)</f>
        <v>-160.003625</v>
      </c>
      <c r="K31" s="58" t="n">
        <f aca="false">IF('Global Inputs'!$E$36=1,'FSL Financials — Without BUMN'!K72,'FSL Financials — With BUMN'!K72)</f>
        <v>-0</v>
      </c>
      <c r="L31" s="58" t="n">
        <f aca="false">IF('Global Inputs'!$E$36=1,'FSL Financials — Without BUMN'!L72,'FSL Financials — With BUMN'!L72)</f>
        <v>-0</v>
      </c>
      <c r="M31" s="58" t="n">
        <f aca="false">IF('Global Inputs'!$E$36=1,'FSL Financials — Without BUMN'!M72,'FSL Financials — With BUMN'!M72)</f>
        <v>-0</v>
      </c>
      <c r="N31" s="58" t="n">
        <f aca="false">IF('Global Inputs'!$E$36=1,'FSL Financials — Without BUMN'!N72,'FSL Financials — With BUMN'!N72)</f>
        <v>-0</v>
      </c>
      <c r="O31" s="58" t="n">
        <f aca="false">IF('Global Inputs'!$E$36=1,'FSL Financials — Without BUMN'!O72,'FSL Financials — With BUMN'!O72)</f>
        <v>-0</v>
      </c>
      <c r="P31" s="58" t="n">
        <f aca="false">IF('Global Inputs'!$E$36=1,'FSL Financials — Without BUMN'!P72,'FSL Financials — With BUMN'!P72)</f>
        <v>-0</v>
      </c>
      <c r="Q31" s="58" t="n">
        <f aca="false">IF('Global Inputs'!$E$36=1,'FSL Financials — Without BUMN'!Q72,'FSL Financials — With BUMN'!Q72)</f>
        <v>-0</v>
      </c>
      <c r="R31" s="58" t="n">
        <f aca="false">IF('Global Inputs'!$E$36=1,'FSL Financials — Without BUMN'!R72,'FSL Financials — With BUMN'!R72)</f>
        <v>-0</v>
      </c>
      <c r="S31" s="58" t="n">
        <f aca="false">IF('Global Inputs'!$E$36=1,'FSL Financials — Without BUMN'!S72,'FSL Financials — With BUMN'!S72)</f>
        <v>-0</v>
      </c>
    </row>
    <row r="32" customFormat="false" ht="15" hidden="false" customHeight="false" outlineLevel="0" collapsed="false">
      <c r="B32" s="24" t="s">
        <v>502</v>
      </c>
      <c r="C32" s="25" t="s">
        <v>170</v>
      </c>
      <c r="E32" s="47" t="n">
        <f aca="false">SUM(F32:S32)</f>
        <v>-224.518</v>
      </c>
      <c r="F32" s="58" t="n">
        <f aca="false">IF('Global Inputs'!$E$36=1,'FSL Financials — Without BUMN'!F73,'FSL Financials — With BUMN'!F73)</f>
        <v>-0</v>
      </c>
      <c r="G32" s="58" t="n">
        <f aca="false">IF('Global Inputs'!$E$36=1,'FSL Financials — Without BUMN'!G73,'FSL Financials — With BUMN'!G73)</f>
        <v>-29.338</v>
      </c>
      <c r="H32" s="58" t="n">
        <f aca="false">IF('Global Inputs'!$E$36=1,'FSL Financials — Without BUMN'!H73,'FSL Financials — With BUMN'!H73)</f>
        <v>-0</v>
      </c>
      <c r="I32" s="58" t="n">
        <f aca="false">IF('Global Inputs'!$E$36=1,'FSL Financials — Without BUMN'!I73,'FSL Financials — With BUMN'!I73)</f>
        <v>-0</v>
      </c>
      <c r="J32" s="58" t="n">
        <f aca="false">IF('Global Inputs'!$E$36=1,'FSL Financials — Without BUMN'!J73,'FSL Financials — With BUMN'!J73)</f>
        <v>-195.18</v>
      </c>
      <c r="K32" s="58" t="n">
        <f aca="false">IF('Global Inputs'!$E$36=1,'FSL Financials — Without BUMN'!K73,'FSL Financials — With BUMN'!K73)</f>
        <v>-0</v>
      </c>
      <c r="L32" s="58" t="n">
        <f aca="false">IF('Global Inputs'!$E$36=1,'FSL Financials — Without BUMN'!L73,'FSL Financials — With BUMN'!L73)</f>
        <v>-0</v>
      </c>
      <c r="M32" s="58" t="n">
        <f aca="false">IF('Global Inputs'!$E$36=1,'FSL Financials — Without BUMN'!M73,'FSL Financials — With BUMN'!M73)</f>
        <v>-0</v>
      </c>
      <c r="N32" s="58" t="n">
        <f aca="false">IF('Global Inputs'!$E$36=1,'FSL Financials — Without BUMN'!N73,'FSL Financials — With BUMN'!N73)</f>
        <v>-0</v>
      </c>
      <c r="O32" s="58" t="n">
        <f aca="false">IF('Global Inputs'!$E$36=1,'FSL Financials — Without BUMN'!O73,'FSL Financials — With BUMN'!O73)</f>
        <v>-0</v>
      </c>
      <c r="P32" s="58" t="n">
        <f aca="false">IF('Global Inputs'!$E$36=1,'FSL Financials — Without BUMN'!P73,'FSL Financials — With BUMN'!P73)</f>
        <v>-0</v>
      </c>
      <c r="Q32" s="58" t="n">
        <f aca="false">IF('Global Inputs'!$E$36=1,'FSL Financials — Without BUMN'!Q73,'FSL Financials — With BUMN'!Q73)</f>
        <v>-0</v>
      </c>
      <c r="R32" s="58" t="n">
        <f aca="false">IF('Global Inputs'!$E$36=1,'FSL Financials — Without BUMN'!R73,'FSL Financials — With BUMN'!R73)</f>
        <v>-0</v>
      </c>
      <c r="S32" s="58" t="n">
        <f aca="false">IF('Global Inputs'!$E$36=1,'FSL Financials — Without BUMN'!S73,'FSL Financials — With BUMN'!S73)</f>
        <v>-0</v>
      </c>
    </row>
    <row r="33" customFormat="false" ht="15" hidden="false" customHeight="false" outlineLevel="0" collapsed="false">
      <c r="B33" s="24" t="s">
        <v>503</v>
      </c>
      <c r="C33" s="25" t="s">
        <v>170</v>
      </c>
      <c r="E33" s="47" t="n">
        <f aca="false">SUM(F33:S33)</f>
        <v>-862.626011551956</v>
      </c>
      <c r="F33" s="58" t="n">
        <f aca="false">IF('Global Inputs'!$E$36=1,'FSL Financials — Without BUMN'!F79,'FSL Financials — With BUMN'!F79)</f>
        <v>0</v>
      </c>
      <c r="G33" s="58" t="n">
        <f aca="false">IF('Global Inputs'!$E$36=1,'FSL Financials — Without BUMN'!G79,'FSL Financials — With BUMN'!G79)</f>
        <v>-6.69374501594868</v>
      </c>
      <c r="H33" s="58" t="n">
        <f aca="false">IF('Global Inputs'!$E$36=1,'FSL Financials — Without BUMN'!H79,'FSL Financials — With BUMN'!H79)</f>
        <v>-24.2964551405486</v>
      </c>
      <c r="I33" s="58" t="n">
        <f aca="false">IF('Global Inputs'!$E$36=1,'FSL Financials — Without BUMN'!I79,'FSL Financials — With BUMN'!I79)</f>
        <v>-14.279223467618</v>
      </c>
      <c r="J33" s="58" t="n">
        <f aca="false">IF('Global Inputs'!$E$36=1,'FSL Financials — Without BUMN'!J79,'FSL Financials — With BUMN'!J79)</f>
        <v>-0</v>
      </c>
      <c r="K33" s="58" t="n">
        <f aca="false">IF('Global Inputs'!$E$36=1,'FSL Financials — Without BUMN'!K79,'FSL Financials — With BUMN'!K79)</f>
        <v>-59.8633059302135</v>
      </c>
      <c r="L33" s="58" t="n">
        <f aca="false">IF('Global Inputs'!$E$36=1,'FSL Financials — Without BUMN'!L79,'FSL Financials — With BUMN'!L79)</f>
        <v>-71.4887260163924</v>
      </c>
      <c r="M33" s="58" t="n">
        <f aca="false">IF('Global Inputs'!$E$36=1,'FSL Financials — Without BUMN'!M79,'FSL Financials — With BUMN'!M79)</f>
        <v>-75.7547248271937</v>
      </c>
      <c r="N33" s="58" t="n">
        <f aca="false">IF('Global Inputs'!$E$36=1,'FSL Financials — Without BUMN'!N79,'FSL Financials — With BUMN'!N79)</f>
        <v>-85.0031686211882</v>
      </c>
      <c r="O33" s="58" t="n">
        <f aca="false">IF('Global Inputs'!$E$36=1,'FSL Financials — Without BUMN'!O79,'FSL Financials — With BUMN'!O79)</f>
        <v>-89.9896399275996</v>
      </c>
      <c r="P33" s="58" t="n">
        <f aca="false">IF('Global Inputs'!$E$36=1,'FSL Financials — Without BUMN'!P79,'FSL Financials — With BUMN'!P79)</f>
        <v>-103.400913173899</v>
      </c>
      <c r="Q33" s="58" t="n">
        <f aca="false">IF('Global Inputs'!$E$36=1,'FSL Financials — Without BUMN'!Q79,'FSL Financials — With BUMN'!Q79)</f>
        <v>-109.130615946014</v>
      </c>
      <c r="R33" s="58" t="n">
        <f aca="false">IF('Global Inputs'!$E$36=1,'FSL Financials — Without BUMN'!R79,'FSL Financials — With BUMN'!R79)</f>
        <v>-108.51129971492</v>
      </c>
      <c r="S33" s="58" t="n">
        <f aca="false">IF('Global Inputs'!$E$36=1,'FSL Financials — Without BUMN'!S79,'FSL Financials — With BUMN'!S79)</f>
        <v>-114.214193770419</v>
      </c>
    </row>
    <row r="34" customFormat="false" ht="15" hidden="false" customHeight="false" outlineLevel="0" collapsed="false">
      <c r="B34" s="69" t="s">
        <v>504</v>
      </c>
      <c r="C34" s="25" t="s">
        <v>170</v>
      </c>
      <c r="F34" s="71" t="n">
        <f aca="false">IF('Global Inputs'!$E$36=1,'FSL Financials — Without BUMN'!F80,'FSL Financials — With BUMN'!F80)</f>
        <v>60.6389</v>
      </c>
      <c r="G34" s="71" t="n">
        <f aca="false">IF('Global Inputs'!$E$36=1,'FSL Financials — Without BUMN'!G80,'FSL Financials — With BUMN'!G80)</f>
        <v>32.2094486119924</v>
      </c>
      <c r="H34" s="71" t="n">
        <f aca="false">IF('Global Inputs'!$E$36=1,'FSL Financials — Without BUMN'!H80,'FSL Financials — With BUMN'!H80)</f>
        <v>192.171764763442</v>
      </c>
      <c r="I34" s="71" t="n">
        <f aca="false">IF('Global Inputs'!$E$36=1,'FSL Financials — Without BUMN'!I80,'FSL Financials — With BUMN'!I80)</f>
        <v>3</v>
      </c>
      <c r="J34" s="71" t="n">
        <f aca="false">IF('Global Inputs'!$E$36=1,'FSL Financials — Without BUMN'!J80,'FSL Financials — With BUMN'!J80)</f>
        <v>-39.8456047321</v>
      </c>
      <c r="K34" s="71" t="n">
        <f aca="false">IF('Global Inputs'!$E$36=1,'FSL Financials — Without BUMN'!K80,'FSL Financials — With BUMN'!K80)</f>
        <v>263.14171254063</v>
      </c>
      <c r="L34" s="71" t="n">
        <f aca="false">IF('Global Inputs'!$E$36=1,'FSL Financials — Without BUMN'!L80,'FSL Financials — With BUMN'!L80)</f>
        <v>597.266392597603</v>
      </c>
      <c r="M34" s="71" t="n">
        <f aca="false">IF('Global Inputs'!$E$36=1,'FSL Financials — Without BUMN'!M80,'FSL Financials — With BUMN'!M80)</f>
        <v>947.047015982721</v>
      </c>
      <c r="N34" s="71" t="n">
        <f aca="false">IF('Global Inputs'!$E$36=1,'FSL Financials — Without BUMN'!N80,'FSL Financials — With BUMN'!N80)</f>
        <v>1316.37497289821</v>
      </c>
      <c r="O34" s="71" t="n">
        <f aca="false">IF('Global Inputs'!$E$36=1,'FSL Financials — Without BUMN'!O80,'FSL Financials — With BUMN'!O80)</f>
        <v>1704.06610231286</v>
      </c>
      <c r="P34" s="71" t="n">
        <f aca="false">IF('Global Inputs'!$E$36=1,'FSL Financials — Without BUMN'!P80,'FSL Financials — With BUMN'!P80)</f>
        <v>2107.06459683888</v>
      </c>
      <c r="Q34" s="71" t="n">
        <f aca="false">IF('Global Inputs'!$E$36=1,'FSL Financials — Without BUMN'!Q80,'FSL Financials — With BUMN'!Q80)</f>
        <v>2522.13908551221</v>
      </c>
      <c r="R34" s="71" t="n">
        <f aca="false">IF('Global Inputs'!$E$36=1,'FSL Financials — Without BUMN'!R80,'FSL Financials — With BUMN'!R80)</f>
        <v>2937.10883092558</v>
      </c>
      <c r="S34" s="71" t="n">
        <f aca="false">IF('Global Inputs'!$E$36=1,'FSL Financials — Without BUMN'!S80,'FSL Financials — With BUMN'!S80)</f>
        <v>3358.89737462109</v>
      </c>
    </row>
    <row r="35" customFormat="false" ht="15" hidden="false" customHeight="false" outlineLevel="0" collapsed="false">
      <c r="B35" s="24" t="s">
        <v>442</v>
      </c>
      <c r="C35" s="25" t="s">
        <v>170</v>
      </c>
      <c r="F35" s="58" t="n">
        <f aca="false">IF('Global Inputs'!$E$36=1,'FSL Financials — Without BUMN'!F81,'FSL Financials — With BUMN'!F81)</f>
        <v>0</v>
      </c>
      <c r="G35" s="58" t="n">
        <f aca="false">IF('Global Inputs'!$E$36=1,'FSL Financials — Without BUMN'!G81,'FSL Financials — With BUMN'!G81)</f>
        <v>3</v>
      </c>
      <c r="H35" s="58" t="n">
        <f aca="false">IF('Global Inputs'!$E$36=1,'FSL Financials — Without BUMN'!H81,'FSL Financials — With BUMN'!H81)</f>
        <v>3</v>
      </c>
      <c r="I35" s="58" t="n">
        <f aca="false">IF('Global Inputs'!$E$36=1,'FSL Financials — Without BUMN'!I81,'FSL Financials — With BUMN'!I81)</f>
        <v>3</v>
      </c>
      <c r="J35" s="58" t="n">
        <f aca="false">IF('Global Inputs'!$E$36=1,'FSL Financials — Without BUMN'!J81,'FSL Financials — With BUMN'!J81)</f>
        <v>3</v>
      </c>
      <c r="K35" s="58" t="n">
        <f aca="false">IF('Global Inputs'!$E$36=1,'FSL Financials — Without BUMN'!K81,'FSL Financials — With BUMN'!K81)</f>
        <v>3</v>
      </c>
      <c r="L35" s="58" t="n">
        <f aca="false">IF('Global Inputs'!$E$36=1,'FSL Financials — Without BUMN'!L81,'FSL Financials — With BUMN'!L81)</f>
        <v>3</v>
      </c>
      <c r="M35" s="58" t="n">
        <f aca="false">IF('Global Inputs'!$E$36=1,'FSL Financials — Without BUMN'!M81,'FSL Financials — With BUMN'!M81)</f>
        <v>3</v>
      </c>
      <c r="N35" s="58" t="n">
        <f aca="false">IF('Global Inputs'!$E$36=1,'FSL Financials — Without BUMN'!N81,'FSL Financials — With BUMN'!N81)</f>
        <v>3</v>
      </c>
      <c r="O35" s="58" t="n">
        <f aca="false">IF('Global Inputs'!$E$36=1,'FSL Financials — Without BUMN'!O81,'FSL Financials — With BUMN'!O81)</f>
        <v>3</v>
      </c>
      <c r="P35" s="58" t="n">
        <f aca="false">IF('Global Inputs'!$E$36=1,'FSL Financials — Without BUMN'!P81,'FSL Financials — With BUMN'!P81)</f>
        <v>3</v>
      </c>
      <c r="Q35" s="58" t="n">
        <f aca="false">IF('Global Inputs'!$E$36=1,'FSL Financials — Without BUMN'!Q81,'FSL Financials — With BUMN'!Q81)</f>
        <v>3</v>
      </c>
      <c r="R35" s="58" t="n">
        <f aca="false">IF('Global Inputs'!$E$36=1,'FSL Financials — Without BUMN'!R81,'FSL Financials — With BUMN'!R81)</f>
        <v>3</v>
      </c>
      <c r="S35" s="58" t="n">
        <f aca="false">IF('Global Inputs'!$E$36=1,'FSL Financials — Without BUMN'!S81,'FSL Financials — With BUMN'!S81)</f>
        <v>3</v>
      </c>
    </row>
    <row r="36" customFormat="false" ht="15" hidden="false" customHeight="false" outlineLevel="0" collapsed="false">
      <c r="B36" s="24" t="s">
        <v>505</v>
      </c>
      <c r="C36" s="25" t="s">
        <v>170</v>
      </c>
      <c r="F36" s="58" t="n">
        <f aca="false">IF('Global Inputs'!$E$36=1,'FSL Financials — Without BUMN'!F82,'FSL Financials — With BUMN'!F82)</f>
        <v>0</v>
      </c>
      <c r="G36" s="58" t="n">
        <f aca="false">IF('Global Inputs'!$E$36=1,'FSL Financials — Without BUMN'!G82,'FSL Financials — With BUMN'!G82)</f>
        <v>0</v>
      </c>
      <c r="H36" s="58" t="n">
        <f aca="false">IF('Global Inputs'!$E$36=1,'FSL Financials — Without BUMN'!H82,'FSL Financials — With BUMN'!H82)</f>
        <v>0</v>
      </c>
      <c r="I36" s="58" t="n">
        <f aca="false">IF('Global Inputs'!$E$36=1,'FSL Financials — Without BUMN'!I82,'FSL Financials — With BUMN'!I82)</f>
        <v>0</v>
      </c>
      <c r="J36" s="58" t="n">
        <f aca="false">IF('Global Inputs'!$E$36=1,'FSL Financials — Without BUMN'!J82,'FSL Financials — With BUMN'!J82)</f>
        <v>42.8456047321</v>
      </c>
      <c r="K36" s="58" t="n">
        <f aca="false">IF('Global Inputs'!$E$36=1,'FSL Financials — Without BUMN'!K82,'FSL Financials — With BUMN'!K82)</f>
        <v>0</v>
      </c>
      <c r="L36" s="58" t="n">
        <f aca="false">IF('Global Inputs'!$E$36=1,'FSL Financials — Without BUMN'!L82,'FSL Financials — With BUMN'!L82)</f>
        <v>0</v>
      </c>
      <c r="M36" s="58" t="n">
        <f aca="false">IF('Global Inputs'!$E$36=1,'FSL Financials — Without BUMN'!M82,'FSL Financials — With BUMN'!M82)</f>
        <v>0</v>
      </c>
      <c r="N36" s="58" t="n">
        <f aca="false">IF('Global Inputs'!$E$36=1,'FSL Financials — Without BUMN'!N82,'FSL Financials — With BUMN'!N82)</f>
        <v>0</v>
      </c>
      <c r="O36" s="58" t="n">
        <f aca="false">IF('Global Inputs'!$E$36=1,'FSL Financials — Without BUMN'!O82,'FSL Financials — With BUMN'!O82)</f>
        <v>0</v>
      </c>
      <c r="P36" s="58" t="n">
        <f aca="false">IF('Global Inputs'!$E$36=1,'FSL Financials — Without BUMN'!P82,'FSL Financials — With BUMN'!P82)</f>
        <v>0</v>
      </c>
      <c r="Q36" s="58" t="n">
        <f aca="false">IF('Global Inputs'!$E$36=1,'FSL Financials — Without BUMN'!Q82,'FSL Financials — With BUMN'!Q82)</f>
        <v>0</v>
      </c>
      <c r="R36" s="58" t="n">
        <f aca="false">IF('Global Inputs'!$E$36=1,'FSL Financials — Without BUMN'!R82,'FSL Financials — With BUMN'!R82)</f>
        <v>0</v>
      </c>
      <c r="S36" s="58" t="n">
        <f aca="false">IF('Global Inputs'!$E$36=1,'FSL Financials — Without BUMN'!S82,'FSL Financials — With BUMN'!S82)</f>
        <v>0</v>
      </c>
    </row>
    <row r="37" customFormat="false" ht="15" hidden="false" customHeight="false" outlineLevel="0" collapsed="false">
      <c r="B37" s="24" t="s">
        <v>506</v>
      </c>
      <c r="C37" s="25" t="s">
        <v>170</v>
      </c>
      <c r="F37" s="58" t="n">
        <f aca="false">IF('Global Inputs'!$E$36=1,'FSL Financials — Without BUMN'!F83,'FSL Financials — With BUMN'!F83)</f>
        <v>0</v>
      </c>
      <c r="G37" s="58" t="n">
        <f aca="false">IF('Global Inputs'!$E$36=1,'FSL Financials — Without BUMN'!G83,'FSL Financials — With BUMN'!G83)</f>
        <v>0</v>
      </c>
      <c r="H37" s="58" t="n">
        <f aca="false">IF('Global Inputs'!$E$36=1,'FSL Financials — Without BUMN'!H83,'FSL Financials — With BUMN'!H83)</f>
        <v>0</v>
      </c>
      <c r="I37" s="58" t="n">
        <f aca="false">IF('Global Inputs'!$E$36=1,'FSL Financials — Without BUMN'!I83,'FSL Financials — With BUMN'!I83)</f>
        <v>0</v>
      </c>
      <c r="J37" s="58" t="n">
        <f aca="false">IF('Global Inputs'!$E$36=1,'FSL Financials — Without BUMN'!J83,'FSL Financials — With BUMN'!J83)</f>
        <v>0</v>
      </c>
      <c r="K37" s="58" t="n">
        <f aca="false">IF('Global Inputs'!$E$36=1,'FSL Financials — Without BUMN'!K83,'FSL Financials — With BUMN'!K83)</f>
        <v>0</v>
      </c>
      <c r="L37" s="58" t="n">
        <f aca="false">IF('Global Inputs'!$E$36=1,'FSL Financials — Without BUMN'!L83,'FSL Financials — With BUMN'!L83)</f>
        <v>0</v>
      </c>
      <c r="M37" s="58" t="n">
        <f aca="false">IF('Global Inputs'!$E$36=1,'FSL Financials — Without BUMN'!M83,'FSL Financials — With BUMN'!M83)</f>
        <v>0</v>
      </c>
      <c r="N37" s="58" t="n">
        <f aca="false">IF('Global Inputs'!$E$36=1,'FSL Financials — Without BUMN'!N83,'FSL Financials — With BUMN'!N83)</f>
        <v>0</v>
      </c>
      <c r="O37" s="58" t="n">
        <f aca="false">IF('Global Inputs'!$E$36=1,'FSL Financials — Without BUMN'!O83,'FSL Financials — With BUMN'!O83)</f>
        <v>0</v>
      </c>
      <c r="P37" s="58" t="n">
        <f aca="false">IF('Global Inputs'!$E$36=1,'FSL Financials — Without BUMN'!P83,'FSL Financials — With BUMN'!P83)</f>
        <v>0</v>
      </c>
      <c r="Q37" s="58" t="n">
        <f aca="false">IF('Global Inputs'!$E$36=1,'FSL Financials — Without BUMN'!Q83,'FSL Financials — With BUMN'!Q83)</f>
        <v>0</v>
      </c>
      <c r="R37" s="58" t="n">
        <f aca="false">IF('Global Inputs'!$E$36=1,'FSL Financials — Without BUMN'!R83,'FSL Financials — With BUMN'!R83)</f>
        <v>0</v>
      </c>
      <c r="S37" s="58" t="n">
        <f aca="false">IF('Global Inputs'!$E$36=1,'FSL Financials — Without BUMN'!S83,'FSL Financials — With BUMN'!S83)</f>
        <v>0</v>
      </c>
    </row>
    <row r="38" customFormat="false" ht="15" hidden="false" customHeight="false" outlineLevel="0" collapsed="false">
      <c r="B38" s="24" t="s">
        <v>507</v>
      </c>
      <c r="C38" s="25" t="s">
        <v>170</v>
      </c>
      <c r="F38" s="58" t="n">
        <f aca="false">IF('Global Inputs'!$E$36=1,'FSL Financials — Without BUMN'!F84,'FSL Financials — With BUMN'!F84)</f>
        <v>0</v>
      </c>
      <c r="G38" s="58" t="n">
        <f aca="false">IF('Global Inputs'!$E$36=1,'FSL Financials — Without BUMN'!G84,'FSL Financials — With BUMN'!G84)</f>
        <v>0</v>
      </c>
      <c r="H38" s="58" t="n">
        <f aca="false">IF('Global Inputs'!$E$36=1,'FSL Financials — Without BUMN'!H84,'FSL Financials — With BUMN'!H84)</f>
        <v>0</v>
      </c>
      <c r="I38" s="58" t="n">
        <f aca="false">IF('Global Inputs'!$E$36=1,'FSL Financials — Without BUMN'!I84,'FSL Financials — With BUMN'!I84)</f>
        <v>0</v>
      </c>
      <c r="J38" s="58" t="n">
        <f aca="false">IF('Global Inputs'!$E$36=1,'FSL Financials — Without BUMN'!J84,'FSL Financials — With BUMN'!J84)</f>
        <v>42.8456047321</v>
      </c>
      <c r="K38" s="58" t="n">
        <f aca="false">IF('Global Inputs'!$E$36=1,'FSL Financials — Without BUMN'!K84,'FSL Financials — With BUMN'!K84)</f>
        <v>0</v>
      </c>
      <c r="L38" s="58" t="n">
        <f aca="false">IF('Global Inputs'!$E$36=1,'FSL Financials — Without BUMN'!L84,'FSL Financials — With BUMN'!L84)</f>
        <v>0</v>
      </c>
      <c r="M38" s="58" t="n">
        <f aca="false">IF('Global Inputs'!$E$36=1,'FSL Financials — Without BUMN'!M84,'FSL Financials — With BUMN'!M84)</f>
        <v>0</v>
      </c>
      <c r="N38" s="58" t="n">
        <f aca="false">IF('Global Inputs'!$E$36=1,'FSL Financials — Without BUMN'!N84,'FSL Financials — With BUMN'!N84)</f>
        <v>0</v>
      </c>
      <c r="O38" s="58" t="n">
        <f aca="false">IF('Global Inputs'!$E$36=1,'FSL Financials — Without BUMN'!O84,'FSL Financials — With BUMN'!O84)</f>
        <v>0</v>
      </c>
      <c r="P38" s="58" t="n">
        <f aca="false">IF('Global Inputs'!$E$36=1,'FSL Financials — Without BUMN'!P84,'FSL Financials — With BUMN'!P84)</f>
        <v>0</v>
      </c>
      <c r="Q38" s="58" t="n">
        <f aca="false">IF('Global Inputs'!$E$36=1,'FSL Financials — Without BUMN'!Q84,'FSL Financials — With BUMN'!Q84)</f>
        <v>0</v>
      </c>
      <c r="R38" s="58" t="n">
        <f aca="false">IF('Global Inputs'!$E$36=1,'FSL Financials — Without BUMN'!R84,'FSL Financials — With BUMN'!R84)</f>
        <v>0</v>
      </c>
      <c r="S38" s="58" t="n">
        <f aca="false">IF('Global Inputs'!$E$36=1,'FSL Financials — Without BUMN'!S84,'FSL Financials — With BUMN'!S84)</f>
        <v>0</v>
      </c>
    </row>
    <row r="39" customFormat="false" ht="15" hidden="false" customHeight="false" outlineLevel="0" collapsed="false">
      <c r="B39" s="69" t="s">
        <v>508</v>
      </c>
      <c r="C39" s="25" t="s">
        <v>170</v>
      </c>
      <c r="E39" s="70" t="n">
        <f aca="false">SUM(F39:S39)</f>
        <v>195.18</v>
      </c>
      <c r="F39" s="71" t="n">
        <f aca="false">IF('Global Inputs'!$E$36=1,'FSL Financials — Without BUMN'!F85,'FSL Financials — With BUMN'!F85)</f>
        <v>0</v>
      </c>
      <c r="G39" s="71" t="n">
        <f aca="false">IF('Global Inputs'!$E$36=1,'FSL Financials — Without BUMN'!G85,'FSL Financials — With BUMN'!G85)</f>
        <v>0</v>
      </c>
      <c r="H39" s="71" t="n">
        <f aca="false">IF('Global Inputs'!$E$36=1,'FSL Financials — Without BUMN'!H85,'FSL Financials — With BUMN'!H85)</f>
        <v>0</v>
      </c>
      <c r="I39" s="71" t="n">
        <f aca="false">IF('Global Inputs'!$E$36=1,'FSL Financials — Without BUMN'!I85,'FSL Financials — With BUMN'!I85)</f>
        <v>0</v>
      </c>
      <c r="J39" s="71" t="n">
        <f aca="false">IF('Global Inputs'!$E$36=1,'FSL Financials — Without BUMN'!J85,'FSL Financials — With BUMN'!J85)</f>
        <v>195.18</v>
      </c>
      <c r="K39" s="71" t="n">
        <f aca="false">IF('Global Inputs'!$E$36=1,'FSL Financials — Without BUMN'!K85,'FSL Financials — With BUMN'!K85)</f>
        <v>0</v>
      </c>
      <c r="L39" s="71" t="n">
        <f aca="false">IF('Global Inputs'!$E$36=1,'FSL Financials — Without BUMN'!L85,'FSL Financials — With BUMN'!L85)</f>
        <v>0</v>
      </c>
      <c r="M39" s="71" t="n">
        <f aca="false">IF('Global Inputs'!$E$36=1,'FSL Financials — Without BUMN'!M85,'FSL Financials — With BUMN'!M85)</f>
        <v>0</v>
      </c>
      <c r="N39" s="71" t="n">
        <f aca="false">IF('Global Inputs'!$E$36=1,'FSL Financials — Without BUMN'!N85,'FSL Financials — With BUMN'!N85)</f>
        <v>0</v>
      </c>
      <c r="O39" s="71" t="n">
        <f aca="false">IF('Global Inputs'!$E$36=1,'FSL Financials — Without BUMN'!O85,'FSL Financials — With BUMN'!O85)</f>
        <v>0</v>
      </c>
      <c r="P39" s="71" t="n">
        <f aca="false">IF('Global Inputs'!$E$36=1,'FSL Financials — Without BUMN'!P85,'FSL Financials — With BUMN'!P85)</f>
        <v>0</v>
      </c>
      <c r="Q39" s="71" t="n">
        <f aca="false">IF('Global Inputs'!$E$36=1,'FSL Financials — Without BUMN'!Q85,'FSL Financials — With BUMN'!Q85)</f>
        <v>0</v>
      </c>
      <c r="R39" s="71" t="n">
        <f aca="false">IF('Global Inputs'!$E$36=1,'FSL Financials — Without BUMN'!R85,'FSL Financials — With BUMN'!R85)</f>
        <v>0</v>
      </c>
      <c r="S39" s="71" t="n">
        <f aca="false">IF('Global Inputs'!$E$36=1,'FSL Financials — Without BUMN'!S85,'FSL Financials — With BUMN'!S85)</f>
        <v>0</v>
      </c>
    </row>
    <row r="40" customFormat="false" ht="15" hidden="false" customHeight="false" outlineLevel="0" collapsed="false">
      <c r="B40" s="24" t="s">
        <v>423</v>
      </c>
      <c r="C40" s="25" t="s">
        <v>170</v>
      </c>
      <c r="E40" s="47" t="n">
        <f aca="false">SUM(F40:S40)</f>
        <v>195.18</v>
      </c>
      <c r="F40" s="58" t="n">
        <f aca="false">IF('Global Inputs'!$E$36=1,'FSL Financials — Without BUMN'!F60,'FSL Financials — With BUMN'!F60)</f>
        <v>0</v>
      </c>
      <c r="G40" s="58" t="n">
        <f aca="false">IF('Global Inputs'!$E$36=1,'FSL Financials — Without BUMN'!G60,'FSL Financials — With BUMN'!G60)</f>
        <v>0</v>
      </c>
      <c r="H40" s="58" t="n">
        <f aca="false">IF('Global Inputs'!$E$36=1,'FSL Financials — Without BUMN'!H60,'FSL Financials — With BUMN'!H60)</f>
        <v>0</v>
      </c>
      <c r="I40" s="58" t="n">
        <f aca="false">IF('Global Inputs'!$E$36=1,'FSL Financials — Without BUMN'!I60,'FSL Financials — With BUMN'!I60)</f>
        <v>0</v>
      </c>
      <c r="J40" s="58" t="n">
        <f aca="false">IF('Global Inputs'!$E$36=1,'FSL Financials — Without BUMN'!J60,'FSL Financials — With BUMN'!J60)</f>
        <v>195.18</v>
      </c>
      <c r="K40" s="58" t="n">
        <f aca="false">IF('Global Inputs'!$E$36=1,'FSL Financials — Without BUMN'!K60,'FSL Financials — With BUMN'!K60)</f>
        <v>0</v>
      </c>
      <c r="L40" s="58" t="n">
        <f aca="false">IF('Global Inputs'!$E$36=1,'FSL Financials — Without BUMN'!L60,'FSL Financials — With BUMN'!L60)</f>
        <v>0</v>
      </c>
      <c r="M40" s="58" t="n">
        <f aca="false">IF('Global Inputs'!$E$36=1,'FSL Financials — Without BUMN'!M60,'FSL Financials — With BUMN'!M60)</f>
        <v>0</v>
      </c>
      <c r="N40" s="58" t="n">
        <f aca="false">IF('Global Inputs'!$E$36=1,'FSL Financials — Without BUMN'!N60,'FSL Financials — With BUMN'!N60)</f>
        <v>0</v>
      </c>
      <c r="O40" s="58" t="n">
        <f aca="false">IF('Global Inputs'!$E$36=1,'FSL Financials — Without BUMN'!O60,'FSL Financials — With BUMN'!O60)</f>
        <v>0</v>
      </c>
      <c r="P40" s="58" t="n">
        <f aca="false">IF('Global Inputs'!$E$36=1,'FSL Financials — Without BUMN'!P60,'FSL Financials — With BUMN'!P60)</f>
        <v>0</v>
      </c>
      <c r="Q40" s="58" t="n">
        <f aca="false">IF('Global Inputs'!$E$36=1,'FSL Financials — Without BUMN'!Q60,'FSL Financials — With BUMN'!Q60)</f>
        <v>0</v>
      </c>
      <c r="R40" s="58" t="n">
        <f aca="false">IF('Global Inputs'!$E$36=1,'FSL Financials — Without BUMN'!R60,'FSL Financials — With BUMN'!R60)</f>
        <v>0</v>
      </c>
      <c r="S40" s="58" t="n">
        <f aca="false">IF('Global Inputs'!$E$36=1,'FSL Financials — Without BUMN'!S60,'FSL Financials — With BUMN'!S60)</f>
        <v>0</v>
      </c>
    </row>
    <row r="41" customFormat="false" ht="15" hidden="false" customHeight="false" outlineLevel="0" collapsed="false">
      <c r="B41" s="69" t="s">
        <v>509</v>
      </c>
      <c r="C41" s="25" t="s">
        <v>170</v>
      </c>
      <c r="F41" s="71" t="n">
        <f aca="false">IF('Global Inputs'!$E$36=1,'FSL Financials — Without BUMN'!F66,'FSL Financials — With BUMN'!F66)</f>
        <v>60.6389</v>
      </c>
      <c r="G41" s="71" t="n">
        <f aca="false">IF('Global Inputs'!$E$36=1,'FSL Financials — Without BUMN'!G66,'FSL Financials — With BUMN'!G66)</f>
        <v>32.2094486119924</v>
      </c>
      <c r="H41" s="71" t="n">
        <f aca="false">IF('Global Inputs'!$E$36=1,'FSL Financials — Without BUMN'!H66,'FSL Financials — With BUMN'!H66)</f>
        <v>192.171764763442</v>
      </c>
      <c r="I41" s="71" t="n">
        <f aca="false">IF('Global Inputs'!$E$36=1,'FSL Financials — Without BUMN'!I66,'FSL Financials — With BUMN'!I66)</f>
        <v>3</v>
      </c>
      <c r="J41" s="71" t="n">
        <f aca="false">IF('Global Inputs'!$E$36=1,'FSL Financials — Without BUMN'!J66,'FSL Financials — With BUMN'!J66)</f>
        <v>155.3343952679</v>
      </c>
      <c r="K41" s="71" t="n">
        <f aca="false">IF('Global Inputs'!$E$36=1,'FSL Financials — Without BUMN'!K66,'FSL Financials — With BUMN'!K66)</f>
        <v>458.32171254063</v>
      </c>
      <c r="L41" s="71" t="n">
        <f aca="false">IF('Global Inputs'!$E$36=1,'FSL Financials — Without BUMN'!L66,'FSL Financials — With BUMN'!L66)</f>
        <v>792.446392597603</v>
      </c>
      <c r="M41" s="71" t="n">
        <f aca="false">IF('Global Inputs'!$E$36=1,'FSL Financials — Without BUMN'!M66,'FSL Financials — With BUMN'!M66)</f>
        <v>1142.22701598272</v>
      </c>
      <c r="N41" s="71" t="n">
        <f aca="false">IF('Global Inputs'!$E$36=1,'FSL Financials — Without BUMN'!N66,'FSL Financials — With BUMN'!N66)</f>
        <v>1511.55497289821</v>
      </c>
      <c r="O41" s="71" t="n">
        <f aca="false">IF('Global Inputs'!$E$36=1,'FSL Financials — Without BUMN'!O66,'FSL Financials — With BUMN'!O66)</f>
        <v>1899.24610231286</v>
      </c>
      <c r="P41" s="71" t="n">
        <f aca="false">IF('Global Inputs'!$E$36=1,'FSL Financials — Without BUMN'!P66,'FSL Financials — With BUMN'!P66)</f>
        <v>2302.24459683888</v>
      </c>
      <c r="Q41" s="71" t="n">
        <f aca="false">IF('Global Inputs'!$E$36=1,'FSL Financials — Without BUMN'!Q66,'FSL Financials — With BUMN'!Q66)</f>
        <v>2717.31908551221</v>
      </c>
      <c r="R41" s="71" t="n">
        <f aca="false">IF('Global Inputs'!$E$36=1,'FSL Financials — Without BUMN'!R66,'FSL Financials — With BUMN'!R66)</f>
        <v>3132.28883092558</v>
      </c>
      <c r="S41" s="71" t="n">
        <f aca="false">IF('Global Inputs'!$E$36=1,'FSL Financials — Without BUMN'!S66,'FSL Financials — With BUMN'!S66)</f>
        <v>3554.07737462109</v>
      </c>
    </row>
    <row r="42" customFormat="false" ht="15" hidden="false" customHeight="false" outlineLevel="0" collapsed="false">
      <c r="B42" s="24" t="s">
        <v>510</v>
      </c>
      <c r="C42" s="25" t="s">
        <v>170</v>
      </c>
      <c r="E42" s="47" t="n">
        <f aca="false">SUM(F42:S42)</f>
        <v>0</v>
      </c>
      <c r="F42" s="58" t="n">
        <f aca="false">IF('Global Inputs'!$E$36=1,'FSL Financials — Without BUMN'!F86,'FSL Financials — With BUMN'!F86)</f>
        <v>0</v>
      </c>
      <c r="G42" s="58" t="n">
        <f aca="false">IF('Global Inputs'!$E$36=1,'FSL Financials — Without BUMN'!G86,'FSL Financials — With BUMN'!G86)</f>
        <v>0</v>
      </c>
      <c r="H42" s="58" t="n">
        <f aca="false">IF('Global Inputs'!$E$36=1,'FSL Financials — Without BUMN'!H86,'FSL Financials — With BUMN'!H86)</f>
        <v>0</v>
      </c>
      <c r="I42" s="58" t="n">
        <f aca="false">IF('Global Inputs'!$E$36=1,'FSL Financials — Without BUMN'!I86,'FSL Financials — With BUMN'!I86)</f>
        <v>0</v>
      </c>
      <c r="J42" s="58" t="n">
        <f aca="false">IF('Global Inputs'!$E$36=1,'FSL Financials — Without BUMN'!J86,'FSL Financials — With BUMN'!J86)</f>
        <v>0</v>
      </c>
      <c r="K42" s="58" t="n">
        <f aca="false">IF('Global Inputs'!$E$36=1,'FSL Financials — Without BUMN'!K86,'FSL Financials — With BUMN'!K86)</f>
        <v>0</v>
      </c>
      <c r="L42" s="58" t="n">
        <f aca="false">IF('Global Inputs'!$E$36=1,'FSL Financials — Without BUMN'!L86,'FSL Financials — With BUMN'!L86)</f>
        <v>0</v>
      </c>
      <c r="M42" s="58" t="n">
        <f aca="false">IF('Global Inputs'!$E$36=1,'FSL Financials — Without BUMN'!M86,'FSL Financials — With BUMN'!M86)</f>
        <v>0</v>
      </c>
      <c r="N42" s="58" t="n">
        <f aca="false">IF('Global Inputs'!$E$36=1,'FSL Financials — Without BUMN'!N86,'FSL Financials — With BUMN'!N86)</f>
        <v>0</v>
      </c>
      <c r="O42" s="58" t="n">
        <f aca="false">IF('Global Inputs'!$E$36=1,'FSL Financials — Without BUMN'!O86,'FSL Financials — With BUMN'!O86)</f>
        <v>0</v>
      </c>
      <c r="P42" s="58" t="n">
        <f aca="false">IF('Global Inputs'!$E$36=1,'FSL Financials — Without BUMN'!P86,'FSL Financials — With BUMN'!P86)</f>
        <v>0</v>
      </c>
      <c r="Q42" s="58" t="n">
        <f aca="false">IF('Global Inputs'!$E$36=1,'FSL Financials — Without BUMN'!Q86,'FSL Financials — With BUMN'!Q86)</f>
        <v>0</v>
      </c>
      <c r="R42" s="58" t="n">
        <f aca="false">IF('Global Inputs'!$E$36=1,'FSL Financials — Without BUMN'!R86,'FSL Financials — With BUMN'!R86)</f>
        <v>0</v>
      </c>
      <c r="S42" s="58" t="n">
        <f aca="false">IF('Global Inputs'!$E$36=1,'FSL Financials — Without BUMN'!S86,'FSL Financials — With BUMN'!S86)</f>
        <v>0</v>
      </c>
    </row>
    <row r="43" customFormat="false" ht="15" hidden="false" customHeight="false" outlineLevel="0" collapsed="false">
      <c r="B43" s="5" t="s">
        <v>511</v>
      </c>
    </row>
    <row r="45" customFormat="false" ht="15" hidden="false" customHeight="false" outlineLevel="0" collapsed="false">
      <c r="B45" s="22" t="s">
        <v>512</v>
      </c>
      <c r="C45" s="23"/>
      <c r="D45" s="23"/>
      <c r="E45" s="23"/>
      <c r="F45" s="23"/>
      <c r="G45" s="23"/>
      <c r="H45" s="23"/>
      <c r="I45" s="23"/>
      <c r="J45" s="23"/>
      <c r="K45" s="23"/>
      <c r="L45" s="23"/>
      <c r="M45" s="23"/>
      <c r="N45" s="23"/>
      <c r="O45" s="23"/>
      <c r="P45" s="23"/>
      <c r="Q45" s="23"/>
      <c r="R45" s="23"/>
      <c r="S45" s="23"/>
    </row>
    <row r="46" customFormat="false" ht="15" hidden="false" customHeight="false" outlineLevel="0" collapsed="false">
      <c r="B46" s="77" t="s">
        <v>31</v>
      </c>
      <c r="C46" s="25" t="s">
        <v>170</v>
      </c>
      <c r="E46" s="47" t="n">
        <f aca="false">SUM(F46:S46)</f>
        <v>0</v>
      </c>
      <c r="F46" s="58" t="n">
        <f aca="false">'E1 TelukLamong Output'!F31*IF('Global Inputs'!$E$36=1,'Global Inputs'!$K$89,'Global Inputs'!$L$89)</f>
        <v>-0</v>
      </c>
      <c r="G46" s="58" t="n">
        <f aca="false">'E1 TelukLamong Output'!G31*IF('Global Inputs'!$E$36=1,'Global Inputs'!$K$89,'Global Inputs'!$L$89)</f>
        <v>0</v>
      </c>
      <c r="H46" s="58" t="n">
        <f aca="false">'E1 TelukLamong Output'!H31*IF('Global Inputs'!$E$36=1,'Global Inputs'!$K$89,'Global Inputs'!$L$89)</f>
        <v>0</v>
      </c>
      <c r="I46" s="58" t="n">
        <f aca="false">'E1 TelukLamong Output'!I31*IF('Global Inputs'!$E$36=1,'Global Inputs'!$K$89,'Global Inputs'!$L$89)</f>
        <v>0</v>
      </c>
      <c r="J46" s="58" t="n">
        <f aca="false">'E1 TelukLamong Output'!J31*IF('Global Inputs'!$E$36=1,'Global Inputs'!$K$89,'Global Inputs'!$L$89)</f>
        <v>0</v>
      </c>
      <c r="K46" s="58" t="n">
        <f aca="false">'E1 TelukLamong Output'!K31*IF('Global Inputs'!$E$36=1,'Global Inputs'!$K$89,'Global Inputs'!$L$89)</f>
        <v>0</v>
      </c>
      <c r="L46" s="58" t="n">
        <f aca="false">'E1 TelukLamong Output'!L31*IF('Global Inputs'!$E$36=1,'Global Inputs'!$K$89,'Global Inputs'!$L$89)</f>
        <v>0</v>
      </c>
      <c r="M46" s="58" t="n">
        <f aca="false">'E1 TelukLamong Output'!M31*IF('Global Inputs'!$E$36=1,'Global Inputs'!$K$89,'Global Inputs'!$L$89)</f>
        <v>0</v>
      </c>
      <c r="N46" s="58" t="n">
        <f aca="false">'E1 TelukLamong Output'!N31*IF('Global Inputs'!$E$36=1,'Global Inputs'!$K$89,'Global Inputs'!$L$89)</f>
        <v>0</v>
      </c>
      <c r="O46" s="58" t="n">
        <f aca="false">'E1 TelukLamong Output'!O31*IF('Global Inputs'!$E$36=1,'Global Inputs'!$K$89,'Global Inputs'!$L$89)</f>
        <v>0</v>
      </c>
      <c r="P46" s="58" t="n">
        <f aca="false">'E1 TelukLamong Output'!P31*IF('Global Inputs'!$E$36=1,'Global Inputs'!$K$89,'Global Inputs'!$L$89)</f>
        <v>0</v>
      </c>
      <c r="Q46" s="58" t="n">
        <f aca="false">'E1 TelukLamong Output'!Q31*IF('Global Inputs'!$E$36=1,'Global Inputs'!$K$89,'Global Inputs'!$L$89)</f>
        <v>0</v>
      </c>
      <c r="R46" s="58" t="n">
        <f aca="false">'E1 TelukLamong Output'!R31*IF('Global Inputs'!$E$36=1,'Global Inputs'!$K$89,'Global Inputs'!$L$89)</f>
        <v>0</v>
      </c>
      <c r="S46" s="58" t="n">
        <f aca="false">'E1 TelukLamong Output'!S31*IF('Global Inputs'!$E$36=1,'Global Inputs'!$K$89,'Global Inputs'!$L$89)</f>
        <v>0</v>
      </c>
    </row>
    <row r="47" customFormat="false" ht="15" hidden="false" customHeight="false" outlineLevel="0" collapsed="false">
      <c r="B47" s="77" t="s">
        <v>34</v>
      </c>
      <c r="C47" s="25" t="s">
        <v>170</v>
      </c>
      <c r="E47" s="47" t="n">
        <f aca="false">SUM(F47:S47)</f>
        <v>0</v>
      </c>
      <c r="F47" s="58" t="n">
        <f aca="false">'E2 CigadingExist Output'!F31*IF('Global Inputs'!$E$36=1,'Global Inputs'!$K$90,'Global Inputs'!$L$90)</f>
        <v>-0</v>
      </c>
      <c r="G47" s="58" t="n">
        <f aca="false">'E2 CigadingExist Output'!G31*IF('Global Inputs'!$E$36=1,'Global Inputs'!$K$90,'Global Inputs'!$L$90)</f>
        <v>0</v>
      </c>
      <c r="H47" s="58" t="n">
        <f aca="false">'E2 CigadingExist Output'!H31*IF('Global Inputs'!$E$36=1,'Global Inputs'!$K$90,'Global Inputs'!$L$90)</f>
        <v>0</v>
      </c>
      <c r="I47" s="58" t="n">
        <f aca="false">'E2 CigadingExist Output'!I31*IF('Global Inputs'!$E$36=1,'Global Inputs'!$K$90,'Global Inputs'!$L$90)</f>
        <v>0</v>
      </c>
      <c r="J47" s="58" t="n">
        <f aca="false">'E2 CigadingExist Output'!J31*IF('Global Inputs'!$E$36=1,'Global Inputs'!$K$90,'Global Inputs'!$L$90)</f>
        <v>0</v>
      </c>
      <c r="K47" s="58" t="n">
        <f aca="false">'E2 CigadingExist Output'!K31*IF('Global Inputs'!$E$36=1,'Global Inputs'!$K$90,'Global Inputs'!$L$90)</f>
        <v>0</v>
      </c>
      <c r="L47" s="58" t="n">
        <f aca="false">'E2 CigadingExist Output'!L31*IF('Global Inputs'!$E$36=1,'Global Inputs'!$K$90,'Global Inputs'!$L$90)</f>
        <v>0</v>
      </c>
      <c r="M47" s="58" t="n">
        <f aca="false">'E2 CigadingExist Output'!M31*IF('Global Inputs'!$E$36=1,'Global Inputs'!$K$90,'Global Inputs'!$L$90)</f>
        <v>0</v>
      </c>
      <c r="N47" s="58" t="n">
        <f aca="false">'E2 CigadingExist Output'!N31*IF('Global Inputs'!$E$36=1,'Global Inputs'!$K$90,'Global Inputs'!$L$90)</f>
        <v>0</v>
      </c>
      <c r="O47" s="58" t="n">
        <f aca="false">'E2 CigadingExist Output'!O31*IF('Global Inputs'!$E$36=1,'Global Inputs'!$K$90,'Global Inputs'!$L$90)</f>
        <v>0</v>
      </c>
      <c r="P47" s="58" t="n">
        <f aca="false">'E2 CigadingExist Output'!P31*IF('Global Inputs'!$E$36=1,'Global Inputs'!$K$90,'Global Inputs'!$L$90)</f>
        <v>0</v>
      </c>
      <c r="Q47" s="58" t="n">
        <f aca="false">'E2 CigadingExist Output'!Q31*IF('Global Inputs'!$E$36=1,'Global Inputs'!$K$90,'Global Inputs'!$L$90)</f>
        <v>0</v>
      </c>
      <c r="R47" s="58" t="n">
        <f aca="false">'E2 CigadingExist Output'!R31*IF('Global Inputs'!$E$36=1,'Global Inputs'!$K$90,'Global Inputs'!$L$90)</f>
        <v>0</v>
      </c>
      <c r="S47" s="58" t="n">
        <f aca="false">'E2 CigadingExist Output'!S31*IF('Global Inputs'!$E$36=1,'Global Inputs'!$K$90,'Global Inputs'!$L$90)</f>
        <v>0</v>
      </c>
    </row>
    <row r="48" customFormat="false" ht="15" hidden="false" customHeight="false" outlineLevel="0" collapsed="false">
      <c r="B48" s="77" t="s">
        <v>37</v>
      </c>
      <c r="C48" s="25" t="s">
        <v>170</v>
      </c>
      <c r="E48" s="47" t="n">
        <f aca="false">SUM(F48:S48)</f>
        <v>184.216685099943</v>
      </c>
      <c r="F48" s="58" t="n">
        <f aca="false">'E3 Belawan Output'!F31*IF('Global Inputs'!$E$36=1,'Global Inputs'!$K$91,'Global Inputs'!$L$91)</f>
        <v>-0</v>
      </c>
      <c r="G48" s="58" t="n">
        <f aca="false">'E3 Belawan Output'!G31*IF('Global Inputs'!$E$36=1,'Global Inputs'!$K$91,'Global Inputs'!$L$91)</f>
        <v>0</v>
      </c>
      <c r="H48" s="58" t="n">
        <f aca="false">'E3 Belawan Output'!H31*IF('Global Inputs'!$E$36=1,'Global Inputs'!$K$91,'Global Inputs'!$L$91)</f>
        <v>0</v>
      </c>
      <c r="I48" s="58" t="n">
        <f aca="false">'E3 Belawan Output'!I31*IF('Global Inputs'!$E$36=1,'Global Inputs'!$K$91,'Global Inputs'!$L$91)</f>
        <v>96.2339926558447</v>
      </c>
      <c r="J48" s="58" t="n">
        <f aca="false">'E3 Belawan Output'!J31*IF('Global Inputs'!$E$36=1,'Global Inputs'!$K$91,'Global Inputs'!$L$91)</f>
        <v>87.9826924440988</v>
      </c>
      <c r="K48" s="58" t="n">
        <f aca="false">'E3 Belawan Output'!K31*IF('Global Inputs'!$E$36=1,'Global Inputs'!$K$91,'Global Inputs'!$L$91)</f>
        <v>0</v>
      </c>
      <c r="L48" s="58" t="n">
        <f aca="false">'E3 Belawan Output'!L31*IF('Global Inputs'!$E$36=1,'Global Inputs'!$K$91,'Global Inputs'!$L$91)</f>
        <v>0</v>
      </c>
      <c r="M48" s="58" t="n">
        <f aca="false">'E3 Belawan Output'!M31*IF('Global Inputs'!$E$36=1,'Global Inputs'!$K$91,'Global Inputs'!$L$91)</f>
        <v>0</v>
      </c>
      <c r="N48" s="58" t="n">
        <f aca="false">'E3 Belawan Output'!N31*IF('Global Inputs'!$E$36=1,'Global Inputs'!$K$91,'Global Inputs'!$L$91)</f>
        <v>0</v>
      </c>
      <c r="O48" s="58" t="n">
        <f aca="false">'E3 Belawan Output'!O31*IF('Global Inputs'!$E$36=1,'Global Inputs'!$K$91,'Global Inputs'!$L$91)</f>
        <v>0</v>
      </c>
      <c r="P48" s="58" t="n">
        <f aca="false">'E3 Belawan Output'!P31*IF('Global Inputs'!$E$36=1,'Global Inputs'!$K$91,'Global Inputs'!$L$91)</f>
        <v>0</v>
      </c>
      <c r="Q48" s="58" t="n">
        <f aca="false">'E3 Belawan Output'!Q31*IF('Global Inputs'!$E$36=1,'Global Inputs'!$K$91,'Global Inputs'!$L$91)</f>
        <v>0</v>
      </c>
      <c r="R48" s="58" t="n">
        <f aca="false">'E3 Belawan Output'!R31*IF('Global Inputs'!$E$36=1,'Global Inputs'!$K$91,'Global Inputs'!$L$91)</f>
        <v>0</v>
      </c>
      <c r="S48" s="58" t="n">
        <f aca="false">'E3 Belawan Output'!S31*IF('Global Inputs'!$E$36=1,'Global Inputs'!$K$91,'Global Inputs'!$L$91)</f>
        <v>0</v>
      </c>
    </row>
    <row r="49" customFormat="false" ht="15" hidden="false" customHeight="false" outlineLevel="0" collapsed="false">
      <c r="B49" s="77" t="s">
        <v>40</v>
      </c>
      <c r="C49" s="25" t="s">
        <v>170</v>
      </c>
      <c r="E49" s="47" t="n">
        <f aca="false">SUM(F49:S49)</f>
        <v>0</v>
      </c>
      <c r="F49" s="58" t="n">
        <f aca="false">'E4 WIN Output'!F31*IF('Global Inputs'!$E$36=1,'Global Inputs'!$K$92,'Global Inputs'!$L$92)</f>
        <v>-0</v>
      </c>
      <c r="G49" s="58" t="n">
        <f aca="false">'E4 WIN Output'!G31*IF('Global Inputs'!$E$36=1,'Global Inputs'!$K$92,'Global Inputs'!$L$92)</f>
        <v>0</v>
      </c>
      <c r="H49" s="58" t="n">
        <f aca="false">'E4 WIN Output'!H31*IF('Global Inputs'!$E$36=1,'Global Inputs'!$K$92,'Global Inputs'!$L$92)</f>
        <v>0</v>
      </c>
      <c r="I49" s="58" t="n">
        <f aca="false">'E4 WIN Output'!I31*IF('Global Inputs'!$E$36=1,'Global Inputs'!$K$92,'Global Inputs'!$L$92)</f>
        <v>0</v>
      </c>
      <c r="J49" s="58" t="n">
        <f aca="false">'E4 WIN Output'!J31*IF('Global Inputs'!$E$36=1,'Global Inputs'!$K$92,'Global Inputs'!$L$92)</f>
        <v>0</v>
      </c>
      <c r="K49" s="58" t="n">
        <f aca="false">'E4 WIN Output'!K31*IF('Global Inputs'!$E$36=1,'Global Inputs'!$K$92,'Global Inputs'!$L$92)</f>
        <v>0</v>
      </c>
      <c r="L49" s="58" t="n">
        <f aca="false">'E4 WIN Output'!L31*IF('Global Inputs'!$E$36=1,'Global Inputs'!$K$92,'Global Inputs'!$L$92)</f>
        <v>0</v>
      </c>
      <c r="M49" s="58" t="n">
        <f aca="false">'E4 WIN Output'!M31*IF('Global Inputs'!$E$36=1,'Global Inputs'!$K$92,'Global Inputs'!$L$92)</f>
        <v>0</v>
      </c>
      <c r="N49" s="58" t="n">
        <f aca="false">'E4 WIN Output'!N31*IF('Global Inputs'!$E$36=1,'Global Inputs'!$K$92,'Global Inputs'!$L$92)</f>
        <v>0</v>
      </c>
      <c r="O49" s="58" t="n">
        <f aca="false">'E4 WIN Output'!O31*IF('Global Inputs'!$E$36=1,'Global Inputs'!$K$92,'Global Inputs'!$L$92)</f>
        <v>0</v>
      </c>
      <c r="P49" s="58" t="n">
        <f aca="false">'E4 WIN Output'!P31*IF('Global Inputs'!$E$36=1,'Global Inputs'!$K$92,'Global Inputs'!$L$92)</f>
        <v>0</v>
      </c>
      <c r="Q49" s="58" t="n">
        <f aca="false">'E4 WIN Output'!Q31*IF('Global Inputs'!$E$36=1,'Global Inputs'!$K$92,'Global Inputs'!$L$92)</f>
        <v>0</v>
      </c>
      <c r="R49" s="58" t="n">
        <f aca="false">'E4 WIN Output'!R31*IF('Global Inputs'!$E$36=1,'Global Inputs'!$K$92,'Global Inputs'!$L$92)</f>
        <v>0</v>
      </c>
      <c r="S49" s="58" t="n">
        <f aca="false">'E4 WIN Output'!S31*IF('Global Inputs'!$E$36=1,'Global Inputs'!$K$92,'Global Inputs'!$L$92)</f>
        <v>0</v>
      </c>
    </row>
    <row r="50" customFormat="false" ht="15" hidden="false" customHeight="false" outlineLevel="0" collapsed="false">
      <c r="B50" s="77" t="s">
        <v>43</v>
      </c>
      <c r="C50" s="25" t="s">
        <v>170</v>
      </c>
      <c r="E50" s="47" t="n">
        <f aca="false">SUM(F50:S50)</f>
        <v>200.0595</v>
      </c>
      <c r="F50" s="58" t="n">
        <f aca="false">'P01 CigWharf2 Output'!F31*IF('Global Inputs'!$E$36=1,'Global Inputs'!$K$93,'Global Inputs'!$L$93)</f>
        <v>162.65</v>
      </c>
      <c r="G50" s="58" t="n">
        <f aca="false">'P01 CigWharf2 Output'!G31*IF('Global Inputs'!$E$36=1,'Global Inputs'!$K$93,'Global Inputs'!$L$93)</f>
        <v>37.4095</v>
      </c>
      <c r="H50" s="58" t="n">
        <f aca="false">'P01 CigWharf2 Output'!H31*IF('Global Inputs'!$E$36=1,'Global Inputs'!$K$93,'Global Inputs'!$L$93)</f>
        <v>0</v>
      </c>
      <c r="I50" s="58" t="n">
        <f aca="false">'P01 CigWharf2 Output'!I31*IF('Global Inputs'!$E$36=1,'Global Inputs'!$K$93,'Global Inputs'!$L$93)</f>
        <v>0</v>
      </c>
      <c r="J50" s="58" t="n">
        <f aca="false">'P01 CigWharf2 Output'!J31*IF('Global Inputs'!$E$36=1,'Global Inputs'!$K$93,'Global Inputs'!$L$93)</f>
        <v>0</v>
      </c>
      <c r="K50" s="58" t="n">
        <f aca="false">'P01 CigWharf2 Output'!K31*IF('Global Inputs'!$E$36=1,'Global Inputs'!$K$93,'Global Inputs'!$L$93)</f>
        <v>0</v>
      </c>
      <c r="L50" s="58" t="n">
        <f aca="false">'P01 CigWharf2 Output'!L31*IF('Global Inputs'!$E$36=1,'Global Inputs'!$K$93,'Global Inputs'!$L$93)</f>
        <v>0</v>
      </c>
      <c r="M50" s="58" t="n">
        <f aca="false">'P01 CigWharf2 Output'!M31*IF('Global Inputs'!$E$36=1,'Global Inputs'!$K$93,'Global Inputs'!$L$93)</f>
        <v>0</v>
      </c>
      <c r="N50" s="58" t="n">
        <f aca="false">'P01 CigWharf2 Output'!N31*IF('Global Inputs'!$E$36=1,'Global Inputs'!$K$93,'Global Inputs'!$L$93)</f>
        <v>0</v>
      </c>
      <c r="O50" s="58" t="n">
        <f aca="false">'P01 CigWharf2 Output'!O31*IF('Global Inputs'!$E$36=1,'Global Inputs'!$K$93,'Global Inputs'!$L$93)</f>
        <v>0</v>
      </c>
      <c r="P50" s="58" t="n">
        <f aca="false">'P01 CigWharf2 Output'!P31*IF('Global Inputs'!$E$36=1,'Global Inputs'!$K$93,'Global Inputs'!$L$93)</f>
        <v>0</v>
      </c>
      <c r="Q50" s="58" t="n">
        <f aca="false">'P01 CigWharf2 Output'!Q31*IF('Global Inputs'!$E$36=1,'Global Inputs'!$K$93,'Global Inputs'!$L$93)</f>
        <v>0</v>
      </c>
      <c r="R50" s="58" t="n">
        <f aca="false">'P01 CigWharf2 Output'!R31*IF('Global Inputs'!$E$36=1,'Global Inputs'!$K$93,'Global Inputs'!$L$93)</f>
        <v>0</v>
      </c>
      <c r="S50" s="58" t="n">
        <f aca="false">'P01 CigWharf2 Output'!S31*IF('Global Inputs'!$E$36=1,'Global Inputs'!$K$93,'Global Inputs'!$L$93)</f>
        <v>0</v>
      </c>
    </row>
    <row r="51" customFormat="false" ht="15" hidden="false" customHeight="false" outlineLevel="0" collapsed="false">
      <c r="B51" s="77" t="s">
        <v>46</v>
      </c>
      <c r="C51" s="25" t="s">
        <v>170</v>
      </c>
      <c r="E51" s="47" t="n">
        <f aca="false">SUM(F51:S51)</f>
        <v>123.614</v>
      </c>
      <c r="F51" s="58" t="n">
        <f aca="false">'P02 CigConveyor Output'!F31*IF('Global Inputs'!$E$36=1,'Global Inputs'!$K$94,'Global Inputs'!$L$94)</f>
        <v>35.783</v>
      </c>
      <c r="G51" s="58" t="n">
        <f aca="false">'P02 CigConveyor Output'!G31*IF('Global Inputs'!$E$36=1,'Global Inputs'!$K$94,'Global Inputs'!$L$94)</f>
        <v>87.831</v>
      </c>
      <c r="H51" s="58" t="n">
        <f aca="false">'P02 CigConveyor Output'!H31*IF('Global Inputs'!$E$36=1,'Global Inputs'!$K$94,'Global Inputs'!$L$94)</f>
        <v>0</v>
      </c>
      <c r="I51" s="58" t="n">
        <f aca="false">'P02 CigConveyor Output'!I31*IF('Global Inputs'!$E$36=1,'Global Inputs'!$K$94,'Global Inputs'!$L$94)</f>
        <v>0</v>
      </c>
      <c r="J51" s="58" t="n">
        <f aca="false">'P02 CigConveyor Output'!J31*IF('Global Inputs'!$E$36=1,'Global Inputs'!$K$94,'Global Inputs'!$L$94)</f>
        <v>0</v>
      </c>
      <c r="K51" s="58" t="n">
        <f aca="false">'P02 CigConveyor Output'!K31*IF('Global Inputs'!$E$36=1,'Global Inputs'!$K$94,'Global Inputs'!$L$94)</f>
        <v>0</v>
      </c>
      <c r="L51" s="58" t="n">
        <f aca="false">'P02 CigConveyor Output'!L31*IF('Global Inputs'!$E$36=1,'Global Inputs'!$K$94,'Global Inputs'!$L$94)</f>
        <v>0</v>
      </c>
      <c r="M51" s="58" t="n">
        <f aca="false">'P02 CigConveyor Output'!M31*IF('Global Inputs'!$E$36=1,'Global Inputs'!$K$94,'Global Inputs'!$L$94)</f>
        <v>0</v>
      </c>
      <c r="N51" s="58" t="n">
        <f aca="false">'P02 CigConveyor Output'!N31*IF('Global Inputs'!$E$36=1,'Global Inputs'!$K$94,'Global Inputs'!$L$94)</f>
        <v>0</v>
      </c>
      <c r="O51" s="58" t="n">
        <f aca="false">'P02 CigConveyor Output'!O31*IF('Global Inputs'!$E$36=1,'Global Inputs'!$K$94,'Global Inputs'!$L$94)</f>
        <v>0</v>
      </c>
      <c r="P51" s="58" t="n">
        <f aca="false">'P02 CigConveyor Output'!P31*IF('Global Inputs'!$E$36=1,'Global Inputs'!$K$94,'Global Inputs'!$L$94)</f>
        <v>0</v>
      </c>
      <c r="Q51" s="58" t="n">
        <f aca="false">'P02 CigConveyor Output'!Q31*IF('Global Inputs'!$E$36=1,'Global Inputs'!$K$94,'Global Inputs'!$L$94)</f>
        <v>0</v>
      </c>
      <c r="R51" s="58" t="n">
        <f aca="false">'P02 CigConveyor Output'!R31*IF('Global Inputs'!$E$36=1,'Global Inputs'!$K$94,'Global Inputs'!$L$94)</f>
        <v>0</v>
      </c>
      <c r="S51" s="58" t="n">
        <f aca="false">'P02 CigConveyor Output'!S31*IF('Global Inputs'!$E$36=1,'Global Inputs'!$K$94,'Global Inputs'!$L$94)</f>
        <v>0</v>
      </c>
    </row>
    <row r="52" customFormat="false" ht="15" hidden="false" customHeight="false" outlineLevel="0" collapsed="false">
      <c r="B52" s="77" t="s">
        <v>48</v>
      </c>
      <c r="C52" s="25" t="s">
        <v>170</v>
      </c>
      <c r="E52" s="47" t="n">
        <f aca="false">SUM(F52:S52)</f>
        <v>97.98995635</v>
      </c>
      <c r="F52" s="58" t="n">
        <f aca="false">'P03 KBSWarehouse Output'!F31*IF('Global Inputs'!$E$36=1,'Global Inputs'!$K$95,'Global Inputs'!$L$95)</f>
        <v>-0</v>
      </c>
      <c r="G52" s="58" t="n">
        <f aca="false">'P03 KBSWarehouse Output'!G31*IF('Global Inputs'!$E$36=1,'Global Inputs'!$K$95,'Global Inputs'!$L$95)</f>
        <v>-0</v>
      </c>
      <c r="H52" s="58" t="n">
        <f aca="false">'P03 KBSWarehouse Output'!H31*IF('Global Inputs'!$E$36=1,'Global Inputs'!$K$95,'Global Inputs'!$L$95)</f>
        <v>-0</v>
      </c>
      <c r="I52" s="58" t="n">
        <f aca="false">'P03 KBSWarehouse Output'!I31*IF('Global Inputs'!$E$36=1,'Global Inputs'!$K$95,'Global Inputs'!$L$95)</f>
        <v>97.98995635</v>
      </c>
      <c r="J52" s="58" t="n">
        <f aca="false">'P03 KBSWarehouse Output'!J31*IF('Global Inputs'!$E$36=1,'Global Inputs'!$K$95,'Global Inputs'!$L$95)</f>
        <v>0</v>
      </c>
      <c r="K52" s="58" t="n">
        <f aca="false">'P03 KBSWarehouse Output'!K31*IF('Global Inputs'!$E$36=1,'Global Inputs'!$K$95,'Global Inputs'!$L$95)</f>
        <v>0</v>
      </c>
      <c r="L52" s="58" t="n">
        <f aca="false">'P03 KBSWarehouse Output'!L31*IF('Global Inputs'!$E$36=1,'Global Inputs'!$K$95,'Global Inputs'!$L$95)</f>
        <v>0</v>
      </c>
      <c r="M52" s="58" t="n">
        <f aca="false">'P03 KBSWarehouse Output'!M31*IF('Global Inputs'!$E$36=1,'Global Inputs'!$K$95,'Global Inputs'!$L$95)</f>
        <v>0</v>
      </c>
      <c r="N52" s="58" t="n">
        <f aca="false">'P03 KBSWarehouse Output'!N31*IF('Global Inputs'!$E$36=1,'Global Inputs'!$K$95,'Global Inputs'!$L$95)</f>
        <v>0</v>
      </c>
      <c r="O52" s="58" t="n">
        <f aca="false">'P03 KBSWarehouse Output'!O31*IF('Global Inputs'!$E$36=1,'Global Inputs'!$K$95,'Global Inputs'!$L$95)</f>
        <v>0</v>
      </c>
      <c r="P52" s="58" t="n">
        <f aca="false">'P03 KBSWarehouse Output'!P31*IF('Global Inputs'!$E$36=1,'Global Inputs'!$K$95,'Global Inputs'!$L$95)</f>
        <v>0</v>
      </c>
      <c r="Q52" s="58" t="n">
        <f aca="false">'P03 KBSWarehouse Output'!Q31*IF('Global Inputs'!$E$36=1,'Global Inputs'!$K$95,'Global Inputs'!$L$95)</f>
        <v>0</v>
      </c>
      <c r="R52" s="58" t="n">
        <f aca="false">'P03 KBSWarehouse Output'!R31*IF('Global Inputs'!$E$36=1,'Global Inputs'!$K$95,'Global Inputs'!$L$95)</f>
        <v>0</v>
      </c>
      <c r="S52" s="58" t="n">
        <f aca="false">'P03 KBSWarehouse Output'!S31*IF('Global Inputs'!$E$36=1,'Global Inputs'!$K$95,'Global Inputs'!$L$95)</f>
        <v>0</v>
      </c>
    </row>
    <row r="53" customFormat="false" ht="15" hidden="false" customHeight="false" outlineLevel="0" collapsed="false">
      <c r="B53" s="77" t="s">
        <v>51</v>
      </c>
      <c r="C53" s="25" t="s">
        <v>170</v>
      </c>
      <c r="E53" s="47" t="n">
        <f aca="false">SUM(F53:S53)</f>
        <v>61.1938095</v>
      </c>
      <c r="F53" s="58" t="n">
        <f aca="false">'P04 TTLSilo Output'!F31*IF('Global Inputs'!$E$36=1,'Global Inputs'!$K$96,'Global Inputs'!$L$96)</f>
        <v>-0</v>
      </c>
      <c r="G53" s="58" t="n">
        <f aca="false">'P04 TTLSilo Output'!G31*IF('Global Inputs'!$E$36=1,'Global Inputs'!$K$96,'Global Inputs'!$L$96)</f>
        <v>-0</v>
      </c>
      <c r="H53" s="58" t="n">
        <f aca="false">'P04 TTLSilo Output'!H31*IF('Global Inputs'!$E$36=1,'Global Inputs'!$K$96,'Global Inputs'!$L$96)</f>
        <v>-0</v>
      </c>
      <c r="I53" s="58" t="n">
        <f aca="false">'P04 TTLSilo Output'!I31*IF('Global Inputs'!$E$36=1,'Global Inputs'!$K$96,'Global Inputs'!$L$96)</f>
        <v>61.1938095</v>
      </c>
      <c r="J53" s="58" t="n">
        <f aca="false">'P04 TTLSilo Output'!J31*IF('Global Inputs'!$E$36=1,'Global Inputs'!$K$96,'Global Inputs'!$L$96)</f>
        <v>0</v>
      </c>
      <c r="K53" s="58" t="n">
        <f aca="false">'P04 TTLSilo Output'!K31*IF('Global Inputs'!$E$36=1,'Global Inputs'!$K$96,'Global Inputs'!$L$96)</f>
        <v>0</v>
      </c>
      <c r="L53" s="58" t="n">
        <f aca="false">'P04 TTLSilo Output'!L31*IF('Global Inputs'!$E$36=1,'Global Inputs'!$K$96,'Global Inputs'!$L$96)</f>
        <v>0</v>
      </c>
      <c r="M53" s="58" t="n">
        <f aca="false">'P04 TTLSilo Output'!M31*IF('Global Inputs'!$E$36=1,'Global Inputs'!$K$96,'Global Inputs'!$L$96)</f>
        <v>0</v>
      </c>
      <c r="N53" s="58" t="n">
        <f aca="false">'P04 TTLSilo Output'!N31*IF('Global Inputs'!$E$36=1,'Global Inputs'!$K$96,'Global Inputs'!$L$96)</f>
        <v>0</v>
      </c>
      <c r="O53" s="58" t="n">
        <f aca="false">'P04 TTLSilo Output'!O31*IF('Global Inputs'!$E$36=1,'Global Inputs'!$K$96,'Global Inputs'!$L$96)</f>
        <v>0</v>
      </c>
      <c r="P53" s="58" t="n">
        <f aca="false">'P04 TTLSilo Output'!P31*IF('Global Inputs'!$E$36=1,'Global Inputs'!$K$96,'Global Inputs'!$L$96)</f>
        <v>0</v>
      </c>
      <c r="Q53" s="58" t="n">
        <f aca="false">'P04 TTLSilo Output'!Q31*IF('Global Inputs'!$E$36=1,'Global Inputs'!$K$96,'Global Inputs'!$L$96)</f>
        <v>0</v>
      </c>
      <c r="R53" s="58" t="n">
        <f aca="false">'P04 TTLSilo Output'!R31*IF('Global Inputs'!$E$36=1,'Global Inputs'!$K$96,'Global Inputs'!$L$96)</f>
        <v>0</v>
      </c>
      <c r="S53" s="58" t="n">
        <f aca="false">'P04 TTLSilo Output'!S31*IF('Global Inputs'!$E$36=1,'Global Inputs'!$K$96,'Global Inputs'!$L$96)</f>
        <v>0</v>
      </c>
    </row>
    <row r="54" customFormat="false" ht="15" hidden="false" customHeight="false" outlineLevel="0" collapsed="false">
      <c r="B54" s="77" t="s">
        <v>54</v>
      </c>
      <c r="C54" s="25" t="s">
        <v>170</v>
      </c>
      <c r="E54" s="47" t="n">
        <f aca="false">SUM(F54:S54)</f>
        <v>89.4589934275323</v>
      </c>
      <c r="F54" s="58" t="n">
        <f aca="false">'P05 Dumai Output'!F31*IF('Global Inputs'!$E$36=1,'Global Inputs'!$K$97,'Global Inputs'!$L$97)</f>
        <v>-0</v>
      </c>
      <c r="G54" s="58" t="n">
        <f aca="false">'P05 Dumai Output'!G31*IF('Global Inputs'!$E$36=1,'Global Inputs'!$K$97,'Global Inputs'!$L$97)</f>
        <v>-0</v>
      </c>
      <c r="H54" s="58" t="n">
        <f aca="false">'P05 Dumai Output'!H31*IF('Global Inputs'!$E$36=1,'Global Inputs'!$K$97,'Global Inputs'!$L$97)</f>
        <v>-0</v>
      </c>
      <c r="I54" s="58" t="n">
        <f aca="false">'P05 Dumai Output'!I31*IF('Global Inputs'!$E$36=1,'Global Inputs'!$K$97,'Global Inputs'!$L$97)</f>
        <v>89.4589934275323</v>
      </c>
      <c r="J54" s="58" t="n">
        <f aca="false">'P05 Dumai Output'!J31*IF('Global Inputs'!$E$36=1,'Global Inputs'!$K$97,'Global Inputs'!$L$97)</f>
        <v>0</v>
      </c>
      <c r="K54" s="58" t="n">
        <f aca="false">'P05 Dumai Output'!K31*IF('Global Inputs'!$E$36=1,'Global Inputs'!$K$97,'Global Inputs'!$L$97)</f>
        <v>0</v>
      </c>
      <c r="L54" s="58" t="n">
        <f aca="false">'P05 Dumai Output'!L31*IF('Global Inputs'!$E$36=1,'Global Inputs'!$K$97,'Global Inputs'!$L$97)</f>
        <v>0</v>
      </c>
      <c r="M54" s="58" t="n">
        <f aca="false">'P05 Dumai Output'!M31*IF('Global Inputs'!$E$36=1,'Global Inputs'!$K$97,'Global Inputs'!$L$97)</f>
        <v>0</v>
      </c>
      <c r="N54" s="58" t="n">
        <f aca="false">'P05 Dumai Output'!N31*IF('Global Inputs'!$E$36=1,'Global Inputs'!$K$97,'Global Inputs'!$L$97)</f>
        <v>0</v>
      </c>
      <c r="O54" s="58" t="n">
        <f aca="false">'P05 Dumai Output'!O31*IF('Global Inputs'!$E$36=1,'Global Inputs'!$K$97,'Global Inputs'!$L$97)</f>
        <v>0</v>
      </c>
      <c r="P54" s="58" t="n">
        <f aca="false">'P05 Dumai Output'!P31*IF('Global Inputs'!$E$36=1,'Global Inputs'!$K$97,'Global Inputs'!$L$97)</f>
        <v>0</v>
      </c>
      <c r="Q54" s="58" t="n">
        <f aca="false">'P05 Dumai Output'!Q31*IF('Global Inputs'!$E$36=1,'Global Inputs'!$K$97,'Global Inputs'!$L$97)</f>
        <v>0</v>
      </c>
      <c r="R54" s="58" t="n">
        <f aca="false">'P05 Dumai Output'!R31*IF('Global Inputs'!$E$36=1,'Global Inputs'!$K$97,'Global Inputs'!$L$97)</f>
        <v>0</v>
      </c>
      <c r="S54" s="58" t="n">
        <f aca="false">'P05 Dumai Output'!S31*IF('Global Inputs'!$E$36=1,'Global Inputs'!$K$97,'Global Inputs'!$L$97)</f>
        <v>0</v>
      </c>
    </row>
    <row r="55" customFormat="false" ht="15" hidden="false" customHeight="false" outlineLevel="0" collapsed="false">
      <c r="B55" s="77" t="s">
        <v>57</v>
      </c>
      <c r="C55" s="25" t="s">
        <v>170</v>
      </c>
      <c r="E55" s="47" t="n">
        <f aca="false">SUM(F55:S55)</f>
        <v>81.725</v>
      </c>
      <c r="F55" s="58" t="n">
        <f aca="false">'P06 Ciwandan Output'!F31*IF('Global Inputs'!$E$36=1,'Global Inputs'!$K$98,'Global Inputs'!$L$98)</f>
        <v>-0</v>
      </c>
      <c r="G55" s="58" t="n">
        <f aca="false">'P06 Ciwandan Output'!G31*IF('Global Inputs'!$E$36=1,'Global Inputs'!$K$98,'Global Inputs'!$L$98)</f>
        <v>-0</v>
      </c>
      <c r="H55" s="58" t="n">
        <f aca="false">'P06 Ciwandan Output'!H31*IF('Global Inputs'!$E$36=1,'Global Inputs'!$K$98,'Global Inputs'!$L$98)</f>
        <v>-0</v>
      </c>
      <c r="I55" s="58" t="n">
        <f aca="false">'P06 Ciwandan Output'!I31*IF('Global Inputs'!$E$36=1,'Global Inputs'!$K$98,'Global Inputs'!$L$98)</f>
        <v>40.8625</v>
      </c>
      <c r="J55" s="58" t="n">
        <f aca="false">'P06 Ciwandan Output'!J31*IF('Global Inputs'!$E$36=1,'Global Inputs'!$K$98,'Global Inputs'!$L$98)</f>
        <v>40.8625</v>
      </c>
      <c r="K55" s="58" t="n">
        <f aca="false">'P06 Ciwandan Output'!K31*IF('Global Inputs'!$E$36=1,'Global Inputs'!$K$98,'Global Inputs'!$L$98)</f>
        <v>0</v>
      </c>
      <c r="L55" s="58" t="n">
        <f aca="false">'P06 Ciwandan Output'!L31*IF('Global Inputs'!$E$36=1,'Global Inputs'!$K$98,'Global Inputs'!$L$98)</f>
        <v>0</v>
      </c>
      <c r="M55" s="58" t="n">
        <f aca="false">'P06 Ciwandan Output'!M31*IF('Global Inputs'!$E$36=1,'Global Inputs'!$K$98,'Global Inputs'!$L$98)</f>
        <v>0</v>
      </c>
      <c r="N55" s="58" t="n">
        <f aca="false">'P06 Ciwandan Output'!N31*IF('Global Inputs'!$E$36=1,'Global Inputs'!$K$98,'Global Inputs'!$L$98)</f>
        <v>0</v>
      </c>
      <c r="O55" s="58" t="n">
        <f aca="false">'P06 Ciwandan Output'!O31*IF('Global Inputs'!$E$36=1,'Global Inputs'!$K$98,'Global Inputs'!$L$98)</f>
        <v>0</v>
      </c>
      <c r="P55" s="58" t="n">
        <f aca="false">'P06 Ciwandan Output'!P31*IF('Global Inputs'!$E$36=1,'Global Inputs'!$K$98,'Global Inputs'!$L$98)</f>
        <v>0</v>
      </c>
      <c r="Q55" s="58" t="n">
        <f aca="false">'P06 Ciwandan Output'!Q31*IF('Global Inputs'!$E$36=1,'Global Inputs'!$K$98,'Global Inputs'!$L$98)</f>
        <v>0</v>
      </c>
      <c r="R55" s="58" t="n">
        <f aca="false">'P06 Ciwandan Output'!R31*IF('Global Inputs'!$E$36=1,'Global Inputs'!$K$98,'Global Inputs'!$L$98)</f>
        <v>0</v>
      </c>
      <c r="S55" s="58" t="n">
        <f aca="false">'P06 Ciwandan Output'!S31*IF('Global Inputs'!$E$36=1,'Global Inputs'!$K$98,'Global Inputs'!$L$98)</f>
        <v>0</v>
      </c>
    </row>
    <row r="56" customFormat="false" ht="15" hidden="false" customHeight="false" outlineLevel="0" collapsed="false">
      <c r="B56" s="77" t="s">
        <v>60</v>
      </c>
      <c r="C56" s="25" t="s">
        <v>170</v>
      </c>
      <c r="E56" s="47" t="n">
        <f aca="false">SUM(F56:S56)</f>
        <v>0</v>
      </c>
      <c r="F56" s="58" t="n">
        <f aca="false">'P08 DMSTrucking Output'!F31*IF('Global Inputs'!$E$36=1,'Global Inputs'!$K$99,'Global Inputs'!$L$99)</f>
        <v>-0</v>
      </c>
      <c r="G56" s="58" t="n">
        <f aca="false">'P08 DMSTrucking Output'!G31*IF('Global Inputs'!$E$36=1,'Global Inputs'!$K$99,'Global Inputs'!$L$99)</f>
        <v>-0</v>
      </c>
      <c r="H56" s="58" t="n">
        <f aca="false">'P08 DMSTrucking Output'!H31*IF('Global Inputs'!$E$36=1,'Global Inputs'!$K$99,'Global Inputs'!$L$99)</f>
        <v>-0</v>
      </c>
      <c r="I56" s="58" t="n">
        <f aca="false">'P08 DMSTrucking Output'!I31*IF('Global Inputs'!$E$36=1,'Global Inputs'!$K$99,'Global Inputs'!$L$99)</f>
        <v>-0</v>
      </c>
      <c r="J56" s="58" t="n">
        <f aca="false">'P08 DMSTrucking Output'!J31*IF('Global Inputs'!$E$36=1,'Global Inputs'!$K$99,'Global Inputs'!$L$99)</f>
        <v>0</v>
      </c>
      <c r="K56" s="58" t="n">
        <f aca="false">'P08 DMSTrucking Output'!K31*IF('Global Inputs'!$E$36=1,'Global Inputs'!$K$99,'Global Inputs'!$L$99)</f>
        <v>0</v>
      </c>
      <c r="L56" s="58" t="n">
        <f aca="false">'P08 DMSTrucking Output'!L31*IF('Global Inputs'!$E$36=1,'Global Inputs'!$K$99,'Global Inputs'!$L$99)</f>
        <v>0</v>
      </c>
      <c r="M56" s="58" t="n">
        <f aca="false">'P08 DMSTrucking Output'!M31*IF('Global Inputs'!$E$36=1,'Global Inputs'!$K$99,'Global Inputs'!$L$99)</f>
        <v>0</v>
      </c>
      <c r="N56" s="58" t="n">
        <f aca="false">'P08 DMSTrucking Output'!N31*IF('Global Inputs'!$E$36=1,'Global Inputs'!$K$99,'Global Inputs'!$L$99)</f>
        <v>0</v>
      </c>
      <c r="O56" s="58" t="n">
        <f aca="false">'P08 DMSTrucking Output'!O31*IF('Global Inputs'!$E$36=1,'Global Inputs'!$K$99,'Global Inputs'!$L$99)</f>
        <v>0</v>
      </c>
      <c r="P56" s="58" t="n">
        <f aca="false">'P08 DMSTrucking Output'!P31*IF('Global Inputs'!$E$36=1,'Global Inputs'!$K$99,'Global Inputs'!$L$99)</f>
        <v>0</v>
      </c>
      <c r="Q56" s="58" t="n">
        <f aca="false">'P08 DMSTrucking Output'!Q31*IF('Global Inputs'!$E$36=1,'Global Inputs'!$K$99,'Global Inputs'!$L$99)</f>
        <v>0</v>
      </c>
      <c r="R56" s="58" t="n">
        <f aca="false">'P08 DMSTrucking Output'!R31*IF('Global Inputs'!$E$36=1,'Global Inputs'!$K$99,'Global Inputs'!$L$99)</f>
        <v>0</v>
      </c>
      <c r="S56" s="58" t="n">
        <f aca="false">'P08 DMSTrucking Output'!S31*IF('Global Inputs'!$E$36=1,'Global Inputs'!$K$99,'Global Inputs'!$L$99)</f>
        <v>0</v>
      </c>
    </row>
    <row r="57" customFormat="false" ht="15" hidden="false" customHeight="false" outlineLevel="0" collapsed="false">
      <c r="B57" s="77" t="s">
        <v>63</v>
      </c>
      <c r="C57" s="25" t="s">
        <v>170</v>
      </c>
      <c r="E57" s="47" t="n">
        <f aca="false">SUM(F57:S57)</f>
        <v>0</v>
      </c>
      <c r="F57" s="58" t="n">
        <f aca="false">'P12 BUMNOps Output'!F31*IF('Global Inputs'!$E$36=1,'Global Inputs'!$K$100,'Global Inputs'!$L$100)</f>
        <v>-0</v>
      </c>
      <c r="G57" s="58" t="n">
        <f aca="false">'P12 BUMNOps Output'!G31*IF('Global Inputs'!$E$36=1,'Global Inputs'!$K$100,'Global Inputs'!$L$100)</f>
        <v>-0</v>
      </c>
      <c r="H57" s="58" t="n">
        <f aca="false">'P12 BUMNOps Output'!H31*IF('Global Inputs'!$E$36=1,'Global Inputs'!$K$100,'Global Inputs'!$L$100)</f>
        <v>-0</v>
      </c>
      <c r="I57" s="58" t="n">
        <f aca="false">'P12 BUMNOps Output'!I31*IF('Global Inputs'!$E$36=1,'Global Inputs'!$K$100,'Global Inputs'!$L$100)</f>
        <v>0</v>
      </c>
      <c r="J57" s="58" t="n">
        <f aca="false">'P12 BUMNOps Output'!J31*IF('Global Inputs'!$E$36=1,'Global Inputs'!$K$100,'Global Inputs'!$L$100)</f>
        <v>0</v>
      </c>
      <c r="K57" s="58" t="n">
        <f aca="false">'P12 BUMNOps Output'!K31*IF('Global Inputs'!$E$36=1,'Global Inputs'!$K$100,'Global Inputs'!$L$100)</f>
        <v>0</v>
      </c>
      <c r="L57" s="58" t="n">
        <f aca="false">'P12 BUMNOps Output'!L31*IF('Global Inputs'!$E$36=1,'Global Inputs'!$K$100,'Global Inputs'!$L$100)</f>
        <v>0</v>
      </c>
      <c r="M57" s="58" t="n">
        <f aca="false">'P12 BUMNOps Output'!M31*IF('Global Inputs'!$E$36=1,'Global Inputs'!$K$100,'Global Inputs'!$L$100)</f>
        <v>0</v>
      </c>
      <c r="N57" s="58" t="n">
        <f aca="false">'P12 BUMNOps Output'!N31*IF('Global Inputs'!$E$36=1,'Global Inputs'!$K$100,'Global Inputs'!$L$100)</f>
        <v>0</v>
      </c>
      <c r="O57" s="58" t="n">
        <f aca="false">'P12 BUMNOps Output'!O31*IF('Global Inputs'!$E$36=1,'Global Inputs'!$K$100,'Global Inputs'!$L$100)</f>
        <v>0</v>
      </c>
      <c r="P57" s="58" t="n">
        <f aca="false">'P12 BUMNOps Output'!P31*IF('Global Inputs'!$E$36=1,'Global Inputs'!$K$100,'Global Inputs'!$L$100)</f>
        <v>0</v>
      </c>
      <c r="Q57" s="58" t="n">
        <f aca="false">'P12 BUMNOps Output'!Q31*IF('Global Inputs'!$E$36=1,'Global Inputs'!$K$100,'Global Inputs'!$L$100)</f>
        <v>0</v>
      </c>
      <c r="R57" s="58" t="n">
        <f aca="false">'P12 BUMNOps Output'!R31*IF('Global Inputs'!$E$36=1,'Global Inputs'!$K$100,'Global Inputs'!$L$100)</f>
        <v>0</v>
      </c>
      <c r="S57" s="58" t="n">
        <f aca="false">'P12 BUMNOps Output'!S31*IF('Global Inputs'!$E$36=1,'Global Inputs'!$K$100,'Global Inputs'!$L$100)</f>
        <v>0</v>
      </c>
    </row>
    <row r="58" customFormat="false" ht="15" hidden="false" customHeight="false" outlineLevel="0" collapsed="false">
      <c r="B58" s="77" t="s">
        <v>66</v>
      </c>
      <c r="C58" s="25" t="s">
        <v>170</v>
      </c>
      <c r="E58" s="47" t="n">
        <f aca="false">SUM(F58:S58)</f>
        <v>0</v>
      </c>
      <c r="F58" s="58" t="n">
        <f aca="false">'P15 TBM Output'!F31*IF('Global Inputs'!$E$36=1,'Global Inputs'!$K$101,'Global Inputs'!$L$101)</f>
        <v>-0</v>
      </c>
      <c r="G58" s="58" t="n">
        <f aca="false">'P15 TBM Output'!G31*IF('Global Inputs'!$E$36=1,'Global Inputs'!$K$101,'Global Inputs'!$L$101)</f>
        <v>-0</v>
      </c>
      <c r="H58" s="58" t="n">
        <f aca="false">'P15 TBM Output'!H31*IF('Global Inputs'!$E$36=1,'Global Inputs'!$K$101,'Global Inputs'!$L$101)</f>
        <v>0</v>
      </c>
      <c r="I58" s="58" t="n">
        <f aca="false">'P15 TBM Output'!I31*IF('Global Inputs'!$E$36=1,'Global Inputs'!$K$101,'Global Inputs'!$L$101)</f>
        <v>0</v>
      </c>
      <c r="J58" s="58" t="n">
        <f aca="false">'P15 TBM Output'!J31*IF('Global Inputs'!$E$36=1,'Global Inputs'!$K$101,'Global Inputs'!$L$101)</f>
        <v>-0</v>
      </c>
      <c r="K58" s="58" t="n">
        <f aca="false">'P15 TBM Output'!K31*IF('Global Inputs'!$E$36=1,'Global Inputs'!$K$101,'Global Inputs'!$L$101)</f>
        <v>-0</v>
      </c>
      <c r="L58" s="58" t="n">
        <f aca="false">'P15 TBM Output'!L31*IF('Global Inputs'!$E$36=1,'Global Inputs'!$K$101,'Global Inputs'!$L$101)</f>
        <v>0</v>
      </c>
      <c r="M58" s="58" t="n">
        <f aca="false">'P15 TBM Output'!M31*IF('Global Inputs'!$E$36=1,'Global Inputs'!$K$101,'Global Inputs'!$L$101)</f>
        <v>0</v>
      </c>
      <c r="N58" s="58" t="n">
        <f aca="false">'P15 TBM Output'!N31*IF('Global Inputs'!$E$36=1,'Global Inputs'!$K$101,'Global Inputs'!$L$101)</f>
        <v>0</v>
      </c>
      <c r="O58" s="58" t="n">
        <f aca="false">'P15 TBM Output'!O31*IF('Global Inputs'!$E$36=1,'Global Inputs'!$K$101,'Global Inputs'!$L$101)</f>
        <v>0</v>
      </c>
      <c r="P58" s="58" t="n">
        <f aca="false">'P15 TBM Output'!P31*IF('Global Inputs'!$E$36=1,'Global Inputs'!$K$101,'Global Inputs'!$L$101)</f>
        <v>0</v>
      </c>
      <c r="Q58" s="58" t="n">
        <f aca="false">'P15 TBM Output'!Q31*IF('Global Inputs'!$E$36=1,'Global Inputs'!$K$101,'Global Inputs'!$L$101)</f>
        <v>0</v>
      </c>
      <c r="R58" s="58" t="n">
        <f aca="false">'P15 TBM Output'!R31*IF('Global Inputs'!$E$36=1,'Global Inputs'!$K$101,'Global Inputs'!$L$101)</f>
        <v>0</v>
      </c>
      <c r="S58" s="58" t="n">
        <f aca="false">'P15 TBM Output'!S31*IF('Global Inputs'!$E$36=1,'Global Inputs'!$K$101,'Global Inputs'!$L$101)</f>
        <v>0</v>
      </c>
    </row>
    <row r="59" customFormat="false" ht="15" hidden="false" customHeight="false" outlineLevel="0" collapsed="false">
      <c r="B59" s="77" t="s">
        <v>69</v>
      </c>
      <c r="C59" s="25" t="s">
        <v>170</v>
      </c>
      <c r="E59" s="47" t="n">
        <f aca="false">SUM(F59:S59)</f>
        <v>0</v>
      </c>
      <c r="F59" s="58" t="n">
        <f aca="false">'P19 Badas Output'!F31*IF('Global Inputs'!$E$36=1,'Global Inputs'!$K$102,'Global Inputs'!$L$102)</f>
        <v>-0</v>
      </c>
      <c r="G59" s="58" t="n">
        <f aca="false">'P19 Badas Output'!G31*IF('Global Inputs'!$E$36=1,'Global Inputs'!$K$102,'Global Inputs'!$L$102)</f>
        <v>-0</v>
      </c>
      <c r="H59" s="58" t="n">
        <f aca="false">'P19 Badas Output'!H31*IF('Global Inputs'!$E$36=1,'Global Inputs'!$K$102,'Global Inputs'!$L$102)</f>
        <v>-0</v>
      </c>
      <c r="I59" s="58" t="n">
        <f aca="false">'P19 Badas Output'!I31*IF('Global Inputs'!$E$36=1,'Global Inputs'!$K$102,'Global Inputs'!$L$102)</f>
        <v>-0</v>
      </c>
      <c r="J59" s="58" t="n">
        <f aca="false">'P19 Badas Output'!J31*IF('Global Inputs'!$E$36=1,'Global Inputs'!$K$102,'Global Inputs'!$L$102)</f>
        <v>0</v>
      </c>
      <c r="K59" s="58" t="n">
        <f aca="false">'P19 Badas Output'!K31*IF('Global Inputs'!$E$36=1,'Global Inputs'!$K$102,'Global Inputs'!$L$102)</f>
        <v>0</v>
      </c>
      <c r="L59" s="58" t="n">
        <f aca="false">'P19 Badas Output'!L31*IF('Global Inputs'!$E$36=1,'Global Inputs'!$K$102,'Global Inputs'!$L$102)</f>
        <v>0</v>
      </c>
      <c r="M59" s="58" t="n">
        <f aca="false">'P19 Badas Output'!M31*IF('Global Inputs'!$E$36=1,'Global Inputs'!$K$102,'Global Inputs'!$L$102)</f>
        <v>0</v>
      </c>
      <c r="N59" s="58" t="n">
        <f aca="false">'P19 Badas Output'!N31*IF('Global Inputs'!$E$36=1,'Global Inputs'!$K$102,'Global Inputs'!$L$102)</f>
        <v>0</v>
      </c>
      <c r="O59" s="58" t="n">
        <f aca="false">'P19 Badas Output'!O31*IF('Global Inputs'!$E$36=1,'Global Inputs'!$K$102,'Global Inputs'!$L$102)</f>
        <v>0</v>
      </c>
      <c r="P59" s="58" t="n">
        <f aca="false">'P19 Badas Output'!P31*IF('Global Inputs'!$E$36=1,'Global Inputs'!$K$102,'Global Inputs'!$L$102)</f>
        <v>0</v>
      </c>
      <c r="Q59" s="58" t="n">
        <f aca="false">'P19 Badas Output'!Q31*IF('Global Inputs'!$E$36=1,'Global Inputs'!$K$102,'Global Inputs'!$L$102)</f>
        <v>0</v>
      </c>
      <c r="R59" s="58" t="n">
        <f aca="false">'P19 Badas Output'!R31*IF('Global Inputs'!$E$36=1,'Global Inputs'!$K$102,'Global Inputs'!$L$102)</f>
        <v>0</v>
      </c>
      <c r="S59" s="58" t="n">
        <f aca="false">'P19 Badas Output'!S31*IF('Global Inputs'!$E$36=1,'Global Inputs'!$K$102,'Global Inputs'!$L$102)</f>
        <v>0</v>
      </c>
    </row>
    <row r="60" customFormat="false" ht="15" hidden="false" customHeight="false" outlineLevel="0" collapsed="false">
      <c r="B60" s="69" t="s">
        <v>513</v>
      </c>
      <c r="C60" s="25" t="s">
        <v>170</v>
      </c>
      <c r="E60" s="70" t="n">
        <f aca="false">SUM(F60:S60)</f>
        <v>838.257944377476</v>
      </c>
      <c r="F60" s="68" t="n">
        <f aca="false">F46+F47+F48+F49+F50+F51+F52+F53+F54+F55+F56+F57+F58+F59</f>
        <v>198.433</v>
      </c>
      <c r="G60" s="68" t="n">
        <f aca="false">G46+G47+G48+G49+G50+G51+G52+G53+G54+G55+G56+G57+G58+G59</f>
        <v>125.2405</v>
      </c>
      <c r="H60" s="68" t="n">
        <f aca="false">H46+H47+H48+H49+H50+H51+H52+H53+H54+H55+H56+H57+H58+H59</f>
        <v>0</v>
      </c>
      <c r="I60" s="68" t="n">
        <f aca="false">I46+I47+I48+I49+I50+I51+I52+I53+I54+I55+I56+I57+I58+I59</f>
        <v>385.739251933377</v>
      </c>
      <c r="J60" s="68" t="n">
        <f aca="false">J46+J47+J48+J49+J50+J51+J52+J53+J54+J55+J56+J57+J58+J59</f>
        <v>128.845192444099</v>
      </c>
      <c r="K60" s="68" t="n">
        <f aca="false">K46+K47+K48+K49+K50+K51+K52+K53+K54+K55+K56+K57+K58+K59</f>
        <v>0</v>
      </c>
      <c r="L60" s="68" t="n">
        <f aca="false">L46+L47+L48+L49+L50+L51+L52+L53+L54+L55+L56+L57+L58+L59</f>
        <v>0</v>
      </c>
      <c r="M60" s="68" t="n">
        <f aca="false">M46+M47+M48+M49+M50+M51+M52+M53+M54+M55+M56+M57+M58+M59</f>
        <v>0</v>
      </c>
      <c r="N60" s="68" t="n">
        <f aca="false">N46+N47+N48+N49+N50+N51+N52+N53+N54+N55+N56+N57+N58+N59</f>
        <v>0</v>
      </c>
      <c r="O60" s="68" t="n">
        <f aca="false">O46+O47+O48+O49+O50+O51+O52+O53+O54+O55+O56+O57+O58+O59</f>
        <v>0</v>
      </c>
      <c r="P60" s="68" t="n">
        <f aca="false">P46+P47+P48+P49+P50+P51+P52+P53+P54+P55+P56+P57+P58+P59</f>
        <v>0</v>
      </c>
      <c r="Q60" s="68" t="n">
        <f aca="false">Q46+Q47+Q48+Q49+Q50+Q51+Q52+Q53+Q54+Q55+Q56+Q57+Q58+Q59</f>
        <v>0</v>
      </c>
      <c r="R60" s="68" t="n">
        <f aca="false">R46+R47+R48+R49+R50+R51+R52+R53+R54+R55+R56+R57+R58+R59</f>
        <v>0</v>
      </c>
      <c r="S60" s="68" t="n">
        <f aca="false">S46+S47+S48+S49+S50+S51+S52+S53+S54+S55+S56+S57+S58+S59</f>
        <v>0</v>
      </c>
    </row>
    <row r="61" customFormat="false" ht="15" hidden="false" customHeight="false" outlineLevel="0" collapsed="false">
      <c r="B61" s="24" t="s">
        <v>514</v>
      </c>
      <c r="C61" s="25" t="s">
        <v>170</v>
      </c>
      <c r="E61" s="47" t="n">
        <f aca="false">SUM(F61:S61)</f>
        <v>195.18</v>
      </c>
      <c r="F61" s="58" t="n">
        <f aca="false">Financing!F16</f>
        <v>0</v>
      </c>
      <c r="G61" s="58" t="n">
        <f aca="false">Financing!G16</f>
        <v>0</v>
      </c>
      <c r="H61" s="58" t="n">
        <f aca="false">Financing!H16</f>
        <v>0</v>
      </c>
      <c r="I61" s="58" t="n">
        <f aca="false">Financing!I16</f>
        <v>0</v>
      </c>
      <c r="J61" s="58" t="n">
        <f aca="false">Financing!J16</f>
        <v>195.18</v>
      </c>
      <c r="K61" s="58" t="n">
        <f aca="false">Financing!K16</f>
        <v>0</v>
      </c>
      <c r="L61" s="58" t="n">
        <f aca="false">Financing!L16</f>
        <v>0</v>
      </c>
      <c r="M61" s="58" t="n">
        <f aca="false">Financing!M16</f>
        <v>0</v>
      </c>
      <c r="N61" s="58" t="n">
        <f aca="false">Financing!N16</f>
        <v>0</v>
      </c>
      <c r="O61" s="58" t="n">
        <f aca="false">Financing!O16</f>
        <v>0</v>
      </c>
      <c r="P61" s="58" t="n">
        <f aca="false">Financing!P16</f>
        <v>0</v>
      </c>
      <c r="Q61" s="58" t="n">
        <f aca="false">Financing!Q16</f>
        <v>0</v>
      </c>
      <c r="R61" s="58" t="n">
        <f aca="false">Financing!R16</f>
        <v>0</v>
      </c>
      <c r="S61" s="58" t="n">
        <f aca="false">Financing!S16</f>
        <v>0</v>
      </c>
    </row>
    <row r="62" customFormat="false" ht="15" hidden="false" customHeight="false" outlineLevel="0" collapsed="false">
      <c r="B62" s="5" t="s">
        <v>515</v>
      </c>
    </row>
    <row r="64" customFormat="false" ht="15" hidden="false" customHeight="false" outlineLevel="0" collapsed="false">
      <c r="B64" s="22" t="s">
        <v>516</v>
      </c>
      <c r="C64" s="23"/>
      <c r="D64" s="23"/>
      <c r="E64" s="23"/>
      <c r="F64" s="23"/>
      <c r="G64" s="23"/>
      <c r="H64" s="23"/>
      <c r="I64" s="23"/>
      <c r="J64" s="23"/>
      <c r="K64" s="23"/>
      <c r="L64" s="23"/>
      <c r="M64" s="23"/>
      <c r="N64" s="23"/>
      <c r="O64" s="23"/>
      <c r="P64" s="23"/>
      <c r="Q64" s="23"/>
      <c r="R64" s="23"/>
      <c r="S64" s="23"/>
    </row>
    <row r="65" customFormat="false" ht="15" hidden="false" customHeight="false" outlineLevel="0" collapsed="false">
      <c r="B65" s="24" t="s">
        <v>517</v>
      </c>
      <c r="C65" s="25" t="s">
        <v>170</v>
      </c>
      <c r="E65" s="47" t="n">
        <f aca="false">SUM(F65:S65)</f>
        <v>162.65</v>
      </c>
      <c r="F65" s="58" t="n">
        <f aca="false">'P19 Badas Calculation'!F48*(1-'Global Inputs'!$E$102)*'Global Inputs'!$E$37</f>
        <v>0</v>
      </c>
      <c r="G65" s="58" t="n">
        <f aca="false">'P19 Badas Calculation'!G48*(1-'Global Inputs'!$E$102)*'Global Inputs'!$E$37</f>
        <v>0</v>
      </c>
      <c r="H65" s="58" t="n">
        <f aca="false">'P19 Badas Calculation'!H48*(1-'Global Inputs'!$E$102)*'Global Inputs'!$E$37</f>
        <v>0</v>
      </c>
      <c r="I65" s="58" t="n">
        <f aca="false">'P19 Badas Calculation'!I48*(1-'Global Inputs'!$E$102)*'Global Inputs'!$E$37</f>
        <v>0</v>
      </c>
      <c r="J65" s="58" t="n">
        <f aca="false">'P19 Badas Calculation'!J48*(1-'Global Inputs'!$E$102)*'Global Inputs'!$E$37</f>
        <v>97.59</v>
      </c>
      <c r="K65" s="58" t="n">
        <f aca="false">'P19 Badas Calculation'!K48*(1-'Global Inputs'!$E$102)*'Global Inputs'!$E$37</f>
        <v>65.06</v>
      </c>
      <c r="L65" s="58" t="n">
        <f aca="false">'P19 Badas Calculation'!L48*(1-'Global Inputs'!$E$102)*'Global Inputs'!$E$37</f>
        <v>0</v>
      </c>
      <c r="M65" s="58" t="n">
        <f aca="false">'P19 Badas Calculation'!M48*(1-'Global Inputs'!$E$102)*'Global Inputs'!$E$37</f>
        <v>0</v>
      </c>
      <c r="N65" s="58" t="n">
        <f aca="false">'P19 Badas Calculation'!N48*(1-'Global Inputs'!$E$102)*'Global Inputs'!$E$37</f>
        <v>0</v>
      </c>
      <c r="O65" s="58" t="n">
        <f aca="false">'P19 Badas Calculation'!O48*(1-'Global Inputs'!$E$102)*'Global Inputs'!$E$37</f>
        <v>0</v>
      </c>
      <c r="P65" s="58" t="n">
        <f aca="false">'P19 Badas Calculation'!P48*(1-'Global Inputs'!$E$102)*'Global Inputs'!$E$37</f>
        <v>0</v>
      </c>
      <c r="Q65" s="58" t="n">
        <f aca="false">'P19 Badas Calculation'!Q48*(1-'Global Inputs'!$E$102)*'Global Inputs'!$E$37</f>
        <v>0</v>
      </c>
      <c r="R65" s="58" t="n">
        <f aca="false">'P19 Badas Calculation'!R48*(1-'Global Inputs'!$E$102)*'Global Inputs'!$E$37</f>
        <v>0</v>
      </c>
      <c r="S65" s="58" t="n">
        <f aca="false">'P19 Badas Calculation'!S48*(1-'Global Inputs'!$E$102)*'Global Inputs'!$E$37</f>
        <v>0</v>
      </c>
    </row>
    <row r="66" customFormat="false" ht="15" hidden="false" customHeight="false" outlineLevel="0" collapsed="false">
      <c r="B66" s="78" t="s">
        <v>518</v>
      </c>
      <c r="C66" s="79"/>
      <c r="D66" s="79"/>
      <c r="E66" s="79"/>
      <c r="F66" s="79"/>
      <c r="G66" s="79"/>
      <c r="H66" s="79"/>
      <c r="I66" s="79"/>
      <c r="J66" s="79"/>
      <c r="K66" s="79"/>
      <c r="L66" s="79"/>
      <c r="M66" s="79"/>
      <c r="N66" s="79"/>
      <c r="O66" s="79"/>
      <c r="P66" s="79"/>
      <c r="Q66" s="79"/>
      <c r="R66" s="79"/>
      <c r="S66" s="79"/>
    </row>
    <row r="67" customFormat="false" ht="15" hidden="false" customHeight="false" outlineLevel="0" collapsed="false">
      <c r="B67" s="24" t="s">
        <v>519</v>
      </c>
      <c r="E67" s="84"/>
    </row>
    <row r="68" customFormat="false" ht="15" hidden="false" customHeight="false" outlineLevel="0" collapsed="false">
      <c r="B68" s="24" t="s">
        <v>520</v>
      </c>
      <c r="C68" s="25" t="s">
        <v>240</v>
      </c>
      <c r="D68" s="25" t="s">
        <v>176</v>
      </c>
      <c r="E68" s="50" t="n">
        <v>0</v>
      </c>
      <c r="U68" s="5" t="s">
        <v>521</v>
      </c>
    </row>
    <row r="69" customFormat="false" ht="15" hidden="false" customHeight="false" outlineLevel="0" collapsed="false">
      <c r="B69" s="24" t="s">
        <v>522</v>
      </c>
      <c r="C69" s="25" t="s">
        <v>180</v>
      </c>
      <c r="D69" s="25" t="s">
        <v>176</v>
      </c>
      <c r="E69" s="38" t="n">
        <v>0</v>
      </c>
    </row>
    <row r="70" customFormat="false" ht="15" hidden="false" customHeight="false" outlineLevel="0" collapsed="false">
      <c r="B70" s="24" t="s">
        <v>523</v>
      </c>
      <c r="C70" s="25" t="s">
        <v>160</v>
      </c>
      <c r="D70" s="25" t="s">
        <v>176</v>
      </c>
      <c r="E70" s="85" t="n">
        <f aca="false">SUM(F70:S70)</f>
        <v>0</v>
      </c>
      <c r="F70" s="86" t="n">
        <v>0</v>
      </c>
      <c r="G70" s="86" t="n">
        <v>0</v>
      </c>
      <c r="H70" s="86" t="n">
        <v>0</v>
      </c>
      <c r="I70" s="86" t="n">
        <v>0</v>
      </c>
      <c r="J70" s="86" t="n">
        <v>0</v>
      </c>
      <c r="K70" s="86" t="n">
        <v>0</v>
      </c>
      <c r="L70" s="86" t="n">
        <v>0</v>
      </c>
      <c r="M70" s="86" t="n">
        <v>0</v>
      </c>
      <c r="N70" s="86" t="n">
        <v>0</v>
      </c>
      <c r="O70" s="86" t="n">
        <v>0</v>
      </c>
      <c r="P70" s="86" t="n">
        <v>0</v>
      </c>
      <c r="Q70" s="86" t="n">
        <v>0</v>
      </c>
      <c r="R70" s="86" t="n">
        <v>0</v>
      </c>
      <c r="S70" s="86" t="n">
        <v>0</v>
      </c>
    </row>
    <row r="71" customFormat="false" ht="15" hidden="false" customHeight="false" outlineLevel="0" collapsed="false">
      <c r="B71" s="24" t="s">
        <v>524</v>
      </c>
      <c r="C71" s="25" t="s">
        <v>240</v>
      </c>
      <c r="E71" s="44" t="n">
        <f aca="false">SUM(F71:S71)</f>
        <v>0</v>
      </c>
      <c r="F71" s="44" t="n">
        <f aca="false">$E$68*F70*$E$69</f>
        <v>0</v>
      </c>
      <c r="G71" s="44" t="n">
        <f aca="false">$E$68*G70*$E$69</f>
        <v>0</v>
      </c>
      <c r="H71" s="44" t="n">
        <f aca="false">$E$68*H70*$E$69</f>
        <v>0</v>
      </c>
      <c r="I71" s="44" t="n">
        <f aca="false">$E$68*I70*$E$69</f>
        <v>0</v>
      </c>
      <c r="J71" s="44" t="n">
        <f aca="false">$E$68*J70*$E$69</f>
        <v>0</v>
      </c>
      <c r="K71" s="44" t="n">
        <f aca="false">$E$68*K70*$E$69</f>
        <v>0</v>
      </c>
      <c r="L71" s="44" t="n">
        <f aca="false">$E$68*L70*$E$69</f>
        <v>0</v>
      </c>
      <c r="M71" s="44" t="n">
        <f aca="false">$E$68*M70*$E$69</f>
        <v>0</v>
      </c>
      <c r="N71" s="44" t="n">
        <f aca="false">$E$68*N70*$E$69</f>
        <v>0</v>
      </c>
      <c r="O71" s="44" t="n">
        <f aca="false">$E$68*O70*$E$69</f>
        <v>0</v>
      </c>
      <c r="P71" s="44" t="n">
        <f aca="false">$E$68*P70*$E$69</f>
        <v>0</v>
      </c>
      <c r="Q71" s="44" t="n">
        <f aca="false">$E$68*Q70*$E$69</f>
        <v>0</v>
      </c>
      <c r="R71" s="44" t="n">
        <f aca="false">$E$68*R70*$E$69</f>
        <v>0</v>
      </c>
      <c r="S71" s="44" t="n">
        <f aca="false">$E$68*S70*$E$69</f>
        <v>0</v>
      </c>
    </row>
    <row r="72" customFormat="false" ht="15" hidden="false" customHeight="false" outlineLevel="0" collapsed="false">
      <c r="B72" s="24" t="s">
        <v>525</v>
      </c>
      <c r="C72" s="25" t="s">
        <v>170</v>
      </c>
      <c r="E72" s="47" t="n">
        <f aca="false">SUM(F72:S72)</f>
        <v>0</v>
      </c>
      <c r="F72" s="47" t="n">
        <f aca="false">F71*'Global Inputs'!F22/1000</f>
        <v>0</v>
      </c>
      <c r="G72" s="47" t="n">
        <f aca="false">G71*'Global Inputs'!G22/1000</f>
        <v>0</v>
      </c>
      <c r="H72" s="47" t="n">
        <f aca="false">H71*'Global Inputs'!H22/1000</f>
        <v>0</v>
      </c>
      <c r="I72" s="47" t="n">
        <f aca="false">I71*'Global Inputs'!I22/1000</f>
        <v>0</v>
      </c>
      <c r="J72" s="47" t="n">
        <f aca="false">J71*'Global Inputs'!J22/1000</f>
        <v>0</v>
      </c>
      <c r="K72" s="47" t="n">
        <f aca="false">K71*'Global Inputs'!K22/1000</f>
        <v>0</v>
      </c>
      <c r="L72" s="47" t="n">
        <f aca="false">L71*'Global Inputs'!L22/1000</f>
        <v>0</v>
      </c>
      <c r="M72" s="47" t="n">
        <f aca="false">M71*'Global Inputs'!M22/1000</f>
        <v>0</v>
      </c>
      <c r="N72" s="47" t="n">
        <f aca="false">N71*'Global Inputs'!N22/1000</f>
        <v>0</v>
      </c>
      <c r="O72" s="47" t="n">
        <f aca="false">O71*'Global Inputs'!O22/1000</f>
        <v>0</v>
      </c>
      <c r="P72" s="47" t="n">
        <f aca="false">P71*'Global Inputs'!P22/1000</f>
        <v>0</v>
      </c>
      <c r="Q72" s="47" t="n">
        <f aca="false">Q71*'Global Inputs'!Q22/1000</f>
        <v>0</v>
      </c>
      <c r="R72" s="47" t="n">
        <f aca="false">R71*'Global Inputs'!R22/1000</f>
        <v>0</v>
      </c>
      <c r="S72" s="47" t="n">
        <f aca="false">S71*'Global Inputs'!S22/1000</f>
        <v>0</v>
      </c>
    </row>
    <row r="73" customFormat="false" ht="15" hidden="false" customHeight="false" outlineLevel="0" collapsed="false">
      <c r="B73" s="24" t="s">
        <v>526</v>
      </c>
      <c r="C73" s="25" t="s">
        <v>527</v>
      </c>
      <c r="E73" s="87" t="str">
        <f aca="false">IF($E$68*$E$69=0,"inactive",IF(ABS(SUM($F$70:$S$70)-1)&lt;0.000001,"PASS","CHECK: % not 100%"))</f>
        <v>inactive</v>
      </c>
    </row>
    <row r="74" customFormat="false" ht="15" hidden="false" customHeight="false" outlineLevel="0" collapsed="false">
      <c r="B74" s="24" t="s">
        <v>528</v>
      </c>
      <c r="E74" s="24" t="s">
        <v>529</v>
      </c>
    </row>
    <row r="75" customFormat="false" ht="15" hidden="false" customHeight="false" outlineLevel="0" collapsed="false">
      <c r="B75" s="78" t="s">
        <v>530</v>
      </c>
      <c r="C75" s="79"/>
      <c r="D75" s="79"/>
      <c r="E75" s="79"/>
      <c r="F75" s="79"/>
      <c r="G75" s="79"/>
      <c r="H75" s="79"/>
      <c r="I75" s="79"/>
      <c r="J75" s="79"/>
      <c r="K75" s="79"/>
      <c r="L75" s="79"/>
      <c r="M75" s="79"/>
      <c r="N75" s="79"/>
      <c r="O75" s="79"/>
      <c r="P75" s="79"/>
      <c r="Q75" s="79"/>
      <c r="R75" s="79"/>
      <c r="S75" s="79"/>
    </row>
    <row r="76" customFormat="false" ht="15" hidden="false" customHeight="false" outlineLevel="0" collapsed="false">
      <c r="B76" s="24" t="s">
        <v>531</v>
      </c>
      <c r="E76" s="84"/>
    </row>
    <row r="77" customFormat="false" ht="15" hidden="false" customHeight="false" outlineLevel="0" collapsed="false">
      <c r="B77" s="24" t="s">
        <v>532</v>
      </c>
      <c r="C77" s="25" t="s">
        <v>240</v>
      </c>
      <c r="D77" s="25" t="s">
        <v>176</v>
      </c>
      <c r="E77" s="50" t="n">
        <v>0</v>
      </c>
      <c r="U77" s="5" t="s">
        <v>521</v>
      </c>
    </row>
    <row r="78" customFormat="false" ht="15" hidden="false" customHeight="false" outlineLevel="0" collapsed="false">
      <c r="B78" s="24" t="s">
        <v>533</v>
      </c>
      <c r="C78" s="25" t="s">
        <v>180</v>
      </c>
      <c r="D78" s="25" t="s">
        <v>176</v>
      </c>
      <c r="E78" s="38" t="n">
        <v>0</v>
      </c>
    </row>
    <row r="79" customFormat="false" ht="15" hidden="false" customHeight="false" outlineLevel="0" collapsed="false">
      <c r="B79" s="24" t="s">
        <v>534</v>
      </c>
      <c r="C79" s="25" t="s">
        <v>160</v>
      </c>
      <c r="D79" s="25" t="s">
        <v>176</v>
      </c>
      <c r="E79" s="85" t="n">
        <f aca="false">SUM(F79:S79)</f>
        <v>0</v>
      </c>
      <c r="F79" s="86" t="n">
        <v>0</v>
      </c>
      <c r="G79" s="86" t="n">
        <v>0</v>
      </c>
      <c r="H79" s="86" t="n">
        <v>0</v>
      </c>
      <c r="I79" s="86" t="n">
        <v>0</v>
      </c>
      <c r="J79" s="86" t="n">
        <v>0</v>
      </c>
      <c r="K79" s="86" t="n">
        <v>0</v>
      </c>
      <c r="L79" s="86" t="n">
        <v>0</v>
      </c>
      <c r="M79" s="86" t="n">
        <v>0</v>
      </c>
      <c r="N79" s="86" t="n">
        <v>0</v>
      </c>
      <c r="O79" s="86" t="n">
        <v>0</v>
      </c>
      <c r="P79" s="86" t="n">
        <v>0</v>
      </c>
      <c r="Q79" s="86" t="n">
        <v>0</v>
      </c>
      <c r="R79" s="86" t="n">
        <v>0</v>
      </c>
      <c r="S79" s="86" t="n">
        <v>0</v>
      </c>
    </row>
    <row r="80" customFormat="false" ht="15" hidden="false" customHeight="false" outlineLevel="0" collapsed="false">
      <c r="B80" s="24" t="s">
        <v>535</v>
      </c>
      <c r="C80" s="25" t="s">
        <v>240</v>
      </c>
      <c r="E80" s="44" t="n">
        <f aca="false">SUM(F80:S80)</f>
        <v>0</v>
      </c>
      <c r="F80" s="44" t="n">
        <f aca="false">$E$77*F79*$E$78</f>
        <v>0</v>
      </c>
      <c r="G80" s="44" t="n">
        <f aca="false">$E$77*G79*$E$78</f>
        <v>0</v>
      </c>
      <c r="H80" s="44" t="n">
        <f aca="false">$E$77*H79*$E$78</f>
        <v>0</v>
      </c>
      <c r="I80" s="44" t="n">
        <f aca="false">$E$77*I79*$E$78</f>
        <v>0</v>
      </c>
      <c r="J80" s="44" t="n">
        <f aca="false">$E$77*J79*$E$78</f>
        <v>0</v>
      </c>
      <c r="K80" s="44" t="n">
        <f aca="false">$E$77*K79*$E$78</f>
        <v>0</v>
      </c>
      <c r="L80" s="44" t="n">
        <f aca="false">$E$77*L79*$E$78</f>
        <v>0</v>
      </c>
      <c r="M80" s="44" t="n">
        <f aca="false">$E$77*M79*$E$78</f>
        <v>0</v>
      </c>
      <c r="N80" s="44" t="n">
        <f aca="false">$E$77*N79*$E$78</f>
        <v>0</v>
      </c>
      <c r="O80" s="44" t="n">
        <f aca="false">$E$77*O79*$E$78</f>
        <v>0</v>
      </c>
      <c r="P80" s="44" t="n">
        <f aca="false">$E$77*P79*$E$78</f>
        <v>0</v>
      </c>
      <c r="Q80" s="44" t="n">
        <f aca="false">$E$77*Q79*$E$78</f>
        <v>0</v>
      </c>
      <c r="R80" s="44" t="n">
        <f aca="false">$E$77*R79*$E$78</f>
        <v>0</v>
      </c>
      <c r="S80" s="44" t="n">
        <f aca="false">$E$77*S79*$E$78</f>
        <v>0</v>
      </c>
    </row>
    <row r="81" customFormat="false" ht="15" hidden="false" customHeight="false" outlineLevel="0" collapsed="false">
      <c r="B81" s="24" t="s">
        <v>536</v>
      </c>
      <c r="C81" s="25" t="s">
        <v>170</v>
      </c>
      <c r="E81" s="47" t="n">
        <f aca="false">SUM(F81:S81)</f>
        <v>0</v>
      </c>
      <c r="F81" s="47" t="n">
        <f aca="false">F80*'Global Inputs'!F22/1000</f>
        <v>0</v>
      </c>
      <c r="G81" s="47" t="n">
        <f aca="false">G80*'Global Inputs'!G22/1000</f>
        <v>0</v>
      </c>
      <c r="H81" s="47" t="n">
        <f aca="false">H80*'Global Inputs'!H22/1000</f>
        <v>0</v>
      </c>
      <c r="I81" s="47" t="n">
        <f aca="false">I80*'Global Inputs'!I22/1000</f>
        <v>0</v>
      </c>
      <c r="J81" s="47" t="n">
        <f aca="false">J80*'Global Inputs'!J22/1000</f>
        <v>0</v>
      </c>
      <c r="K81" s="47" t="n">
        <f aca="false">K80*'Global Inputs'!K22/1000</f>
        <v>0</v>
      </c>
      <c r="L81" s="47" t="n">
        <f aca="false">L80*'Global Inputs'!L22/1000</f>
        <v>0</v>
      </c>
      <c r="M81" s="47" t="n">
        <f aca="false">M80*'Global Inputs'!M22/1000</f>
        <v>0</v>
      </c>
      <c r="N81" s="47" t="n">
        <f aca="false">N80*'Global Inputs'!N22/1000</f>
        <v>0</v>
      </c>
      <c r="O81" s="47" t="n">
        <f aca="false">O80*'Global Inputs'!O22/1000</f>
        <v>0</v>
      </c>
      <c r="P81" s="47" t="n">
        <f aca="false">P80*'Global Inputs'!P22/1000</f>
        <v>0</v>
      </c>
      <c r="Q81" s="47" t="n">
        <f aca="false">Q80*'Global Inputs'!Q22/1000</f>
        <v>0</v>
      </c>
      <c r="R81" s="47" t="n">
        <f aca="false">R80*'Global Inputs'!R22/1000</f>
        <v>0</v>
      </c>
      <c r="S81" s="47" t="n">
        <f aca="false">S80*'Global Inputs'!S22/1000</f>
        <v>0</v>
      </c>
    </row>
    <row r="82" customFormat="false" ht="15" hidden="false" customHeight="false" outlineLevel="0" collapsed="false">
      <c r="B82" s="24" t="s">
        <v>537</v>
      </c>
      <c r="C82" s="25" t="s">
        <v>527</v>
      </c>
      <c r="E82" s="87" t="str">
        <f aca="false">IF($E$77*$E$78=0,"inactive",IF(ABS(SUM($F$79:$S$79)-1)&lt;0.000001,"PASS","CHECK: % not 100%"))</f>
        <v>inactive</v>
      </c>
    </row>
    <row r="83" customFormat="false" ht="15" hidden="false" customHeight="false" outlineLevel="0" collapsed="false">
      <c r="B83" s="24" t="s">
        <v>538</v>
      </c>
      <c r="E83" s="24" t="s">
        <v>529</v>
      </c>
    </row>
    <row r="84" customFormat="false" ht="15" hidden="false" customHeight="false" outlineLevel="0" collapsed="false">
      <c r="B84" s="78" t="s">
        <v>539</v>
      </c>
      <c r="C84" s="79"/>
      <c r="D84" s="79"/>
      <c r="E84" s="79"/>
      <c r="F84" s="79"/>
      <c r="G84" s="79"/>
      <c r="H84" s="79"/>
      <c r="I84" s="79"/>
      <c r="J84" s="79"/>
      <c r="K84" s="79"/>
      <c r="L84" s="79"/>
      <c r="M84" s="79"/>
      <c r="N84" s="79"/>
      <c r="O84" s="79"/>
      <c r="P84" s="79"/>
      <c r="Q84" s="79"/>
      <c r="R84" s="79"/>
      <c r="S84" s="79"/>
    </row>
    <row r="85" customFormat="false" ht="15" hidden="false" customHeight="false" outlineLevel="0" collapsed="false">
      <c r="B85" s="24" t="s">
        <v>540</v>
      </c>
      <c r="E85" s="84"/>
    </row>
    <row r="86" customFormat="false" ht="15" hidden="false" customHeight="false" outlineLevel="0" collapsed="false">
      <c r="B86" s="24" t="s">
        <v>541</v>
      </c>
      <c r="C86" s="25" t="s">
        <v>240</v>
      </c>
      <c r="D86" s="25" t="s">
        <v>176</v>
      </c>
      <c r="E86" s="50" t="n">
        <v>0</v>
      </c>
      <c r="U86" s="5" t="s">
        <v>521</v>
      </c>
    </row>
    <row r="87" customFormat="false" ht="15" hidden="false" customHeight="false" outlineLevel="0" collapsed="false">
      <c r="B87" s="24" t="s">
        <v>542</v>
      </c>
      <c r="C87" s="25" t="s">
        <v>180</v>
      </c>
      <c r="D87" s="25" t="s">
        <v>176</v>
      </c>
      <c r="E87" s="38" t="n">
        <v>0</v>
      </c>
    </row>
    <row r="88" customFormat="false" ht="15" hidden="false" customHeight="false" outlineLevel="0" collapsed="false">
      <c r="B88" s="24" t="s">
        <v>543</v>
      </c>
      <c r="C88" s="25" t="s">
        <v>160</v>
      </c>
      <c r="D88" s="25" t="s">
        <v>176</v>
      </c>
      <c r="E88" s="85" t="n">
        <f aca="false">SUM(F88:S88)</f>
        <v>0</v>
      </c>
      <c r="F88" s="86" t="n">
        <v>0</v>
      </c>
      <c r="G88" s="86" t="n">
        <v>0</v>
      </c>
      <c r="H88" s="86" t="n">
        <v>0</v>
      </c>
      <c r="I88" s="86" t="n">
        <v>0</v>
      </c>
      <c r="J88" s="86" t="n">
        <v>0</v>
      </c>
      <c r="K88" s="86" t="n">
        <v>0</v>
      </c>
      <c r="L88" s="86" t="n">
        <v>0</v>
      </c>
      <c r="M88" s="86" t="n">
        <v>0</v>
      </c>
      <c r="N88" s="86" t="n">
        <v>0</v>
      </c>
      <c r="O88" s="86" t="n">
        <v>0</v>
      </c>
      <c r="P88" s="86" t="n">
        <v>0</v>
      </c>
      <c r="Q88" s="86" t="n">
        <v>0</v>
      </c>
      <c r="R88" s="86" t="n">
        <v>0</v>
      </c>
      <c r="S88" s="86" t="n">
        <v>0</v>
      </c>
    </row>
    <row r="89" customFormat="false" ht="15" hidden="false" customHeight="false" outlineLevel="0" collapsed="false">
      <c r="B89" s="24" t="s">
        <v>544</v>
      </c>
      <c r="C89" s="25" t="s">
        <v>240</v>
      </c>
      <c r="E89" s="44" t="n">
        <f aca="false">SUM(F89:S89)</f>
        <v>0</v>
      </c>
      <c r="F89" s="44" t="n">
        <f aca="false">$E$86*F88*$E$87</f>
        <v>0</v>
      </c>
      <c r="G89" s="44" t="n">
        <f aca="false">$E$86*G88*$E$87</f>
        <v>0</v>
      </c>
      <c r="H89" s="44" t="n">
        <f aca="false">$E$86*H88*$E$87</f>
        <v>0</v>
      </c>
      <c r="I89" s="44" t="n">
        <f aca="false">$E$86*I88*$E$87</f>
        <v>0</v>
      </c>
      <c r="J89" s="44" t="n">
        <f aca="false">$E$86*J88*$E$87</f>
        <v>0</v>
      </c>
      <c r="K89" s="44" t="n">
        <f aca="false">$E$86*K88*$E$87</f>
        <v>0</v>
      </c>
      <c r="L89" s="44" t="n">
        <f aca="false">$E$86*L88*$E$87</f>
        <v>0</v>
      </c>
      <c r="M89" s="44" t="n">
        <f aca="false">$E$86*M88*$E$87</f>
        <v>0</v>
      </c>
      <c r="N89" s="44" t="n">
        <f aca="false">$E$86*N88*$E$87</f>
        <v>0</v>
      </c>
      <c r="O89" s="44" t="n">
        <f aca="false">$E$86*O88*$E$87</f>
        <v>0</v>
      </c>
      <c r="P89" s="44" t="n">
        <f aca="false">$E$86*P88*$E$87</f>
        <v>0</v>
      </c>
      <c r="Q89" s="44" t="n">
        <f aca="false">$E$86*Q88*$E$87</f>
        <v>0</v>
      </c>
      <c r="R89" s="44" t="n">
        <f aca="false">$E$86*R88*$E$87</f>
        <v>0</v>
      </c>
      <c r="S89" s="44" t="n">
        <f aca="false">$E$86*S88*$E$87</f>
        <v>0</v>
      </c>
    </row>
    <row r="90" customFormat="false" ht="15" hidden="false" customHeight="false" outlineLevel="0" collapsed="false">
      <c r="B90" s="24" t="s">
        <v>545</v>
      </c>
      <c r="C90" s="25" t="s">
        <v>170</v>
      </c>
      <c r="E90" s="47" t="n">
        <f aca="false">SUM(F90:S90)</f>
        <v>0</v>
      </c>
      <c r="F90" s="47" t="n">
        <f aca="false">F89*'Global Inputs'!F22/1000</f>
        <v>0</v>
      </c>
      <c r="G90" s="47" t="n">
        <f aca="false">G89*'Global Inputs'!G22/1000</f>
        <v>0</v>
      </c>
      <c r="H90" s="47" t="n">
        <f aca="false">H89*'Global Inputs'!H22/1000</f>
        <v>0</v>
      </c>
      <c r="I90" s="47" t="n">
        <f aca="false">I89*'Global Inputs'!I22/1000</f>
        <v>0</v>
      </c>
      <c r="J90" s="47" t="n">
        <f aca="false">J89*'Global Inputs'!J22/1000</f>
        <v>0</v>
      </c>
      <c r="K90" s="47" t="n">
        <f aca="false">K89*'Global Inputs'!K22/1000</f>
        <v>0</v>
      </c>
      <c r="L90" s="47" t="n">
        <f aca="false">L89*'Global Inputs'!L22/1000</f>
        <v>0</v>
      </c>
      <c r="M90" s="47" t="n">
        <f aca="false">M89*'Global Inputs'!M22/1000</f>
        <v>0</v>
      </c>
      <c r="N90" s="47" t="n">
        <f aca="false">N89*'Global Inputs'!N22/1000</f>
        <v>0</v>
      </c>
      <c r="O90" s="47" t="n">
        <f aca="false">O89*'Global Inputs'!O22/1000</f>
        <v>0</v>
      </c>
      <c r="P90" s="47" t="n">
        <f aca="false">P89*'Global Inputs'!P22/1000</f>
        <v>0</v>
      </c>
      <c r="Q90" s="47" t="n">
        <f aca="false">Q89*'Global Inputs'!Q22/1000</f>
        <v>0</v>
      </c>
      <c r="R90" s="47" t="n">
        <f aca="false">R89*'Global Inputs'!R22/1000</f>
        <v>0</v>
      </c>
      <c r="S90" s="47" t="n">
        <f aca="false">S89*'Global Inputs'!S22/1000</f>
        <v>0</v>
      </c>
    </row>
    <row r="91" customFormat="false" ht="15" hidden="false" customHeight="false" outlineLevel="0" collapsed="false">
      <c r="B91" s="24" t="s">
        <v>546</v>
      </c>
      <c r="C91" s="25" t="s">
        <v>527</v>
      </c>
      <c r="E91" s="87" t="str">
        <f aca="false">IF($E$86*$E$87=0,"inactive",IF(ABS(SUM($F$88:$S$88)-1)&lt;0.000001,"PASS","CHECK: % not 100%"))</f>
        <v>inactive</v>
      </c>
    </row>
    <row r="92" customFormat="false" ht="15" hidden="false" customHeight="false" outlineLevel="0" collapsed="false">
      <c r="B92" s="24" t="s">
        <v>547</v>
      </c>
      <c r="E92" s="24" t="s">
        <v>529</v>
      </c>
    </row>
    <row r="93" customFormat="false" ht="15" hidden="false" customHeight="false" outlineLevel="0" collapsed="false">
      <c r="B93" s="78" t="s">
        <v>548</v>
      </c>
      <c r="C93" s="79"/>
      <c r="D93" s="79"/>
      <c r="E93" s="79"/>
      <c r="F93" s="79"/>
      <c r="G93" s="79"/>
      <c r="H93" s="79"/>
      <c r="I93" s="79"/>
      <c r="J93" s="79"/>
      <c r="K93" s="79"/>
      <c r="L93" s="79"/>
      <c r="M93" s="79"/>
      <c r="N93" s="79"/>
      <c r="O93" s="79"/>
      <c r="P93" s="79"/>
      <c r="Q93" s="79"/>
      <c r="R93" s="79"/>
      <c r="S93" s="79"/>
    </row>
    <row r="94" customFormat="false" ht="15" hidden="false" customHeight="false" outlineLevel="0" collapsed="false">
      <c r="B94" s="24" t="s">
        <v>549</v>
      </c>
      <c r="E94" s="84"/>
    </row>
    <row r="95" customFormat="false" ht="15" hidden="false" customHeight="false" outlineLevel="0" collapsed="false">
      <c r="B95" s="24" t="s">
        <v>550</v>
      </c>
      <c r="C95" s="25" t="s">
        <v>240</v>
      </c>
      <c r="D95" s="25" t="s">
        <v>176</v>
      </c>
      <c r="E95" s="50" t="n">
        <v>0</v>
      </c>
      <c r="U95" s="5" t="s">
        <v>521</v>
      </c>
    </row>
    <row r="96" customFormat="false" ht="15" hidden="false" customHeight="false" outlineLevel="0" collapsed="false">
      <c r="B96" s="24" t="s">
        <v>551</v>
      </c>
      <c r="C96" s="25" t="s">
        <v>180</v>
      </c>
      <c r="D96" s="25" t="s">
        <v>176</v>
      </c>
      <c r="E96" s="38" t="n">
        <v>0</v>
      </c>
    </row>
    <row r="97" customFormat="false" ht="15" hidden="false" customHeight="false" outlineLevel="0" collapsed="false">
      <c r="B97" s="24" t="s">
        <v>552</v>
      </c>
      <c r="C97" s="25" t="s">
        <v>160</v>
      </c>
      <c r="D97" s="25" t="s">
        <v>176</v>
      </c>
      <c r="E97" s="85" t="n">
        <f aca="false">SUM(F97:S97)</f>
        <v>0</v>
      </c>
      <c r="F97" s="86" t="n">
        <v>0</v>
      </c>
      <c r="G97" s="86" t="n">
        <v>0</v>
      </c>
      <c r="H97" s="86" t="n">
        <v>0</v>
      </c>
      <c r="I97" s="86" t="n">
        <v>0</v>
      </c>
      <c r="J97" s="86" t="n">
        <v>0</v>
      </c>
      <c r="K97" s="86" t="n">
        <v>0</v>
      </c>
      <c r="L97" s="86" t="n">
        <v>0</v>
      </c>
      <c r="M97" s="86" t="n">
        <v>0</v>
      </c>
      <c r="N97" s="86" t="n">
        <v>0</v>
      </c>
      <c r="O97" s="86" t="n">
        <v>0</v>
      </c>
      <c r="P97" s="86" t="n">
        <v>0</v>
      </c>
      <c r="Q97" s="86" t="n">
        <v>0</v>
      </c>
      <c r="R97" s="86" t="n">
        <v>0</v>
      </c>
      <c r="S97" s="86" t="n">
        <v>0</v>
      </c>
    </row>
    <row r="98" customFormat="false" ht="15" hidden="false" customHeight="false" outlineLevel="0" collapsed="false">
      <c r="B98" s="24" t="s">
        <v>553</v>
      </c>
      <c r="C98" s="25" t="s">
        <v>240</v>
      </c>
      <c r="E98" s="44" t="n">
        <f aca="false">SUM(F98:S98)</f>
        <v>0</v>
      </c>
      <c r="F98" s="44" t="n">
        <f aca="false">$E$95*F97*$E$96</f>
        <v>0</v>
      </c>
      <c r="G98" s="44" t="n">
        <f aca="false">$E$95*G97*$E$96</f>
        <v>0</v>
      </c>
      <c r="H98" s="44" t="n">
        <f aca="false">$E$95*H97*$E$96</f>
        <v>0</v>
      </c>
      <c r="I98" s="44" t="n">
        <f aca="false">$E$95*I97*$E$96</f>
        <v>0</v>
      </c>
      <c r="J98" s="44" t="n">
        <f aca="false">$E$95*J97*$E$96</f>
        <v>0</v>
      </c>
      <c r="K98" s="44" t="n">
        <f aca="false">$E$95*K97*$E$96</f>
        <v>0</v>
      </c>
      <c r="L98" s="44" t="n">
        <f aca="false">$E$95*L97*$E$96</f>
        <v>0</v>
      </c>
      <c r="M98" s="44" t="n">
        <f aca="false">$E$95*M97*$E$96</f>
        <v>0</v>
      </c>
      <c r="N98" s="44" t="n">
        <f aca="false">$E$95*N97*$E$96</f>
        <v>0</v>
      </c>
      <c r="O98" s="44" t="n">
        <f aca="false">$E$95*O97*$E$96</f>
        <v>0</v>
      </c>
      <c r="P98" s="44" t="n">
        <f aca="false">$E$95*P97*$E$96</f>
        <v>0</v>
      </c>
      <c r="Q98" s="44" t="n">
        <f aca="false">$E$95*Q97*$E$96</f>
        <v>0</v>
      </c>
      <c r="R98" s="44" t="n">
        <f aca="false">$E$95*R97*$E$96</f>
        <v>0</v>
      </c>
      <c r="S98" s="44" t="n">
        <f aca="false">$E$95*S97*$E$96</f>
        <v>0</v>
      </c>
    </row>
    <row r="99" customFormat="false" ht="15" hidden="false" customHeight="false" outlineLevel="0" collapsed="false">
      <c r="B99" s="24" t="s">
        <v>554</v>
      </c>
      <c r="C99" s="25" t="s">
        <v>170</v>
      </c>
      <c r="E99" s="47" t="n">
        <f aca="false">SUM(F99:S99)</f>
        <v>0</v>
      </c>
      <c r="F99" s="47" t="n">
        <f aca="false">F98*'Global Inputs'!F22/1000</f>
        <v>0</v>
      </c>
      <c r="G99" s="47" t="n">
        <f aca="false">G98*'Global Inputs'!G22/1000</f>
        <v>0</v>
      </c>
      <c r="H99" s="47" t="n">
        <f aca="false">H98*'Global Inputs'!H22/1000</f>
        <v>0</v>
      </c>
      <c r="I99" s="47" t="n">
        <f aca="false">I98*'Global Inputs'!I22/1000</f>
        <v>0</v>
      </c>
      <c r="J99" s="47" t="n">
        <f aca="false">J98*'Global Inputs'!J22/1000</f>
        <v>0</v>
      </c>
      <c r="K99" s="47" t="n">
        <f aca="false">K98*'Global Inputs'!K22/1000</f>
        <v>0</v>
      </c>
      <c r="L99" s="47" t="n">
        <f aca="false">L98*'Global Inputs'!L22/1000</f>
        <v>0</v>
      </c>
      <c r="M99" s="47" t="n">
        <f aca="false">M98*'Global Inputs'!M22/1000</f>
        <v>0</v>
      </c>
      <c r="N99" s="47" t="n">
        <f aca="false">N98*'Global Inputs'!N22/1000</f>
        <v>0</v>
      </c>
      <c r="O99" s="47" t="n">
        <f aca="false">O98*'Global Inputs'!O22/1000</f>
        <v>0</v>
      </c>
      <c r="P99" s="47" t="n">
        <f aca="false">P98*'Global Inputs'!P22/1000</f>
        <v>0</v>
      </c>
      <c r="Q99" s="47" t="n">
        <f aca="false">Q98*'Global Inputs'!Q22/1000</f>
        <v>0</v>
      </c>
      <c r="R99" s="47" t="n">
        <f aca="false">R98*'Global Inputs'!R22/1000</f>
        <v>0</v>
      </c>
      <c r="S99" s="47" t="n">
        <f aca="false">S98*'Global Inputs'!S22/1000</f>
        <v>0</v>
      </c>
    </row>
    <row r="100" customFormat="false" ht="15" hidden="false" customHeight="false" outlineLevel="0" collapsed="false">
      <c r="B100" s="24" t="s">
        <v>555</v>
      </c>
      <c r="C100" s="25" t="s">
        <v>527</v>
      </c>
      <c r="E100" s="87" t="str">
        <f aca="false">IF($E$95*$E$96=0,"inactive",IF(ABS(SUM($F$97:$S$97)-1)&lt;0.000001,"PASS","CHECK: % not 100%"))</f>
        <v>inactive</v>
      </c>
    </row>
    <row r="101" customFormat="false" ht="15" hidden="false" customHeight="false" outlineLevel="0" collapsed="false">
      <c r="B101" s="24" t="s">
        <v>556</v>
      </c>
      <c r="E101" s="24" t="s">
        <v>529</v>
      </c>
    </row>
    <row r="102" customFormat="false" ht="15" hidden="false" customHeight="false" outlineLevel="0" collapsed="false">
      <c r="B102" s="78" t="s">
        <v>557</v>
      </c>
      <c r="C102" s="79"/>
      <c r="D102" s="79"/>
      <c r="E102" s="79"/>
      <c r="F102" s="79"/>
      <c r="G102" s="79"/>
      <c r="H102" s="79"/>
      <c r="I102" s="79"/>
      <c r="J102" s="79"/>
      <c r="K102" s="79"/>
      <c r="L102" s="79"/>
      <c r="M102" s="79"/>
      <c r="N102" s="79"/>
      <c r="O102" s="79"/>
      <c r="P102" s="79"/>
      <c r="Q102" s="79"/>
      <c r="R102" s="79"/>
      <c r="S102" s="79"/>
    </row>
    <row r="103" customFormat="false" ht="15" hidden="false" customHeight="false" outlineLevel="0" collapsed="false">
      <c r="B103" s="24" t="s">
        <v>558</v>
      </c>
      <c r="E103" s="84"/>
    </row>
    <row r="104" customFormat="false" ht="15" hidden="false" customHeight="false" outlineLevel="0" collapsed="false">
      <c r="B104" s="24" t="s">
        <v>559</v>
      </c>
      <c r="C104" s="25" t="s">
        <v>240</v>
      </c>
      <c r="D104" s="25" t="s">
        <v>176</v>
      </c>
      <c r="E104" s="50" t="n">
        <v>0</v>
      </c>
      <c r="U104" s="5" t="s">
        <v>521</v>
      </c>
    </row>
    <row r="105" customFormat="false" ht="15" hidden="false" customHeight="false" outlineLevel="0" collapsed="false">
      <c r="B105" s="24" t="s">
        <v>560</v>
      </c>
      <c r="C105" s="25" t="s">
        <v>180</v>
      </c>
      <c r="D105" s="25" t="s">
        <v>176</v>
      </c>
      <c r="E105" s="38" t="n">
        <v>0</v>
      </c>
    </row>
    <row r="106" customFormat="false" ht="15" hidden="false" customHeight="false" outlineLevel="0" collapsed="false">
      <c r="B106" s="24" t="s">
        <v>561</v>
      </c>
      <c r="C106" s="25" t="s">
        <v>160</v>
      </c>
      <c r="D106" s="25" t="s">
        <v>176</v>
      </c>
      <c r="E106" s="85" t="n">
        <f aca="false">SUM(F106:S106)</f>
        <v>0</v>
      </c>
      <c r="F106" s="86" t="n">
        <v>0</v>
      </c>
      <c r="G106" s="86" t="n">
        <v>0</v>
      </c>
      <c r="H106" s="86" t="n">
        <v>0</v>
      </c>
      <c r="I106" s="86" t="n">
        <v>0</v>
      </c>
      <c r="J106" s="86" t="n">
        <v>0</v>
      </c>
      <c r="K106" s="86" t="n">
        <v>0</v>
      </c>
      <c r="L106" s="86" t="n">
        <v>0</v>
      </c>
      <c r="M106" s="86" t="n">
        <v>0</v>
      </c>
      <c r="N106" s="86" t="n">
        <v>0</v>
      </c>
      <c r="O106" s="86" t="n">
        <v>0</v>
      </c>
      <c r="P106" s="86" t="n">
        <v>0</v>
      </c>
      <c r="Q106" s="86" t="n">
        <v>0</v>
      </c>
      <c r="R106" s="86" t="n">
        <v>0</v>
      </c>
      <c r="S106" s="86" t="n">
        <v>0</v>
      </c>
    </row>
    <row r="107" customFormat="false" ht="15" hidden="false" customHeight="false" outlineLevel="0" collapsed="false">
      <c r="B107" s="24" t="s">
        <v>562</v>
      </c>
      <c r="C107" s="25" t="s">
        <v>240</v>
      </c>
      <c r="E107" s="44" t="n">
        <f aca="false">SUM(F107:S107)</f>
        <v>0</v>
      </c>
      <c r="F107" s="44" t="n">
        <f aca="false">$E$104*F106*$E$105</f>
        <v>0</v>
      </c>
      <c r="G107" s="44" t="n">
        <f aca="false">$E$104*G106*$E$105</f>
        <v>0</v>
      </c>
      <c r="H107" s="44" t="n">
        <f aca="false">$E$104*H106*$E$105</f>
        <v>0</v>
      </c>
      <c r="I107" s="44" t="n">
        <f aca="false">$E$104*I106*$E$105</f>
        <v>0</v>
      </c>
      <c r="J107" s="44" t="n">
        <f aca="false">$E$104*J106*$E$105</f>
        <v>0</v>
      </c>
      <c r="K107" s="44" t="n">
        <f aca="false">$E$104*K106*$E$105</f>
        <v>0</v>
      </c>
      <c r="L107" s="44" t="n">
        <f aca="false">$E$104*L106*$E$105</f>
        <v>0</v>
      </c>
      <c r="M107" s="44" t="n">
        <f aca="false">$E$104*M106*$E$105</f>
        <v>0</v>
      </c>
      <c r="N107" s="44" t="n">
        <f aca="false">$E$104*N106*$E$105</f>
        <v>0</v>
      </c>
      <c r="O107" s="44" t="n">
        <f aca="false">$E$104*O106*$E$105</f>
        <v>0</v>
      </c>
      <c r="P107" s="44" t="n">
        <f aca="false">$E$104*P106*$E$105</f>
        <v>0</v>
      </c>
      <c r="Q107" s="44" t="n">
        <f aca="false">$E$104*Q106*$E$105</f>
        <v>0</v>
      </c>
      <c r="R107" s="44" t="n">
        <f aca="false">$E$104*R106*$E$105</f>
        <v>0</v>
      </c>
      <c r="S107" s="44" t="n">
        <f aca="false">$E$104*S106*$E$105</f>
        <v>0</v>
      </c>
    </row>
    <row r="108" customFormat="false" ht="15" hidden="false" customHeight="false" outlineLevel="0" collapsed="false">
      <c r="B108" s="24" t="s">
        <v>563</v>
      </c>
      <c r="C108" s="25" t="s">
        <v>170</v>
      </c>
      <c r="E108" s="47" t="n">
        <f aca="false">SUM(F108:S108)</f>
        <v>0</v>
      </c>
      <c r="F108" s="47" t="n">
        <f aca="false">F107*'Global Inputs'!F22/1000</f>
        <v>0</v>
      </c>
      <c r="G108" s="47" t="n">
        <f aca="false">G107*'Global Inputs'!G22/1000</f>
        <v>0</v>
      </c>
      <c r="H108" s="47" t="n">
        <f aca="false">H107*'Global Inputs'!H22/1000</f>
        <v>0</v>
      </c>
      <c r="I108" s="47" t="n">
        <f aca="false">I107*'Global Inputs'!I22/1000</f>
        <v>0</v>
      </c>
      <c r="J108" s="47" t="n">
        <f aca="false">J107*'Global Inputs'!J22/1000</f>
        <v>0</v>
      </c>
      <c r="K108" s="47" t="n">
        <f aca="false">K107*'Global Inputs'!K22/1000</f>
        <v>0</v>
      </c>
      <c r="L108" s="47" t="n">
        <f aca="false">L107*'Global Inputs'!L22/1000</f>
        <v>0</v>
      </c>
      <c r="M108" s="47" t="n">
        <f aca="false">M107*'Global Inputs'!M22/1000</f>
        <v>0</v>
      </c>
      <c r="N108" s="47" t="n">
        <f aca="false">N107*'Global Inputs'!N22/1000</f>
        <v>0</v>
      </c>
      <c r="O108" s="47" t="n">
        <f aca="false">O107*'Global Inputs'!O22/1000</f>
        <v>0</v>
      </c>
      <c r="P108" s="47" t="n">
        <f aca="false">P107*'Global Inputs'!P22/1000</f>
        <v>0</v>
      </c>
      <c r="Q108" s="47" t="n">
        <f aca="false">Q107*'Global Inputs'!Q22/1000</f>
        <v>0</v>
      </c>
      <c r="R108" s="47" t="n">
        <f aca="false">R107*'Global Inputs'!R22/1000</f>
        <v>0</v>
      </c>
      <c r="S108" s="47" t="n">
        <f aca="false">S107*'Global Inputs'!S22/1000</f>
        <v>0</v>
      </c>
    </row>
    <row r="109" customFormat="false" ht="15" hidden="false" customHeight="false" outlineLevel="0" collapsed="false">
      <c r="B109" s="24" t="s">
        <v>564</v>
      </c>
      <c r="C109" s="25" t="s">
        <v>527</v>
      </c>
      <c r="E109" s="87" t="str">
        <f aca="false">IF($E$104*$E$105=0,"inactive",IF(ABS(SUM($F$106:$S$106)-1)&lt;0.000001,"PASS","CHECK: % not 100%"))</f>
        <v>inactive</v>
      </c>
    </row>
    <row r="110" customFormat="false" ht="15" hidden="false" customHeight="false" outlineLevel="0" collapsed="false">
      <c r="B110" s="24" t="s">
        <v>565</v>
      </c>
      <c r="E110" s="24" t="s">
        <v>529</v>
      </c>
    </row>
    <row r="111" customFormat="false" ht="15" hidden="false" customHeight="false" outlineLevel="0" collapsed="false">
      <c r="B111" s="69" t="s">
        <v>566</v>
      </c>
      <c r="C111" s="25" t="s">
        <v>170</v>
      </c>
      <c r="E111" s="70" t="n">
        <f aca="false">SUM(F111:S111)</f>
        <v>0</v>
      </c>
      <c r="F111" s="68" t="n">
        <f aca="false">F72+F81+F90+F99+F108</f>
        <v>0</v>
      </c>
      <c r="G111" s="68" t="n">
        <f aca="false">G72+G81+G90+G99+G108</f>
        <v>0</v>
      </c>
      <c r="H111" s="68" t="n">
        <f aca="false">H72+H81+H90+H99+H108</f>
        <v>0</v>
      </c>
      <c r="I111" s="68" t="n">
        <f aca="false">I72+I81+I90+I99+I108</f>
        <v>0</v>
      </c>
      <c r="J111" s="68" t="n">
        <f aca="false">J72+J81+J90+J99+J108</f>
        <v>0</v>
      </c>
      <c r="K111" s="68" t="n">
        <f aca="false">K72+K81+K90+K99+K108</f>
        <v>0</v>
      </c>
      <c r="L111" s="68" t="n">
        <f aca="false">L72+L81+L90+L99+L108</f>
        <v>0</v>
      </c>
      <c r="M111" s="68" t="n">
        <f aca="false">M72+M81+M90+M99+M108</f>
        <v>0</v>
      </c>
      <c r="N111" s="68" t="n">
        <f aca="false">N72+N81+N90+N99+N108</f>
        <v>0</v>
      </c>
      <c r="O111" s="68" t="n">
        <f aca="false">O72+O81+O90+O99+O108</f>
        <v>0</v>
      </c>
      <c r="P111" s="68" t="n">
        <f aca="false">P72+P81+P90+P99+P108</f>
        <v>0</v>
      </c>
      <c r="Q111" s="68" t="n">
        <f aca="false">Q72+Q81+Q90+Q99+Q108</f>
        <v>0</v>
      </c>
      <c r="R111" s="68" t="n">
        <f aca="false">R72+R81+R90+R99+R108</f>
        <v>0</v>
      </c>
      <c r="S111" s="68" t="n">
        <f aca="false">S72+S81+S90+S99+S108</f>
        <v>0</v>
      </c>
    </row>
    <row r="112" customFormat="false" ht="15" hidden="false" customHeight="false" outlineLevel="0" collapsed="false">
      <c r="B112" s="69" t="s">
        <v>567</v>
      </c>
      <c r="C112" s="25" t="s">
        <v>170</v>
      </c>
      <c r="E112" s="70" t="n">
        <f aca="false">SUM(F112:S112)</f>
        <v>162.65</v>
      </c>
      <c r="F112" s="68" t="n">
        <f aca="false">F65+F111</f>
        <v>0</v>
      </c>
      <c r="G112" s="68" t="n">
        <f aca="false">G65+G111</f>
        <v>0</v>
      </c>
      <c r="H112" s="68" t="n">
        <f aca="false">H65+H111</f>
        <v>0</v>
      </c>
      <c r="I112" s="68" t="n">
        <f aca="false">I65+I111</f>
        <v>0</v>
      </c>
      <c r="J112" s="68" t="n">
        <f aca="false">J65+J111</f>
        <v>97.59</v>
      </c>
      <c r="K112" s="68" t="n">
        <f aca="false">K65+K111</f>
        <v>65.06</v>
      </c>
      <c r="L112" s="68" t="n">
        <f aca="false">L65+L111</f>
        <v>0</v>
      </c>
      <c r="M112" s="68" t="n">
        <f aca="false">M65+M111</f>
        <v>0</v>
      </c>
      <c r="N112" s="68" t="n">
        <f aca="false">N65+N111</f>
        <v>0</v>
      </c>
      <c r="O112" s="68" t="n">
        <f aca="false">O65+O111</f>
        <v>0</v>
      </c>
      <c r="P112" s="68" t="n">
        <f aca="false">P65+P111</f>
        <v>0</v>
      </c>
      <c r="Q112" s="68" t="n">
        <f aca="false">Q65+Q111</f>
        <v>0</v>
      </c>
      <c r="R112" s="68" t="n">
        <f aca="false">R65+R111</f>
        <v>0</v>
      </c>
      <c r="S112" s="68" t="n">
        <f aca="false">S65+S111</f>
        <v>0</v>
      </c>
    </row>
    <row r="114" customFormat="false" ht="15" hidden="false" customHeight="false" outlineLevel="0" collapsed="false">
      <c r="B114" s="22" t="s">
        <v>568</v>
      </c>
      <c r="C114" s="23"/>
      <c r="D114" s="23"/>
      <c r="E114" s="23"/>
      <c r="F114" s="23"/>
      <c r="G114" s="23"/>
      <c r="H114" s="23"/>
      <c r="I114" s="23"/>
      <c r="J114" s="23"/>
      <c r="K114" s="23"/>
      <c r="L114" s="23"/>
      <c r="M114" s="23"/>
      <c r="N114" s="23"/>
      <c r="O114" s="23"/>
      <c r="P114" s="23"/>
      <c r="Q114" s="23"/>
      <c r="R114" s="23"/>
      <c r="S114" s="23"/>
    </row>
    <row r="115" customFormat="false" ht="15" hidden="false" customHeight="false" outlineLevel="0" collapsed="false">
      <c r="B115" s="24" t="s">
        <v>569</v>
      </c>
      <c r="C115" s="25" t="s">
        <v>170</v>
      </c>
      <c r="E115" s="47" t="n">
        <f aca="false">SUM(F115:S115)</f>
        <v>195.18</v>
      </c>
      <c r="F115" s="47" t="n">
        <f aca="false">F39</f>
        <v>0</v>
      </c>
      <c r="G115" s="47" t="n">
        <f aca="false">G39</f>
        <v>0</v>
      </c>
      <c r="H115" s="47" t="n">
        <f aca="false">H39</f>
        <v>0</v>
      </c>
      <c r="I115" s="47" t="n">
        <f aca="false">I39</f>
        <v>0</v>
      </c>
      <c r="J115" s="47" t="n">
        <f aca="false">J39</f>
        <v>195.18</v>
      </c>
      <c r="K115" s="47" t="n">
        <f aca="false">K39</f>
        <v>0</v>
      </c>
      <c r="L115" s="47" t="n">
        <f aca="false">L39</f>
        <v>0</v>
      </c>
      <c r="M115" s="47" t="n">
        <f aca="false">M39</f>
        <v>0</v>
      </c>
      <c r="N115" s="47" t="n">
        <f aca="false">N39</f>
        <v>0</v>
      </c>
      <c r="O115" s="47" t="n">
        <f aca="false">O39</f>
        <v>0</v>
      </c>
      <c r="P115" s="47" t="n">
        <f aca="false">P39</f>
        <v>0</v>
      </c>
      <c r="Q115" s="47" t="n">
        <f aca="false">Q39</f>
        <v>0</v>
      </c>
      <c r="R115" s="47" t="n">
        <f aca="false">R39</f>
        <v>0</v>
      </c>
      <c r="S115" s="47" t="n">
        <f aca="false">S39</f>
        <v>0</v>
      </c>
    </row>
    <row r="116" customFormat="false" ht="15" hidden="false" customHeight="false" outlineLevel="0" collapsed="false">
      <c r="B116" s="77" t="s">
        <v>570</v>
      </c>
      <c r="C116" s="25" t="s">
        <v>170</v>
      </c>
      <c r="E116" s="47" t="n">
        <f aca="false">SUM(F116:S116)</f>
        <v>195.18</v>
      </c>
      <c r="F116" s="58" t="n">
        <f aca="false">Financing!F16</f>
        <v>0</v>
      </c>
      <c r="G116" s="58" t="n">
        <f aca="false">Financing!G16</f>
        <v>0</v>
      </c>
      <c r="H116" s="58" t="n">
        <f aca="false">Financing!H16</f>
        <v>0</v>
      </c>
      <c r="I116" s="58" t="n">
        <f aca="false">Financing!I16</f>
        <v>0</v>
      </c>
      <c r="J116" s="58" t="n">
        <f aca="false">Financing!J16</f>
        <v>195.18</v>
      </c>
      <c r="K116" s="58" t="n">
        <f aca="false">Financing!K16</f>
        <v>0</v>
      </c>
      <c r="L116" s="58" t="n">
        <f aca="false">Financing!L16</f>
        <v>0</v>
      </c>
      <c r="M116" s="58" t="n">
        <f aca="false">Financing!M16</f>
        <v>0</v>
      </c>
      <c r="N116" s="58" t="n">
        <f aca="false">Financing!N16</f>
        <v>0</v>
      </c>
      <c r="O116" s="58" t="n">
        <f aca="false">Financing!O16</f>
        <v>0</v>
      </c>
      <c r="P116" s="58" t="n">
        <f aca="false">Financing!P16</f>
        <v>0</v>
      </c>
      <c r="Q116" s="58" t="n">
        <f aca="false">Financing!Q16</f>
        <v>0</v>
      </c>
      <c r="R116" s="58" t="n">
        <f aca="false">Financing!R16</f>
        <v>0</v>
      </c>
      <c r="S116" s="58" t="n">
        <f aca="false">Financing!S16</f>
        <v>0</v>
      </c>
    </row>
    <row r="117" customFormat="false" ht="15" hidden="false" customHeight="false" outlineLevel="0" collapsed="false">
      <c r="B117" s="24" t="s">
        <v>571</v>
      </c>
      <c r="C117" s="25" t="s">
        <v>170</v>
      </c>
      <c r="E117" s="47" t="n">
        <f aca="false">SUM(F117:S117)</f>
        <v>162.65</v>
      </c>
      <c r="F117" s="47" t="n">
        <f aca="false">F65</f>
        <v>0</v>
      </c>
      <c r="G117" s="47" t="n">
        <f aca="false">G65</f>
        <v>0</v>
      </c>
      <c r="H117" s="47" t="n">
        <f aca="false">H65</f>
        <v>0</v>
      </c>
      <c r="I117" s="47" t="n">
        <f aca="false">I65</f>
        <v>0</v>
      </c>
      <c r="J117" s="47" t="n">
        <f aca="false">J65</f>
        <v>97.59</v>
      </c>
      <c r="K117" s="47" t="n">
        <f aca="false">K65</f>
        <v>65.06</v>
      </c>
      <c r="L117" s="47" t="n">
        <f aca="false">L65</f>
        <v>0</v>
      </c>
      <c r="M117" s="47" t="n">
        <f aca="false">M65</f>
        <v>0</v>
      </c>
      <c r="N117" s="47" t="n">
        <f aca="false">N65</f>
        <v>0</v>
      </c>
      <c r="O117" s="47" t="n">
        <f aca="false">O65</f>
        <v>0</v>
      </c>
      <c r="P117" s="47" t="n">
        <f aca="false">P65</f>
        <v>0</v>
      </c>
      <c r="Q117" s="47" t="n">
        <f aca="false">Q65</f>
        <v>0</v>
      </c>
      <c r="R117" s="47" t="n">
        <f aca="false">R65</f>
        <v>0</v>
      </c>
      <c r="S117" s="47" t="n">
        <f aca="false">S65</f>
        <v>0</v>
      </c>
    </row>
    <row r="118" customFormat="false" ht="15" hidden="false" customHeight="false" outlineLevel="0" collapsed="false">
      <c r="B118" s="24" t="s">
        <v>572</v>
      </c>
      <c r="C118" s="25" t="s">
        <v>170</v>
      </c>
      <c r="E118" s="47" t="n">
        <f aca="false">SUM(F118:S118)</f>
        <v>0</v>
      </c>
      <c r="F118" s="47" t="n">
        <f aca="false">F111</f>
        <v>0</v>
      </c>
      <c r="G118" s="47" t="n">
        <f aca="false">G111</f>
        <v>0</v>
      </c>
      <c r="H118" s="47" t="n">
        <f aca="false">H111</f>
        <v>0</v>
      </c>
      <c r="I118" s="47" t="n">
        <f aca="false">I111</f>
        <v>0</v>
      </c>
      <c r="J118" s="47" t="n">
        <f aca="false">J111</f>
        <v>0</v>
      </c>
      <c r="K118" s="47" t="n">
        <f aca="false">K111</f>
        <v>0</v>
      </c>
      <c r="L118" s="47" t="n">
        <f aca="false">L111</f>
        <v>0</v>
      </c>
      <c r="M118" s="47" t="n">
        <f aca="false">M111</f>
        <v>0</v>
      </c>
      <c r="N118" s="47" t="n">
        <f aca="false">N111</f>
        <v>0</v>
      </c>
      <c r="O118" s="47" t="n">
        <f aca="false">O111</f>
        <v>0</v>
      </c>
      <c r="P118" s="47" t="n">
        <f aca="false">P111</f>
        <v>0</v>
      </c>
      <c r="Q118" s="47" t="n">
        <f aca="false">Q111</f>
        <v>0</v>
      </c>
      <c r="R118" s="47" t="n">
        <f aca="false">R111</f>
        <v>0</v>
      </c>
      <c r="S118" s="47" t="n">
        <f aca="false">S111</f>
        <v>0</v>
      </c>
    </row>
    <row r="119" customFormat="false" ht="15" hidden="false" customHeight="false" outlineLevel="0" collapsed="false">
      <c r="B119" s="69" t="s">
        <v>573</v>
      </c>
      <c r="C119" s="25" t="s">
        <v>170</v>
      </c>
      <c r="E119" s="70" t="n">
        <f aca="false">SUM(F119:S119)</f>
        <v>357.83</v>
      </c>
      <c r="F119" s="68" t="n">
        <f aca="false">F115+F117+F118</f>
        <v>0</v>
      </c>
      <c r="G119" s="68" t="n">
        <f aca="false">G115+G117+G118</f>
        <v>0</v>
      </c>
      <c r="H119" s="68" t="n">
        <f aca="false">H115+H117+H118</f>
        <v>0</v>
      </c>
      <c r="I119" s="68" t="n">
        <f aca="false">I115+I117+I118</f>
        <v>0</v>
      </c>
      <c r="J119" s="68" t="n">
        <f aca="false">J115+J117+J118</f>
        <v>292.77</v>
      </c>
      <c r="K119" s="68" t="n">
        <f aca="false">K115+K117+K118</f>
        <v>65.06</v>
      </c>
      <c r="L119" s="68" t="n">
        <f aca="false">L115+L117+L118</f>
        <v>0</v>
      </c>
      <c r="M119" s="68" t="n">
        <f aca="false">M115+M117+M118</f>
        <v>0</v>
      </c>
      <c r="N119" s="68" t="n">
        <f aca="false">N115+N117+N118</f>
        <v>0</v>
      </c>
      <c r="O119" s="68" t="n">
        <f aca="false">O115+O117+O118</f>
        <v>0</v>
      </c>
      <c r="P119" s="68" t="n">
        <f aca="false">P115+P117+P118</f>
        <v>0</v>
      </c>
      <c r="Q119" s="68" t="n">
        <f aca="false">Q115+Q117+Q118</f>
        <v>0</v>
      </c>
      <c r="R119" s="68" t="n">
        <f aca="false">R115+R117+R118</f>
        <v>0</v>
      </c>
      <c r="S119" s="68" t="n">
        <f aca="false">S115+S117+S118</f>
        <v>0</v>
      </c>
    </row>
    <row r="120" customFormat="false" ht="15" hidden="false" customHeight="false" outlineLevel="0" collapsed="false">
      <c r="B120" s="69" t="s">
        <v>574</v>
      </c>
      <c r="C120" s="25" t="s">
        <v>240</v>
      </c>
      <c r="E120" s="80" t="n">
        <f aca="false">SUM(F120:S120)</f>
        <v>22</v>
      </c>
      <c r="F120" s="81" t="n">
        <f aca="false">F119/'Global Inputs'!F22*1000</f>
        <v>0</v>
      </c>
      <c r="G120" s="81" t="n">
        <f aca="false">G119/'Global Inputs'!G22*1000</f>
        <v>0</v>
      </c>
      <c r="H120" s="81" t="n">
        <f aca="false">H119/'Global Inputs'!H22*1000</f>
        <v>0</v>
      </c>
      <c r="I120" s="81" t="n">
        <f aca="false">I119/'Global Inputs'!I22*1000</f>
        <v>0</v>
      </c>
      <c r="J120" s="81" t="n">
        <f aca="false">J119/'Global Inputs'!J22*1000</f>
        <v>18</v>
      </c>
      <c r="K120" s="81" t="n">
        <f aca="false">K119/'Global Inputs'!K22*1000</f>
        <v>4</v>
      </c>
      <c r="L120" s="81" t="n">
        <f aca="false">L119/'Global Inputs'!L22*1000</f>
        <v>0</v>
      </c>
      <c r="M120" s="81" t="n">
        <f aca="false">M119/'Global Inputs'!M22*1000</f>
        <v>0</v>
      </c>
      <c r="N120" s="81" t="n">
        <f aca="false">N119/'Global Inputs'!N22*1000</f>
        <v>0</v>
      </c>
      <c r="O120" s="81" t="n">
        <f aca="false">O119/'Global Inputs'!O22*1000</f>
        <v>0</v>
      </c>
      <c r="P120" s="81" t="n">
        <f aca="false">P119/'Global Inputs'!P22*1000</f>
        <v>0</v>
      </c>
      <c r="Q120" s="81" t="n">
        <f aca="false">Q119/'Global Inputs'!Q22*1000</f>
        <v>0</v>
      </c>
      <c r="R120" s="81" t="n">
        <f aca="false">R119/'Global Inputs'!R22*1000</f>
        <v>0</v>
      </c>
      <c r="S120" s="81" t="n">
        <f aca="false">S119/'Global Inputs'!S22*1000</f>
        <v>0</v>
      </c>
    </row>
    <row r="121" customFormat="false" ht="15" hidden="false" customHeight="false" outlineLevel="0" collapsed="false">
      <c r="B121" s="77" t="s">
        <v>575</v>
      </c>
      <c r="C121" s="25" t="s">
        <v>170</v>
      </c>
      <c r="E121" s="47" t="n">
        <f aca="false">SUM(F121:S121)</f>
        <v>162.65</v>
      </c>
      <c r="F121" s="47" t="n">
        <f aca="false">F117+F118</f>
        <v>0</v>
      </c>
      <c r="G121" s="47" t="n">
        <f aca="false">G117+G118</f>
        <v>0</v>
      </c>
      <c r="H121" s="47" t="n">
        <f aca="false">H117+H118</f>
        <v>0</v>
      </c>
      <c r="I121" s="47" t="n">
        <f aca="false">I117+I118</f>
        <v>0</v>
      </c>
      <c r="J121" s="47" t="n">
        <f aca="false">J117+J118</f>
        <v>97.59</v>
      </c>
      <c r="K121" s="47" t="n">
        <f aca="false">K117+K118</f>
        <v>65.06</v>
      </c>
      <c r="L121" s="47" t="n">
        <f aca="false">L117+L118</f>
        <v>0</v>
      </c>
      <c r="M121" s="47" t="n">
        <f aca="false">M117+M118</f>
        <v>0</v>
      </c>
      <c r="N121" s="47" t="n">
        <f aca="false">N117+N118</f>
        <v>0</v>
      </c>
      <c r="O121" s="47" t="n">
        <f aca="false">O117+O118</f>
        <v>0</v>
      </c>
      <c r="P121" s="47" t="n">
        <f aca="false">P117+P118</f>
        <v>0</v>
      </c>
      <c r="Q121" s="47" t="n">
        <f aca="false">Q117+Q118</f>
        <v>0</v>
      </c>
      <c r="R121" s="47" t="n">
        <f aca="false">R117+R118</f>
        <v>0</v>
      </c>
      <c r="S121" s="47" t="n">
        <f aca="false">S117+S118</f>
        <v>0</v>
      </c>
    </row>
    <row r="122" customFormat="false" ht="15" hidden="false" customHeight="false" outlineLevel="0" collapsed="false">
      <c r="B122" s="5" t="s">
        <v>576</v>
      </c>
    </row>
    <row r="124" customFormat="false" ht="15" hidden="false" customHeight="false" outlineLevel="0" collapsed="false">
      <c r="B124" s="22" t="s">
        <v>577</v>
      </c>
      <c r="C124" s="23"/>
      <c r="D124" s="23"/>
      <c r="E124" s="23"/>
      <c r="F124" s="23"/>
      <c r="G124" s="23"/>
      <c r="H124" s="23"/>
      <c r="I124" s="23"/>
      <c r="J124" s="23"/>
      <c r="K124" s="23"/>
      <c r="L124" s="23"/>
      <c r="M124" s="23"/>
      <c r="N124" s="23"/>
      <c r="O124" s="23"/>
      <c r="P124" s="23"/>
      <c r="Q124" s="23"/>
      <c r="R124" s="23"/>
      <c r="S124" s="23"/>
    </row>
    <row r="125" customFormat="false" ht="15" hidden="false" customHeight="false" outlineLevel="0" collapsed="false">
      <c r="B125" s="88" t="s">
        <v>25</v>
      </c>
      <c r="C125" s="89" t="s">
        <v>578</v>
      </c>
      <c r="D125" s="89" t="s">
        <v>579</v>
      </c>
      <c r="E125" s="89" t="s">
        <v>580</v>
      </c>
      <c r="F125" s="89" t="s">
        <v>581</v>
      </c>
      <c r="G125" s="89" t="s">
        <v>582</v>
      </c>
    </row>
    <row r="126" customFormat="false" ht="15" hidden="false" customHeight="false" outlineLevel="0" collapsed="false">
      <c r="B126" s="19" t="s">
        <v>583</v>
      </c>
      <c r="C126" s="90" t="s">
        <v>584</v>
      </c>
      <c r="D126" s="90" t="s">
        <v>584</v>
      </c>
      <c r="E126" s="47" t="n">
        <v>12.8</v>
      </c>
      <c r="F126" s="58" t="n">
        <f aca="false">'P01 CigWharf2 Input'!$E$36</f>
        <v>12.8</v>
      </c>
      <c r="G126" s="5" t="s">
        <v>585</v>
      </c>
    </row>
    <row r="127" customFormat="false" ht="15" hidden="false" customHeight="false" outlineLevel="0" collapsed="false">
      <c r="B127" s="19" t="s">
        <v>586</v>
      </c>
      <c r="C127" s="91" t="n">
        <v>8</v>
      </c>
      <c r="D127" s="90" t="s">
        <v>584</v>
      </c>
      <c r="E127" s="47" t="n">
        <v>8</v>
      </c>
      <c r="F127" s="58" t="n">
        <f aca="false">'P02 CigConveyor Input'!$E$36</f>
        <v>8</v>
      </c>
      <c r="G127" s="5" t="s">
        <v>587</v>
      </c>
    </row>
    <row r="128" customFormat="false" ht="15" hidden="false" customHeight="false" outlineLevel="0" collapsed="false">
      <c r="B128" s="19" t="s">
        <v>588</v>
      </c>
      <c r="C128" s="91" t="n">
        <v>14</v>
      </c>
      <c r="D128" s="90" t="s">
        <v>584</v>
      </c>
      <c r="E128" s="47" t="n">
        <v>14</v>
      </c>
      <c r="F128" s="58" t="n">
        <f aca="false">'E3 Belawan Input'!$E$76</f>
        <v>14.0245926836766</v>
      </c>
      <c r="G128" s="5" t="s">
        <v>589</v>
      </c>
    </row>
    <row r="129" customFormat="false" ht="15" hidden="false" customHeight="false" outlineLevel="0" collapsed="false">
      <c r="B129" s="19" t="s">
        <v>590</v>
      </c>
      <c r="C129" s="91" t="n">
        <v>17</v>
      </c>
      <c r="D129" s="90" t="s">
        <v>584</v>
      </c>
      <c r="E129" s="47" t="n">
        <v>11</v>
      </c>
      <c r="F129" s="58" t="n">
        <f aca="false">'P06 Ciwandan Input'!$E$33+'P03 KBSWarehouse Input'!$E$40</f>
        <v>11.0491826836766</v>
      </c>
      <c r="G129" s="5" t="s">
        <v>591</v>
      </c>
    </row>
    <row r="130" customFormat="false" ht="15" hidden="false" customHeight="false" outlineLevel="0" collapsed="false">
      <c r="B130" s="19" t="s">
        <v>592</v>
      </c>
      <c r="C130" s="90" t="s">
        <v>584</v>
      </c>
      <c r="D130" s="90" t="s">
        <v>584</v>
      </c>
      <c r="E130" s="47" t="n">
        <v>3.8</v>
      </c>
      <c r="F130" s="58" t="n">
        <f aca="false">'P04 TTLSilo Input'!$E$39</f>
        <v>3.7623</v>
      </c>
      <c r="G130" s="5" t="s">
        <v>593</v>
      </c>
    </row>
    <row r="131" customFormat="false" ht="15" hidden="false" customHeight="false" outlineLevel="0" collapsed="false">
      <c r="B131" s="19" t="s">
        <v>594</v>
      </c>
      <c r="C131" s="90" t="s">
        <v>584</v>
      </c>
      <c r="D131" s="91" t="n">
        <v>20</v>
      </c>
      <c r="E131" s="47" t="n">
        <v>6.8</v>
      </c>
      <c r="F131" s="58" t="n">
        <f aca="false">'P05 Dumai Input'!$E$39</f>
        <v>6.80952380952381</v>
      </c>
      <c r="G131" s="5" t="s">
        <v>595</v>
      </c>
    </row>
    <row r="132" customFormat="false" ht="15" hidden="false" customHeight="false" outlineLevel="0" collapsed="false">
      <c r="B132" s="19" t="s">
        <v>596</v>
      </c>
      <c r="C132" s="90" t="s">
        <v>584</v>
      </c>
      <c r="D132" s="91" t="n">
        <v>10</v>
      </c>
      <c r="E132" s="47" t="s">
        <v>584</v>
      </c>
      <c r="F132" s="58" t="n">
        <f aca="false">'P19 Badas FS Working Paper'!$E$57</f>
        <v>10</v>
      </c>
      <c r="G132" s="5" t="s">
        <v>597</v>
      </c>
    </row>
    <row r="133" customFormat="false" ht="15" hidden="false" customHeight="false" outlineLevel="0" collapsed="false">
      <c r="B133" s="19" t="s">
        <v>598</v>
      </c>
      <c r="C133" s="90" t="s">
        <v>584</v>
      </c>
      <c r="D133" s="91" t="n">
        <v>60</v>
      </c>
      <c r="E133" s="47" t="s">
        <v>584</v>
      </c>
      <c r="F133" s="58" t="s">
        <v>584</v>
      </c>
      <c r="G133" s="5" t="s">
        <v>599</v>
      </c>
    </row>
    <row r="134" customFormat="false" ht="15" hidden="false" customHeight="false" outlineLevel="0" collapsed="false">
      <c r="B134" s="19" t="s">
        <v>600</v>
      </c>
      <c r="C134" s="90" t="s">
        <v>584</v>
      </c>
      <c r="D134" s="91" t="n">
        <v>15</v>
      </c>
      <c r="E134" s="47" t="s">
        <v>584</v>
      </c>
      <c r="F134" s="58" t="s">
        <v>584</v>
      </c>
      <c r="G134" s="5" t="s">
        <v>599</v>
      </c>
    </row>
    <row r="135" customFormat="false" ht="15" hidden="false" customHeight="false" outlineLevel="0" collapsed="false">
      <c r="B135" s="19" t="s">
        <v>601</v>
      </c>
      <c r="C135" s="91" t="n">
        <v>12</v>
      </c>
      <c r="D135" s="90" t="s">
        <v>584</v>
      </c>
      <c r="E135" s="47" t="n">
        <v>12</v>
      </c>
      <c r="F135" s="58" t="n">
        <f aca="false">'Global Inputs'!$E$71</f>
        <v>12</v>
      </c>
      <c r="G135" s="5" t="s">
        <v>602</v>
      </c>
    </row>
    <row r="136" customFormat="false" ht="15" hidden="false" customHeight="false" outlineLevel="0" collapsed="false">
      <c r="B136" s="5" t="s">
        <v>603</v>
      </c>
    </row>
  </sheetData>
  <hyperlinks>
    <hyperlink ref="C3" r:id="rId1" location="'Navigation'!A1" display="Navigation"/>
    <hyperlink ref="D3" r:id="rId2" location="'Global%20Inputs'!A1" display="Global Inputs"/>
    <hyperlink ref="E3" r:id="rId3" location="'Project%20Summary'!A1" display="Project Summary"/>
    <hyperlink ref="F3" r:id="rId4" location="'Funding%20Requirement'!A1" display="Funding"/>
    <hyperlink ref="G3" r:id="rId5" location="'FSL%20Financials%20—%20Without%20BUMN'!A1" display="FSL w/o BUMN"/>
    <hyperlink ref="H3" r:id="rId6" location="'FSL%20Financials%20—%20With%20BUMN'!A1" display="FSL w/ BUMN"/>
    <hyperlink ref="I3" r:id="rId7" location="'Valuation%20—%20Without%20BUMN'!A1" display="Val w/o BUMN"/>
    <hyperlink ref="J3" r:id="rId8" location="'Valuation%20—%20With%20BUMN'!A1" display="Val w/ BUMN"/>
    <hyperlink ref="K3" r:id="rId9" location="'Checks'!A1" display="Checks"/>
    <hyperlink ref="L3" r:id="rId10" location="'Model%20Flow'!A1" display="Model Flow"/>
  </hyperlink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B9BD5"/>
    <pageSetUpPr fitToPage="true"/>
  </sheetPr>
  <dimension ref="B1:U3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5" ySplit="9" topLeftCell="F10" activePane="bottomRight" state="frozen"/>
      <selection pane="topLeft" activeCell="A1" activeCellId="0" sqref="A1"/>
      <selection pane="topRight" activeCell="F1" activeCellId="0" sqref="F1"/>
      <selection pane="bottomLeft" activeCell="A10" activeCellId="0" sqref="A10"/>
      <selection pane="bottomRigh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66"/>
    <col collapsed="false" customWidth="true" hidden="false" outlineLevel="0" max="3" min="3" style="0" width="11"/>
    <col collapsed="false" customWidth="true" hidden="false" outlineLevel="0" max="4" min="4" style="0" width="12"/>
    <col collapsed="false" customWidth="true" hidden="false" outlineLevel="0" max="5" min="5" style="0" width="13"/>
    <col collapsed="false" customWidth="true" hidden="false" outlineLevel="0" max="19" min="6" style="0" width="11.5"/>
    <col collapsed="false" customWidth="true" hidden="false" outlineLevel="0" max="20" min="20" style="0" width="40"/>
    <col collapsed="false" customWidth="true" hidden="false" outlineLevel="0" max="21" min="21" style="0" width="48"/>
  </cols>
  <sheetData>
    <row r="1" customFormat="false" ht="21.75" hidden="false" customHeight="true" outlineLevel="0" collapsed="false">
      <c r="B1" s="1" t="s">
        <v>604</v>
      </c>
    </row>
    <row r="2" customFormat="false" ht="15" hidden="false" customHeight="false" outlineLevel="0" collapsed="false">
      <c r="B2" s="2" t="s">
        <v>605</v>
      </c>
    </row>
    <row r="3" customFormat="false" ht="15" hidden="false" customHeight="false" outlineLevel="0" collapsed="false">
      <c r="B3" s="5" t="s">
        <v>112</v>
      </c>
      <c r="C3" s="17" t="s">
        <v>113</v>
      </c>
      <c r="D3" s="17" t="s">
        <v>5</v>
      </c>
      <c r="E3" s="17" t="s">
        <v>7</v>
      </c>
      <c r="F3" s="17" t="s">
        <v>114</v>
      </c>
      <c r="G3" s="17" t="s">
        <v>115</v>
      </c>
      <c r="H3" s="17" t="s">
        <v>116</v>
      </c>
      <c r="I3" s="17" t="s">
        <v>117</v>
      </c>
      <c r="J3" s="17" t="s">
        <v>118</v>
      </c>
      <c r="K3" s="17" t="s">
        <v>21</v>
      </c>
      <c r="L3" s="17" t="s">
        <v>3</v>
      </c>
    </row>
    <row r="5" customFormat="false" ht="15" hidden="false" customHeight="false" outlineLevel="0" collapsed="false">
      <c r="B5" s="6" t="s">
        <v>119</v>
      </c>
      <c r="C5" s="6" t="s">
        <v>120</v>
      </c>
      <c r="D5" s="6" t="s">
        <v>121</v>
      </c>
      <c r="E5" s="6" t="s">
        <v>122</v>
      </c>
      <c r="F5" s="18" t="n">
        <f aca="false">'Global Inputs'!F$5</f>
        <v>2023</v>
      </c>
      <c r="G5" s="18" t="n">
        <f aca="false">'Global Inputs'!G$5</f>
        <v>2024</v>
      </c>
      <c r="H5" s="18" t="n">
        <f aca="false">'Global Inputs'!H$5</f>
        <v>2025</v>
      </c>
      <c r="I5" s="18" t="n">
        <f aca="false">'Global Inputs'!I$5</f>
        <v>2026</v>
      </c>
      <c r="J5" s="18" t="n">
        <f aca="false">'Global Inputs'!J$5</f>
        <v>2027</v>
      </c>
      <c r="K5" s="18" t="n">
        <f aca="false">'Global Inputs'!K$5</f>
        <v>2028</v>
      </c>
      <c r="L5" s="18" t="n">
        <f aca="false">'Global Inputs'!L$5</f>
        <v>2029</v>
      </c>
      <c r="M5" s="18" t="n">
        <f aca="false">'Global Inputs'!M$5</f>
        <v>2030</v>
      </c>
      <c r="N5" s="18" t="n">
        <f aca="false">'Global Inputs'!N$5</f>
        <v>2031</v>
      </c>
      <c r="O5" s="18" t="n">
        <f aca="false">'Global Inputs'!O$5</f>
        <v>2032</v>
      </c>
      <c r="P5" s="18" t="n">
        <f aca="false">'Global Inputs'!P$5</f>
        <v>2033</v>
      </c>
      <c r="Q5" s="18" t="n">
        <f aca="false">'Global Inputs'!Q$5</f>
        <v>2034</v>
      </c>
      <c r="R5" s="18" t="n">
        <f aca="false">'Global Inputs'!R$5</f>
        <v>2035</v>
      </c>
      <c r="S5" s="18" t="n">
        <f aca="false">'Global Inputs'!S$5</f>
        <v>2036</v>
      </c>
      <c r="T5" s="6" t="s">
        <v>123</v>
      </c>
      <c r="U5" s="6" t="s">
        <v>124</v>
      </c>
    </row>
    <row r="6" customFormat="false" ht="15" hidden="false" customHeight="false" outlineLevel="0" collapsed="false">
      <c r="B6" s="19" t="s">
        <v>125</v>
      </c>
      <c r="F6" s="20" t="n">
        <f aca="false">'Global Inputs'!F$6</f>
        <v>45291</v>
      </c>
      <c r="G6" s="20" t="n">
        <f aca="false">'Global Inputs'!G$6</f>
        <v>45657</v>
      </c>
      <c r="H6" s="20" t="n">
        <f aca="false">'Global Inputs'!H$6</f>
        <v>46022</v>
      </c>
      <c r="I6" s="20" t="n">
        <f aca="false">'Global Inputs'!I$6</f>
        <v>46387</v>
      </c>
      <c r="J6" s="20" t="n">
        <f aca="false">'Global Inputs'!J$6</f>
        <v>46752</v>
      </c>
      <c r="K6" s="20" t="n">
        <f aca="false">'Global Inputs'!K$6</f>
        <v>47118</v>
      </c>
      <c r="L6" s="20" t="n">
        <f aca="false">'Global Inputs'!L$6</f>
        <v>47483</v>
      </c>
      <c r="M6" s="20" t="n">
        <f aca="false">'Global Inputs'!M$6</f>
        <v>47848</v>
      </c>
      <c r="N6" s="20" t="n">
        <f aca="false">'Global Inputs'!N$6</f>
        <v>48213</v>
      </c>
      <c r="O6" s="20" t="n">
        <f aca="false">'Global Inputs'!O$6</f>
        <v>48579</v>
      </c>
      <c r="P6" s="20" t="n">
        <f aca="false">'Global Inputs'!P$6</f>
        <v>48944</v>
      </c>
      <c r="Q6" s="20" t="n">
        <f aca="false">'Global Inputs'!Q$6</f>
        <v>49309</v>
      </c>
      <c r="R6" s="20" t="n">
        <f aca="false">'Global Inputs'!R$6</f>
        <v>49674</v>
      </c>
      <c r="S6" s="20" t="n">
        <f aca="false">'Global Inputs'!S$6</f>
        <v>50040</v>
      </c>
    </row>
    <row r="7" customFormat="false" ht="15" hidden="false" customHeight="false" outlineLevel="0" collapsed="false">
      <c r="B7" s="19" t="s">
        <v>126</v>
      </c>
      <c r="F7" s="21" t="n">
        <f aca="false">'Global Inputs'!F$7</f>
        <v>365</v>
      </c>
      <c r="G7" s="21" t="n">
        <f aca="false">'Global Inputs'!G$7</f>
        <v>366</v>
      </c>
      <c r="H7" s="21" t="n">
        <f aca="false">'Global Inputs'!H$7</f>
        <v>365</v>
      </c>
      <c r="I7" s="21" t="n">
        <f aca="false">'Global Inputs'!I$7</f>
        <v>365</v>
      </c>
      <c r="J7" s="21" t="n">
        <f aca="false">'Global Inputs'!J$7</f>
        <v>365</v>
      </c>
      <c r="K7" s="21" t="n">
        <f aca="false">'Global Inputs'!K$7</f>
        <v>366</v>
      </c>
      <c r="L7" s="21" t="n">
        <f aca="false">'Global Inputs'!L$7</f>
        <v>365</v>
      </c>
      <c r="M7" s="21" t="n">
        <f aca="false">'Global Inputs'!M$7</f>
        <v>365</v>
      </c>
      <c r="N7" s="21" t="n">
        <f aca="false">'Global Inputs'!N$7</f>
        <v>365</v>
      </c>
      <c r="O7" s="21" t="n">
        <f aca="false">'Global Inputs'!O$7</f>
        <v>366</v>
      </c>
      <c r="P7" s="21" t="n">
        <f aca="false">'Global Inputs'!P$7</f>
        <v>365</v>
      </c>
      <c r="Q7" s="21" t="n">
        <f aca="false">'Global Inputs'!Q$7</f>
        <v>365</v>
      </c>
      <c r="R7" s="21" t="n">
        <f aca="false">'Global Inputs'!R$7</f>
        <v>365</v>
      </c>
      <c r="S7" s="21" t="n">
        <f aca="false">'Global Inputs'!S$7</f>
        <v>366</v>
      </c>
    </row>
    <row r="8" customFormat="false" ht="15" hidden="false" customHeight="false" outlineLevel="0" collapsed="false">
      <c r="B8" s="19" t="s">
        <v>127</v>
      </c>
      <c r="F8" s="21" t="n">
        <f aca="false">'Global Inputs'!F$8</f>
        <v>0</v>
      </c>
      <c r="G8" s="21" t="n">
        <f aca="false">'Global Inputs'!G$8</f>
        <v>1</v>
      </c>
      <c r="H8" s="21" t="n">
        <f aca="false">'Global Inputs'!H$8</f>
        <v>1</v>
      </c>
      <c r="I8" s="21" t="n">
        <f aca="false">'Global Inputs'!I$8</f>
        <v>1</v>
      </c>
      <c r="J8" s="21" t="n">
        <f aca="false">'Global Inputs'!J$8</f>
        <v>1</v>
      </c>
      <c r="K8" s="21" t="n">
        <f aca="false">'Global Inputs'!K$8</f>
        <v>1</v>
      </c>
      <c r="L8" s="21" t="n">
        <f aca="false">'Global Inputs'!L$8</f>
        <v>1</v>
      </c>
      <c r="M8" s="21" t="n">
        <f aca="false">'Global Inputs'!M$8</f>
        <v>1</v>
      </c>
      <c r="N8" s="21" t="n">
        <f aca="false">'Global Inputs'!N$8</f>
        <v>1</v>
      </c>
      <c r="O8" s="21" t="n">
        <f aca="false">'Global Inputs'!O$8</f>
        <v>1</v>
      </c>
      <c r="P8" s="21" t="n">
        <f aca="false">'Global Inputs'!P$8</f>
        <v>1</v>
      </c>
      <c r="Q8" s="21" t="n">
        <f aca="false">'Global Inputs'!Q$8</f>
        <v>1</v>
      </c>
      <c r="R8" s="21" t="n">
        <f aca="false">'Global Inputs'!R$8</f>
        <v>1</v>
      </c>
      <c r="S8" s="21" t="n">
        <f aca="false">'Global Inputs'!S$8</f>
        <v>1</v>
      </c>
    </row>
    <row r="10" customFormat="false" ht="15" hidden="false" customHeight="false" outlineLevel="0" collapsed="false">
      <c r="B10" s="22" t="s">
        <v>606</v>
      </c>
      <c r="C10" s="23"/>
      <c r="D10" s="23"/>
      <c r="E10" s="23"/>
      <c r="F10" s="23"/>
      <c r="G10" s="23"/>
      <c r="H10" s="23"/>
      <c r="I10" s="23"/>
      <c r="J10" s="23"/>
      <c r="K10" s="23"/>
      <c r="L10" s="23"/>
      <c r="M10" s="23"/>
      <c r="N10" s="23"/>
      <c r="O10" s="23"/>
      <c r="P10" s="23"/>
      <c r="Q10" s="23"/>
      <c r="R10" s="23"/>
      <c r="S10" s="23"/>
    </row>
    <row r="11" customFormat="false" ht="15" hidden="false" customHeight="false" outlineLevel="0" collapsed="false">
      <c r="B11" s="24" t="s">
        <v>607</v>
      </c>
      <c r="C11" s="25" t="s">
        <v>170</v>
      </c>
      <c r="F11" s="47" t="n">
        <f aca="false">0</f>
        <v>0</v>
      </c>
      <c r="G11" s="47" t="n">
        <f aca="false">F13</f>
        <v>29.338</v>
      </c>
      <c r="H11" s="47" t="n">
        <f aca="false">G13</f>
        <v>0</v>
      </c>
      <c r="I11" s="47" t="n">
        <f aca="false">H13</f>
        <v>0</v>
      </c>
      <c r="J11" s="47" t="n">
        <f aca="false">I13</f>
        <v>0</v>
      </c>
      <c r="K11" s="47" t="n">
        <f aca="false">J13</f>
        <v>0</v>
      </c>
      <c r="L11" s="47" t="n">
        <f aca="false">K13</f>
        <v>0</v>
      </c>
      <c r="M11" s="47" t="n">
        <f aca="false">L13</f>
        <v>0</v>
      </c>
      <c r="N11" s="47" t="n">
        <f aca="false">M13</f>
        <v>0</v>
      </c>
      <c r="O11" s="47" t="n">
        <f aca="false">N13</f>
        <v>0</v>
      </c>
      <c r="P11" s="47" t="n">
        <f aca="false">O13</f>
        <v>0</v>
      </c>
      <c r="Q11" s="47" t="n">
        <f aca="false">P13</f>
        <v>0</v>
      </c>
      <c r="R11" s="47" t="n">
        <f aca="false">Q13</f>
        <v>0</v>
      </c>
      <c r="S11" s="47" t="n">
        <f aca="false">R13</f>
        <v>0</v>
      </c>
    </row>
    <row r="12" customFormat="false" ht="15" hidden="false" customHeight="false" outlineLevel="0" collapsed="false">
      <c r="B12" s="24" t="s">
        <v>608</v>
      </c>
      <c r="C12" s="25" t="s">
        <v>170</v>
      </c>
      <c r="E12" s="47" t="n">
        <f aca="false">SUM(F12:S12)</f>
        <v>29.338</v>
      </c>
      <c r="F12" s="47" t="n">
        <f aca="false">0</f>
        <v>0</v>
      </c>
      <c r="G12" s="47" t="n">
        <f aca="false">IF(G$5=2024,G11,0)</f>
        <v>29.338</v>
      </c>
      <c r="H12" s="47" t="n">
        <f aca="false">IF(H$5=2024,H11,0)</f>
        <v>0</v>
      </c>
      <c r="I12" s="47" t="n">
        <f aca="false">IF(I$5=2024,I11,0)</f>
        <v>0</v>
      </c>
      <c r="J12" s="47" t="n">
        <f aca="false">IF(J$5=2024,J11,0)</f>
        <v>0</v>
      </c>
      <c r="K12" s="47" t="n">
        <f aca="false">IF(K$5=2024,K11,0)</f>
        <v>0</v>
      </c>
      <c r="L12" s="47" t="n">
        <f aca="false">IF(L$5=2024,L11,0)</f>
        <v>0</v>
      </c>
      <c r="M12" s="47" t="n">
        <f aca="false">IF(M$5=2024,M11,0)</f>
        <v>0</v>
      </c>
      <c r="N12" s="47" t="n">
        <f aca="false">IF(N$5=2024,N11,0)</f>
        <v>0</v>
      </c>
      <c r="O12" s="47" t="n">
        <f aca="false">IF(O$5=2024,O11,0)</f>
        <v>0</v>
      </c>
      <c r="P12" s="47" t="n">
        <f aca="false">IF(P$5=2024,P11,0)</f>
        <v>0</v>
      </c>
      <c r="Q12" s="47" t="n">
        <f aca="false">IF(Q$5=2024,Q11,0)</f>
        <v>0</v>
      </c>
      <c r="R12" s="47" t="n">
        <f aca="false">IF(R$5=2024,R11,0)</f>
        <v>0</v>
      </c>
      <c r="S12" s="47" t="n">
        <f aca="false">IF(S$5=2024,S11,0)</f>
        <v>0</v>
      </c>
    </row>
    <row r="13" customFormat="false" ht="15" hidden="false" customHeight="false" outlineLevel="0" collapsed="false">
      <c r="B13" s="24" t="s">
        <v>609</v>
      </c>
      <c r="C13" s="25" t="s">
        <v>170</v>
      </c>
      <c r="F13" s="47" t="n">
        <f aca="false">'Global Inputs'!$E$73</f>
        <v>29.338</v>
      </c>
      <c r="G13" s="47" t="n">
        <f aca="false">G11-G12</f>
        <v>0</v>
      </c>
      <c r="H13" s="47" t="n">
        <f aca="false">H11-H12</f>
        <v>0</v>
      </c>
      <c r="I13" s="47" t="n">
        <f aca="false">I11-I12</f>
        <v>0</v>
      </c>
      <c r="J13" s="47" t="n">
        <f aca="false">J11-J12</f>
        <v>0</v>
      </c>
      <c r="K13" s="47" t="n">
        <f aca="false">K11-K12</f>
        <v>0</v>
      </c>
      <c r="L13" s="47" t="n">
        <f aca="false">L11-L12</f>
        <v>0</v>
      </c>
      <c r="M13" s="47" t="n">
        <f aca="false">M11-M12</f>
        <v>0</v>
      </c>
      <c r="N13" s="47" t="n">
        <f aca="false">N11-N12</f>
        <v>0</v>
      </c>
      <c r="O13" s="47" t="n">
        <f aca="false">O11-O12</f>
        <v>0</v>
      </c>
      <c r="P13" s="47" t="n">
        <f aca="false">P11-P12</f>
        <v>0</v>
      </c>
      <c r="Q13" s="47" t="n">
        <f aca="false">Q11-Q12</f>
        <v>0</v>
      </c>
      <c r="R13" s="47" t="n">
        <f aca="false">R11-R12</f>
        <v>0</v>
      </c>
      <c r="S13" s="47" t="n">
        <f aca="false">S11-S12</f>
        <v>0</v>
      </c>
    </row>
    <row r="15" customFormat="false" ht="15" hidden="false" customHeight="false" outlineLevel="0" collapsed="false">
      <c r="B15" s="24" t="s">
        <v>610</v>
      </c>
      <c r="C15" s="25" t="s">
        <v>170</v>
      </c>
      <c r="F15" s="47" t="n">
        <f aca="false">0</f>
        <v>0</v>
      </c>
      <c r="G15" s="47" t="n">
        <f aca="false">F19</f>
        <v>195.18</v>
      </c>
      <c r="H15" s="47" t="n">
        <f aca="false">G19</f>
        <v>195.18</v>
      </c>
      <c r="I15" s="47" t="n">
        <f aca="false">H19</f>
        <v>195.18</v>
      </c>
      <c r="J15" s="47" t="n">
        <f aca="false">I19</f>
        <v>195.18</v>
      </c>
      <c r="K15" s="47" t="n">
        <f aca="false">J19</f>
        <v>0</v>
      </c>
      <c r="L15" s="47" t="n">
        <f aca="false">K19</f>
        <v>0</v>
      </c>
      <c r="M15" s="47" t="n">
        <f aca="false">L19</f>
        <v>0</v>
      </c>
      <c r="N15" s="47" t="n">
        <f aca="false">M19</f>
        <v>0</v>
      </c>
      <c r="O15" s="47" t="n">
        <f aca="false">N19</f>
        <v>0</v>
      </c>
      <c r="P15" s="47" t="n">
        <f aca="false">O19</f>
        <v>0</v>
      </c>
      <c r="Q15" s="47" t="n">
        <f aca="false">P19</f>
        <v>0</v>
      </c>
      <c r="R15" s="47" t="n">
        <f aca="false">Q19</f>
        <v>0</v>
      </c>
      <c r="S15" s="47" t="n">
        <f aca="false">R19</f>
        <v>0</v>
      </c>
    </row>
    <row r="16" customFormat="false" ht="15" hidden="false" customHeight="false" outlineLevel="0" collapsed="false">
      <c r="B16" s="24" t="s">
        <v>611</v>
      </c>
      <c r="C16" s="25" t="s">
        <v>170</v>
      </c>
      <c r="E16" s="47" t="n">
        <f aca="false">SUM(F16:S16)</f>
        <v>195.18</v>
      </c>
      <c r="F16" s="47" t="n">
        <f aca="false">0</f>
        <v>0</v>
      </c>
      <c r="G16" s="47" t="n">
        <f aca="false">IF(G$5='Global Inputs'!$E$77,G15*'Global Inputs'!$E$81,0)</f>
        <v>0</v>
      </c>
      <c r="H16" s="47" t="n">
        <f aca="false">IF(H$5='Global Inputs'!$E$77,H15*'Global Inputs'!$E$81,0)</f>
        <v>0</v>
      </c>
      <c r="I16" s="47" t="n">
        <f aca="false">IF(I$5='Global Inputs'!$E$77,I15*'Global Inputs'!$E$81,0)</f>
        <v>0</v>
      </c>
      <c r="J16" s="47" t="n">
        <f aca="false">IF(J$5='Global Inputs'!$E$77,J15*'Global Inputs'!$E$81,0)</f>
        <v>195.18</v>
      </c>
      <c r="K16" s="47" t="n">
        <f aca="false">IF(K$5='Global Inputs'!$E$77,K15*'Global Inputs'!$E$81,0)</f>
        <v>0</v>
      </c>
      <c r="L16" s="47" t="n">
        <f aca="false">IF(L$5='Global Inputs'!$E$77,L15*'Global Inputs'!$E$81,0)</f>
        <v>0</v>
      </c>
      <c r="M16" s="47" t="n">
        <f aca="false">IF(M$5='Global Inputs'!$E$77,M15*'Global Inputs'!$E$81,0)</f>
        <v>0</v>
      </c>
      <c r="N16" s="47" t="n">
        <f aca="false">IF(N$5='Global Inputs'!$E$77,N15*'Global Inputs'!$E$81,0)</f>
        <v>0</v>
      </c>
      <c r="O16" s="47" t="n">
        <f aca="false">IF(O$5='Global Inputs'!$E$77,O15*'Global Inputs'!$E$81,0)</f>
        <v>0</v>
      </c>
      <c r="P16" s="47" t="n">
        <f aca="false">IF(P$5='Global Inputs'!$E$77,P15*'Global Inputs'!$E$81,0)</f>
        <v>0</v>
      </c>
      <c r="Q16" s="47" t="n">
        <f aca="false">IF(Q$5='Global Inputs'!$E$77,Q15*'Global Inputs'!$E$81,0)</f>
        <v>0</v>
      </c>
      <c r="R16" s="47" t="n">
        <f aca="false">IF(R$5='Global Inputs'!$E$77,R15*'Global Inputs'!$E$81,0)</f>
        <v>0</v>
      </c>
      <c r="S16" s="47" t="n">
        <f aca="false">IF(S$5='Global Inputs'!$E$77,S15*'Global Inputs'!$E$81,0)</f>
        <v>0</v>
      </c>
    </row>
    <row r="17" customFormat="false" ht="15" hidden="false" customHeight="false" outlineLevel="0" collapsed="false">
      <c r="B17" s="69" t="s">
        <v>612</v>
      </c>
      <c r="C17" s="25" t="s">
        <v>170</v>
      </c>
      <c r="E17" s="70" t="n">
        <f aca="false">SUM(F17:S17)</f>
        <v>195.18</v>
      </c>
      <c r="F17" s="68" t="n">
        <f aca="false">0</f>
        <v>0</v>
      </c>
      <c r="G17" s="68" t="n">
        <f aca="false">IF('Global Inputs'!$E$79=1,G16,MIN(G16,G33))</f>
        <v>0</v>
      </c>
      <c r="H17" s="68" t="n">
        <f aca="false">IF('Global Inputs'!$E$79=1,H16,MIN(H16,H33))</f>
        <v>0</v>
      </c>
      <c r="I17" s="68" t="n">
        <f aca="false">IF('Global Inputs'!$E$79=1,I16,MIN(I16,I33))</f>
        <v>0</v>
      </c>
      <c r="J17" s="68" t="n">
        <f aca="false">IF('Global Inputs'!$E$79=1,J16,MIN(J16,J33))</f>
        <v>195.18</v>
      </c>
      <c r="K17" s="68" t="n">
        <f aca="false">IF('Global Inputs'!$E$79=1,K16,MIN(K16,K33))</f>
        <v>0</v>
      </c>
      <c r="L17" s="68" t="n">
        <f aca="false">IF('Global Inputs'!$E$79=1,L16,MIN(L16,L33))</f>
        <v>0</v>
      </c>
      <c r="M17" s="68" t="n">
        <f aca="false">IF('Global Inputs'!$E$79=1,M16,MIN(M16,M33))</f>
        <v>0</v>
      </c>
      <c r="N17" s="68" t="n">
        <f aca="false">IF('Global Inputs'!$E$79=1,N16,MIN(N16,N33))</f>
        <v>0</v>
      </c>
      <c r="O17" s="68" t="n">
        <f aca="false">IF('Global Inputs'!$E$79=1,O16,MIN(O16,O33))</f>
        <v>0</v>
      </c>
      <c r="P17" s="68" t="n">
        <f aca="false">IF('Global Inputs'!$E$79=1,P16,MIN(P16,P33))</f>
        <v>0</v>
      </c>
      <c r="Q17" s="68" t="n">
        <f aca="false">IF('Global Inputs'!$E$79=1,Q16,MIN(Q16,Q33))</f>
        <v>0</v>
      </c>
      <c r="R17" s="68" t="n">
        <f aca="false">IF('Global Inputs'!$E$79=1,R16,MIN(R16,R33))</f>
        <v>0</v>
      </c>
      <c r="S17" s="68" t="n">
        <f aca="false">IF('Global Inputs'!$E$79=1,S16,MIN(S16,S33))</f>
        <v>0</v>
      </c>
    </row>
    <row r="18" customFormat="false" ht="15" hidden="false" customHeight="false" outlineLevel="0" collapsed="false">
      <c r="B18" s="24" t="s">
        <v>613</v>
      </c>
      <c r="C18" s="25" t="s">
        <v>170</v>
      </c>
      <c r="E18" s="47" t="n">
        <f aca="false">SUM(F18:S18)</f>
        <v>0</v>
      </c>
      <c r="F18" s="47" t="n">
        <f aca="false">0</f>
        <v>0</v>
      </c>
      <c r="G18" s="47" t="n">
        <f aca="false">G16-G17</f>
        <v>0</v>
      </c>
      <c r="H18" s="47" t="n">
        <f aca="false">H16-H17</f>
        <v>0</v>
      </c>
      <c r="I18" s="47" t="n">
        <f aca="false">I16-I17</f>
        <v>0</v>
      </c>
      <c r="J18" s="47" t="n">
        <f aca="false">J16-J17</f>
        <v>0</v>
      </c>
      <c r="K18" s="47" t="n">
        <f aca="false">K16-K17</f>
        <v>0</v>
      </c>
      <c r="L18" s="47" t="n">
        <f aca="false">L16-L17</f>
        <v>0</v>
      </c>
      <c r="M18" s="47" t="n">
        <f aca="false">M16-M17</f>
        <v>0</v>
      </c>
      <c r="N18" s="47" t="n">
        <f aca="false">N16-N17</f>
        <v>0</v>
      </c>
      <c r="O18" s="47" t="n">
        <f aca="false">O16-O17</f>
        <v>0</v>
      </c>
      <c r="P18" s="47" t="n">
        <f aca="false">P16-P17</f>
        <v>0</v>
      </c>
      <c r="Q18" s="47" t="n">
        <f aca="false">Q16-Q17</f>
        <v>0</v>
      </c>
      <c r="R18" s="47" t="n">
        <f aca="false">R16-R17</f>
        <v>0</v>
      </c>
      <c r="S18" s="47" t="n">
        <f aca="false">S16-S17</f>
        <v>0</v>
      </c>
    </row>
    <row r="19" customFormat="false" ht="15" hidden="false" customHeight="false" outlineLevel="0" collapsed="false">
      <c r="B19" s="69" t="s">
        <v>614</v>
      </c>
      <c r="C19" s="25" t="s">
        <v>170</v>
      </c>
      <c r="F19" s="68" t="n">
        <f aca="false">'Global Inputs'!$E$72</f>
        <v>195.18</v>
      </c>
      <c r="G19" s="68" t="n">
        <f aca="false">G15-G17</f>
        <v>195.18</v>
      </c>
      <c r="H19" s="68" t="n">
        <f aca="false">H15-H17</f>
        <v>195.18</v>
      </c>
      <c r="I19" s="68" t="n">
        <f aca="false">I15-I17</f>
        <v>195.18</v>
      </c>
      <c r="J19" s="68" t="n">
        <f aca="false">J15-J17</f>
        <v>0</v>
      </c>
      <c r="K19" s="68" t="n">
        <f aca="false">K15-K17</f>
        <v>0</v>
      </c>
      <c r="L19" s="68" t="n">
        <f aca="false">L15-L17</f>
        <v>0</v>
      </c>
      <c r="M19" s="68" t="n">
        <f aca="false">M15-M17</f>
        <v>0</v>
      </c>
      <c r="N19" s="68" t="n">
        <f aca="false">N15-N17</f>
        <v>0</v>
      </c>
      <c r="O19" s="68" t="n">
        <f aca="false">O15-O17</f>
        <v>0</v>
      </c>
      <c r="P19" s="68" t="n">
        <f aca="false">P15-P17</f>
        <v>0</v>
      </c>
      <c r="Q19" s="68" t="n">
        <f aca="false">Q15-Q17</f>
        <v>0</v>
      </c>
      <c r="R19" s="68" t="n">
        <f aca="false">R15-R17</f>
        <v>0</v>
      </c>
      <c r="S19" s="68" t="n">
        <f aca="false">S15-S17</f>
        <v>0</v>
      </c>
    </row>
    <row r="20" customFormat="false" ht="15" hidden="false" customHeight="false" outlineLevel="0" collapsed="false">
      <c r="B20" s="24" t="s">
        <v>615</v>
      </c>
      <c r="C20" s="25" t="s">
        <v>160</v>
      </c>
      <c r="F20" s="49" t="n">
        <f aca="false">IF(F$5='Global Inputs'!$E$77,'Global Inputs'!$E$78,1)</f>
        <v>1</v>
      </c>
      <c r="G20" s="49" t="n">
        <f aca="false">IF(G$5='Global Inputs'!$E$77,'Global Inputs'!$E$78,1)</f>
        <v>1</v>
      </c>
      <c r="H20" s="49" t="n">
        <f aca="false">IF(H$5='Global Inputs'!$E$77,'Global Inputs'!$E$78,1)</f>
        <v>1</v>
      </c>
      <c r="I20" s="49" t="n">
        <f aca="false">IF(I$5='Global Inputs'!$E$77,'Global Inputs'!$E$78,1)</f>
        <v>1</v>
      </c>
      <c r="J20" s="49" t="n">
        <f aca="false">IF(J$5='Global Inputs'!$E$77,'Global Inputs'!$E$78,1)</f>
        <v>0.495890410958904</v>
      </c>
      <c r="K20" s="49" t="n">
        <f aca="false">IF(K$5='Global Inputs'!$E$77,'Global Inputs'!$E$78,1)</f>
        <v>1</v>
      </c>
      <c r="L20" s="49" t="n">
        <f aca="false">IF(L$5='Global Inputs'!$E$77,'Global Inputs'!$E$78,1)</f>
        <v>1</v>
      </c>
      <c r="M20" s="49" t="n">
        <f aca="false">IF(M$5='Global Inputs'!$E$77,'Global Inputs'!$E$78,1)</f>
        <v>1</v>
      </c>
      <c r="N20" s="49" t="n">
        <f aca="false">IF(N$5='Global Inputs'!$E$77,'Global Inputs'!$E$78,1)</f>
        <v>1</v>
      </c>
      <c r="O20" s="49" t="n">
        <f aca="false">IF(O$5='Global Inputs'!$E$77,'Global Inputs'!$E$78,1)</f>
        <v>1</v>
      </c>
      <c r="P20" s="49" t="n">
        <f aca="false">IF(P$5='Global Inputs'!$E$77,'Global Inputs'!$E$78,1)</f>
        <v>1</v>
      </c>
      <c r="Q20" s="49" t="n">
        <f aca="false">IF(Q$5='Global Inputs'!$E$77,'Global Inputs'!$E$78,1)</f>
        <v>1</v>
      </c>
      <c r="R20" s="49" t="n">
        <f aca="false">IF(R$5='Global Inputs'!$E$77,'Global Inputs'!$E$78,1)</f>
        <v>1</v>
      </c>
      <c r="S20" s="49" t="n">
        <f aca="false">IF(S$5='Global Inputs'!$E$77,'Global Inputs'!$E$78,1)</f>
        <v>1</v>
      </c>
    </row>
    <row r="21" customFormat="false" ht="15" hidden="false" customHeight="false" outlineLevel="0" collapsed="false">
      <c r="B21" s="24" t="s">
        <v>616</v>
      </c>
      <c r="C21" s="25" t="s">
        <v>170</v>
      </c>
      <c r="E21" s="47" t="n">
        <f aca="false">SUM(F21:S21)</f>
        <v>43.5917916870468</v>
      </c>
      <c r="F21" s="47" t="n">
        <f aca="false">0</f>
        <v>0</v>
      </c>
      <c r="G21" s="47" t="n">
        <f aca="false">IF(G$5=2024,'Global Inputs'!$E$75,'Global Inputs'!$E$74*((G15-G17)+G17*G20))*G$8</f>
        <v>5.470905517661</v>
      </c>
      <c r="H21" s="47" t="n">
        <f aca="false">IF(H$5=2024,'Global Inputs'!$E$75,'Global Inputs'!$E$74*((H15-H17)+H17*H20))*H$8</f>
        <v>15.2734615278</v>
      </c>
      <c r="I21" s="47" t="n">
        <f aca="false">IF(I$5=2024,'Global Inputs'!$E$75,'Global Inputs'!$E$74*((I15-I17)+I17*I20))*I$8</f>
        <v>15.2734615278</v>
      </c>
      <c r="J21" s="47" t="n">
        <f aca="false">IF(J$5=2024,'Global Inputs'!$E$75,'Global Inputs'!$E$74*((J15-J17)+J17*J20))*J$8</f>
        <v>7.57396311378575</v>
      </c>
      <c r="K21" s="47" t="n">
        <f aca="false">IF(K$5=2024,'Global Inputs'!$E$75,'Global Inputs'!$E$74*((K15-K17)+K17*K20))*K$8</f>
        <v>0</v>
      </c>
      <c r="L21" s="47" t="n">
        <f aca="false">IF(L$5=2024,'Global Inputs'!$E$75,'Global Inputs'!$E$74*((L15-L17)+L17*L20))*L$8</f>
        <v>0</v>
      </c>
      <c r="M21" s="47" t="n">
        <f aca="false">IF(M$5=2024,'Global Inputs'!$E$75,'Global Inputs'!$E$74*((M15-M17)+M17*M20))*M$8</f>
        <v>0</v>
      </c>
      <c r="N21" s="47" t="n">
        <f aca="false">IF(N$5=2024,'Global Inputs'!$E$75,'Global Inputs'!$E$74*((N15-N17)+N17*N20))*N$8</f>
        <v>0</v>
      </c>
      <c r="O21" s="47" t="n">
        <f aca="false">IF(O$5=2024,'Global Inputs'!$E$75,'Global Inputs'!$E$74*((O15-O17)+O17*O20))*O$8</f>
        <v>0</v>
      </c>
      <c r="P21" s="47" t="n">
        <f aca="false">IF(P$5=2024,'Global Inputs'!$E$75,'Global Inputs'!$E$74*((P15-P17)+P17*P20))*P$8</f>
        <v>0</v>
      </c>
      <c r="Q21" s="47" t="n">
        <f aca="false">IF(Q$5=2024,'Global Inputs'!$E$75,'Global Inputs'!$E$74*((Q15-Q17)+Q17*Q20))*Q$8</f>
        <v>0</v>
      </c>
      <c r="R21" s="47" t="n">
        <f aca="false">IF(R$5=2024,'Global Inputs'!$E$75,'Global Inputs'!$E$74*((R15-R17)+R17*R20))*R$8</f>
        <v>0</v>
      </c>
      <c r="S21" s="47" t="n">
        <f aca="false">IF(S$5=2024,'Global Inputs'!$E$75,'Global Inputs'!$E$74*((S15-S17)+S17*S20))*S$8</f>
        <v>0</v>
      </c>
    </row>
    <row r="22" customFormat="false" ht="15" hidden="false" customHeight="false" outlineLevel="0" collapsed="false">
      <c r="B22" s="69" t="s">
        <v>617</v>
      </c>
      <c r="C22" s="25" t="s">
        <v>170</v>
      </c>
      <c r="E22" s="70" t="n">
        <f aca="false">SUM(F22:S22)</f>
        <v>43.5917916870468</v>
      </c>
      <c r="F22" s="68" t="n">
        <f aca="false">F21</f>
        <v>0</v>
      </c>
      <c r="G22" s="68" t="n">
        <f aca="false">G21</f>
        <v>5.470905517661</v>
      </c>
      <c r="H22" s="68" t="n">
        <f aca="false">H21</f>
        <v>15.2734615278</v>
      </c>
      <c r="I22" s="68" t="n">
        <f aca="false">I21</f>
        <v>15.2734615278</v>
      </c>
      <c r="J22" s="68" t="n">
        <f aca="false">J21</f>
        <v>7.57396311378575</v>
      </c>
      <c r="K22" s="68" t="n">
        <f aca="false">K21</f>
        <v>0</v>
      </c>
      <c r="L22" s="68" t="n">
        <f aca="false">L21</f>
        <v>0</v>
      </c>
      <c r="M22" s="68" t="n">
        <f aca="false">M21</f>
        <v>0</v>
      </c>
      <c r="N22" s="68" t="n">
        <f aca="false">N21</f>
        <v>0</v>
      </c>
      <c r="O22" s="68" t="n">
        <f aca="false">O21</f>
        <v>0</v>
      </c>
      <c r="P22" s="68" t="n">
        <f aca="false">P21</f>
        <v>0</v>
      </c>
      <c r="Q22" s="68" t="n">
        <f aca="false">Q21</f>
        <v>0</v>
      </c>
      <c r="R22" s="68" t="n">
        <f aca="false">R21</f>
        <v>0</v>
      </c>
      <c r="S22" s="68" t="n">
        <f aca="false">S21</f>
        <v>0</v>
      </c>
    </row>
    <row r="23" customFormat="false" ht="15" hidden="false" customHeight="false" outlineLevel="0" collapsed="false">
      <c r="B23" s="24" t="s">
        <v>618</v>
      </c>
      <c r="C23" s="25" t="s">
        <v>170</v>
      </c>
      <c r="E23" s="47" t="n">
        <f aca="false">SUM(F23:S23)</f>
        <v>9.59019417115029</v>
      </c>
      <c r="F23" s="47" t="n">
        <f aca="false">'Global Inputs'!$E$34*'Global Inputs'!$E$27*F22</f>
        <v>0</v>
      </c>
      <c r="G23" s="47" t="n">
        <f aca="false">'Global Inputs'!$E$34*'Global Inputs'!$E$27*G22</f>
        <v>1.20359921388542</v>
      </c>
      <c r="H23" s="47" t="n">
        <f aca="false">'Global Inputs'!$E$34*'Global Inputs'!$E$27*H22</f>
        <v>3.360161536116</v>
      </c>
      <c r="I23" s="47" t="n">
        <f aca="false">'Global Inputs'!$E$34*'Global Inputs'!$E$27*I22</f>
        <v>3.360161536116</v>
      </c>
      <c r="J23" s="47" t="n">
        <f aca="false">'Global Inputs'!$E$34*'Global Inputs'!$E$27*J22</f>
        <v>1.66627188503287</v>
      </c>
      <c r="K23" s="47" t="n">
        <f aca="false">'Global Inputs'!$E$34*'Global Inputs'!$E$27*K22</f>
        <v>0</v>
      </c>
      <c r="L23" s="47" t="n">
        <f aca="false">'Global Inputs'!$E$34*'Global Inputs'!$E$27*L22</f>
        <v>0</v>
      </c>
      <c r="M23" s="47" t="n">
        <f aca="false">'Global Inputs'!$E$34*'Global Inputs'!$E$27*M22</f>
        <v>0</v>
      </c>
      <c r="N23" s="47" t="n">
        <f aca="false">'Global Inputs'!$E$34*'Global Inputs'!$E$27*N22</f>
        <v>0</v>
      </c>
      <c r="O23" s="47" t="n">
        <f aca="false">'Global Inputs'!$E$34*'Global Inputs'!$E$27*O22</f>
        <v>0</v>
      </c>
      <c r="P23" s="47" t="n">
        <f aca="false">'Global Inputs'!$E$34*'Global Inputs'!$E$27*P22</f>
        <v>0</v>
      </c>
      <c r="Q23" s="47" t="n">
        <f aca="false">'Global Inputs'!$E$34*'Global Inputs'!$E$27*Q22</f>
        <v>0</v>
      </c>
      <c r="R23" s="47" t="n">
        <f aca="false">'Global Inputs'!$E$34*'Global Inputs'!$E$27*R22</f>
        <v>0</v>
      </c>
      <c r="S23" s="47" t="n">
        <f aca="false">'Global Inputs'!$E$34*'Global Inputs'!$E$27*S22</f>
        <v>0</v>
      </c>
    </row>
    <row r="24" customFormat="false" ht="15" hidden="false" customHeight="false" outlineLevel="0" collapsed="false">
      <c r="B24" s="69" t="s">
        <v>619</v>
      </c>
      <c r="C24" s="25" t="s">
        <v>170</v>
      </c>
      <c r="F24" s="68" t="n">
        <f aca="false">F13+F19</f>
        <v>224.518</v>
      </c>
      <c r="G24" s="68" t="n">
        <f aca="false">G13+G19</f>
        <v>195.18</v>
      </c>
      <c r="H24" s="68" t="n">
        <f aca="false">H13+H19</f>
        <v>195.18</v>
      </c>
      <c r="I24" s="68" t="n">
        <f aca="false">I13+I19</f>
        <v>195.18</v>
      </c>
      <c r="J24" s="68" t="n">
        <f aca="false">J13+J19</f>
        <v>0</v>
      </c>
      <c r="K24" s="68" t="n">
        <f aca="false">K13+K19</f>
        <v>0</v>
      </c>
      <c r="L24" s="68" t="n">
        <f aca="false">L13+L19</f>
        <v>0</v>
      </c>
      <c r="M24" s="68" t="n">
        <f aca="false">M13+M19</f>
        <v>0</v>
      </c>
      <c r="N24" s="68" t="n">
        <f aca="false">N13+N19</f>
        <v>0</v>
      </c>
      <c r="O24" s="68" t="n">
        <f aca="false">O13+O19</f>
        <v>0</v>
      </c>
      <c r="P24" s="68" t="n">
        <f aca="false">P13+P19</f>
        <v>0</v>
      </c>
      <c r="Q24" s="68" t="n">
        <f aca="false">Q13+Q19</f>
        <v>0</v>
      </c>
      <c r="R24" s="68" t="n">
        <f aca="false">R13+R19</f>
        <v>0</v>
      </c>
      <c r="S24" s="68" t="n">
        <f aca="false">S13+S19</f>
        <v>0</v>
      </c>
    </row>
    <row r="25" customFormat="false" ht="15" hidden="false" customHeight="false" outlineLevel="0" collapsed="false">
      <c r="B25" s="24" t="s">
        <v>620</v>
      </c>
      <c r="C25" s="25" t="s">
        <v>170</v>
      </c>
      <c r="E25" s="47" t="n">
        <f aca="false">SUM(F25:S25)</f>
        <v>224.518</v>
      </c>
      <c r="F25" s="47" t="n">
        <f aca="false">F12+F17</f>
        <v>0</v>
      </c>
      <c r="G25" s="47" t="n">
        <f aca="false">G12+G17</f>
        <v>29.338</v>
      </c>
      <c r="H25" s="47" t="n">
        <f aca="false">H12+H17</f>
        <v>0</v>
      </c>
      <c r="I25" s="47" t="n">
        <f aca="false">I12+I17</f>
        <v>0</v>
      </c>
      <c r="J25" s="47" t="n">
        <f aca="false">J12+J17</f>
        <v>195.18</v>
      </c>
      <c r="K25" s="47" t="n">
        <f aca="false">K12+K17</f>
        <v>0</v>
      </c>
      <c r="L25" s="47" t="n">
        <f aca="false">L12+L17</f>
        <v>0</v>
      </c>
      <c r="M25" s="47" t="n">
        <f aca="false">M12+M17</f>
        <v>0</v>
      </c>
      <c r="N25" s="47" t="n">
        <f aca="false">N12+N17</f>
        <v>0</v>
      </c>
      <c r="O25" s="47" t="n">
        <f aca="false">O12+O17</f>
        <v>0</v>
      </c>
      <c r="P25" s="47" t="n">
        <f aca="false">P12+P17</f>
        <v>0</v>
      </c>
      <c r="Q25" s="47" t="n">
        <f aca="false">Q12+Q17</f>
        <v>0</v>
      </c>
      <c r="R25" s="47" t="n">
        <f aca="false">R12+R17</f>
        <v>0</v>
      </c>
      <c r="S25" s="47" t="n">
        <f aca="false">S12+S17</f>
        <v>0</v>
      </c>
    </row>
    <row r="26" customFormat="false" ht="15" hidden="false" customHeight="false" outlineLevel="0" collapsed="false">
      <c r="B26" s="24" t="s">
        <v>621</v>
      </c>
      <c r="C26" s="25" t="s">
        <v>143</v>
      </c>
      <c r="F26" s="30" t="n">
        <f aca="false">IF(F17&gt;0,1,0)</f>
        <v>0</v>
      </c>
      <c r="G26" s="30" t="n">
        <f aca="false">IF(G17&gt;0,1,0)</f>
        <v>0</v>
      </c>
      <c r="H26" s="30" t="n">
        <f aca="false">IF(H17&gt;0,1,0)</f>
        <v>0</v>
      </c>
      <c r="I26" s="30" t="n">
        <f aca="false">IF(I17&gt;0,1,0)</f>
        <v>0</v>
      </c>
      <c r="J26" s="30" t="n">
        <f aca="false">IF(J17&gt;0,1,0)</f>
        <v>1</v>
      </c>
      <c r="K26" s="30" t="n">
        <f aca="false">IF(K17&gt;0,1,0)</f>
        <v>0</v>
      </c>
      <c r="L26" s="30" t="n">
        <f aca="false">IF(L17&gt;0,1,0)</f>
        <v>0</v>
      </c>
      <c r="M26" s="30" t="n">
        <f aca="false">IF(M17&gt;0,1,0)</f>
        <v>0</v>
      </c>
      <c r="N26" s="30" t="n">
        <f aca="false">IF(N17&gt;0,1,0)</f>
        <v>0</v>
      </c>
      <c r="O26" s="30" t="n">
        <f aca="false">IF(O17&gt;0,1,0)</f>
        <v>0</v>
      </c>
      <c r="P26" s="30" t="n">
        <f aca="false">IF(P17&gt;0,1,0)</f>
        <v>0</v>
      </c>
      <c r="Q26" s="30" t="n">
        <f aca="false">IF(Q17&gt;0,1,0)</f>
        <v>0</v>
      </c>
      <c r="R26" s="30" t="n">
        <f aca="false">IF(R17&gt;0,1,0)</f>
        <v>0</v>
      </c>
      <c r="S26" s="30" t="n">
        <f aca="false">IF(S17&gt;0,1,0)</f>
        <v>0</v>
      </c>
    </row>
    <row r="27" customFormat="false" ht="15" hidden="false" customHeight="false" outlineLevel="0" collapsed="false">
      <c r="B27" s="24" t="s">
        <v>622</v>
      </c>
      <c r="C27" s="25" t="s">
        <v>135</v>
      </c>
      <c r="E27" s="29" t="n">
        <f aca="false">SUMPRODUCT($F$26:$S$26,'Global Inputs'!$F$15:$S$15)</f>
        <v>2027</v>
      </c>
    </row>
    <row r="28" customFormat="false" ht="15" hidden="false" customHeight="false" outlineLevel="0" collapsed="false">
      <c r="B28" s="69" t="s">
        <v>623</v>
      </c>
      <c r="C28" s="25" t="s">
        <v>170</v>
      </c>
      <c r="E28" s="70" t="n">
        <f aca="false">INDEX($F$19:$S$19,MATCH('Global Inputs'!$E$12,'Global Inputs'!$F$15:$S$15,0))</f>
        <v>195.18</v>
      </c>
    </row>
    <row r="29" customFormat="false" ht="15" hidden="false" customHeight="false" outlineLevel="0" collapsed="false">
      <c r="B29" s="24" t="s">
        <v>624</v>
      </c>
      <c r="C29" s="25" t="s">
        <v>527</v>
      </c>
      <c r="E29" s="87" t="str">
        <f aca="false">IF(SUM($F$18:$S$18)&gt;0.0005,"SHORTFALL — planned repayment not fully funded by the injection; balance retained","OK — planned repayment funded")</f>
        <v>OK — planned repayment funded</v>
      </c>
    </row>
    <row r="31" customFormat="false" ht="15" hidden="false" customHeight="false" outlineLevel="0" collapsed="false">
      <c r="B31" s="22" t="s">
        <v>625</v>
      </c>
      <c r="C31" s="23"/>
      <c r="D31" s="23"/>
      <c r="E31" s="23"/>
      <c r="F31" s="23"/>
      <c r="G31" s="23"/>
      <c r="H31" s="23"/>
      <c r="I31" s="23"/>
      <c r="J31" s="23"/>
      <c r="K31" s="23"/>
      <c r="L31" s="23"/>
      <c r="M31" s="23"/>
      <c r="N31" s="23"/>
      <c r="O31" s="23"/>
      <c r="P31" s="23"/>
      <c r="Q31" s="23"/>
      <c r="R31" s="23"/>
      <c r="S31" s="23"/>
    </row>
    <row r="32" customFormat="false" ht="15" hidden="false" customHeight="false" outlineLevel="0" collapsed="false">
      <c r="B32" s="24" t="s">
        <v>626</v>
      </c>
      <c r="C32" s="25" t="s">
        <v>170</v>
      </c>
      <c r="E32" s="47" t="n">
        <f aca="false">SUM(F32:S32)</f>
        <v>195.18</v>
      </c>
      <c r="F32" s="58" t="n">
        <f aca="false">'Funding Requirement'!F39</f>
        <v>0</v>
      </c>
      <c r="G32" s="58" t="n">
        <f aca="false">'Funding Requirement'!G39</f>
        <v>0</v>
      </c>
      <c r="H32" s="58" t="n">
        <f aca="false">'Funding Requirement'!H39</f>
        <v>0</v>
      </c>
      <c r="I32" s="58" t="n">
        <f aca="false">'Funding Requirement'!I39</f>
        <v>0</v>
      </c>
      <c r="J32" s="58" t="n">
        <f aca="false">'Funding Requirement'!J39</f>
        <v>195.18</v>
      </c>
      <c r="K32" s="58" t="n">
        <f aca="false">'Funding Requirement'!K39</f>
        <v>0</v>
      </c>
      <c r="L32" s="58" t="n">
        <f aca="false">'Funding Requirement'!L39</f>
        <v>0</v>
      </c>
      <c r="M32" s="58" t="n">
        <f aca="false">'Funding Requirement'!M39</f>
        <v>0</v>
      </c>
      <c r="N32" s="58" t="n">
        <f aca="false">'Funding Requirement'!N39</f>
        <v>0</v>
      </c>
      <c r="O32" s="58" t="n">
        <f aca="false">'Funding Requirement'!O39</f>
        <v>0</v>
      </c>
      <c r="P32" s="58" t="n">
        <f aca="false">'Funding Requirement'!P39</f>
        <v>0</v>
      </c>
      <c r="Q32" s="58" t="n">
        <f aca="false">'Funding Requirement'!Q39</f>
        <v>0</v>
      </c>
      <c r="R32" s="58" t="n">
        <f aca="false">'Funding Requirement'!R39</f>
        <v>0</v>
      </c>
      <c r="S32" s="58" t="n">
        <f aca="false">'Funding Requirement'!S39</f>
        <v>0</v>
      </c>
    </row>
    <row r="33" customFormat="false" ht="15" hidden="false" customHeight="false" outlineLevel="0" collapsed="false">
      <c r="B33" s="69" t="s">
        <v>627</v>
      </c>
      <c r="C33" s="25" t="s">
        <v>170</v>
      </c>
      <c r="E33" s="70" t="n">
        <f aca="false">SUM(F33:S33)</f>
        <v>195.18</v>
      </c>
      <c r="F33" s="68" t="n">
        <f aca="false">IF(F$5='Global Inputs'!$E$77,IF('Global Inputs'!$E$79=1,F32,'Global Inputs'!$E$80*'Global Inputs'!F22/1000),0)</f>
        <v>0</v>
      </c>
      <c r="G33" s="68" t="n">
        <f aca="false">IF(G$5='Global Inputs'!$E$77,IF('Global Inputs'!$E$79=1,G32,'Global Inputs'!$E$80*'Global Inputs'!G22/1000),0)</f>
        <v>0</v>
      </c>
      <c r="H33" s="68" t="n">
        <f aca="false">IF(H$5='Global Inputs'!$E$77,IF('Global Inputs'!$E$79=1,H32,'Global Inputs'!$E$80*'Global Inputs'!H22/1000),0)</f>
        <v>0</v>
      </c>
      <c r="I33" s="68" t="n">
        <f aca="false">IF(I$5='Global Inputs'!$E$77,IF('Global Inputs'!$E$79=1,I32,'Global Inputs'!$E$80*'Global Inputs'!I22/1000),0)</f>
        <v>0</v>
      </c>
      <c r="J33" s="68" t="n">
        <f aca="false">IF(J$5='Global Inputs'!$E$77,IF('Global Inputs'!$E$79=1,J32,'Global Inputs'!$E$80*'Global Inputs'!J22/1000),0)</f>
        <v>195.18</v>
      </c>
      <c r="K33" s="68" t="n">
        <f aca="false">IF(K$5='Global Inputs'!$E$77,IF('Global Inputs'!$E$79=1,K32,'Global Inputs'!$E$80*'Global Inputs'!K22/1000),0)</f>
        <v>0</v>
      </c>
      <c r="L33" s="68" t="n">
        <f aca="false">IF(L$5='Global Inputs'!$E$77,IF('Global Inputs'!$E$79=1,L32,'Global Inputs'!$E$80*'Global Inputs'!L22/1000),0)</f>
        <v>0</v>
      </c>
      <c r="M33" s="68" t="n">
        <f aca="false">IF(M$5='Global Inputs'!$E$77,IF('Global Inputs'!$E$79=1,M32,'Global Inputs'!$E$80*'Global Inputs'!M22/1000),0)</f>
        <v>0</v>
      </c>
      <c r="N33" s="68" t="n">
        <f aca="false">IF(N$5='Global Inputs'!$E$77,IF('Global Inputs'!$E$79=1,N32,'Global Inputs'!$E$80*'Global Inputs'!N22/1000),0)</f>
        <v>0</v>
      </c>
      <c r="O33" s="68" t="n">
        <f aca="false">IF(O$5='Global Inputs'!$E$77,IF('Global Inputs'!$E$79=1,O32,'Global Inputs'!$E$80*'Global Inputs'!O22/1000),0)</f>
        <v>0</v>
      </c>
      <c r="P33" s="68" t="n">
        <f aca="false">IF(P$5='Global Inputs'!$E$77,IF('Global Inputs'!$E$79=1,P32,'Global Inputs'!$E$80*'Global Inputs'!P22/1000),0)</f>
        <v>0</v>
      </c>
      <c r="Q33" s="68" t="n">
        <f aca="false">IF(Q$5='Global Inputs'!$E$77,IF('Global Inputs'!$E$79=1,Q32,'Global Inputs'!$E$80*'Global Inputs'!Q22/1000),0)</f>
        <v>0</v>
      </c>
      <c r="R33" s="68" t="n">
        <f aca="false">IF(R$5='Global Inputs'!$E$77,IF('Global Inputs'!$E$79=1,R32,'Global Inputs'!$E$80*'Global Inputs'!R22/1000),0)</f>
        <v>0</v>
      </c>
      <c r="S33" s="68" t="n">
        <f aca="false">IF(S$5='Global Inputs'!$E$77,IF('Global Inputs'!$E$79=1,S32,'Global Inputs'!$E$80*'Global Inputs'!S22/1000),0)</f>
        <v>0</v>
      </c>
    </row>
    <row r="34" customFormat="false" ht="15" hidden="false" customHeight="false" outlineLevel="0" collapsed="false">
      <c r="B34" s="24" t="s">
        <v>628</v>
      </c>
      <c r="C34" s="25" t="s">
        <v>240</v>
      </c>
      <c r="E34" s="44" t="n">
        <f aca="false">SUM(F34:S34)</f>
        <v>12</v>
      </c>
      <c r="F34" s="44" t="n">
        <f aca="false">F33/'Global Inputs'!F22*1000</f>
        <v>0</v>
      </c>
      <c r="G34" s="44" t="n">
        <f aca="false">G33/'Global Inputs'!G22*1000</f>
        <v>0</v>
      </c>
      <c r="H34" s="44" t="n">
        <f aca="false">H33/'Global Inputs'!H22*1000</f>
        <v>0</v>
      </c>
      <c r="I34" s="44" t="n">
        <f aca="false">I33/'Global Inputs'!I22*1000</f>
        <v>0</v>
      </c>
      <c r="J34" s="44" t="n">
        <f aca="false">J33/'Global Inputs'!J22*1000</f>
        <v>12</v>
      </c>
      <c r="K34" s="44" t="n">
        <f aca="false">K33/'Global Inputs'!K22*1000</f>
        <v>0</v>
      </c>
      <c r="L34" s="44" t="n">
        <f aca="false">L33/'Global Inputs'!L22*1000</f>
        <v>0</v>
      </c>
      <c r="M34" s="44" t="n">
        <f aca="false">M33/'Global Inputs'!M22*1000</f>
        <v>0</v>
      </c>
      <c r="N34" s="44" t="n">
        <f aca="false">N33/'Global Inputs'!N22*1000</f>
        <v>0</v>
      </c>
      <c r="O34" s="44" t="n">
        <f aca="false">O33/'Global Inputs'!O22*1000</f>
        <v>0</v>
      </c>
      <c r="P34" s="44" t="n">
        <f aca="false">P33/'Global Inputs'!P22*1000</f>
        <v>0</v>
      </c>
      <c r="Q34" s="44" t="n">
        <f aca="false">Q33/'Global Inputs'!Q22*1000</f>
        <v>0</v>
      </c>
      <c r="R34" s="44" t="n">
        <f aca="false">R33/'Global Inputs'!R22*1000</f>
        <v>0</v>
      </c>
      <c r="S34" s="44" t="n">
        <f aca="false">S33/'Global Inputs'!S22*1000</f>
        <v>0</v>
      </c>
    </row>
    <row r="35" customFormat="false" ht="15" hidden="false" customHeight="false" outlineLevel="0" collapsed="false">
      <c r="B35" s="24" t="s">
        <v>629</v>
      </c>
      <c r="C35" s="25" t="s">
        <v>170</v>
      </c>
      <c r="F35" s="47" t="n">
        <f aca="false">SUM($F$33:F33)</f>
        <v>0</v>
      </c>
      <c r="G35" s="47" t="n">
        <f aca="false">SUM($F$33:G33)</f>
        <v>0</v>
      </c>
      <c r="H35" s="47" t="n">
        <f aca="false">SUM($F$33:H33)</f>
        <v>0</v>
      </c>
      <c r="I35" s="47" t="n">
        <f aca="false">SUM($F$33:I33)</f>
        <v>0</v>
      </c>
      <c r="J35" s="47" t="n">
        <f aca="false">SUM($F$33:J33)</f>
        <v>195.18</v>
      </c>
      <c r="K35" s="47" t="n">
        <f aca="false">SUM($F$33:K33)</f>
        <v>195.18</v>
      </c>
      <c r="L35" s="47" t="n">
        <f aca="false">SUM($F$33:L33)</f>
        <v>195.18</v>
      </c>
      <c r="M35" s="47" t="n">
        <f aca="false">SUM($F$33:M33)</f>
        <v>195.18</v>
      </c>
      <c r="N35" s="47" t="n">
        <f aca="false">SUM($F$33:N33)</f>
        <v>195.18</v>
      </c>
      <c r="O35" s="47" t="n">
        <f aca="false">SUM($F$33:O33)</f>
        <v>195.18</v>
      </c>
      <c r="P35" s="47" t="n">
        <f aca="false">SUM($F$33:P33)</f>
        <v>195.18</v>
      </c>
      <c r="Q35" s="47" t="n">
        <f aca="false">SUM($F$33:Q33)</f>
        <v>195.18</v>
      </c>
      <c r="R35" s="47" t="n">
        <f aca="false">SUM($F$33:R33)</f>
        <v>195.18</v>
      </c>
      <c r="S35" s="47" t="n">
        <f aca="false">SUM($F$33:S33)</f>
        <v>195.18</v>
      </c>
    </row>
    <row r="36" customFormat="false" ht="15" hidden="false" customHeight="false" outlineLevel="0" collapsed="false">
      <c r="B36" s="69" t="s">
        <v>630</v>
      </c>
      <c r="C36" s="25" t="s">
        <v>170</v>
      </c>
      <c r="F36" s="68" t="n">
        <f aca="false">'Global Inputs'!$E$66</f>
        <v>677.731</v>
      </c>
      <c r="G36" s="68" t="n">
        <f aca="false">F36+G33</f>
        <v>677.731</v>
      </c>
      <c r="H36" s="68" t="n">
        <f aca="false">G36+H33</f>
        <v>677.731</v>
      </c>
      <c r="I36" s="68" t="n">
        <f aca="false">H36+I33</f>
        <v>677.731</v>
      </c>
      <c r="J36" s="68" t="n">
        <f aca="false">I36+J33</f>
        <v>872.911</v>
      </c>
      <c r="K36" s="68" t="n">
        <f aca="false">J36+K33</f>
        <v>872.911</v>
      </c>
      <c r="L36" s="68" t="n">
        <f aca="false">K36+L33</f>
        <v>872.911</v>
      </c>
      <c r="M36" s="68" t="n">
        <f aca="false">L36+M33</f>
        <v>872.911</v>
      </c>
      <c r="N36" s="68" t="n">
        <f aca="false">M36+N33</f>
        <v>872.911</v>
      </c>
      <c r="O36" s="68" t="n">
        <f aca="false">N36+O33</f>
        <v>872.911</v>
      </c>
      <c r="P36" s="68" t="n">
        <f aca="false">O36+P33</f>
        <v>872.911</v>
      </c>
      <c r="Q36" s="68" t="n">
        <f aca="false">P36+Q33</f>
        <v>872.911</v>
      </c>
      <c r="R36" s="68" t="n">
        <f aca="false">Q36+R33</f>
        <v>872.911</v>
      </c>
      <c r="S36" s="68" t="n">
        <f aca="false">R36+S33</f>
        <v>872.911</v>
      </c>
    </row>
    <row r="37" customFormat="false" ht="15" hidden="false" customHeight="false" outlineLevel="0" collapsed="false">
      <c r="B37" s="24" t="s">
        <v>631</v>
      </c>
      <c r="C37" s="25" t="s">
        <v>170</v>
      </c>
      <c r="E37" s="47" t="n">
        <f aca="false">SUM(F37:S37)</f>
        <v>195.18</v>
      </c>
      <c r="F37" s="47" t="n">
        <f aca="false">F17</f>
        <v>0</v>
      </c>
      <c r="G37" s="47" t="n">
        <f aca="false">G17</f>
        <v>0</v>
      </c>
      <c r="H37" s="47" t="n">
        <f aca="false">H17</f>
        <v>0</v>
      </c>
      <c r="I37" s="47" t="n">
        <f aca="false">I17</f>
        <v>0</v>
      </c>
      <c r="J37" s="47" t="n">
        <f aca="false">J17</f>
        <v>195.18</v>
      </c>
      <c r="K37" s="47" t="n">
        <f aca="false">K17</f>
        <v>0</v>
      </c>
      <c r="L37" s="47" t="n">
        <f aca="false">L17</f>
        <v>0</v>
      </c>
      <c r="M37" s="47" t="n">
        <f aca="false">M17</f>
        <v>0</v>
      </c>
      <c r="N37" s="47" t="n">
        <f aca="false">N17</f>
        <v>0</v>
      </c>
      <c r="O37" s="47" t="n">
        <f aca="false">O17</f>
        <v>0</v>
      </c>
      <c r="P37" s="47" t="n">
        <f aca="false">P17</f>
        <v>0</v>
      </c>
      <c r="Q37" s="47" t="n">
        <f aca="false">Q17</f>
        <v>0</v>
      </c>
      <c r="R37" s="47" t="n">
        <f aca="false">R17</f>
        <v>0</v>
      </c>
      <c r="S37" s="47" t="n">
        <f aca="false">S17</f>
        <v>0</v>
      </c>
    </row>
    <row r="38" customFormat="false" ht="15" hidden="false" customHeight="false" outlineLevel="0" collapsed="false">
      <c r="B38" s="24" t="s">
        <v>632</v>
      </c>
      <c r="C38" s="25" t="s">
        <v>170</v>
      </c>
      <c r="E38" s="47" t="n">
        <f aca="false">SUM(F38:S38)</f>
        <v>0</v>
      </c>
      <c r="F38" s="47" t="n">
        <f aca="false">F33-F17</f>
        <v>0</v>
      </c>
      <c r="G38" s="47" t="n">
        <f aca="false">G33-G17</f>
        <v>0</v>
      </c>
      <c r="H38" s="47" t="n">
        <f aca="false">H33-H17</f>
        <v>0</v>
      </c>
      <c r="I38" s="47" t="n">
        <f aca="false">I33-I17</f>
        <v>0</v>
      </c>
      <c r="J38" s="47" t="n">
        <f aca="false">J33-J17</f>
        <v>0</v>
      </c>
      <c r="K38" s="47" t="n">
        <f aca="false">K33-K17</f>
        <v>0</v>
      </c>
      <c r="L38" s="47" t="n">
        <f aca="false">L33-L17</f>
        <v>0</v>
      </c>
      <c r="M38" s="47" t="n">
        <f aca="false">M33-M17</f>
        <v>0</v>
      </c>
      <c r="N38" s="47" t="n">
        <f aca="false">N33-N17</f>
        <v>0</v>
      </c>
      <c r="O38" s="47" t="n">
        <f aca="false">O33-O17</f>
        <v>0</v>
      </c>
      <c r="P38" s="47" t="n">
        <f aca="false">P33-P17</f>
        <v>0</v>
      </c>
      <c r="Q38" s="47" t="n">
        <f aca="false">Q33-Q17</f>
        <v>0</v>
      </c>
      <c r="R38" s="47" t="n">
        <f aca="false">R33-R17</f>
        <v>0</v>
      </c>
      <c r="S38" s="47" t="n">
        <f aca="false">S33-S17</f>
        <v>0</v>
      </c>
    </row>
    <row r="39" customFormat="false" ht="15" hidden="false" customHeight="false" outlineLevel="0" collapsed="false">
      <c r="B39" s="5" t="s">
        <v>633</v>
      </c>
    </row>
  </sheetData>
  <hyperlinks>
    <hyperlink ref="C3" r:id="rId1" location="'Navigation'!A1" display="Navigation"/>
    <hyperlink ref="D3" r:id="rId2" location="'Global%20Inputs'!A1" display="Global Inputs"/>
    <hyperlink ref="E3" r:id="rId3" location="'Project%20Summary'!A1" display="Project Summary"/>
    <hyperlink ref="F3" r:id="rId4" location="'Funding%20Requirement'!A1" display="Funding"/>
    <hyperlink ref="G3" r:id="rId5" location="'FSL%20Financials%20—%20Without%20BUMN'!A1" display="FSL w/o BUMN"/>
    <hyperlink ref="H3" r:id="rId6" location="'FSL%20Financials%20—%20With%20BUMN'!A1" display="FSL w/ BUMN"/>
    <hyperlink ref="I3" r:id="rId7" location="'Valuation%20—%20Without%20BUMN'!A1" display="Val w/o BUMN"/>
    <hyperlink ref="J3" r:id="rId8" location="'Valuation%20—%20With%20BUMN'!A1" display="Val w/ BUMN"/>
    <hyperlink ref="K3" r:id="rId9" location="'Checks'!A1" display="Checks"/>
    <hyperlink ref="L3" r:id="rId10" location="'Model%20Flow'!A1" display="Model Flow"/>
  </hyperlink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30A0"/>
    <pageSetUpPr fitToPage="true"/>
  </sheetPr>
  <dimension ref="B1:U9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5" ySplit="9" topLeftCell="F10" activePane="bottomRight" state="frozen"/>
      <selection pane="topLeft" activeCell="A1" activeCellId="0" sqref="A1"/>
      <selection pane="topRight" activeCell="F1" activeCellId="0" sqref="F1"/>
      <selection pane="bottomLeft" activeCell="A10" activeCellId="0" sqref="A10"/>
      <selection pane="bottomRigh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60"/>
    <col collapsed="false" customWidth="true" hidden="false" outlineLevel="0" max="3" min="3" style="0" width="11"/>
    <col collapsed="false" customWidth="true" hidden="false" outlineLevel="0" max="4" min="4" style="0" width="12"/>
    <col collapsed="false" customWidth="true" hidden="false" outlineLevel="0" max="5" min="5" style="0" width="13"/>
    <col collapsed="false" customWidth="true" hidden="false" outlineLevel="0" max="19" min="6" style="0" width="11.5"/>
    <col collapsed="false" customWidth="true" hidden="false" outlineLevel="0" max="20" min="20" style="0" width="40"/>
    <col collapsed="false" customWidth="true" hidden="false" outlineLevel="0" max="21" min="21" style="0" width="48"/>
  </cols>
  <sheetData>
    <row r="1" customFormat="false" ht="21.75" hidden="false" customHeight="true" outlineLevel="0" collapsed="false">
      <c r="B1" s="1" t="s">
        <v>634</v>
      </c>
    </row>
    <row r="2" customFormat="false" ht="15" hidden="false" customHeight="false" outlineLevel="0" collapsed="false">
      <c r="B2" s="2" t="s">
        <v>635</v>
      </c>
    </row>
    <row r="3" customFormat="false" ht="15" hidden="false" customHeight="false" outlineLevel="0" collapsed="false">
      <c r="B3" s="5" t="s">
        <v>112</v>
      </c>
      <c r="C3" s="17" t="s">
        <v>113</v>
      </c>
      <c r="D3" s="17" t="s">
        <v>5</v>
      </c>
      <c r="E3" s="17" t="s">
        <v>7</v>
      </c>
      <c r="F3" s="17" t="s">
        <v>114</v>
      </c>
      <c r="G3" s="17" t="s">
        <v>115</v>
      </c>
      <c r="H3" s="17" t="s">
        <v>116</v>
      </c>
      <c r="I3" s="17" t="s">
        <v>117</v>
      </c>
      <c r="J3" s="17" t="s">
        <v>118</v>
      </c>
      <c r="K3" s="17" t="s">
        <v>21</v>
      </c>
      <c r="L3" s="17" t="s">
        <v>3</v>
      </c>
    </row>
    <row r="5" customFormat="false" ht="15" hidden="false" customHeight="false" outlineLevel="0" collapsed="false">
      <c r="B5" s="6" t="s">
        <v>119</v>
      </c>
      <c r="C5" s="6" t="s">
        <v>120</v>
      </c>
      <c r="D5" s="6" t="s">
        <v>121</v>
      </c>
      <c r="E5" s="6" t="s">
        <v>122</v>
      </c>
      <c r="F5" s="18" t="n">
        <f aca="false">'Global Inputs'!F$5</f>
        <v>2023</v>
      </c>
      <c r="G5" s="18" t="n">
        <f aca="false">'Global Inputs'!G$5</f>
        <v>2024</v>
      </c>
      <c r="H5" s="18" t="n">
        <f aca="false">'Global Inputs'!H$5</f>
        <v>2025</v>
      </c>
      <c r="I5" s="18" t="n">
        <f aca="false">'Global Inputs'!I$5</f>
        <v>2026</v>
      </c>
      <c r="J5" s="18" t="n">
        <f aca="false">'Global Inputs'!J$5</f>
        <v>2027</v>
      </c>
      <c r="K5" s="18" t="n">
        <f aca="false">'Global Inputs'!K$5</f>
        <v>2028</v>
      </c>
      <c r="L5" s="18" t="n">
        <f aca="false">'Global Inputs'!L$5</f>
        <v>2029</v>
      </c>
      <c r="M5" s="18" t="n">
        <f aca="false">'Global Inputs'!M$5</f>
        <v>2030</v>
      </c>
      <c r="N5" s="18" t="n">
        <f aca="false">'Global Inputs'!N$5</f>
        <v>2031</v>
      </c>
      <c r="O5" s="18" t="n">
        <f aca="false">'Global Inputs'!O$5</f>
        <v>2032</v>
      </c>
      <c r="P5" s="18" t="n">
        <f aca="false">'Global Inputs'!P$5</f>
        <v>2033</v>
      </c>
      <c r="Q5" s="18" t="n">
        <f aca="false">'Global Inputs'!Q$5</f>
        <v>2034</v>
      </c>
      <c r="R5" s="18" t="n">
        <f aca="false">'Global Inputs'!R$5</f>
        <v>2035</v>
      </c>
      <c r="S5" s="18" t="n">
        <f aca="false">'Global Inputs'!S$5</f>
        <v>2036</v>
      </c>
      <c r="T5" s="6" t="s">
        <v>123</v>
      </c>
      <c r="U5" s="6" t="s">
        <v>124</v>
      </c>
    </row>
    <row r="6" customFormat="false" ht="15" hidden="false" customHeight="false" outlineLevel="0" collapsed="false">
      <c r="B6" s="19" t="s">
        <v>125</v>
      </c>
      <c r="F6" s="20" t="n">
        <f aca="false">'Global Inputs'!F$6</f>
        <v>45291</v>
      </c>
      <c r="G6" s="20" t="n">
        <f aca="false">'Global Inputs'!G$6</f>
        <v>45657</v>
      </c>
      <c r="H6" s="20" t="n">
        <f aca="false">'Global Inputs'!H$6</f>
        <v>46022</v>
      </c>
      <c r="I6" s="20" t="n">
        <f aca="false">'Global Inputs'!I$6</f>
        <v>46387</v>
      </c>
      <c r="J6" s="20" t="n">
        <f aca="false">'Global Inputs'!J$6</f>
        <v>46752</v>
      </c>
      <c r="K6" s="20" t="n">
        <f aca="false">'Global Inputs'!K$6</f>
        <v>47118</v>
      </c>
      <c r="L6" s="20" t="n">
        <f aca="false">'Global Inputs'!L$6</f>
        <v>47483</v>
      </c>
      <c r="M6" s="20" t="n">
        <f aca="false">'Global Inputs'!M$6</f>
        <v>47848</v>
      </c>
      <c r="N6" s="20" t="n">
        <f aca="false">'Global Inputs'!N$6</f>
        <v>48213</v>
      </c>
      <c r="O6" s="20" t="n">
        <f aca="false">'Global Inputs'!O$6</f>
        <v>48579</v>
      </c>
      <c r="P6" s="20" t="n">
        <f aca="false">'Global Inputs'!P$6</f>
        <v>48944</v>
      </c>
      <c r="Q6" s="20" t="n">
        <f aca="false">'Global Inputs'!Q$6</f>
        <v>49309</v>
      </c>
      <c r="R6" s="20" t="n">
        <f aca="false">'Global Inputs'!R$6</f>
        <v>49674</v>
      </c>
      <c r="S6" s="20" t="n">
        <f aca="false">'Global Inputs'!S$6</f>
        <v>50040</v>
      </c>
    </row>
    <row r="7" customFormat="false" ht="15" hidden="false" customHeight="false" outlineLevel="0" collapsed="false">
      <c r="B7" s="19" t="s">
        <v>126</v>
      </c>
      <c r="F7" s="21" t="n">
        <f aca="false">'Global Inputs'!F$7</f>
        <v>365</v>
      </c>
      <c r="G7" s="21" t="n">
        <f aca="false">'Global Inputs'!G$7</f>
        <v>366</v>
      </c>
      <c r="H7" s="21" t="n">
        <f aca="false">'Global Inputs'!H$7</f>
        <v>365</v>
      </c>
      <c r="I7" s="21" t="n">
        <f aca="false">'Global Inputs'!I$7</f>
        <v>365</v>
      </c>
      <c r="J7" s="21" t="n">
        <f aca="false">'Global Inputs'!J$7</f>
        <v>365</v>
      </c>
      <c r="K7" s="21" t="n">
        <f aca="false">'Global Inputs'!K$7</f>
        <v>366</v>
      </c>
      <c r="L7" s="21" t="n">
        <f aca="false">'Global Inputs'!L$7</f>
        <v>365</v>
      </c>
      <c r="M7" s="21" t="n">
        <f aca="false">'Global Inputs'!M$7</f>
        <v>365</v>
      </c>
      <c r="N7" s="21" t="n">
        <f aca="false">'Global Inputs'!N$7</f>
        <v>365</v>
      </c>
      <c r="O7" s="21" t="n">
        <f aca="false">'Global Inputs'!O$7</f>
        <v>366</v>
      </c>
      <c r="P7" s="21" t="n">
        <f aca="false">'Global Inputs'!P$7</f>
        <v>365</v>
      </c>
      <c r="Q7" s="21" t="n">
        <f aca="false">'Global Inputs'!Q$7</f>
        <v>365</v>
      </c>
      <c r="R7" s="21" t="n">
        <f aca="false">'Global Inputs'!R$7</f>
        <v>365</v>
      </c>
      <c r="S7" s="21" t="n">
        <f aca="false">'Global Inputs'!S$7</f>
        <v>366</v>
      </c>
    </row>
    <row r="8" customFormat="false" ht="15" hidden="false" customHeight="false" outlineLevel="0" collapsed="false">
      <c r="B8" s="19" t="s">
        <v>127</v>
      </c>
      <c r="F8" s="21" t="n">
        <f aca="false">'Global Inputs'!F$8</f>
        <v>0</v>
      </c>
      <c r="G8" s="21" t="n">
        <f aca="false">'Global Inputs'!G$8</f>
        <v>1</v>
      </c>
      <c r="H8" s="21" t="n">
        <f aca="false">'Global Inputs'!H$8</f>
        <v>1</v>
      </c>
      <c r="I8" s="21" t="n">
        <f aca="false">'Global Inputs'!I$8</f>
        <v>1</v>
      </c>
      <c r="J8" s="21" t="n">
        <f aca="false">'Global Inputs'!J$8</f>
        <v>1</v>
      </c>
      <c r="K8" s="21" t="n">
        <f aca="false">'Global Inputs'!K$8</f>
        <v>1</v>
      </c>
      <c r="L8" s="21" t="n">
        <f aca="false">'Global Inputs'!L$8</f>
        <v>1</v>
      </c>
      <c r="M8" s="21" t="n">
        <f aca="false">'Global Inputs'!M$8</f>
        <v>1</v>
      </c>
      <c r="N8" s="21" t="n">
        <f aca="false">'Global Inputs'!N$8</f>
        <v>1</v>
      </c>
      <c r="O8" s="21" t="n">
        <f aca="false">'Global Inputs'!O$8</f>
        <v>1</v>
      </c>
      <c r="P8" s="21" t="n">
        <f aca="false">'Global Inputs'!P$8</f>
        <v>1</v>
      </c>
      <c r="Q8" s="21" t="n">
        <f aca="false">'Global Inputs'!Q$8</f>
        <v>1</v>
      </c>
      <c r="R8" s="21" t="n">
        <f aca="false">'Global Inputs'!R$8</f>
        <v>1</v>
      </c>
      <c r="S8" s="21" t="n">
        <f aca="false">'Global Inputs'!S$8</f>
        <v>1</v>
      </c>
    </row>
    <row r="10" customFormat="false" ht="15" hidden="false" customHeight="false" outlineLevel="0" collapsed="false">
      <c r="B10" s="22" t="s">
        <v>636</v>
      </c>
      <c r="C10" s="23"/>
      <c r="D10" s="23"/>
      <c r="E10" s="23"/>
      <c r="F10" s="23"/>
      <c r="G10" s="23"/>
      <c r="H10" s="23"/>
      <c r="I10" s="23"/>
      <c r="J10" s="23"/>
      <c r="K10" s="23"/>
      <c r="L10" s="23"/>
      <c r="M10" s="23"/>
      <c r="N10" s="23"/>
      <c r="O10" s="23"/>
      <c r="P10" s="23"/>
      <c r="Q10" s="23"/>
      <c r="R10" s="23"/>
      <c r="S10" s="23"/>
    </row>
    <row r="11" customFormat="false" ht="15" hidden="false" customHeight="false" outlineLevel="0" collapsed="false">
      <c r="B11" s="69" t="s">
        <v>637</v>
      </c>
      <c r="E11" s="24" t="s">
        <v>383</v>
      </c>
    </row>
    <row r="12" customFormat="false" ht="15" hidden="false" customHeight="false" outlineLevel="0" collapsed="false">
      <c r="B12" s="69" t="s">
        <v>129</v>
      </c>
      <c r="C12" s="25" t="s">
        <v>130</v>
      </c>
      <c r="E12" s="83" t="n">
        <f aca="false">'Global Inputs'!$E$11</f>
        <v>46387</v>
      </c>
    </row>
    <row r="13" customFormat="false" ht="15" hidden="false" customHeight="false" outlineLevel="0" collapsed="false">
      <c r="B13" s="24" t="s">
        <v>638</v>
      </c>
      <c r="C13" s="25" t="s">
        <v>135</v>
      </c>
      <c r="E13" s="65" t="n">
        <f aca="false">'Global Inputs'!$E$13</f>
        <v>2027</v>
      </c>
    </row>
    <row r="14" customFormat="false" ht="15" hidden="false" customHeight="false" outlineLevel="0" collapsed="false">
      <c r="B14" s="24" t="s">
        <v>639</v>
      </c>
      <c r="E14" s="24" t="s">
        <v>640</v>
      </c>
    </row>
    <row r="15" customFormat="false" ht="15" hidden="false" customHeight="false" outlineLevel="0" collapsed="false">
      <c r="B15" s="24" t="s">
        <v>641</v>
      </c>
      <c r="C15" s="25" t="s">
        <v>160</v>
      </c>
      <c r="E15" s="92" t="n">
        <f aca="false">'Global Inputs'!$E$53</f>
        <v>0.11866512</v>
      </c>
    </row>
    <row r="16" customFormat="false" ht="15" hidden="false" customHeight="false" outlineLevel="0" collapsed="false">
      <c r="B16" s="24" t="s">
        <v>642</v>
      </c>
      <c r="C16" s="25" t="s">
        <v>160</v>
      </c>
      <c r="E16" s="92" t="n">
        <f aca="false">'Global Inputs'!$E$54</f>
        <v>0.03</v>
      </c>
    </row>
    <row r="17" customFormat="false" ht="15" hidden="false" customHeight="false" outlineLevel="0" collapsed="false">
      <c r="B17" s="24" t="s">
        <v>643</v>
      </c>
      <c r="C17" s="25" t="s">
        <v>148</v>
      </c>
      <c r="E17" s="72" t="n">
        <f aca="false">'Global Inputs'!$E$55</f>
        <v>1</v>
      </c>
    </row>
    <row r="18" customFormat="false" ht="15" hidden="false" customHeight="false" outlineLevel="0" collapsed="false">
      <c r="B18" s="24" t="s">
        <v>644</v>
      </c>
      <c r="C18" s="25" t="s">
        <v>385</v>
      </c>
      <c r="E18" s="65" t="n">
        <f aca="false">'FSL Financials — Without BUMN'!$E$12</f>
        <v>11</v>
      </c>
    </row>
    <row r="19" customFormat="false" ht="15" hidden="false" customHeight="false" outlineLevel="0" collapsed="false">
      <c r="B19" s="24" t="s">
        <v>386</v>
      </c>
      <c r="E19" s="24" t="s">
        <v>645</v>
      </c>
    </row>
    <row r="20" customFormat="false" ht="15" hidden="false" customHeight="false" outlineLevel="0" collapsed="false">
      <c r="B20" s="24" t="s">
        <v>646</v>
      </c>
      <c r="E20" s="24" t="s">
        <v>647</v>
      </c>
    </row>
    <row r="22" customFormat="false" ht="15" hidden="false" customHeight="false" outlineLevel="0" collapsed="false">
      <c r="B22" s="22" t="s">
        <v>648</v>
      </c>
      <c r="C22" s="23"/>
      <c r="D22" s="23"/>
      <c r="E22" s="23"/>
      <c r="F22" s="23"/>
      <c r="G22" s="23"/>
      <c r="H22" s="23"/>
      <c r="I22" s="23"/>
      <c r="J22" s="23"/>
      <c r="K22" s="23"/>
      <c r="L22" s="23"/>
      <c r="M22" s="23"/>
      <c r="N22" s="23"/>
      <c r="O22" s="23"/>
      <c r="P22" s="23"/>
      <c r="Q22" s="23"/>
      <c r="R22" s="23"/>
      <c r="S22" s="23"/>
    </row>
    <row r="23" customFormat="false" ht="15" hidden="false" customHeight="false" outlineLevel="0" collapsed="false">
      <c r="B23" s="24" t="s">
        <v>345</v>
      </c>
      <c r="C23" s="25" t="s">
        <v>170</v>
      </c>
      <c r="F23" s="58" t="n">
        <f aca="false">'FSL Financials — Without BUMN'!F18</f>
        <v>0</v>
      </c>
      <c r="G23" s="58" t="n">
        <f aca="false">'FSL Financials — Without BUMN'!G18</f>
        <v>305.288412360754</v>
      </c>
      <c r="H23" s="58" t="n">
        <f aca="false">'FSL Financials — Without BUMN'!H18</f>
        <v>427.60263552932</v>
      </c>
      <c r="I23" s="58" t="n">
        <f aca="false">'FSL Financials — Without BUMN'!I18</f>
        <v>494.570841069113</v>
      </c>
      <c r="J23" s="58" t="n">
        <f aca="false">'FSL Financials — Without BUMN'!J18</f>
        <v>619.926112278324</v>
      </c>
      <c r="K23" s="58" t="n">
        <f aca="false">'FSL Financials — Without BUMN'!K18</f>
        <v>702.028827178926</v>
      </c>
      <c r="L23" s="58" t="n">
        <f aca="false">'FSL Financials — Without BUMN'!L18</f>
        <v>773.764063356243</v>
      </c>
      <c r="M23" s="58" t="n">
        <f aca="false">'FSL Financials — Without BUMN'!M18</f>
        <v>807.889956243013</v>
      </c>
      <c r="N23" s="58" t="n">
        <f aca="false">'FSL Financials — Without BUMN'!N18</f>
        <v>867.206853011173</v>
      </c>
      <c r="O23" s="58" t="n">
        <f aca="false">'FSL Financials — Without BUMN'!O18</f>
        <v>908.854372121655</v>
      </c>
      <c r="P23" s="58" t="n">
        <f aca="false">'FSL Financials — Without BUMN'!P18</f>
        <v>972.375691528293</v>
      </c>
      <c r="Q23" s="58" t="n">
        <f aca="false">'FSL Financials — Without BUMN'!Q18</f>
        <v>992.227365539461</v>
      </c>
      <c r="R23" s="58" t="n">
        <f aca="false">'FSL Financials — Without BUMN'!R18</f>
        <v>1004.86363756786</v>
      </c>
      <c r="S23" s="58" t="n">
        <f aca="false">'FSL Financials — Without BUMN'!S18</f>
        <v>1040.94827313929</v>
      </c>
    </row>
    <row r="24" customFormat="false" ht="15" hidden="false" customHeight="false" outlineLevel="0" collapsed="false">
      <c r="B24" s="24" t="s">
        <v>346</v>
      </c>
      <c r="C24" s="25" t="s">
        <v>170</v>
      </c>
      <c r="F24" s="58" t="n">
        <f aca="false">'FSL Financials — Without BUMN'!F22</f>
        <v>0</v>
      </c>
      <c r="G24" s="58" t="n">
        <f aca="false">'FSL Financials — Without BUMN'!G22</f>
        <v>154.235273175001</v>
      </c>
      <c r="H24" s="58" t="n">
        <f aca="false">'FSL Financials — Without BUMN'!H22</f>
        <v>263.558326074367</v>
      </c>
      <c r="I24" s="58" t="n">
        <f aca="false">'FSL Financials — Without BUMN'!I22</f>
        <v>309.171901709124</v>
      </c>
      <c r="J24" s="58" t="n">
        <f aca="false">'FSL Financials — Without BUMN'!J22</f>
        <v>388.796518429015</v>
      </c>
      <c r="K24" s="58" t="n">
        <f aca="false">'FSL Financials — Without BUMN'!K22</f>
        <v>435.569937807805</v>
      </c>
      <c r="L24" s="58" t="n">
        <f aca="false">'FSL Financials — Without BUMN'!L22</f>
        <v>488.188747807126</v>
      </c>
      <c r="M24" s="58" t="n">
        <f aca="false">'FSL Financials — Without BUMN'!M22</f>
        <v>507.306722898523</v>
      </c>
      <c r="N24" s="58" t="n">
        <f aca="false">'FSL Financials — Without BUMN'!N22</f>
        <v>547.998346760792</v>
      </c>
      <c r="O24" s="58" t="n">
        <f aca="false">'FSL Financials — Without BUMN'!O22</f>
        <v>574.320786398154</v>
      </c>
      <c r="P24" s="58" t="n">
        <f aca="false">'FSL Financials — Without BUMN'!P22</f>
        <v>619.10842888051</v>
      </c>
      <c r="Q24" s="58" t="n">
        <f aca="false">'FSL Financials — Without BUMN'!Q22</f>
        <v>638.228544201017</v>
      </c>
      <c r="R24" s="58" t="n">
        <f aca="false">'FSL Financials — Without BUMN'!R22</f>
        <v>635.253220273071</v>
      </c>
      <c r="S24" s="58" t="n">
        <f aca="false">'FSL Financials — Without BUMN'!S22</f>
        <v>655.898114578645</v>
      </c>
    </row>
    <row r="25" customFormat="false" ht="15" hidden="false" customHeight="false" outlineLevel="0" collapsed="false">
      <c r="B25" s="69" t="s">
        <v>347</v>
      </c>
      <c r="C25" s="25" t="s">
        <v>170</v>
      </c>
      <c r="F25" s="71" t="n">
        <f aca="false">'FSL Financials — Without BUMN'!F24</f>
        <v>0</v>
      </c>
      <c r="G25" s="71" t="n">
        <f aca="false">'FSL Financials — Without BUMN'!G24</f>
        <v>65.862186923799</v>
      </c>
      <c r="H25" s="71" t="n">
        <f aca="false">'FSL Financials — Without BUMN'!H24</f>
        <v>149.958617036076</v>
      </c>
      <c r="I25" s="71" t="n">
        <f aca="false">'FSL Financials — Without BUMN'!I24</f>
        <v>181.17362643542</v>
      </c>
      <c r="J25" s="71" t="n">
        <f aca="false">'FSL Financials — Without BUMN'!J24</f>
        <v>246.955650963376</v>
      </c>
      <c r="K25" s="71" t="n">
        <f aca="false">'FSL Financials — Without BUMN'!K24</f>
        <v>286.471981951159</v>
      </c>
      <c r="L25" s="71" t="n">
        <f aca="false">'FSL Financials — Without BUMN'!L24</f>
        <v>337.082059841653</v>
      </c>
      <c r="M25" s="71" t="n">
        <f aca="false">'FSL Financials — Without BUMN'!M24</f>
        <v>356.191128182046</v>
      </c>
      <c r="N25" s="71" t="n">
        <f aca="false">'FSL Financials — Without BUMN'!N24</f>
        <v>396.87366715829</v>
      </c>
      <c r="O25" s="71" t="n">
        <f aca="false">'FSL Financials — Without BUMN'!O24</f>
        <v>421.186840211907</v>
      </c>
      <c r="P25" s="71" t="n">
        <f aca="false">'FSL Financials — Without BUMN'!P24</f>
        <v>479.80329022599</v>
      </c>
      <c r="Q25" s="71" t="n">
        <f aca="false">'FSL Financials — Without BUMN'!Q24</f>
        <v>505.615491080864</v>
      </c>
      <c r="R25" s="71" t="n">
        <f aca="false">'FSL Financials — Without BUMN'!R24</f>
        <v>504.317827130116</v>
      </c>
      <c r="S25" s="71" t="n">
        <f aca="false">'FSL Financials — Without BUMN'!S24</f>
        <v>530.060503487431</v>
      </c>
    </row>
    <row r="26" customFormat="false" ht="15" hidden="false" customHeight="false" outlineLevel="0" collapsed="false">
      <c r="B26" s="24" t="s">
        <v>649</v>
      </c>
      <c r="C26" s="25" t="s">
        <v>170</v>
      </c>
      <c r="F26" s="58" t="n">
        <f aca="false">'FSL Financials — Without BUMN'!F27</f>
        <v>-0</v>
      </c>
      <c r="G26" s="58" t="n">
        <f aca="false">'FSL Financials — Without BUMN'!G27</f>
        <v>-19.9622380784868</v>
      </c>
      <c r="H26" s="58" t="n">
        <f aca="false">'FSL Financials — Without BUMN'!H27</f>
        <v>-36.9445769942651</v>
      </c>
      <c r="I26" s="58" t="n">
        <f aca="false">'FSL Financials — Without BUMN'!I27</f>
        <v>-43.9227051513268</v>
      </c>
      <c r="J26" s="58" t="n">
        <f aca="false">'FSL Financials — Without BUMN'!J27</f>
        <v>-56.1116228732108</v>
      </c>
      <c r="K26" s="58" t="n">
        <f aca="false">'FSL Financials — Without BUMN'!K27</f>
        <v>-64.6214491166677</v>
      </c>
      <c r="L26" s="58" t="n">
        <f aca="false">'FSL Financials — Without BUMN'!L27</f>
        <v>-74.4178334001094</v>
      </c>
      <c r="M26" s="58" t="n">
        <f aca="false">'FSL Financials — Without BUMN'!M27</f>
        <v>-78.3908215230282</v>
      </c>
      <c r="N26" s="58" t="n">
        <f aca="false">'FSL Financials — Without BUMN'!N27</f>
        <v>-87.3122067748237</v>
      </c>
      <c r="O26" s="58" t="n">
        <f aca="false">'FSL Financials — Without BUMN'!O27</f>
        <v>-92.6611048466195</v>
      </c>
      <c r="P26" s="58" t="n">
        <f aca="false">'FSL Financials — Without BUMN'!P27</f>
        <v>-105.556723849718</v>
      </c>
      <c r="Q26" s="58" t="n">
        <f aca="false">'FSL Financials — Without BUMN'!Q27</f>
        <v>-111.23540803779</v>
      </c>
      <c r="R26" s="58" t="n">
        <f aca="false">'FSL Financials — Without BUMN'!R27</f>
        <v>-110.949921968626</v>
      </c>
      <c r="S26" s="58" t="n">
        <f aca="false">'FSL Financials — Without BUMN'!S27</f>
        <v>-116.613310767235</v>
      </c>
    </row>
    <row r="27" customFormat="false" ht="15" hidden="false" customHeight="false" outlineLevel="0" collapsed="false">
      <c r="B27" s="69" t="s">
        <v>456</v>
      </c>
      <c r="C27" s="25" t="s">
        <v>170</v>
      </c>
      <c r="F27" s="68" t="n">
        <f aca="false">F25+F26</f>
        <v>0</v>
      </c>
      <c r="G27" s="68" t="n">
        <f aca="false">G25+G26</f>
        <v>45.8999488453122</v>
      </c>
      <c r="H27" s="68" t="n">
        <f aca="false">H25+H26</f>
        <v>113.014040041811</v>
      </c>
      <c r="I27" s="68" t="n">
        <f aca="false">I25+I26</f>
        <v>137.250921284094</v>
      </c>
      <c r="J27" s="68" t="n">
        <f aca="false">J25+J26</f>
        <v>190.844028090166</v>
      </c>
      <c r="K27" s="68" t="n">
        <f aca="false">K25+K26</f>
        <v>221.850532834491</v>
      </c>
      <c r="L27" s="68" t="n">
        <f aca="false">L25+L26</f>
        <v>262.664226441543</v>
      </c>
      <c r="M27" s="68" t="n">
        <f aca="false">M25+M26</f>
        <v>277.800306659018</v>
      </c>
      <c r="N27" s="68" t="n">
        <f aca="false">N25+N26</f>
        <v>309.561460383466</v>
      </c>
      <c r="O27" s="68" t="n">
        <f aca="false">O25+O26</f>
        <v>328.525735365287</v>
      </c>
      <c r="P27" s="68" t="n">
        <f aca="false">P25+P26</f>
        <v>374.246566376272</v>
      </c>
      <c r="Q27" s="68" t="n">
        <f aca="false">Q25+Q26</f>
        <v>394.380083043074</v>
      </c>
      <c r="R27" s="68" t="n">
        <f aca="false">R25+R26</f>
        <v>393.36790516149</v>
      </c>
      <c r="S27" s="68" t="n">
        <f aca="false">S25+S26</f>
        <v>413.447192720197</v>
      </c>
    </row>
    <row r="28" customFormat="false" ht="15" hidden="false" customHeight="false" outlineLevel="0" collapsed="false">
      <c r="B28" s="24" t="s">
        <v>419</v>
      </c>
      <c r="C28" s="25" t="s">
        <v>170</v>
      </c>
      <c r="F28" s="58" t="n">
        <f aca="false">-'FSL Financials — Without BUMN'!F23</f>
        <v>0</v>
      </c>
      <c r="G28" s="58" t="n">
        <f aca="false">-'FSL Financials — Without BUMN'!G23</f>
        <v>88.3730862512023</v>
      </c>
      <c r="H28" s="58" t="n">
        <f aca="false">-'FSL Financials — Without BUMN'!H23</f>
        <v>113.599709038291</v>
      </c>
      <c r="I28" s="58" t="n">
        <f aca="false">-'FSL Financials — Without BUMN'!I23</f>
        <v>127.998275273704</v>
      </c>
      <c r="J28" s="58" t="n">
        <f aca="false">-'FSL Financials — Without BUMN'!J23</f>
        <v>141.840867465638</v>
      </c>
      <c r="K28" s="58" t="n">
        <f aca="false">-'FSL Financials — Without BUMN'!K23</f>
        <v>149.097955856646</v>
      </c>
      <c r="L28" s="58" t="n">
        <f aca="false">-'FSL Financials — Without BUMN'!L23</f>
        <v>151.106687965474</v>
      </c>
      <c r="M28" s="58" t="n">
        <f aca="false">-'FSL Financials — Without BUMN'!M23</f>
        <v>151.115594716478</v>
      </c>
      <c r="N28" s="58" t="n">
        <f aca="false">-'FSL Financials — Without BUMN'!N23</f>
        <v>151.124679602502</v>
      </c>
      <c r="O28" s="58" t="n">
        <f aca="false">-'FSL Financials — Without BUMN'!O23</f>
        <v>153.133946186247</v>
      </c>
      <c r="P28" s="58" t="n">
        <f aca="false">-'FSL Financials — Without BUMN'!P23</f>
        <v>139.30513865452</v>
      </c>
      <c r="Q28" s="58" t="n">
        <f aca="false">-'FSL Financials — Without BUMN'!Q23</f>
        <v>132.613053120152</v>
      </c>
      <c r="R28" s="58" t="n">
        <f aca="false">-'FSL Financials — Without BUMN'!R23</f>
        <v>130.935393142955</v>
      </c>
      <c r="S28" s="58" t="n">
        <f aca="false">-'FSL Financials — Without BUMN'!S23</f>
        <v>125.837611091214</v>
      </c>
    </row>
    <row r="29" customFormat="false" ht="15" hidden="false" customHeight="false" outlineLevel="0" collapsed="false">
      <c r="B29" s="24" t="s">
        <v>650</v>
      </c>
      <c r="C29" s="25" t="s">
        <v>170</v>
      </c>
      <c r="F29" s="58" t="n">
        <f aca="false">'FSL Financials — Without BUMN'!F58</f>
        <v>-198.433</v>
      </c>
      <c r="G29" s="58" t="n">
        <f aca="false">'FSL Financials — Without BUMN'!G58</f>
        <v>-125.2405</v>
      </c>
      <c r="H29" s="58" t="n">
        <f aca="false">'FSL Financials — Without BUMN'!H58</f>
        <v>-14.6385</v>
      </c>
      <c r="I29" s="58" t="n">
        <f aca="false">'FSL Financials — Without BUMN'!I58</f>
        <v>-419.772045611905</v>
      </c>
      <c r="J29" s="58" t="n">
        <f aca="false">'FSL Financials — Without BUMN'!J58</f>
        <v>-160.003625</v>
      </c>
      <c r="K29" s="58" t="n">
        <f aca="false">'FSL Financials — Without BUMN'!K58</f>
        <v>-0</v>
      </c>
      <c r="L29" s="58" t="n">
        <f aca="false">'FSL Financials — Without BUMN'!L58</f>
        <v>-0</v>
      </c>
      <c r="M29" s="58" t="n">
        <f aca="false">'FSL Financials — Without BUMN'!M58</f>
        <v>-0</v>
      </c>
      <c r="N29" s="58" t="n">
        <f aca="false">'FSL Financials — Without BUMN'!N58</f>
        <v>-0</v>
      </c>
      <c r="O29" s="58" t="n">
        <f aca="false">'FSL Financials — Without BUMN'!O58</f>
        <v>-0</v>
      </c>
      <c r="P29" s="58" t="n">
        <f aca="false">'FSL Financials — Without BUMN'!P58</f>
        <v>-0</v>
      </c>
      <c r="Q29" s="58" t="n">
        <f aca="false">'FSL Financials — Without BUMN'!Q58</f>
        <v>-0</v>
      </c>
      <c r="R29" s="58" t="n">
        <f aca="false">'FSL Financials — Without BUMN'!R58</f>
        <v>-0</v>
      </c>
      <c r="S29" s="58" t="n">
        <f aca="false">'FSL Financials — Without BUMN'!S58</f>
        <v>-0</v>
      </c>
    </row>
    <row r="30" customFormat="false" ht="15" hidden="false" customHeight="false" outlineLevel="0" collapsed="false">
      <c r="B30" s="24" t="s">
        <v>651</v>
      </c>
      <c r="C30" s="25" t="s">
        <v>170</v>
      </c>
      <c r="F30" s="58" t="n">
        <f aca="false">'FSL Financials — Without BUMN'!F56</f>
        <v>-0</v>
      </c>
      <c r="G30" s="58" t="n">
        <f aca="false">'FSL Financials — Without BUMN'!G56</f>
        <v>2.83706483520217</v>
      </c>
      <c r="H30" s="58" t="n">
        <f aca="false">'FSL Financials — Without BUMN'!H56</f>
        <v>-15.80317779642</v>
      </c>
      <c r="I30" s="58" t="n">
        <f aca="false">'FSL Financials — Without BUMN'!I56</f>
        <v>-8.45639225003209</v>
      </c>
      <c r="J30" s="58" t="n">
        <f aca="false">'FSL Financials — Without BUMN'!J56</f>
        <v>-14.4391840591511</v>
      </c>
      <c r="K30" s="58" t="n">
        <f aca="false">'FSL Financials — Without BUMN'!K56</f>
        <v>-8.0978654881936</v>
      </c>
      <c r="L30" s="58" t="n">
        <f aca="false">'FSL Financials — Without BUMN'!L56</f>
        <v>-8.15750833365183</v>
      </c>
      <c r="M30" s="58" t="n">
        <f aca="false">'FSL Financials — Without BUMN'!M56</f>
        <v>-3.38055316318354</v>
      </c>
      <c r="N30" s="58" t="n">
        <f aca="false">'FSL Financials — Without BUMN'!N56</f>
        <v>-6.35501444928702</v>
      </c>
      <c r="O30" s="58" t="n">
        <f aca="false">'FSL Financials — Without BUMN'!O56</f>
        <v>-3.97891220928562</v>
      </c>
      <c r="P30" s="58" t="n">
        <f aca="false">'FSL Financials — Without BUMN'!P56</f>
        <v>-7.15229733087807</v>
      </c>
      <c r="Q30" s="58" t="n">
        <f aca="false">'FSL Financials — Without BUMN'!Q56</f>
        <v>-2.78803154387765</v>
      </c>
      <c r="R30" s="58" t="n">
        <f aca="false">'FSL Financials — Without BUMN'!R56</f>
        <v>-0.822253176156988</v>
      </c>
      <c r="S30" s="58" t="n">
        <f aca="false">'FSL Financials — Without BUMN'!S56</f>
        <v>-3.28206634547962</v>
      </c>
    </row>
    <row r="31" customFormat="false" ht="15" hidden="false" customHeight="false" outlineLevel="0" collapsed="false">
      <c r="B31" s="69" t="s">
        <v>652</v>
      </c>
      <c r="C31" s="25" t="s">
        <v>170</v>
      </c>
      <c r="F31" s="68" t="n">
        <f aca="false">F27+F28+F29+F30</f>
        <v>-198.433</v>
      </c>
      <c r="G31" s="68" t="n">
        <f aca="false">G27+G28+G29+G30</f>
        <v>11.8695999317166</v>
      </c>
      <c r="H31" s="68" t="n">
        <f aca="false">H27+H28+H29+H30</f>
        <v>196.172071283682</v>
      </c>
      <c r="I31" s="68" t="n">
        <f aca="false">I27+I28+I29+I30</f>
        <v>-162.97924130414</v>
      </c>
      <c r="J31" s="68" t="n">
        <f aca="false">J27+J28+J29+J30</f>
        <v>158.242086496653</v>
      </c>
      <c r="K31" s="68" t="n">
        <f aca="false">K27+K28+K29+K30</f>
        <v>362.850623202944</v>
      </c>
      <c r="L31" s="68" t="n">
        <f aca="false">L27+L28+L29+L30</f>
        <v>405.613406073365</v>
      </c>
      <c r="M31" s="68" t="n">
        <f aca="false">M27+M28+M29+M30</f>
        <v>425.535348212312</v>
      </c>
      <c r="N31" s="68" t="n">
        <f aca="false">N27+N28+N29+N30</f>
        <v>454.331125536681</v>
      </c>
      <c r="O31" s="68" t="n">
        <f aca="false">O27+O28+O29+O30</f>
        <v>477.680769342249</v>
      </c>
      <c r="P31" s="68" t="n">
        <f aca="false">P27+P28+P29+P30</f>
        <v>506.399407699914</v>
      </c>
      <c r="Q31" s="68" t="n">
        <f aca="false">Q27+Q28+Q29+Q30</f>
        <v>524.205104619349</v>
      </c>
      <c r="R31" s="68" t="n">
        <f aca="false">R27+R28+R29+R30</f>
        <v>523.481045128288</v>
      </c>
      <c r="S31" s="68" t="n">
        <f aca="false">S27+S28+S29+S30</f>
        <v>536.002737465931</v>
      </c>
    </row>
    <row r="33" customFormat="false" ht="15" hidden="false" customHeight="false" outlineLevel="0" collapsed="false">
      <c r="B33" s="22" t="s">
        <v>653</v>
      </c>
      <c r="C33" s="23"/>
      <c r="D33" s="23"/>
      <c r="E33" s="23"/>
      <c r="F33" s="23"/>
      <c r="G33" s="23"/>
      <c r="H33" s="23"/>
      <c r="I33" s="23"/>
      <c r="J33" s="23"/>
      <c r="K33" s="23"/>
      <c r="L33" s="23"/>
      <c r="M33" s="23"/>
      <c r="N33" s="23"/>
      <c r="O33" s="23"/>
      <c r="P33" s="23"/>
      <c r="Q33" s="23"/>
      <c r="R33" s="23"/>
      <c r="S33" s="23"/>
    </row>
    <row r="34" customFormat="false" ht="15" hidden="false" customHeight="false" outlineLevel="0" collapsed="false">
      <c r="B34" s="24" t="s">
        <v>654</v>
      </c>
      <c r="C34" s="25" t="s">
        <v>143</v>
      </c>
      <c r="F34" s="93" t="n">
        <f aca="false">'Global Inputs'!F16</f>
        <v>0</v>
      </c>
      <c r="G34" s="93" t="n">
        <f aca="false">'Global Inputs'!G16</f>
        <v>0</v>
      </c>
      <c r="H34" s="93" t="n">
        <f aca="false">'Global Inputs'!H16</f>
        <v>0</v>
      </c>
      <c r="I34" s="93" t="n">
        <f aca="false">'Global Inputs'!I16</f>
        <v>0</v>
      </c>
      <c r="J34" s="93" t="n">
        <f aca="false">'Global Inputs'!J16</f>
        <v>1</v>
      </c>
      <c r="K34" s="93" t="n">
        <f aca="false">'Global Inputs'!K16</f>
        <v>1</v>
      </c>
      <c r="L34" s="93" t="n">
        <f aca="false">'Global Inputs'!L16</f>
        <v>1</v>
      </c>
      <c r="M34" s="93" t="n">
        <f aca="false">'Global Inputs'!M16</f>
        <v>1</v>
      </c>
      <c r="N34" s="93" t="n">
        <f aca="false">'Global Inputs'!N16</f>
        <v>1</v>
      </c>
      <c r="O34" s="93" t="n">
        <f aca="false">'Global Inputs'!O16</f>
        <v>1</v>
      </c>
      <c r="P34" s="93" t="n">
        <f aca="false">'Global Inputs'!P16</f>
        <v>1</v>
      </c>
      <c r="Q34" s="93" t="n">
        <f aca="false">'Global Inputs'!Q16</f>
        <v>1</v>
      </c>
      <c r="R34" s="93" t="n">
        <f aca="false">'Global Inputs'!R16</f>
        <v>1</v>
      </c>
      <c r="S34" s="93" t="n">
        <f aca="false">'Global Inputs'!S16</f>
        <v>1</v>
      </c>
    </row>
    <row r="35" customFormat="false" ht="15" hidden="false" customHeight="false" outlineLevel="0" collapsed="false">
      <c r="B35" s="24" t="s">
        <v>655</v>
      </c>
      <c r="C35" s="25" t="s">
        <v>145</v>
      </c>
      <c r="F35" s="94" t="n">
        <f aca="false">'Global Inputs'!F17</f>
        <v>0</v>
      </c>
      <c r="G35" s="94" t="n">
        <f aca="false">'Global Inputs'!G17</f>
        <v>0</v>
      </c>
      <c r="H35" s="94" t="n">
        <f aca="false">'Global Inputs'!H17</f>
        <v>0</v>
      </c>
      <c r="I35" s="94" t="n">
        <f aca="false">'Global Inputs'!I17</f>
        <v>0</v>
      </c>
      <c r="J35" s="94" t="n">
        <f aca="false">'Global Inputs'!J17</f>
        <v>1</v>
      </c>
      <c r="K35" s="94" t="n">
        <f aca="false">'Global Inputs'!K17</f>
        <v>2</v>
      </c>
      <c r="L35" s="94" t="n">
        <f aca="false">'Global Inputs'!L17</f>
        <v>3</v>
      </c>
      <c r="M35" s="94" t="n">
        <f aca="false">'Global Inputs'!M17</f>
        <v>4</v>
      </c>
      <c r="N35" s="94" t="n">
        <f aca="false">'Global Inputs'!N17</f>
        <v>5</v>
      </c>
      <c r="O35" s="94" t="n">
        <f aca="false">'Global Inputs'!O17</f>
        <v>6</v>
      </c>
      <c r="P35" s="94" t="n">
        <f aca="false">'Global Inputs'!P17</f>
        <v>7</v>
      </c>
      <c r="Q35" s="94" t="n">
        <f aca="false">'Global Inputs'!Q17</f>
        <v>8</v>
      </c>
      <c r="R35" s="94" t="n">
        <f aca="false">'Global Inputs'!R17</f>
        <v>9</v>
      </c>
      <c r="S35" s="94" t="n">
        <f aca="false">'Global Inputs'!S17</f>
        <v>10</v>
      </c>
    </row>
    <row r="36" customFormat="false" ht="15" hidden="false" customHeight="false" outlineLevel="0" collapsed="false">
      <c r="B36" s="24" t="s">
        <v>656</v>
      </c>
      <c r="C36" s="25" t="s">
        <v>148</v>
      </c>
      <c r="F36" s="95" t="n">
        <f aca="false">'Global Inputs'!F18</f>
        <v>0</v>
      </c>
      <c r="G36" s="95" t="n">
        <f aca="false">'Global Inputs'!G18</f>
        <v>0</v>
      </c>
      <c r="H36" s="95" t="n">
        <f aca="false">'Global Inputs'!H18</f>
        <v>0</v>
      </c>
      <c r="I36" s="95" t="n">
        <f aca="false">'Global Inputs'!I18</f>
        <v>0</v>
      </c>
      <c r="J36" s="95" t="n">
        <f aca="false">'Global Inputs'!J18</f>
        <v>0.893922570858382</v>
      </c>
      <c r="K36" s="95" t="n">
        <f aca="false">'Global Inputs'!K18</f>
        <v>0.799097562690059</v>
      </c>
      <c r="L36" s="95" t="n">
        <f aca="false">'Global Inputs'!L18</f>
        <v>0.714331347606564</v>
      </c>
      <c r="M36" s="95" t="n">
        <f aca="false">'Global Inputs'!M18</f>
        <v>0.638556914697192</v>
      </c>
      <c r="N36" s="95" t="n">
        <f aca="false">'Global Inputs'!N18</f>
        <v>0.57082043882551</v>
      </c>
      <c r="O36" s="95" t="n">
        <f aca="false">'Global Inputs'!O18</f>
        <v>0.51026927417341</v>
      </c>
      <c r="P36" s="95" t="n">
        <f aca="false">'Global Inputs'!P18</f>
        <v>0.456141221399135</v>
      </c>
      <c r="Q36" s="95" t="n">
        <f aca="false">'Global Inputs'!Q18</f>
        <v>0.407754933307597</v>
      </c>
      <c r="R36" s="95" t="n">
        <f aca="false">'Global Inputs'!R18</f>
        <v>0.364501338262515</v>
      </c>
      <c r="S36" s="95" t="n">
        <f aca="false">'Global Inputs'!S18</f>
        <v>0.325835973380948</v>
      </c>
    </row>
    <row r="37" customFormat="false" ht="15" hidden="false" customHeight="false" outlineLevel="0" collapsed="false">
      <c r="B37" s="24" t="s">
        <v>657</v>
      </c>
      <c r="C37" s="25" t="s">
        <v>170</v>
      </c>
      <c r="E37" s="47" t="n">
        <f aca="false">SUM(F37:S37)</f>
        <v>4374.34165377769</v>
      </c>
      <c r="F37" s="47" t="n">
        <f aca="false">F31*F34</f>
        <v>-0</v>
      </c>
      <c r="G37" s="47" t="n">
        <f aca="false">G31*G34</f>
        <v>0</v>
      </c>
      <c r="H37" s="47" t="n">
        <f aca="false">H31*H34</f>
        <v>0</v>
      </c>
      <c r="I37" s="47" t="n">
        <f aca="false">I31*I34</f>
        <v>-0</v>
      </c>
      <c r="J37" s="47" t="n">
        <f aca="false">J31*J34</f>
        <v>158.242086496653</v>
      </c>
      <c r="K37" s="47" t="n">
        <f aca="false">K31*K34</f>
        <v>362.850623202944</v>
      </c>
      <c r="L37" s="47" t="n">
        <f aca="false">L31*L34</f>
        <v>405.613406073365</v>
      </c>
      <c r="M37" s="47" t="n">
        <f aca="false">M31*M34</f>
        <v>425.535348212312</v>
      </c>
      <c r="N37" s="47" t="n">
        <f aca="false">N31*N34</f>
        <v>454.331125536681</v>
      </c>
      <c r="O37" s="47" t="n">
        <f aca="false">O31*O34</f>
        <v>477.680769342249</v>
      </c>
      <c r="P37" s="47" t="n">
        <f aca="false">P31*P34</f>
        <v>506.399407699914</v>
      </c>
      <c r="Q37" s="47" t="n">
        <f aca="false">Q31*Q34</f>
        <v>524.205104619349</v>
      </c>
      <c r="R37" s="47" t="n">
        <f aca="false">R31*R34</f>
        <v>523.481045128288</v>
      </c>
      <c r="S37" s="47" t="n">
        <f aca="false">S31*S34</f>
        <v>536.002737465931</v>
      </c>
    </row>
    <row r="38" customFormat="false" ht="15" hidden="false" customHeight="false" outlineLevel="0" collapsed="false">
      <c r="B38" s="69" t="s">
        <v>658</v>
      </c>
      <c r="C38" s="25" t="s">
        <v>170</v>
      </c>
      <c r="E38" s="70" t="n">
        <f aca="false">SUM(F38:S38)</f>
        <v>2306.16282034664</v>
      </c>
      <c r="F38" s="68" t="n">
        <f aca="false">F37*F36</f>
        <v>-0</v>
      </c>
      <c r="G38" s="68" t="n">
        <f aca="false">G37*G36</f>
        <v>0</v>
      </c>
      <c r="H38" s="68" t="n">
        <f aca="false">H37*H36</f>
        <v>0</v>
      </c>
      <c r="I38" s="68" t="n">
        <f aca="false">I37*I36</f>
        <v>-0</v>
      </c>
      <c r="J38" s="68" t="n">
        <f aca="false">J37*J36</f>
        <v>141.456172779082</v>
      </c>
      <c r="K38" s="68" t="n">
        <f aca="false">K37*K36</f>
        <v>289.953048622041</v>
      </c>
      <c r="L38" s="68" t="n">
        <f aca="false">L37*L36</f>
        <v>289.742370967675</v>
      </c>
      <c r="M38" s="68" t="n">
        <f aca="false">M37*M36</f>
        <v>271.728539049049</v>
      </c>
      <c r="N38" s="68" t="n">
        <f aca="false">N37*N36</f>
        <v>259.341492450936</v>
      </c>
      <c r="O38" s="68" t="n">
        <f aca="false">O37*O36</f>
        <v>243.745819458865</v>
      </c>
      <c r="P38" s="68" t="n">
        <f aca="false">P37*P36</f>
        <v>230.989644344037</v>
      </c>
      <c r="Q38" s="68" t="n">
        <f aca="false">Q37*Q36</f>
        <v>213.747217473564</v>
      </c>
      <c r="R38" s="68" t="n">
        <f aca="false">R37*R36</f>
        <v>190.809541504321</v>
      </c>
      <c r="S38" s="68" t="n">
        <f aca="false">S37*S36</f>
        <v>174.648973697064</v>
      </c>
    </row>
    <row r="40" customFormat="false" ht="15" hidden="false" customHeight="false" outlineLevel="0" collapsed="false">
      <c r="B40" s="22" t="s">
        <v>659</v>
      </c>
      <c r="C40" s="23"/>
      <c r="D40" s="23"/>
      <c r="E40" s="23"/>
      <c r="F40" s="23"/>
      <c r="G40" s="23"/>
      <c r="H40" s="23"/>
      <c r="I40" s="23"/>
      <c r="J40" s="23"/>
      <c r="K40" s="23"/>
      <c r="L40" s="23"/>
      <c r="M40" s="23"/>
      <c r="N40" s="23"/>
      <c r="O40" s="23"/>
      <c r="P40" s="23"/>
      <c r="Q40" s="23"/>
      <c r="R40" s="23"/>
      <c r="S40" s="23"/>
    </row>
    <row r="41" customFormat="false" ht="15" hidden="false" customHeight="false" outlineLevel="0" collapsed="false">
      <c r="B41" s="24" t="s">
        <v>660</v>
      </c>
      <c r="C41" s="25" t="s">
        <v>170</v>
      </c>
      <c r="E41" s="47" t="n">
        <f aca="false">$S$27</f>
        <v>413.447192720197</v>
      </c>
    </row>
    <row r="42" customFormat="false" ht="15" hidden="false" customHeight="false" outlineLevel="0" collapsed="false">
      <c r="B42" s="24" t="s">
        <v>661</v>
      </c>
      <c r="C42" s="25" t="s">
        <v>170</v>
      </c>
      <c r="E42" s="47" t="n">
        <f aca="false">$S$28</f>
        <v>125.837611091214</v>
      </c>
    </row>
    <row r="43" customFormat="false" ht="15" hidden="false" customHeight="false" outlineLevel="0" collapsed="false">
      <c r="B43" s="24" t="s">
        <v>662</v>
      </c>
      <c r="C43" s="25" t="s">
        <v>170</v>
      </c>
      <c r="E43" s="47" t="n">
        <f aca="false">-$E$17*$E$42</f>
        <v>-125.837611091214</v>
      </c>
    </row>
    <row r="44" customFormat="false" ht="15" hidden="false" customHeight="false" outlineLevel="0" collapsed="false">
      <c r="B44" s="24" t="s">
        <v>663</v>
      </c>
      <c r="C44" s="25" t="s">
        <v>170</v>
      </c>
      <c r="E44" s="47" t="n">
        <f aca="false">-'Global Inputs'!$E$54*('FSL Financials — Without BUMN'!$S$39-'FSL Financials — Without BUMN'!$S$44)</f>
        <v>-3.3061261598247</v>
      </c>
    </row>
    <row r="45" customFormat="false" ht="15" hidden="false" customHeight="false" outlineLevel="0" collapsed="false">
      <c r="B45" s="69" t="s">
        <v>664</v>
      </c>
      <c r="C45" s="25" t="s">
        <v>170</v>
      </c>
      <c r="E45" s="70" t="n">
        <f aca="false">$E$41+$E$42+$E$43+$E$44</f>
        <v>410.141066560372</v>
      </c>
    </row>
    <row r="46" customFormat="false" ht="15" hidden="false" customHeight="false" outlineLevel="0" collapsed="false">
      <c r="B46" s="24" t="s">
        <v>665</v>
      </c>
      <c r="C46" s="25" t="s">
        <v>170</v>
      </c>
      <c r="E46" s="47" t="n">
        <f aca="false">$E$45*(1+$E$16)/($E$15-$E$16)</f>
        <v>4764.50377056032</v>
      </c>
    </row>
    <row r="47" customFormat="false" ht="15" hidden="false" customHeight="false" outlineLevel="0" collapsed="false">
      <c r="B47" s="69" t="s">
        <v>666</v>
      </c>
      <c r="C47" s="25" t="s">
        <v>170</v>
      </c>
      <c r="E47" s="70" t="n">
        <f aca="false">$E$46*$S$36</f>
        <v>1552.44672375772</v>
      </c>
    </row>
    <row r="49" customFormat="false" ht="15" hidden="false" customHeight="false" outlineLevel="0" collapsed="false">
      <c r="B49" s="22" t="s">
        <v>667</v>
      </c>
      <c r="C49" s="23"/>
      <c r="D49" s="23"/>
      <c r="E49" s="23"/>
      <c r="F49" s="23"/>
      <c r="G49" s="23"/>
      <c r="H49" s="23"/>
      <c r="I49" s="23"/>
      <c r="J49" s="23"/>
      <c r="K49" s="23"/>
      <c r="L49" s="23"/>
      <c r="M49" s="23"/>
      <c r="N49" s="23"/>
      <c r="O49" s="23"/>
      <c r="P49" s="23"/>
      <c r="Q49" s="23"/>
      <c r="R49" s="23"/>
      <c r="S49" s="23"/>
    </row>
    <row r="50" customFormat="false" ht="15" hidden="false" customHeight="false" outlineLevel="0" collapsed="false">
      <c r="B50" s="24" t="s">
        <v>668</v>
      </c>
      <c r="C50" s="25" t="s">
        <v>170</v>
      </c>
      <c r="E50" s="47" t="n">
        <f aca="false">SUM($F$38:$S$38)</f>
        <v>2306.16282034664</v>
      </c>
    </row>
    <row r="51" customFormat="false" ht="15" hidden="false" customHeight="false" outlineLevel="0" collapsed="false">
      <c r="B51" s="24" t="s">
        <v>669</v>
      </c>
      <c r="C51" s="25" t="s">
        <v>170</v>
      </c>
      <c r="E51" s="47" t="n">
        <f aca="false">$E$47</f>
        <v>1552.44672375772</v>
      </c>
    </row>
    <row r="52" customFormat="false" ht="15" hidden="false" customHeight="false" outlineLevel="0" collapsed="false">
      <c r="B52" s="69" t="s">
        <v>670</v>
      </c>
      <c r="C52" s="25" t="s">
        <v>170</v>
      </c>
      <c r="E52" s="70" t="n">
        <f aca="false">$E$50+$E$51</f>
        <v>3858.60954410435</v>
      </c>
    </row>
    <row r="53" customFormat="false" ht="15" hidden="false" customHeight="false" outlineLevel="0" collapsed="false">
      <c r="B53" s="24" t="s">
        <v>671</v>
      </c>
      <c r="C53" s="25" t="s">
        <v>240</v>
      </c>
      <c r="E53" s="44" t="n">
        <f aca="false">$E$52/'Global Inputs'!$E$23*1000</f>
        <v>237.23390987423</v>
      </c>
    </row>
    <row r="54" customFormat="false" ht="15" hidden="false" customHeight="false" outlineLevel="0" collapsed="false">
      <c r="B54" s="24" t="s">
        <v>672</v>
      </c>
      <c r="C54" s="25" t="s">
        <v>160</v>
      </c>
      <c r="E54" s="49" t="n">
        <f aca="false">IF($E$52=0,0,$E$51/$E$52)</f>
        <v>0.402333199566598</v>
      </c>
    </row>
    <row r="56" customFormat="false" ht="15" hidden="false" customHeight="false" outlineLevel="0" collapsed="false">
      <c r="B56" s="22" t="s">
        <v>673</v>
      </c>
      <c r="C56" s="23"/>
      <c r="D56" s="23"/>
      <c r="E56" s="23"/>
      <c r="F56" s="23"/>
      <c r="G56" s="23"/>
      <c r="H56" s="23"/>
      <c r="I56" s="23"/>
      <c r="J56" s="23"/>
      <c r="K56" s="23"/>
      <c r="L56" s="23"/>
      <c r="M56" s="23"/>
      <c r="N56" s="23"/>
      <c r="O56" s="23"/>
      <c r="P56" s="23"/>
      <c r="Q56" s="23"/>
      <c r="R56" s="23"/>
      <c r="S56" s="23"/>
    </row>
    <row r="57" customFormat="false" ht="15" hidden="false" customHeight="false" outlineLevel="0" collapsed="false">
      <c r="B57" s="24" t="s">
        <v>674</v>
      </c>
      <c r="C57" s="25" t="s">
        <v>170</v>
      </c>
      <c r="E57" s="47" t="n">
        <f aca="false">$E$52</f>
        <v>3858.60954410435</v>
      </c>
    </row>
    <row r="58" customFormat="false" ht="15" hidden="false" customHeight="false" outlineLevel="0" collapsed="false">
      <c r="B58" s="24" t="s">
        <v>675</v>
      </c>
      <c r="C58" s="25" t="s">
        <v>170</v>
      </c>
      <c r="E58" s="47" t="n">
        <f aca="false">INDEX('FSL Financials — Without BUMN'!$F$37:$S$37,MATCH('Global Inputs'!$E$12,'Global Inputs'!$F$15:$S$15,0))</f>
        <v>3</v>
      </c>
    </row>
    <row r="59" customFormat="false" ht="15" hidden="false" customHeight="false" outlineLevel="0" collapsed="false">
      <c r="B59" s="24" t="s">
        <v>676</v>
      </c>
      <c r="C59" s="25" t="s">
        <v>170</v>
      </c>
      <c r="E59" s="47" t="n">
        <f aca="false">-INDEX(Financing!$F$24:$S$24,MATCH('Global Inputs'!$E$12,'Global Inputs'!$F$15:$S$15,0))</f>
        <v>-195.18</v>
      </c>
    </row>
    <row r="60" customFormat="false" ht="15" hidden="false" customHeight="false" outlineLevel="0" collapsed="false">
      <c r="B60" s="24" t="s">
        <v>677</v>
      </c>
      <c r="C60" s="25" t="s">
        <v>170</v>
      </c>
      <c r="E60" s="47" t="n">
        <f aca="false">('Global Inputs'!$E$109-'Global Inputs'!$E$65)*'Global Inputs'!$E$38</f>
        <v>0</v>
      </c>
    </row>
    <row r="61" customFormat="false" ht="15" hidden="false" customHeight="false" outlineLevel="0" collapsed="false">
      <c r="B61" s="24" t="s">
        <v>678</v>
      </c>
      <c r="C61" s="25" t="s">
        <v>170</v>
      </c>
      <c r="E61" s="47" t="n">
        <f aca="false">-((1-'E1 TelukLamong Output'!$E$61)*'E1 TelukLamong Output'!$E$48*'Global Inputs'!$K$89+(1-'E2 CigadingExist Output'!$E$61)*'E2 CigadingExist Output'!$E$48*'Global Inputs'!$K$90+(1-'E3 Belawan Output'!$E$61)*'E3 Belawan Output'!$E$48*'Global Inputs'!$K$91+(1-'E4 WIN Output'!$E$61)*'E4 WIN Output'!$E$48*'Global Inputs'!$K$92+(1-'P01 CigWharf2 Output'!$E$60)*'P01 CigWharf2 Output'!$E$47*'Global Inputs'!$K$93+(1-'P02 CigConveyor Output'!$E$60)*'P02 CigConveyor Output'!$E$47*'Global Inputs'!$K$94+(1-'P03 KBSWarehouse Output'!$E$60)*'P03 KBSWarehouse Output'!$E$47*'Global Inputs'!$K$95+(1-'P04 TTLSilo Output'!$E$60)*'P04 TTLSilo Output'!$E$47*'Global Inputs'!$K$96+(1-'P05 Dumai Output'!$E$60)*'P05 Dumai Output'!$E$47*'Global Inputs'!$K$97+(1-'P06 Ciwandan Output'!$E$60)*'P06 Ciwandan Output'!$E$47*'Global Inputs'!$K$98+(1-'P08 DMSTrucking Output'!$E$60)*'P08 DMSTrucking Output'!$E$47*'Global Inputs'!$K$99+(1-'P12 BUMNOps Output'!$E$60)*'P12 BUMNOps Output'!$E$47*'Global Inputs'!$K$100+(1-'P15 TBM Output'!$E$60)*'P15 TBM Output'!$E$47*'Global Inputs'!$K$101+(1-'P19 Badas Output'!$E$72)*'P19 Badas Output'!$E$47*'Global Inputs'!$K$102)</f>
        <v>-416.575691854642</v>
      </c>
    </row>
    <row r="62" customFormat="false" ht="15" hidden="false" customHeight="false" outlineLevel="0" collapsed="false">
      <c r="B62" s="69" t="s">
        <v>679</v>
      </c>
      <c r="C62" s="25" t="s">
        <v>170</v>
      </c>
      <c r="E62" s="70" t="n">
        <f aca="false">$E$57+$E$58+$E$59+$E$60+$E$61</f>
        <v>3249.85385224971</v>
      </c>
    </row>
    <row r="63" customFormat="false" ht="15" hidden="false" customHeight="false" outlineLevel="0" collapsed="false">
      <c r="B63" s="69" t="s">
        <v>680</v>
      </c>
      <c r="C63" s="25" t="s">
        <v>240</v>
      </c>
      <c r="E63" s="80" t="n">
        <f aca="false">$E$62/'Global Inputs'!$E$23*1000</f>
        <v>199.806569458943</v>
      </c>
    </row>
    <row r="64" customFormat="false" ht="15" hidden="false" customHeight="false" outlineLevel="0" collapsed="false">
      <c r="B64" s="24" t="s">
        <v>681</v>
      </c>
      <c r="E64" s="82" t="str">
        <f aca="false">IF('Global Inputs'!$E$76&lt;='Global Inputs'!$E$11,"POST-money: injection received on/before the valuation date is inside cash","PRE-money: injection received after the valuation date (not in cash); LT loan still outstanding at the valuation date")</f>
        <v>PRE-money: injection received after the valuation date (not in cash); LT loan still outstanding at the valuation date</v>
      </c>
    </row>
    <row r="65" customFormat="false" ht="15" hidden="false" customHeight="false" outlineLevel="0" collapsed="false">
      <c r="B65" s="24" t="s">
        <v>682</v>
      </c>
      <c r="C65" s="25" t="s">
        <v>170</v>
      </c>
      <c r="E65" s="58" t="n">
        <f aca="false">'Funding Requirement'!$E$17</f>
        <v>357.83</v>
      </c>
    </row>
    <row r="66" customFormat="false" ht="15" hidden="false" customHeight="false" outlineLevel="0" collapsed="false">
      <c r="B66" s="24" t="s">
        <v>683</v>
      </c>
      <c r="C66" s="25" t="s">
        <v>170</v>
      </c>
      <c r="E66" s="58" t="n">
        <f aca="false">Financing!$E$28</f>
        <v>195.18</v>
      </c>
    </row>
    <row r="68" customFormat="false" ht="15" hidden="false" customHeight="false" outlineLevel="0" collapsed="false">
      <c r="B68" s="22" t="s">
        <v>684</v>
      </c>
      <c r="C68" s="23"/>
      <c r="D68" s="23"/>
      <c r="E68" s="23"/>
      <c r="F68" s="23"/>
      <c r="G68" s="23"/>
      <c r="H68" s="23"/>
      <c r="I68" s="23"/>
      <c r="J68" s="23"/>
      <c r="K68" s="23"/>
      <c r="L68" s="23"/>
      <c r="M68" s="23"/>
      <c r="N68" s="23"/>
      <c r="O68" s="23"/>
      <c r="P68" s="23"/>
      <c r="Q68" s="23"/>
      <c r="R68" s="23"/>
      <c r="S68" s="23"/>
    </row>
    <row r="69" customFormat="false" ht="15" hidden="false" customHeight="false" outlineLevel="0" collapsed="false">
      <c r="B69" s="5" t="s">
        <v>685</v>
      </c>
      <c r="D69" s="96" t="n">
        <f aca="false">$E$16+(-0.01)</f>
        <v>0.02</v>
      </c>
      <c r="E69" s="96" t="n">
        <f aca="false">$E$16+(-0.005)</f>
        <v>0.025</v>
      </c>
      <c r="F69" s="96" t="n">
        <f aca="false">$E$16+(0)</f>
        <v>0.03</v>
      </c>
      <c r="G69" s="96" t="n">
        <f aca="false">$E$16+(0.005)</f>
        <v>0.035</v>
      </c>
      <c r="H69" s="96" t="n">
        <f aca="false">$E$16+(0.01)</f>
        <v>0.04</v>
      </c>
    </row>
    <row r="70" customFormat="false" ht="15" hidden="false" customHeight="false" outlineLevel="0" collapsed="false">
      <c r="C70" s="97" t="n">
        <f aca="false">$E$15+(-0.02)</f>
        <v>0.09866512</v>
      </c>
      <c r="D70" s="47" t="n">
        <f aca="false">SUMPRODUCT($F$37:$S$37,$F$34:$S$34,1/(1+$C70)^$F$35:$S$35)+($E$45*(1+D$69)/($C70-D$69))/(1+$C70)^10</f>
        <v>4616.0040444364</v>
      </c>
      <c r="E70" s="47" t="n">
        <f aca="false">SUMPRODUCT($F$37:$S$37,$F$34:$S$34,1/(1+$C70)^$F$35:$S$35)+($E$45*(1+E$69)/($C70-E$69))/(1+$C70)^10</f>
        <v>4767.73392584132</v>
      </c>
      <c r="F70" s="47" t="n">
        <f aca="false">SUMPRODUCT($F$37:$S$37,$F$34:$S$34,1/(1+$C70)^$F$35:$S$35)+($E$45*(1+F$69)/($C70-F$69))/(1+$C70)^10</f>
        <v>4941.56088963755</v>
      </c>
      <c r="G70" s="47" t="n">
        <f aca="false">SUMPRODUCT($F$37:$S$37,$F$34:$S$34,1/(1+$C70)^$F$35:$S$35)+($E$45*(1+G$69)/($C70-G$69))/(1+$C70)^10</f>
        <v>5142.69118118943</v>
      </c>
      <c r="H70" s="47" t="n">
        <f aca="false">SUMPRODUCT($F$37:$S$37,$F$34:$S$34,1/(1+$C70)^$F$35:$S$35)+($E$45*(1+H$69)/($C70-H$69))/(1+$C70)^10</f>
        <v>5378.10594902838</v>
      </c>
    </row>
    <row r="71" customFormat="false" ht="15" hidden="false" customHeight="false" outlineLevel="0" collapsed="false">
      <c r="C71" s="97" t="n">
        <f aca="false">$E$15+(-0.01)</f>
        <v>0.10866512</v>
      </c>
      <c r="D71" s="47" t="n">
        <f aca="false">SUMPRODUCT($F$37:$S$37,$F$34:$S$34,1/(1+$C71)^$F$35:$S$35)+($E$45*(1+D$69)/($C71-D$69))/(1+$C71)^10</f>
        <v>4101.12550894836</v>
      </c>
      <c r="E71" s="47" t="n">
        <f aca="false">SUMPRODUCT($F$37:$S$37,$F$34:$S$34,1/(1+$C71)^$F$35:$S$35)+($E$45*(1+E$69)/($C71-E$69))/(1+$C71)^10</f>
        <v>4210.37075764481</v>
      </c>
      <c r="F71" s="47" t="n">
        <f aca="false">SUMPRODUCT($F$37:$S$37,$F$34:$S$34,1/(1+$C71)^$F$35:$S$35)+($E$45*(1+F$69)/($C71-F$69))/(1+$C71)^10</f>
        <v>4333.50338726644</v>
      </c>
      <c r="G71" s="47" t="n">
        <f aca="false">SUMPRODUCT($F$37:$S$37,$F$34:$S$34,1/(1+$C71)^$F$35:$S$35)+($E$45*(1+G$69)/($C71-G$69))/(1+$C71)^10</f>
        <v>4473.35120443159</v>
      </c>
      <c r="H71" s="47" t="n">
        <f aca="false">SUMPRODUCT($F$37:$S$37,$F$34:$S$34,1/(1+$C71)^$F$35:$S$35)+($E$45*(1+H$69)/($C71-H$69))/(1+$C71)^10</f>
        <v>4633.5656673064</v>
      </c>
    </row>
    <row r="72" customFormat="false" ht="15" hidden="false" customHeight="false" outlineLevel="0" collapsed="false">
      <c r="C72" s="97" t="n">
        <f aca="false">$E$15+(0)</f>
        <v>0.11866512</v>
      </c>
      <c r="D72" s="47" t="n">
        <f aca="false">SUMPRODUCT($F$37:$S$37,$F$34:$S$34,1/(1+$C72)^$F$35:$S$35)+($E$45*(1+D$69)/($C72-D$69))/(1+$C72)^10</f>
        <v>3687.71982771786</v>
      </c>
      <c r="E72" s="47" t="n">
        <f aca="false">SUMPRODUCT($F$37:$S$37,$F$34:$S$34,1/(1+$C72)^$F$35:$S$35)+($E$45*(1+E$69)/($C72-E$69))/(1+$C72)^10</f>
        <v>3768.60349716799</v>
      </c>
      <c r="F72" s="98" t="n">
        <f aca="false">SUMPRODUCT($F$37:$S$37,$F$34:$S$34,1/(1+$C72)^$F$35:$S$35)+($E$45*(1+F$69)/($C72-F$69))/(1+$C72)^10</f>
        <v>3858.60954410435</v>
      </c>
      <c r="G72" s="47" t="n">
        <f aca="false">SUMPRODUCT($F$37:$S$37,$F$34:$S$34,1/(1+$C72)^$F$35:$S$35)+($E$45*(1+G$69)/($C72-G$69))/(1+$C72)^10</f>
        <v>3959.37348476468</v>
      </c>
      <c r="H72" s="47" t="n">
        <f aca="false">SUMPRODUCT($F$37:$S$37,$F$34:$S$34,1/(1+$C72)^$F$35:$S$35)+($E$45*(1+H$69)/($C72-H$69))/(1+$C72)^10</f>
        <v>4072.94665277512</v>
      </c>
    </row>
    <row r="73" customFormat="false" ht="15" hidden="false" customHeight="false" outlineLevel="0" collapsed="false">
      <c r="C73" s="97" t="n">
        <f aca="false">$E$15+(0.01)</f>
        <v>0.12866512</v>
      </c>
      <c r="D73" s="47" t="n">
        <f aca="false">SUMPRODUCT($F$37:$S$37,$F$34:$S$34,1/(1+$C73)^$F$35:$S$35)+($E$45*(1+D$69)/($C73-D$69))/(1+$C73)^10</f>
        <v>3348.10358381501</v>
      </c>
      <c r="E73" s="47" t="n">
        <f aca="false">SUMPRODUCT($F$37:$S$37,$F$34:$S$34,1/(1+$C73)^$F$35:$S$35)+($E$45*(1+E$69)/($C73-E$69))/(1+$C73)^10</f>
        <v>3409.35194979704</v>
      </c>
      <c r="F73" s="47" t="n">
        <f aca="false">SUMPRODUCT($F$37:$S$37,$F$34:$S$34,1/(1+$C73)^$F$35:$S$35)+($E$45*(1+F$69)/($C73-F$69))/(1+$C73)^10</f>
        <v>3476.80801774933</v>
      </c>
      <c r="G73" s="47" t="n">
        <f aca="false">SUMPRODUCT($F$37:$S$37,$F$34:$S$34,1/(1+$C73)^$F$35:$S$35)+($E$45*(1+G$69)/($C73-G$69))/(1+$C73)^10</f>
        <v>3551.46592006133</v>
      </c>
      <c r="H73" s="47" t="n">
        <f aca="false">SUMPRODUCT($F$37:$S$37,$F$34:$S$34,1/(1+$C73)^$F$35:$S$35)+($E$45*(1+H$69)/($C73-H$69))/(1+$C73)^10</f>
        <v>3634.54403342273</v>
      </c>
    </row>
    <row r="74" customFormat="false" ht="15" hidden="false" customHeight="false" outlineLevel="0" collapsed="false">
      <c r="C74" s="97" t="n">
        <f aca="false">$E$15+(0.02)</f>
        <v>0.13866512</v>
      </c>
      <c r="D74" s="47" t="n">
        <f aca="false">SUMPRODUCT($F$37:$S$37,$F$34:$S$34,1/(1+$C74)^$F$35:$S$35)+($E$45*(1+D$69)/($C74-D$69))/(1+$C74)^10</f>
        <v>3063.88921117403</v>
      </c>
      <c r="E74" s="47" t="n">
        <f aca="false">SUMPRODUCT($F$37:$S$37,$F$34:$S$34,1/(1+$C74)^$F$35:$S$35)+($E$45*(1+E$69)/($C74-E$69))/(1+$C74)^10</f>
        <v>3111.1377961717</v>
      </c>
      <c r="F74" s="47" t="n">
        <f aca="false">SUMPRODUCT($F$37:$S$37,$F$34:$S$34,1/(1+$C74)^$F$35:$S$35)+($E$45*(1+F$69)/($C74-F$69))/(1+$C74)^10</f>
        <v>3162.73447235058</v>
      </c>
      <c r="G74" s="47" t="n">
        <f aca="false">SUMPRODUCT($F$37:$S$37,$F$34:$S$34,1/(1+$C74)^$F$35:$S$35)+($E$45*(1+G$69)/($C74-G$69))/(1+$C74)^10</f>
        <v>3219.30839412363</v>
      </c>
      <c r="H74" s="47" t="n">
        <f aca="false">SUMPRODUCT($F$37:$S$37,$F$34:$S$34,1/(1+$C74)^$F$35:$S$35)+($E$45*(1+H$69)/($C74-H$69))/(1+$C74)^10</f>
        <v>3281.6162492029</v>
      </c>
    </row>
    <row r="75" customFormat="false" ht="15" hidden="false" customHeight="false" outlineLevel="0" collapsed="false">
      <c r="B75" s="5" t="s">
        <v>686</v>
      </c>
    </row>
    <row r="78" customFormat="false" ht="15" hidden="false" customHeight="false" outlineLevel="0" collapsed="false">
      <c r="B78" s="22" t="s">
        <v>687</v>
      </c>
      <c r="C78" s="23"/>
      <c r="D78" s="23"/>
      <c r="E78" s="23"/>
      <c r="F78" s="23"/>
      <c r="G78" s="23"/>
      <c r="H78" s="23"/>
      <c r="I78" s="23"/>
      <c r="J78" s="23"/>
      <c r="K78" s="23"/>
      <c r="L78" s="23"/>
      <c r="M78" s="23"/>
      <c r="N78" s="23"/>
      <c r="O78" s="23"/>
      <c r="P78" s="23"/>
      <c r="Q78" s="23"/>
      <c r="R78" s="23"/>
      <c r="S78" s="23"/>
    </row>
    <row r="79" customFormat="false" ht="15" hidden="false" customHeight="false" outlineLevel="0" collapsed="false">
      <c r="B79" s="24" t="s">
        <v>31</v>
      </c>
      <c r="C79" s="25" t="s">
        <v>170</v>
      </c>
      <c r="E79" s="58" t="n">
        <f aca="false">'E1 TelukLamong Output'!$E$48*'Global Inputs'!$K$89</f>
        <v>1190.21626244184</v>
      </c>
    </row>
    <row r="80" customFormat="false" ht="15" hidden="false" customHeight="false" outlineLevel="0" collapsed="false">
      <c r="B80" s="24" t="s">
        <v>34</v>
      </c>
      <c r="C80" s="25" t="s">
        <v>170</v>
      </c>
      <c r="E80" s="58" t="n">
        <f aca="false">'E2 CigadingExist Output'!$E$48*'Global Inputs'!$K$90</f>
        <v>461.150586479111</v>
      </c>
    </row>
    <row r="81" customFormat="false" ht="15" hidden="false" customHeight="false" outlineLevel="0" collapsed="false">
      <c r="B81" s="24" t="s">
        <v>37</v>
      </c>
      <c r="C81" s="25" t="s">
        <v>170</v>
      </c>
      <c r="E81" s="58" t="n">
        <f aca="false">'E3 Belawan Output'!$E$48*'Global Inputs'!$K$91</f>
        <v>237.96396515498</v>
      </c>
    </row>
    <row r="82" customFormat="false" ht="15" hidden="false" customHeight="false" outlineLevel="0" collapsed="false">
      <c r="B82" s="24" t="s">
        <v>40</v>
      </c>
      <c r="C82" s="25" t="s">
        <v>170</v>
      </c>
      <c r="E82" s="58" t="n">
        <f aca="false">'E4 WIN Output'!$E$48*'Global Inputs'!$K$92</f>
        <v>213.663418002089</v>
      </c>
    </row>
    <row r="83" customFormat="false" ht="15" hidden="false" customHeight="false" outlineLevel="0" collapsed="false">
      <c r="B83" s="24" t="s">
        <v>43</v>
      </c>
      <c r="C83" s="25" t="s">
        <v>170</v>
      </c>
      <c r="E83" s="58" t="n">
        <f aca="false">'P01 CigWharf2 Output'!$E$47*'Global Inputs'!$K$93</f>
        <v>960.014663512148</v>
      </c>
    </row>
    <row r="84" customFormat="false" ht="15" hidden="false" customHeight="false" outlineLevel="0" collapsed="false">
      <c r="B84" s="24" t="s">
        <v>46</v>
      </c>
      <c r="C84" s="25" t="s">
        <v>170</v>
      </c>
      <c r="E84" s="58" t="n">
        <f aca="false">'P02 CigConveyor Output'!$E$47*'Global Inputs'!$K$94</f>
        <v>280.518261713808</v>
      </c>
    </row>
    <row r="85" customFormat="false" ht="15" hidden="false" customHeight="false" outlineLevel="0" collapsed="false">
      <c r="B85" s="24" t="s">
        <v>48</v>
      </c>
      <c r="C85" s="25" t="s">
        <v>170</v>
      </c>
      <c r="E85" s="58" t="n">
        <f aca="false">'P03 KBSWarehouse Output'!$E$47*'Global Inputs'!$K$95</f>
        <v>189.579245679262</v>
      </c>
    </row>
    <row r="86" customFormat="false" ht="15" hidden="false" customHeight="false" outlineLevel="0" collapsed="false">
      <c r="B86" s="24" t="s">
        <v>51</v>
      </c>
      <c r="C86" s="25" t="s">
        <v>170</v>
      </c>
      <c r="E86" s="58" t="n">
        <f aca="false">'P04 TTLSilo Output'!$E$47*'Global Inputs'!$K$96</f>
        <v>104.744450946781</v>
      </c>
    </row>
    <row r="87" customFormat="false" ht="15" hidden="false" customHeight="false" outlineLevel="0" collapsed="false">
      <c r="B87" s="24" t="s">
        <v>54</v>
      </c>
      <c r="C87" s="25" t="s">
        <v>170</v>
      </c>
      <c r="E87" s="58" t="n">
        <f aca="false">'P05 Dumai Output'!$E$47*'Global Inputs'!$K$97</f>
        <v>197.603970664319</v>
      </c>
    </row>
    <row r="88" customFormat="false" ht="15" hidden="false" customHeight="false" outlineLevel="0" collapsed="false">
      <c r="B88" s="24" t="s">
        <v>57</v>
      </c>
      <c r="C88" s="25" t="s">
        <v>170</v>
      </c>
      <c r="E88" s="58" t="n">
        <f aca="false">'P06 Ciwandan Output'!$E$47*'Global Inputs'!$K$98</f>
        <v>475.823839559765</v>
      </c>
    </row>
    <row r="89" customFormat="false" ht="15" hidden="false" customHeight="false" outlineLevel="0" collapsed="false">
      <c r="B89" s="24" t="s">
        <v>60</v>
      </c>
      <c r="C89" s="25" t="s">
        <v>170</v>
      </c>
      <c r="E89" s="58" t="n">
        <f aca="false">'P08 DMSTrucking Output'!$E$47*'Global Inputs'!$K$99</f>
        <v>23.7365719787679</v>
      </c>
    </row>
    <row r="90" customFormat="false" ht="15" hidden="false" customHeight="false" outlineLevel="0" collapsed="false">
      <c r="B90" s="24" t="s">
        <v>63</v>
      </c>
      <c r="C90" s="25" t="s">
        <v>170</v>
      </c>
      <c r="E90" s="58" t="n">
        <f aca="false">'P12 BUMNOps Output'!$E$47*'Global Inputs'!$K$100</f>
        <v>0</v>
      </c>
    </row>
    <row r="91" customFormat="false" ht="15" hidden="false" customHeight="false" outlineLevel="0" collapsed="false">
      <c r="B91" s="24" t="s">
        <v>66</v>
      </c>
      <c r="C91" s="25" t="s">
        <v>170</v>
      </c>
      <c r="E91" s="58" t="n">
        <f aca="false">'P15 TBM Output'!$E$47*'Global Inputs'!$K$101</f>
        <v>0</v>
      </c>
    </row>
    <row r="92" customFormat="false" ht="15" hidden="false" customHeight="false" outlineLevel="0" collapsed="false">
      <c r="B92" s="24" t="s">
        <v>69</v>
      </c>
      <c r="C92" s="25" t="s">
        <v>170</v>
      </c>
      <c r="E92" s="58" t="n">
        <f aca="false">'P19 Badas Output'!$E$47*'Global Inputs'!$K$102</f>
        <v>0</v>
      </c>
    </row>
    <row r="93" customFormat="false" ht="15" hidden="false" customHeight="false" outlineLevel="0" collapsed="false">
      <c r="B93" s="69" t="s">
        <v>688</v>
      </c>
      <c r="C93" s="25" t="s">
        <v>170</v>
      </c>
      <c r="E93" s="70" t="n">
        <f aca="false">$E$79+$E$80+$E$81+$E$82+$E$83+$E$84+$E$85+$E$86+$E$87+$E$88+$E$89+$E$90+$E$91+$E$92</f>
        <v>4335.01523613287</v>
      </c>
    </row>
    <row r="94" customFormat="false" ht="15" hidden="false" customHeight="false" outlineLevel="0" collapsed="false">
      <c r="B94" s="24" t="s">
        <v>689</v>
      </c>
      <c r="C94" s="25" t="s">
        <v>170</v>
      </c>
      <c r="E94" s="47" t="n">
        <f aca="false">$E$52-$E$93</f>
        <v>-476.405692028514</v>
      </c>
    </row>
    <row r="95" customFormat="false" ht="15" hidden="false" customHeight="false" outlineLevel="0" collapsed="false">
      <c r="B95" s="24" t="s">
        <v>690</v>
      </c>
      <c r="C95" s="25" t="s">
        <v>170</v>
      </c>
      <c r="E95" s="32" t="n">
        <f aca="false">'E1 TelukLamong Output'!$E$49*'Global Inputs'!$K$89+'E2 CigadingExist Output'!$E$49*'Global Inputs'!$K$90+'E3 Belawan Output'!$E$49*'Global Inputs'!$K$91+'E4 WIN Output'!$E$49*'Global Inputs'!$K$92+'P01 CigWharf2 Output'!$E$48*'Global Inputs'!$K$93+'P02 CigConveyor Output'!$E$48*'Global Inputs'!$K$94+'P03 KBSWarehouse Output'!$E$48*'Global Inputs'!$K$95+'P04 TTLSilo Output'!$E$48*'Global Inputs'!$K$96+'P05 Dumai Output'!$E$48*'Global Inputs'!$K$97+'P06 Ciwandan Output'!$E$48*'Global Inputs'!$K$98+'P08 DMSTrucking Output'!$E$48*'Global Inputs'!$K$99+'P12 BUMNOps Output'!$E$48*'Global Inputs'!$K$100+'P15 TBM Output'!$E$48*'Global Inputs'!$K$101+'P19 Badas Output'!$E$48*'Global Inputs'!$K$102-$E$50</f>
        <v>0</v>
      </c>
    </row>
  </sheetData>
  <hyperlinks>
    <hyperlink ref="C3" r:id="rId1" location="'Navigation'!A1" display="Navigation"/>
    <hyperlink ref="D3" r:id="rId2" location="'Global%20Inputs'!A1" display="Global Inputs"/>
    <hyperlink ref="E3" r:id="rId3" location="'Project%20Summary'!A1" display="Project Summary"/>
    <hyperlink ref="F3" r:id="rId4" location="'Funding%20Requirement'!A1" display="Funding"/>
    <hyperlink ref="G3" r:id="rId5" location="'FSL%20Financials%20—%20Without%20BUMN'!A1" display="FSL w/o BUMN"/>
    <hyperlink ref="H3" r:id="rId6" location="'FSL%20Financials%20—%20With%20BUMN'!A1" display="FSL w/ BUMN"/>
    <hyperlink ref="I3" r:id="rId7" location="'Valuation%20—%20Without%20BUMN'!A1" display="Val w/o BUMN"/>
    <hyperlink ref="J3" r:id="rId8" location="'Valuation%20—%20With%20BUMN'!A1" display="Val w/ BUMN"/>
    <hyperlink ref="K3" r:id="rId9" location="'Checks'!A1" display="Checks"/>
    <hyperlink ref="L3" r:id="rId10" location="'Model%20Flow'!A1" display="Model Flow"/>
  </hyperlink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30A0"/>
    <pageSetUpPr fitToPage="true"/>
  </sheetPr>
  <dimension ref="B1:U1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5" ySplit="9" topLeftCell="F10" activePane="bottomRight" state="frozen"/>
      <selection pane="topLeft" activeCell="A1" activeCellId="0" sqref="A1"/>
      <selection pane="topRight" activeCell="F1" activeCellId="0" sqref="F1"/>
      <selection pane="bottomLeft" activeCell="A10" activeCellId="0" sqref="A10"/>
      <selection pane="bottomRigh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60"/>
    <col collapsed="false" customWidth="true" hidden="false" outlineLevel="0" max="3" min="3" style="0" width="11"/>
    <col collapsed="false" customWidth="true" hidden="false" outlineLevel="0" max="4" min="4" style="0" width="12"/>
    <col collapsed="false" customWidth="true" hidden="false" outlineLevel="0" max="5" min="5" style="0" width="13"/>
    <col collapsed="false" customWidth="true" hidden="false" outlineLevel="0" max="19" min="6" style="0" width="11.5"/>
    <col collapsed="false" customWidth="true" hidden="false" outlineLevel="0" max="20" min="20" style="0" width="40"/>
    <col collapsed="false" customWidth="true" hidden="false" outlineLevel="0" max="21" min="21" style="0" width="48"/>
  </cols>
  <sheetData>
    <row r="1" customFormat="false" ht="21.75" hidden="false" customHeight="true" outlineLevel="0" collapsed="false">
      <c r="B1" s="1" t="s">
        <v>691</v>
      </c>
    </row>
    <row r="2" customFormat="false" ht="15" hidden="false" customHeight="false" outlineLevel="0" collapsed="false">
      <c r="B2" s="2" t="s">
        <v>692</v>
      </c>
    </row>
    <row r="3" customFormat="false" ht="15" hidden="false" customHeight="false" outlineLevel="0" collapsed="false">
      <c r="B3" s="5" t="s">
        <v>112</v>
      </c>
      <c r="C3" s="17" t="s">
        <v>113</v>
      </c>
      <c r="D3" s="17" t="s">
        <v>5</v>
      </c>
      <c r="E3" s="17" t="s">
        <v>7</v>
      </c>
      <c r="F3" s="17" t="s">
        <v>114</v>
      </c>
      <c r="G3" s="17" t="s">
        <v>115</v>
      </c>
      <c r="H3" s="17" t="s">
        <v>116</v>
      </c>
      <c r="I3" s="17" t="s">
        <v>117</v>
      </c>
      <c r="J3" s="17" t="s">
        <v>118</v>
      </c>
      <c r="K3" s="17" t="s">
        <v>21</v>
      </c>
      <c r="L3" s="17" t="s">
        <v>3</v>
      </c>
    </row>
    <row r="5" customFormat="false" ht="15" hidden="false" customHeight="false" outlineLevel="0" collapsed="false">
      <c r="B5" s="6" t="s">
        <v>119</v>
      </c>
      <c r="C5" s="6" t="s">
        <v>120</v>
      </c>
      <c r="D5" s="6" t="s">
        <v>121</v>
      </c>
      <c r="E5" s="6" t="s">
        <v>122</v>
      </c>
      <c r="F5" s="18" t="n">
        <f aca="false">'Global Inputs'!F$5</f>
        <v>2023</v>
      </c>
      <c r="G5" s="18" t="n">
        <f aca="false">'Global Inputs'!G$5</f>
        <v>2024</v>
      </c>
      <c r="H5" s="18" t="n">
        <f aca="false">'Global Inputs'!H$5</f>
        <v>2025</v>
      </c>
      <c r="I5" s="18" t="n">
        <f aca="false">'Global Inputs'!I$5</f>
        <v>2026</v>
      </c>
      <c r="J5" s="18" t="n">
        <f aca="false">'Global Inputs'!J$5</f>
        <v>2027</v>
      </c>
      <c r="K5" s="18" t="n">
        <f aca="false">'Global Inputs'!K$5</f>
        <v>2028</v>
      </c>
      <c r="L5" s="18" t="n">
        <f aca="false">'Global Inputs'!L$5</f>
        <v>2029</v>
      </c>
      <c r="M5" s="18" t="n">
        <f aca="false">'Global Inputs'!M$5</f>
        <v>2030</v>
      </c>
      <c r="N5" s="18" t="n">
        <f aca="false">'Global Inputs'!N$5</f>
        <v>2031</v>
      </c>
      <c r="O5" s="18" t="n">
        <f aca="false">'Global Inputs'!O$5</f>
        <v>2032</v>
      </c>
      <c r="P5" s="18" t="n">
        <f aca="false">'Global Inputs'!P$5</f>
        <v>2033</v>
      </c>
      <c r="Q5" s="18" t="n">
        <f aca="false">'Global Inputs'!Q$5</f>
        <v>2034</v>
      </c>
      <c r="R5" s="18" t="n">
        <f aca="false">'Global Inputs'!R$5</f>
        <v>2035</v>
      </c>
      <c r="S5" s="18" t="n">
        <f aca="false">'Global Inputs'!S$5</f>
        <v>2036</v>
      </c>
      <c r="T5" s="6" t="s">
        <v>123</v>
      </c>
      <c r="U5" s="6" t="s">
        <v>124</v>
      </c>
    </row>
    <row r="6" customFormat="false" ht="15" hidden="false" customHeight="false" outlineLevel="0" collapsed="false">
      <c r="B6" s="19" t="s">
        <v>125</v>
      </c>
      <c r="F6" s="20" t="n">
        <f aca="false">'Global Inputs'!F$6</f>
        <v>45291</v>
      </c>
      <c r="G6" s="20" t="n">
        <f aca="false">'Global Inputs'!G$6</f>
        <v>45657</v>
      </c>
      <c r="H6" s="20" t="n">
        <f aca="false">'Global Inputs'!H$6</f>
        <v>46022</v>
      </c>
      <c r="I6" s="20" t="n">
        <f aca="false">'Global Inputs'!I$6</f>
        <v>46387</v>
      </c>
      <c r="J6" s="20" t="n">
        <f aca="false">'Global Inputs'!J$6</f>
        <v>46752</v>
      </c>
      <c r="K6" s="20" t="n">
        <f aca="false">'Global Inputs'!K$6</f>
        <v>47118</v>
      </c>
      <c r="L6" s="20" t="n">
        <f aca="false">'Global Inputs'!L$6</f>
        <v>47483</v>
      </c>
      <c r="M6" s="20" t="n">
        <f aca="false">'Global Inputs'!M$6</f>
        <v>47848</v>
      </c>
      <c r="N6" s="20" t="n">
        <f aca="false">'Global Inputs'!N$6</f>
        <v>48213</v>
      </c>
      <c r="O6" s="20" t="n">
        <f aca="false">'Global Inputs'!O$6</f>
        <v>48579</v>
      </c>
      <c r="P6" s="20" t="n">
        <f aca="false">'Global Inputs'!P$6</f>
        <v>48944</v>
      </c>
      <c r="Q6" s="20" t="n">
        <f aca="false">'Global Inputs'!Q$6</f>
        <v>49309</v>
      </c>
      <c r="R6" s="20" t="n">
        <f aca="false">'Global Inputs'!R$6</f>
        <v>49674</v>
      </c>
      <c r="S6" s="20" t="n">
        <f aca="false">'Global Inputs'!S$6</f>
        <v>50040</v>
      </c>
    </row>
    <row r="7" customFormat="false" ht="15" hidden="false" customHeight="false" outlineLevel="0" collapsed="false">
      <c r="B7" s="19" t="s">
        <v>126</v>
      </c>
      <c r="F7" s="21" t="n">
        <f aca="false">'Global Inputs'!F$7</f>
        <v>365</v>
      </c>
      <c r="G7" s="21" t="n">
        <f aca="false">'Global Inputs'!G$7</f>
        <v>366</v>
      </c>
      <c r="H7" s="21" t="n">
        <f aca="false">'Global Inputs'!H$7</f>
        <v>365</v>
      </c>
      <c r="I7" s="21" t="n">
        <f aca="false">'Global Inputs'!I$7</f>
        <v>365</v>
      </c>
      <c r="J7" s="21" t="n">
        <f aca="false">'Global Inputs'!J$7</f>
        <v>365</v>
      </c>
      <c r="K7" s="21" t="n">
        <f aca="false">'Global Inputs'!K$7</f>
        <v>366</v>
      </c>
      <c r="L7" s="21" t="n">
        <f aca="false">'Global Inputs'!L$7</f>
        <v>365</v>
      </c>
      <c r="M7" s="21" t="n">
        <f aca="false">'Global Inputs'!M$7</f>
        <v>365</v>
      </c>
      <c r="N7" s="21" t="n">
        <f aca="false">'Global Inputs'!N$7</f>
        <v>365</v>
      </c>
      <c r="O7" s="21" t="n">
        <f aca="false">'Global Inputs'!O$7</f>
        <v>366</v>
      </c>
      <c r="P7" s="21" t="n">
        <f aca="false">'Global Inputs'!P$7</f>
        <v>365</v>
      </c>
      <c r="Q7" s="21" t="n">
        <f aca="false">'Global Inputs'!Q$7</f>
        <v>365</v>
      </c>
      <c r="R7" s="21" t="n">
        <f aca="false">'Global Inputs'!R$7</f>
        <v>365</v>
      </c>
      <c r="S7" s="21" t="n">
        <f aca="false">'Global Inputs'!S$7</f>
        <v>366</v>
      </c>
    </row>
    <row r="8" customFormat="false" ht="15" hidden="false" customHeight="false" outlineLevel="0" collapsed="false">
      <c r="B8" s="19" t="s">
        <v>127</v>
      </c>
      <c r="F8" s="21" t="n">
        <f aca="false">'Global Inputs'!F$8</f>
        <v>0</v>
      </c>
      <c r="G8" s="21" t="n">
        <f aca="false">'Global Inputs'!G$8</f>
        <v>1</v>
      </c>
      <c r="H8" s="21" t="n">
        <f aca="false">'Global Inputs'!H$8</f>
        <v>1</v>
      </c>
      <c r="I8" s="21" t="n">
        <f aca="false">'Global Inputs'!I$8</f>
        <v>1</v>
      </c>
      <c r="J8" s="21" t="n">
        <f aca="false">'Global Inputs'!J$8</f>
        <v>1</v>
      </c>
      <c r="K8" s="21" t="n">
        <f aca="false">'Global Inputs'!K$8</f>
        <v>1</v>
      </c>
      <c r="L8" s="21" t="n">
        <f aca="false">'Global Inputs'!L$8</f>
        <v>1</v>
      </c>
      <c r="M8" s="21" t="n">
        <f aca="false">'Global Inputs'!M$8</f>
        <v>1</v>
      </c>
      <c r="N8" s="21" t="n">
        <f aca="false">'Global Inputs'!N$8</f>
        <v>1</v>
      </c>
      <c r="O8" s="21" t="n">
        <f aca="false">'Global Inputs'!O$8</f>
        <v>1</v>
      </c>
      <c r="P8" s="21" t="n">
        <f aca="false">'Global Inputs'!P$8</f>
        <v>1</v>
      </c>
      <c r="Q8" s="21" t="n">
        <f aca="false">'Global Inputs'!Q$8</f>
        <v>1</v>
      </c>
      <c r="R8" s="21" t="n">
        <f aca="false">'Global Inputs'!R$8</f>
        <v>1</v>
      </c>
      <c r="S8" s="21" t="n">
        <f aca="false">'Global Inputs'!S$8</f>
        <v>1</v>
      </c>
    </row>
    <row r="10" customFormat="false" ht="15" hidden="false" customHeight="false" outlineLevel="0" collapsed="false">
      <c r="B10" s="22" t="s">
        <v>693</v>
      </c>
      <c r="C10" s="23"/>
      <c r="D10" s="23"/>
      <c r="E10" s="23"/>
      <c r="F10" s="23"/>
      <c r="G10" s="23"/>
      <c r="H10" s="23"/>
      <c r="I10" s="23"/>
      <c r="J10" s="23"/>
      <c r="K10" s="23"/>
      <c r="L10" s="23"/>
      <c r="M10" s="23"/>
      <c r="N10" s="23"/>
      <c r="O10" s="23"/>
      <c r="P10" s="23"/>
      <c r="Q10" s="23"/>
      <c r="R10" s="23"/>
      <c r="S10" s="23"/>
    </row>
    <row r="11" customFormat="false" ht="15" hidden="false" customHeight="false" outlineLevel="0" collapsed="false">
      <c r="B11" s="69" t="s">
        <v>637</v>
      </c>
      <c r="E11" s="24" t="s">
        <v>477</v>
      </c>
    </row>
    <row r="12" customFormat="false" ht="15" hidden="false" customHeight="false" outlineLevel="0" collapsed="false">
      <c r="B12" s="69" t="s">
        <v>129</v>
      </c>
      <c r="C12" s="25" t="s">
        <v>130</v>
      </c>
      <c r="E12" s="83" t="n">
        <f aca="false">'Global Inputs'!$E$11</f>
        <v>46387</v>
      </c>
    </row>
    <row r="13" customFormat="false" ht="15" hidden="false" customHeight="false" outlineLevel="0" collapsed="false">
      <c r="B13" s="24" t="s">
        <v>638</v>
      </c>
      <c r="C13" s="25" t="s">
        <v>135</v>
      </c>
      <c r="E13" s="65" t="n">
        <f aca="false">'Global Inputs'!$E$13</f>
        <v>2027</v>
      </c>
    </row>
    <row r="14" customFormat="false" ht="15" hidden="false" customHeight="false" outlineLevel="0" collapsed="false">
      <c r="B14" s="24" t="s">
        <v>639</v>
      </c>
      <c r="E14" s="24" t="s">
        <v>640</v>
      </c>
    </row>
    <row r="15" customFormat="false" ht="15" hidden="false" customHeight="false" outlineLevel="0" collapsed="false">
      <c r="B15" s="24" t="s">
        <v>641</v>
      </c>
      <c r="C15" s="25" t="s">
        <v>160</v>
      </c>
      <c r="E15" s="92" t="n">
        <f aca="false">'Global Inputs'!$E$53</f>
        <v>0.11866512</v>
      </c>
    </row>
    <row r="16" customFormat="false" ht="15" hidden="false" customHeight="false" outlineLevel="0" collapsed="false">
      <c r="B16" s="24" t="s">
        <v>642</v>
      </c>
      <c r="C16" s="25" t="s">
        <v>160</v>
      </c>
      <c r="E16" s="92" t="n">
        <f aca="false">'Global Inputs'!$E$54</f>
        <v>0.03</v>
      </c>
    </row>
    <row r="17" customFormat="false" ht="15" hidden="false" customHeight="false" outlineLevel="0" collapsed="false">
      <c r="B17" s="24" t="s">
        <v>643</v>
      </c>
      <c r="C17" s="25" t="s">
        <v>148</v>
      </c>
      <c r="E17" s="72" t="n">
        <f aca="false">'Global Inputs'!$E$55</f>
        <v>1</v>
      </c>
    </row>
    <row r="18" customFormat="false" ht="15" hidden="false" customHeight="false" outlineLevel="0" collapsed="false">
      <c r="B18" s="24" t="s">
        <v>644</v>
      </c>
      <c r="C18" s="25" t="s">
        <v>385</v>
      </c>
      <c r="E18" s="65" t="n">
        <f aca="false">'FSL Financials — With BUMN'!$E$12</f>
        <v>12</v>
      </c>
    </row>
    <row r="19" customFormat="false" ht="15" hidden="false" customHeight="false" outlineLevel="0" collapsed="false">
      <c r="B19" s="24" t="s">
        <v>386</v>
      </c>
      <c r="E19" s="24" t="s">
        <v>694</v>
      </c>
    </row>
    <row r="20" customFormat="false" ht="15" hidden="false" customHeight="false" outlineLevel="0" collapsed="false">
      <c r="B20" s="24" t="s">
        <v>646</v>
      </c>
      <c r="E20" s="24" t="s">
        <v>647</v>
      </c>
    </row>
    <row r="22" customFormat="false" ht="15" hidden="false" customHeight="false" outlineLevel="0" collapsed="false">
      <c r="B22" s="22" t="s">
        <v>648</v>
      </c>
      <c r="C22" s="23"/>
      <c r="D22" s="23"/>
      <c r="E22" s="23"/>
      <c r="F22" s="23"/>
      <c r="G22" s="23"/>
      <c r="H22" s="23"/>
      <c r="I22" s="23"/>
      <c r="J22" s="23"/>
      <c r="K22" s="23"/>
      <c r="L22" s="23"/>
      <c r="M22" s="23"/>
      <c r="N22" s="23"/>
      <c r="O22" s="23"/>
      <c r="P22" s="23"/>
      <c r="Q22" s="23"/>
      <c r="R22" s="23"/>
      <c r="S22" s="23"/>
    </row>
    <row r="23" customFormat="false" ht="15" hidden="false" customHeight="false" outlineLevel="0" collapsed="false">
      <c r="B23" s="24" t="s">
        <v>345</v>
      </c>
      <c r="C23" s="25" t="s">
        <v>170</v>
      </c>
      <c r="F23" s="58" t="n">
        <f aca="false">'FSL Financials — With BUMN'!F18</f>
        <v>0</v>
      </c>
      <c r="G23" s="58" t="n">
        <f aca="false">'FSL Financials — With BUMN'!G18</f>
        <v>305.288412360754</v>
      </c>
      <c r="H23" s="58" t="n">
        <f aca="false">'FSL Financials — With BUMN'!H18</f>
        <v>427.60263552932</v>
      </c>
      <c r="I23" s="58" t="n">
        <f aca="false">'FSL Financials — With BUMN'!I18</f>
        <v>622.064556538699</v>
      </c>
      <c r="J23" s="58" t="n">
        <f aca="false">'FSL Financials — With BUMN'!J18</f>
        <v>754.462492082283</v>
      </c>
      <c r="K23" s="58" t="n">
        <f aca="false">'FSL Financials — With BUMN'!K18</f>
        <v>841.309226008467</v>
      </c>
      <c r="L23" s="58" t="n">
        <f aca="false">'FSL Financials — With BUMN'!L18</f>
        <v>917.906667885605</v>
      </c>
      <c r="M23" s="58" t="n">
        <f aca="false">'FSL Financials — With BUMN'!M18</f>
        <v>957.016498746665</v>
      </c>
      <c r="N23" s="58" t="n">
        <f aca="false">'FSL Financials — With BUMN'!N18</f>
        <v>1021.44271773182</v>
      </c>
      <c r="O23" s="58" t="n">
        <f aca="false">'FSL Financials — With BUMN'!O18</f>
        <v>1068.32870482927</v>
      </c>
      <c r="P23" s="58" t="n">
        <f aca="false">'FSL Financials — With BUMN'!P18</f>
        <v>1137.22151236596</v>
      </c>
      <c r="Q23" s="58" t="n">
        <f aca="false">'FSL Financials — With BUMN'!Q18</f>
        <v>1162.58168525456</v>
      </c>
      <c r="R23" s="58" t="n">
        <f aca="false">'FSL Financials — With BUMN'!R18</f>
        <v>1171.21401861933</v>
      </c>
      <c r="S23" s="58" t="n">
        <f aca="false">'FSL Financials — With BUMN'!S18</f>
        <v>1212.2891656223</v>
      </c>
    </row>
    <row r="24" customFormat="false" ht="15" hidden="false" customHeight="false" outlineLevel="0" collapsed="false">
      <c r="B24" s="24" t="s">
        <v>346</v>
      </c>
      <c r="C24" s="25" t="s">
        <v>170</v>
      </c>
      <c r="F24" s="58" t="n">
        <f aca="false">'FSL Financials — With BUMN'!F22</f>
        <v>0</v>
      </c>
      <c r="G24" s="58" t="n">
        <f aca="false">'FSL Financials — With BUMN'!G22</f>
        <v>154.235273175001</v>
      </c>
      <c r="H24" s="58" t="n">
        <f aca="false">'FSL Financials — With BUMN'!H22</f>
        <v>263.558326074367</v>
      </c>
      <c r="I24" s="58" t="n">
        <f aca="false">'FSL Financials — With BUMN'!I22</f>
        <v>367.490029738497</v>
      </c>
      <c r="J24" s="58" t="n">
        <f aca="false">'FSL Financials — With BUMN'!J22</f>
        <v>450.247867033492</v>
      </c>
      <c r="K24" s="58" t="n">
        <f aca="false">'FSL Financials — With BUMN'!K22</f>
        <v>499.169235751945</v>
      </c>
      <c r="L24" s="58" t="n">
        <f aca="false">'FSL Financials — With BUMN'!L22</f>
        <v>553.990055995613</v>
      </c>
      <c r="M24" s="58" t="n">
        <f aca="false">'FSL Financials — With BUMN'!M22</f>
        <v>575.36572406318</v>
      </c>
      <c r="N24" s="58" t="n">
        <f aca="false">'FSL Financials — With BUMN'!N22</f>
        <v>618.372394115397</v>
      </c>
      <c r="O24" s="58" t="n">
        <f aca="false">'FSL Financials — With BUMN'!O22</f>
        <v>647.0689537529</v>
      </c>
      <c r="P24" s="58" t="n">
        <f aca="false">'FSL Financials — With BUMN'!P22</f>
        <v>694.291562259893</v>
      </c>
      <c r="Q24" s="58" t="n">
        <f aca="false">'FSL Financials — With BUMN'!Q22</f>
        <v>715.909315010271</v>
      </c>
      <c r="R24" s="58" t="n">
        <f aca="false">'FSL Financials — With BUMN'!R22</f>
        <v>711.345149856917</v>
      </c>
      <c r="S24" s="58" t="n">
        <f aca="false">'FSL Financials — With BUMN'!S22</f>
        <v>734.272802050007</v>
      </c>
    </row>
    <row r="25" customFormat="false" ht="15" hidden="false" customHeight="false" outlineLevel="0" collapsed="false">
      <c r="B25" s="69" t="s">
        <v>347</v>
      </c>
      <c r="C25" s="25" t="s">
        <v>170</v>
      </c>
      <c r="F25" s="71" t="n">
        <f aca="false">'FSL Financials — With BUMN'!F24</f>
        <v>0</v>
      </c>
      <c r="G25" s="71" t="n">
        <f aca="false">'FSL Financials — With BUMN'!G24</f>
        <v>65.862186923799</v>
      </c>
      <c r="H25" s="71" t="n">
        <f aca="false">'FSL Financials — With BUMN'!H24</f>
        <v>149.958617036076</v>
      </c>
      <c r="I25" s="71" t="n">
        <f aca="false">'FSL Financials — With BUMN'!I24</f>
        <v>239.491754464793</v>
      </c>
      <c r="J25" s="71" t="n">
        <f aca="false">'FSL Financials — With BUMN'!J24</f>
        <v>308.406999567853</v>
      </c>
      <c r="K25" s="71" t="n">
        <f aca="false">'FSL Financials — With BUMN'!K24</f>
        <v>350.071279895299</v>
      </c>
      <c r="L25" s="71" t="n">
        <f aca="false">'FSL Financials — With BUMN'!L24</f>
        <v>402.883368030139</v>
      </c>
      <c r="M25" s="71" t="n">
        <f aca="false">'FSL Financials — With BUMN'!M24</f>
        <v>424.250129346702</v>
      </c>
      <c r="N25" s="71" t="n">
        <f aca="false">'FSL Financials — With BUMN'!N24</f>
        <v>467.247714512895</v>
      </c>
      <c r="O25" s="71" t="n">
        <f aca="false">'FSL Financials — With BUMN'!O24</f>
        <v>493.935007566653</v>
      </c>
      <c r="P25" s="71" t="n">
        <f aca="false">'FSL Financials — With BUMN'!P24</f>
        <v>554.986423605374</v>
      </c>
      <c r="Q25" s="71" t="n">
        <f aca="false">'FSL Financials — With BUMN'!Q24</f>
        <v>583.296261890118</v>
      </c>
      <c r="R25" s="71" t="n">
        <f aca="false">'FSL Financials — With BUMN'!R24</f>
        <v>580.409756713962</v>
      </c>
      <c r="S25" s="71" t="n">
        <f aca="false">'FSL Financials — With BUMN'!S24</f>
        <v>608.435190958793</v>
      </c>
    </row>
    <row r="26" customFormat="false" ht="15" hidden="false" customHeight="false" outlineLevel="0" collapsed="false">
      <c r="B26" s="24" t="s">
        <v>649</v>
      </c>
      <c r="C26" s="25" t="s">
        <v>170</v>
      </c>
      <c r="F26" s="58" t="n">
        <f aca="false">'FSL Financials — With BUMN'!F27</f>
        <v>-0</v>
      </c>
      <c r="G26" s="58" t="n">
        <f aca="false">'FSL Financials — With BUMN'!G27</f>
        <v>-19.9622380784868</v>
      </c>
      <c r="H26" s="58" t="n">
        <f aca="false">'FSL Financials — With BUMN'!H27</f>
        <v>-36.9445769942651</v>
      </c>
      <c r="I26" s="58" t="n">
        <f aca="false">'FSL Financials — With BUMN'!I27</f>
        <v>-56.7526933177888</v>
      </c>
      <c r="J26" s="58" t="n">
        <f aca="false">'FSL Financials — With BUMN'!J27</f>
        <v>-69.6309195661956</v>
      </c>
      <c r="K26" s="58" t="n">
        <f aca="false">'FSL Financials — With BUMN'!K27</f>
        <v>-78.6132946643785</v>
      </c>
      <c r="L26" s="58" t="n">
        <f aca="false">'FSL Financials — With BUMN'!L27</f>
        <v>-88.8941212015764</v>
      </c>
      <c r="M26" s="58" t="n">
        <f aca="false">'FSL Financials — With BUMN'!M27</f>
        <v>-93.3638017792526</v>
      </c>
      <c r="N26" s="58" t="n">
        <f aca="false">'FSL Financials — With BUMN'!N27</f>
        <v>-102.794497192837</v>
      </c>
      <c r="O26" s="58" t="n">
        <f aca="false">'FSL Financials — With BUMN'!O27</f>
        <v>-108.665701664664</v>
      </c>
      <c r="P26" s="58" t="n">
        <f aca="false">'FSL Financials — With BUMN'!P27</f>
        <v>-122.097013193182</v>
      </c>
      <c r="Q26" s="58" t="n">
        <f aca="false">'FSL Financials — With BUMN'!Q27</f>
        <v>-128.325177615826</v>
      </c>
      <c r="R26" s="58" t="n">
        <f aca="false">'FSL Financials — With BUMN'!R27</f>
        <v>-127.690146477072</v>
      </c>
      <c r="S26" s="58" t="n">
        <f aca="false">'FSL Financials — With BUMN'!S27</f>
        <v>-133.855742010935</v>
      </c>
    </row>
    <row r="27" customFormat="false" ht="15" hidden="false" customHeight="false" outlineLevel="0" collapsed="false">
      <c r="B27" s="69" t="s">
        <v>456</v>
      </c>
      <c r="C27" s="25" t="s">
        <v>170</v>
      </c>
      <c r="F27" s="68" t="n">
        <f aca="false">F25+F26</f>
        <v>0</v>
      </c>
      <c r="G27" s="68" t="n">
        <f aca="false">G25+G26</f>
        <v>45.8999488453122</v>
      </c>
      <c r="H27" s="68" t="n">
        <f aca="false">H25+H26</f>
        <v>113.014040041811</v>
      </c>
      <c r="I27" s="68" t="n">
        <f aca="false">I25+I26</f>
        <v>182.739061147004</v>
      </c>
      <c r="J27" s="68" t="n">
        <f aca="false">J25+J26</f>
        <v>238.776080001658</v>
      </c>
      <c r="K27" s="68" t="n">
        <f aca="false">K25+K26</f>
        <v>271.457985230921</v>
      </c>
      <c r="L27" s="68" t="n">
        <f aca="false">L25+L26</f>
        <v>313.989246828563</v>
      </c>
      <c r="M27" s="68" t="n">
        <f aca="false">M25+M26</f>
        <v>330.88632756745</v>
      </c>
      <c r="N27" s="68" t="n">
        <f aca="false">N25+N26</f>
        <v>364.453217320058</v>
      </c>
      <c r="O27" s="68" t="n">
        <f aca="false">O25+O26</f>
        <v>385.269305901989</v>
      </c>
      <c r="P27" s="68" t="n">
        <f aca="false">P25+P26</f>
        <v>432.889410412191</v>
      </c>
      <c r="Q27" s="68" t="n">
        <f aca="false">Q25+Q26</f>
        <v>454.971084274292</v>
      </c>
      <c r="R27" s="68" t="n">
        <f aca="false">R25+R26</f>
        <v>452.71961023689</v>
      </c>
      <c r="S27" s="68" t="n">
        <f aca="false">S25+S26</f>
        <v>474.579448947858</v>
      </c>
    </row>
    <row r="28" customFormat="false" ht="15" hidden="false" customHeight="false" outlineLevel="0" collapsed="false">
      <c r="B28" s="24" t="s">
        <v>419</v>
      </c>
      <c r="C28" s="25" t="s">
        <v>170</v>
      </c>
      <c r="F28" s="58" t="n">
        <f aca="false">-'FSL Financials — With BUMN'!F23</f>
        <v>0</v>
      </c>
      <c r="G28" s="58" t="n">
        <f aca="false">-'FSL Financials — With BUMN'!G23</f>
        <v>88.3730862512023</v>
      </c>
      <c r="H28" s="58" t="n">
        <f aca="false">-'FSL Financials — With BUMN'!H23</f>
        <v>113.599709038291</v>
      </c>
      <c r="I28" s="58" t="n">
        <f aca="false">-'FSL Financials — With BUMN'!I23</f>
        <v>127.998275273704</v>
      </c>
      <c r="J28" s="58" t="n">
        <f aca="false">-'FSL Financials — With BUMN'!J23</f>
        <v>141.840867465638</v>
      </c>
      <c r="K28" s="58" t="n">
        <f aca="false">-'FSL Financials — With BUMN'!K23</f>
        <v>149.097955856646</v>
      </c>
      <c r="L28" s="58" t="n">
        <f aca="false">-'FSL Financials — With BUMN'!L23</f>
        <v>151.106687965474</v>
      </c>
      <c r="M28" s="58" t="n">
        <f aca="false">-'FSL Financials — With BUMN'!M23</f>
        <v>151.115594716478</v>
      </c>
      <c r="N28" s="58" t="n">
        <f aca="false">-'FSL Financials — With BUMN'!N23</f>
        <v>151.124679602502</v>
      </c>
      <c r="O28" s="58" t="n">
        <f aca="false">-'FSL Financials — With BUMN'!O23</f>
        <v>153.133946186247</v>
      </c>
      <c r="P28" s="58" t="n">
        <f aca="false">-'FSL Financials — With BUMN'!P23</f>
        <v>139.30513865452</v>
      </c>
      <c r="Q28" s="58" t="n">
        <f aca="false">-'FSL Financials — With BUMN'!Q23</f>
        <v>132.613053120152</v>
      </c>
      <c r="R28" s="58" t="n">
        <f aca="false">-'FSL Financials — With BUMN'!R23</f>
        <v>130.935393142955</v>
      </c>
      <c r="S28" s="58" t="n">
        <f aca="false">-'FSL Financials — With BUMN'!S23</f>
        <v>125.837611091214</v>
      </c>
    </row>
    <row r="29" customFormat="false" ht="15" hidden="false" customHeight="false" outlineLevel="0" collapsed="false">
      <c r="B29" s="24" t="s">
        <v>650</v>
      </c>
      <c r="C29" s="25" t="s">
        <v>170</v>
      </c>
      <c r="F29" s="58" t="n">
        <f aca="false">'FSL Financials — With BUMN'!F58</f>
        <v>-198.433</v>
      </c>
      <c r="G29" s="58" t="n">
        <f aca="false">'FSL Financials — With BUMN'!G58</f>
        <v>-125.2405</v>
      </c>
      <c r="H29" s="58" t="n">
        <f aca="false">'FSL Financials — With BUMN'!H58</f>
        <v>-14.6385</v>
      </c>
      <c r="I29" s="58" t="n">
        <f aca="false">'FSL Financials — With BUMN'!I58</f>
        <v>-419.772045611905</v>
      </c>
      <c r="J29" s="58" t="n">
        <f aca="false">'FSL Financials — With BUMN'!J58</f>
        <v>-160.003625</v>
      </c>
      <c r="K29" s="58" t="n">
        <f aca="false">'FSL Financials — With BUMN'!K58</f>
        <v>-0</v>
      </c>
      <c r="L29" s="58" t="n">
        <f aca="false">'FSL Financials — With BUMN'!L58</f>
        <v>-0</v>
      </c>
      <c r="M29" s="58" t="n">
        <f aca="false">'FSL Financials — With BUMN'!M58</f>
        <v>-0</v>
      </c>
      <c r="N29" s="58" t="n">
        <f aca="false">'FSL Financials — With BUMN'!N58</f>
        <v>-0</v>
      </c>
      <c r="O29" s="58" t="n">
        <f aca="false">'FSL Financials — With BUMN'!O58</f>
        <v>-0</v>
      </c>
      <c r="P29" s="58" t="n">
        <f aca="false">'FSL Financials — With BUMN'!P58</f>
        <v>-0</v>
      </c>
      <c r="Q29" s="58" t="n">
        <f aca="false">'FSL Financials — With BUMN'!Q58</f>
        <v>-0</v>
      </c>
      <c r="R29" s="58" t="n">
        <f aca="false">'FSL Financials — With BUMN'!R58</f>
        <v>-0</v>
      </c>
      <c r="S29" s="58" t="n">
        <f aca="false">'FSL Financials — With BUMN'!S58</f>
        <v>-0</v>
      </c>
    </row>
    <row r="30" customFormat="false" ht="15" hidden="false" customHeight="false" outlineLevel="0" collapsed="false">
      <c r="B30" s="24" t="s">
        <v>651</v>
      </c>
      <c r="C30" s="25" t="s">
        <v>170</v>
      </c>
      <c r="F30" s="58" t="n">
        <f aca="false">'FSL Financials — With BUMN'!F56</f>
        <v>-0</v>
      </c>
      <c r="G30" s="58" t="n">
        <f aca="false">'FSL Financials — With BUMN'!G56</f>
        <v>2.83706483520217</v>
      </c>
      <c r="H30" s="58" t="n">
        <f aca="false">'FSL Financials — With BUMN'!H56</f>
        <v>-15.80317779642</v>
      </c>
      <c r="I30" s="58" t="n">
        <f aca="false">'FSL Financials — With BUMN'!I56</f>
        <v>-24.1747955271044</v>
      </c>
      <c r="J30" s="58" t="n">
        <f aca="false">'FSL Financials — With BUMN'!J56</f>
        <v>-15.3074577442108</v>
      </c>
      <c r="K30" s="58" t="n">
        <f aca="false">'FSL Financials — With BUMN'!K56</f>
        <v>-8.63582772641501</v>
      </c>
      <c r="L30" s="58" t="n">
        <f aca="false">'FSL Financials — With BUMN'!L56</f>
        <v>-8.80387517116507</v>
      </c>
      <c r="M30" s="58" t="n">
        <f aca="false">'FSL Financials — With BUMN'!M56</f>
        <v>-3.99501126960277</v>
      </c>
      <c r="N30" s="58" t="n">
        <f aca="false">'FSL Financials — With BUMN'!N56</f>
        <v>-6.98493088699822</v>
      </c>
      <c r="O30" s="58" t="n">
        <f aca="false">'FSL Financials — With BUMN'!O56</f>
        <v>-4.57103155035614</v>
      </c>
      <c r="P30" s="58" t="n">
        <f aca="false">'FSL Financials — With BUMN'!P56</f>
        <v>-7.86825477135907</v>
      </c>
      <c r="Q30" s="58" t="n">
        <f aca="false">'FSL Financials — With BUMN'!Q56</f>
        <v>-3.46716154246492</v>
      </c>
      <c r="R30" s="58" t="n">
        <f aca="false">'FSL Financials — With BUMN'!R56</f>
        <v>-0.328616902558818</v>
      </c>
      <c r="S30" s="58" t="n">
        <f aca="false">'FSL Financials — With BUMN'!S56</f>
        <v>-3.83961843108331</v>
      </c>
    </row>
    <row r="31" customFormat="false" ht="15" hidden="false" customHeight="false" outlineLevel="0" collapsed="false">
      <c r="B31" s="69" t="s">
        <v>652</v>
      </c>
      <c r="C31" s="25" t="s">
        <v>170</v>
      </c>
      <c r="F31" s="68" t="n">
        <f aca="false">F27+F28+F29+F30</f>
        <v>-198.433</v>
      </c>
      <c r="G31" s="68" t="n">
        <f aca="false">G27+G28+G29+G30</f>
        <v>11.8695999317166</v>
      </c>
      <c r="H31" s="68" t="n">
        <f aca="false">H27+H28+H29+H30</f>
        <v>196.172071283682</v>
      </c>
      <c r="I31" s="68" t="n">
        <f aca="false">I27+I28+I29+I30</f>
        <v>-133.209504718301</v>
      </c>
      <c r="J31" s="68" t="n">
        <f aca="false">J27+J28+J29+J30</f>
        <v>205.305864723085</v>
      </c>
      <c r="K31" s="68" t="n">
        <f aca="false">K27+K28+K29+K30</f>
        <v>411.920113361151</v>
      </c>
      <c r="L31" s="68" t="n">
        <f aca="false">L27+L28+L29+L30</f>
        <v>456.292059622871</v>
      </c>
      <c r="M31" s="68" t="n">
        <f aca="false">M27+M28+M29+M30</f>
        <v>478.006911014325</v>
      </c>
      <c r="N31" s="68" t="n">
        <f aca="false">N27+N28+N29+N30</f>
        <v>508.592966035562</v>
      </c>
      <c r="O31" s="68" t="n">
        <f aca="false">O27+O28+O29+O30</f>
        <v>533.83222053788</v>
      </c>
      <c r="P31" s="68" t="n">
        <f aca="false">P27+P28+P29+P30</f>
        <v>564.326294295352</v>
      </c>
      <c r="Q31" s="68" t="n">
        <f aca="false">Q27+Q28+Q29+Q30</f>
        <v>584.11697585198</v>
      </c>
      <c r="R31" s="68" t="n">
        <f aca="false">R27+R28+R29+R30</f>
        <v>583.326386477287</v>
      </c>
      <c r="S31" s="68" t="n">
        <f aca="false">S27+S28+S29+S30</f>
        <v>596.577441607989</v>
      </c>
    </row>
    <row r="33" customFormat="false" ht="15" hidden="false" customHeight="false" outlineLevel="0" collapsed="false">
      <c r="B33" s="22" t="s">
        <v>653</v>
      </c>
      <c r="C33" s="23"/>
      <c r="D33" s="23"/>
      <c r="E33" s="23"/>
      <c r="F33" s="23"/>
      <c r="G33" s="23"/>
      <c r="H33" s="23"/>
      <c r="I33" s="23"/>
      <c r="J33" s="23"/>
      <c r="K33" s="23"/>
      <c r="L33" s="23"/>
      <c r="M33" s="23"/>
      <c r="N33" s="23"/>
      <c r="O33" s="23"/>
      <c r="P33" s="23"/>
      <c r="Q33" s="23"/>
      <c r="R33" s="23"/>
      <c r="S33" s="23"/>
    </row>
    <row r="34" customFormat="false" ht="15" hidden="false" customHeight="false" outlineLevel="0" collapsed="false">
      <c r="B34" s="24" t="s">
        <v>654</v>
      </c>
      <c r="C34" s="25" t="s">
        <v>143</v>
      </c>
      <c r="F34" s="93" t="n">
        <f aca="false">'Global Inputs'!F16</f>
        <v>0</v>
      </c>
      <c r="G34" s="93" t="n">
        <f aca="false">'Global Inputs'!G16</f>
        <v>0</v>
      </c>
      <c r="H34" s="93" t="n">
        <f aca="false">'Global Inputs'!H16</f>
        <v>0</v>
      </c>
      <c r="I34" s="93" t="n">
        <f aca="false">'Global Inputs'!I16</f>
        <v>0</v>
      </c>
      <c r="J34" s="93" t="n">
        <f aca="false">'Global Inputs'!J16</f>
        <v>1</v>
      </c>
      <c r="K34" s="93" t="n">
        <f aca="false">'Global Inputs'!K16</f>
        <v>1</v>
      </c>
      <c r="L34" s="93" t="n">
        <f aca="false">'Global Inputs'!L16</f>
        <v>1</v>
      </c>
      <c r="M34" s="93" t="n">
        <f aca="false">'Global Inputs'!M16</f>
        <v>1</v>
      </c>
      <c r="N34" s="93" t="n">
        <f aca="false">'Global Inputs'!N16</f>
        <v>1</v>
      </c>
      <c r="O34" s="93" t="n">
        <f aca="false">'Global Inputs'!O16</f>
        <v>1</v>
      </c>
      <c r="P34" s="93" t="n">
        <f aca="false">'Global Inputs'!P16</f>
        <v>1</v>
      </c>
      <c r="Q34" s="93" t="n">
        <f aca="false">'Global Inputs'!Q16</f>
        <v>1</v>
      </c>
      <c r="R34" s="93" t="n">
        <f aca="false">'Global Inputs'!R16</f>
        <v>1</v>
      </c>
      <c r="S34" s="93" t="n">
        <f aca="false">'Global Inputs'!S16</f>
        <v>1</v>
      </c>
    </row>
    <row r="35" customFormat="false" ht="15" hidden="false" customHeight="false" outlineLevel="0" collapsed="false">
      <c r="B35" s="24" t="s">
        <v>655</v>
      </c>
      <c r="C35" s="25" t="s">
        <v>145</v>
      </c>
      <c r="F35" s="94" t="n">
        <f aca="false">'Global Inputs'!F17</f>
        <v>0</v>
      </c>
      <c r="G35" s="94" t="n">
        <f aca="false">'Global Inputs'!G17</f>
        <v>0</v>
      </c>
      <c r="H35" s="94" t="n">
        <f aca="false">'Global Inputs'!H17</f>
        <v>0</v>
      </c>
      <c r="I35" s="94" t="n">
        <f aca="false">'Global Inputs'!I17</f>
        <v>0</v>
      </c>
      <c r="J35" s="94" t="n">
        <f aca="false">'Global Inputs'!J17</f>
        <v>1</v>
      </c>
      <c r="K35" s="94" t="n">
        <f aca="false">'Global Inputs'!K17</f>
        <v>2</v>
      </c>
      <c r="L35" s="94" t="n">
        <f aca="false">'Global Inputs'!L17</f>
        <v>3</v>
      </c>
      <c r="M35" s="94" t="n">
        <f aca="false">'Global Inputs'!M17</f>
        <v>4</v>
      </c>
      <c r="N35" s="94" t="n">
        <f aca="false">'Global Inputs'!N17</f>
        <v>5</v>
      </c>
      <c r="O35" s="94" t="n">
        <f aca="false">'Global Inputs'!O17</f>
        <v>6</v>
      </c>
      <c r="P35" s="94" t="n">
        <f aca="false">'Global Inputs'!P17</f>
        <v>7</v>
      </c>
      <c r="Q35" s="94" t="n">
        <f aca="false">'Global Inputs'!Q17</f>
        <v>8</v>
      </c>
      <c r="R35" s="94" t="n">
        <f aca="false">'Global Inputs'!R17</f>
        <v>9</v>
      </c>
      <c r="S35" s="94" t="n">
        <f aca="false">'Global Inputs'!S17</f>
        <v>10</v>
      </c>
    </row>
    <row r="36" customFormat="false" ht="15" hidden="false" customHeight="false" outlineLevel="0" collapsed="false">
      <c r="B36" s="24" t="s">
        <v>656</v>
      </c>
      <c r="C36" s="25" t="s">
        <v>148</v>
      </c>
      <c r="F36" s="95" t="n">
        <f aca="false">'Global Inputs'!F18</f>
        <v>0</v>
      </c>
      <c r="G36" s="95" t="n">
        <f aca="false">'Global Inputs'!G18</f>
        <v>0</v>
      </c>
      <c r="H36" s="95" t="n">
        <f aca="false">'Global Inputs'!H18</f>
        <v>0</v>
      </c>
      <c r="I36" s="95" t="n">
        <f aca="false">'Global Inputs'!I18</f>
        <v>0</v>
      </c>
      <c r="J36" s="95" t="n">
        <f aca="false">'Global Inputs'!J18</f>
        <v>0.893922570858382</v>
      </c>
      <c r="K36" s="95" t="n">
        <f aca="false">'Global Inputs'!K18</f>
        <v>0.799097562690059</v>
      </c>
      <c r="L36" s="95" t="n">
        <f aca="false">'Global Inputs'!L18</f>
        <v>0.714331347606564</v>
      </c>
      <c r="M36" s="95" t="n">
        <f aca="false">'Global Inputs'!M18</f>
        <v>0.638556914697192</v>
      </c>
      <c r="N36" s="95" t="n">
        <f aca="false">'Global Inputs'!N18</f>
        <v>0.57082043882551</v>
      </c>
      <c r="O36" s="95" t="n">
        <f aca="false">'Global Inputs'!O18</f>
        <v>0.51026927417341</v>
      </c>
      <c r="P36" s="95" t="n">
        <f aca="false">'Global Inputs'!P18</f>
        <v>0.456141221399135</v>
      </c>
      <c r="Q36" s="95" t="n">
        <f aca="false">'Global Inputs'!Q18</f>
        <v>0.407754933307597</v>
      </c>
      <c r="R36" s="95" t="n">
        <f aca="false">'Global Inputs'!R18</f>
        <v>0.364501338262515</v>
      </c>
      <c r="S36" s="95" t="n">
        <f aca="false">'Global Inputs'!S18</f>
        <v>0.325835973380948</v>
      </c>
    </row>
    <row r="37" customFormat="false" ht="15" hidden="false" customHeight="false" outlineLevel="0" collapsed="false">
      <c r="B37" s="24" t="s">
        <v>657</v>
      </c>
      <c r="C37" s="25" t="s">
        <v>170</v>
      </c>
      <c r="E37" s="47" t="n">
        <f aca="false">SUM(F37:S37)</f>
        <v>4922.29723352748</v>
      </c>
      <c r="F37" s="47" t="n">
        <f aca="false">F31*F34</f>
        <v>-0</v>
      </c>
      <c r="G37" s="47" t="n">
        <f aca="false">G31*G34</f>
        <v>0</v>
      </c>
      <c r="H37" s="47" t="n">
        <f aca="false">H31*H34</f>
        <v>0</v>
      </c>
      <c r="I37" s="47" t="n">
        <f aca="false">I31*I34</f>
        <v>-0</v>
      </c>
      <c r="J37" s="47" t="n">
        <f aca="false">J31*J34</f>
        <v>205.305864723085</v>
      </c>
      <c r="K37" s="47" t="n">
        <f aca="false">K31*K34</f>
        <v>411.920113361151</v>
      </c>
      <c r="L37" s="47" t="n">
        <f aca="false">L31*L34</f>
        <v>456.292059622871</v>
      </c>
      <c r="M37" s="47" t="n">
        <f aca="false">M31*M34</f>
        <v>478.006911014325</v>
      </c>
      <c r="N37" s="47" t="n">
        <f aca="false">N31*N34</f>
        <v>508.592966035562</v>
      </c>
      <c r="O37" s="47" t="n">
        <f aca="false">O31*O34</f>
        <v>533.83222053788</v>
      </c>
      <c r="P37" s="47" t="n">
        <f aca="false">P31*P34</f>
        <v>564.326294295352</v>
      </c>
      <c r="Q37" s="47" t="n">
        <f aca="false">Q31*Q34</f>
        <v>584.11697585198</v>
      </c>
      <c r="R37" s="47" t="n">
        <f aca="false">R31*R34</f>
        <v>583.326386477287</v>
      </c>
      <c r="S37" s="47" t="n">
        <f aca="false">S31*S34</f>
        <v>596.577441607989</v>
      </c>
    </row>
    <row r="38" customFormat="false" ht="15" hidden="false" customHeight="false" outlineLevel="0" collapsed="false">
      <c r="B38" s="69" t="s">
        <v>658</v>
      </c>
      <c r="C38" s="25" t="s">
        <v>170</v>
      </c>
      <c r="E38" s="70" t="n">
        <f aca="false">SUM(F38:S38)</f>
        <v>2609.18238850768</v>
      </c>
      <c r="F38" s="68" t="n">
        <f aca="false">F37*F36</f>
        <v>-0</v>
      </c>
      <c r="G38" s="68" t="n">
        <f aca="false">G37*G36</f>
        <v>0</v>
      </c>
      <c r="H38" s="68" t="n">
        <f aca="false">H37*H36</f>
        <v>0</v>
      </c>
      <c r="I38" s="68" t="n">
        <f aca="false">I37*I36</f>
        <v>-0</v>
      </c>
      <c r="J38" s="68" t="n">
        <f aca="false">J37*J36</f>
        <v>183.527546405563</v>
      </c>
      <c r="K38" s="68" t="n">
        <f aca="false">K37*K36</f>
        <v>329.164358609909</v>
      </c>
      <c r="L38" s="68" t="n">
        <f aca="false">L37*L36</f>
        <v>325.94372185258</v>
      </c>
      <c r="M38" s="68" t="n">
        <f aca="false">M37*M36</f>
        <v>305.234618301242</v>
      </c>
      <c r="N38" s="68" t="n">
        <f aca="false">N37*N36</f>
        <v>290.315260055987</v>
      </c>
      <c r="O38" s="68" t="n">
        <f aca="false">O37*O36</f>
        <v>272.398179704244</v>
      </c>
      <c r="P38" s="68" t="n">
        <f aca="false">P37*P36</f>
        <v>257.412485147529</v>
      </c>
      <c r="Q38" s="68" t="n">
        <f aca="false">Q37*Q36</f>
        <v>238.176578532359</v>
      </c>
      <c r="R38" s="68" t="n">
        <f aca="false">R37*R36</f>
        <v>212.623248514808</v>
      </c>
      <c r="S38" s="68" t="n">
        <f aca="false">S37*S36</f>
        <v>194.386391383455</v>
      </c>
    </row>
    <row r="40" customFormat="false" ht="15" hidden="false" customHeight="false" outlineLevel="0" collapsed="false">
      <c r="B40" s="22" t="s">
        <v>659</v>
      </c>
      <c r="C40" s="23"/>
      <c r="D40" s="23"/>
      <c r="E40" s="23"/>
      <c r="F40" s="23"/>
      <c r="G40" s="23"/>
      <c r="H40" s="23"/>
      <c r="I40" s="23"/>
      <c r="J40" s="23"/>
      <c r="K40" s="23"/>
      <c r="L40" s="23"/>
      <c r="M40" s="23"/>
      <c r="N40" s="23"/>
      <c r="O40" s="23"/>
      <c r="P40" s="23"/>
      <c r="Q40" s="23"/>
      <c r="R40" s="23"/>
      <c r="S40" s="23"/>
    </row>
    <row r="41" customFormat="false" ht="15" hidden="false" customHeight="false" outlineLevel="0" collapsed="false">
      <c r="B41" s="24" t="s">
        <v>660</v>
      </c>
      <c r="C41" s="25" t="s">
        <v>170</v>
      </c>
      <c r="E41" s="47" t="n">
        <f aca="false">$S$27</f>
        <v>474.579448947858</v>
      </c>
    </row>
    <row r="42" customFormat="false" ht="15" hidden="false" customHeight="false" outlineLevel="0" collapsed="false">
      <c r="B42" s="24" t="s">
        <v>661</v>
      </c>
      <c r="C42" s="25" t="s">
        <v>170</v>
      </c>
      <c r="E42" s="47" t="n">
        <f aca="false">$S$28</f>
        <v>125.837611091214</v>
      </c>
    </row>
    <row r="43" customFormat="false" ht="15" hidden="false" customHeight="false" outlineLevel="0" collapsed="false">
      <c r="B43" s="24" t="s">
        <v>662</v>
      </c>
      <c r="C43" s="25" t="s">
        <v>170</v>
      </c>
      <c r="E43" s="47" t="n">
        <f aca="false">-$E$17*$E$42</f>
        <v>-125.837611091214</v>
      </c>
    </row>
    <row r="44" customFormat="false" ht="15" hidden="false" customHeight="false" outlineLevel="0" collapsed="false">
      <c r="B44" s="24" t="s">
        <v>663</v>
      </c>
      <c r="C44" s="25" t="s">
        <v>170</v>
      </c>
      <c r="E44" s="47" t="n">
        <f aca="false">-'Global Inputs'!$E$54*('FSL Financials — With BUMN'!$S$39-'FSL Financials — With BUMN'!$S$44)</f>
        <v>-3.93812125504894</v>
      </c>
    </row>
    <row r="45" customFormat="false" ht="15" hidden="false" customHeight="false" outlineLevel="0" collapsed="false">
      <c r="B45" s="69" t="s">
        <v>664</v>
      </c>
      <c r="C45" s="25" t="s">
        <v>170</v>
      </c>
      <c r="E45" s="70" t="n">
        <f aca="false">$E$41+$E$42+$E$43+$E$44</f>
        <v>470.641327692809</v>
      </c>
    </row>
    <row r="46" customFormat="false" ht="15" hidden="false" customHeight="false" outlineLevel="0" collapsed="false">
      <c r="B46" s="24" t="s">
        <v>665</v>
      </c>
      <c r="C46" s="25" t="s">
        <v>170</v>
      </c>
      <c r="E46" s="47" t="n">
        <f aca="false">$E$45*(1+$E$16)/($E$15-$E$16)</f>
        <v>5467.31981554408</v>
      </c>
    </row>
    <row r="47" customFormat="false" ht="15" hidden="false" customHeight="false" outlineLevel="0" collapsed="false">
      <c r="B47" s="69" t="s">
        <v>666</v>
      </c>
      <c r="C47" s="25" t="s">
        <v>170</v>
      </c>
      <c r="E47" s="70" t="n">
        <f aca="false">$E$46*$S$36</f>
        <v>1781.44947388275</v>
      </c>
    </row>
    <row r="49" customFormat="false" ht="15" hidden="false" customHeight="false" outlineLevel="0" collapsed="false">
      <c r="B49" s="22" t="s">
        <v>667</v>
      </c>
      <c r="C49" s="23"/>
      <c r="D49" s="23"/>
      <c r="E49" s="23"/>
      <c r="F49" s="23"/>
      <c r="G49" s="23"/>
      <c r="H49" s="23"/>
      <c r="I49" s="23"/>
      <c r="J49" s="23"/>
      <c r="K49" s="23"/>
      <c r="L49" s="23"/>
      <c r="M49" s="23"/>
      <c r="N49" s="23"/>
      <c r="O49" s="23"/>
      <c r="P49" s="23"/>
      <c r="Q49" s="23"/>
      <c r="R49" s="23"/>
      <c r="S49" s="23"/>
    </row>
    <row r="50" customFormat="false" ht="15" hidden="false" customHeight="false" outlineLevel="0" collapsed="false">
      <c r="B50" s="24" t="s">
        <v>668</v>
      </c>
      <c r="C50" s="25" t="s">
        <v>170</v>
      </c>
      <c r="E50" s="47" t="n">
        <f aca="false">SUM($F$38:$S$38)</f>
        <v>2609.18238850768</v>
      </c>
    </row>
    <row r="51" customFormat="false" ht="15" hidden="false" customHeight="false" outlineLevel="0" collapsed="false">
      <c r="B51" s="24" t="s">
        <v>669</v>
      </c>
      <c r="C51" s="25" t="s">
        <v>170</v>
      </c>
      <c r="E51" s="47" t="n">
        <f aca="false">$E$47</f>
        <v>1781.44947388275</v>
      </c>
    </row>
    <row r="52" customFormat="false" ht="15" hidden="false" customHeight="false" outlineLevel="0" collapsed="false">
      <c r="B52" s="69" t="s">
        <v>670</v>
      </c>
      <c r="C52" s="25" t="s">
        <v>170</v>
      </c>
      <c r="E52" s="70" t="n">
        <f aca="false">$E$50+$E$51</f>
        <v>4390.63186239043</v>
      </c>
    </row>
    <row r="53" customFormat="false" ht="15" hidden="false" customHeight="false" outlineLevel="0" collapsed="false">
      <c r="B53" s="24" t="s">
        <v>671</v>
      </c>
      <c r="C53" s="25" t="s">
        <v>240</v>
      </c>
      <c r="E53" s="44" t="n">
        <f aca="false">$E$52/'Global Inputs'!$E$23*1000</f>
        <v>269.94355133049</v>
      </c>
    </row>
    <row r="54" customFormat="false" ht="15" hidden="false" customHeight="false" outlineLevel="0" collapsed="false">
      <c r="B54" s="24" t="s">
        <v>672</v>
      </c>
      <c r="C54" s="25" t="s">
        <v>160</v>
      </c>
      <c r="E54" s="49" t="n">
        <f aca="false">IF($E$52=0,0,$E$51/$E$52)</f>
        <v>0.405738747796738</v>
      </c>
    </row>
    <row r="56" customFormat="false" ht="15" hidden="false" customHeight="false" outlineLevel="0" collapsed="false">
      <c r="B56" s="22" t="s">
        <v>673</v>
      </c>
      <c r="C56" s="23"/>
      <c r="D56" s="23"/>
      <c r="E56" s="23"/>
      <c r="F56" s="23"/>
      <c r="G56" s="23"/>
      <c r="H56" s="23"/>
      <c r="I56" s="23"/>
      <c r="J56" s="23"/>
      <c r="K56" s="23"/>
      <c r="L56" s="23"/>
      <c r="M56" s="23"/>
      <c r="N56" s="23"/>
      <c r="O56" s="23"/>
      <c r="P56" s="23"/>
      <c r="Q56" s="23"/>
      <c r="R56" s="23"/>
      <c r="S56" s="23"/>
    </row>
    <row r="57" customFormat="false" ht="15" hidden="false" customHeight="false" outlineLevel="0" collapsed="false">
      <c r="B57" s="24" t="s">
        <v>674</v>
      </c>
      <c r="C57" s="25" t="s">
        <v>170</v>
      </c>
      <c r="E57" s="47" t="n">
        <f aca="false">$E$52</f>
        <v>4390.63186239043</v>
      </c>
    </row>
    <row r="58" customFormat="false" ht="15" hidden="false" customHeight="false" outlineLevel="0" collapsed="false">
      <c r="B58" s="24" t="s">
        <v>675</v>
      </c>
      <c r="C58" s="25" t="s">
        <v>170</v>
      </c>
      <c r="E58" s="47" t="n">
        <f aca="false">INDEX('FSL Financials — With BUMN'!$F$37:$S$37,MATCH('Global Inputs'!$E$12,'Global Inputs'!$F$15:$S$15,0))</f>
        <v>3.00000000000003</v>
      </c>
    </row>
    <row r="59" customFormat="false" ht="15" hidden="false" customHeight="false" outlineLevel="0" collapsed="false">
      <c r="B59" s="24" t="s">
        <v>676</v>
      </c>
      <c r="C59" s="25" t="s">
        <v>170</v>
      </c>
      <c r="E59" s="47" t="n">
        <f aca="false">-INDEX(Financing!$F$24:$S$24,MATCH('Global Inputs'!$E$12,'Global Inputs'!$F$15:$S$15,0))</f>
        <v>-195.18</v>
      </c>
    </row>
    <row r="60" customFormat="false" ht="15" hidden="false" customHeight="false" outlineLevel="0" collapsed="false">
      <c r="B60" s="24" t="s">
        <v>677</v>
      </c>
      <c r="C60" s="25" t="s">
        <v>170</v>
      </c>
      <c r="E60" s="47" t="n">
        <f aca="false">('Global Inputs'!$E$109-'Global Inputs'!$E$65)*'Global Inputs'!$E$38</f>
        <v>0</v>
      </c>
    </row>
    <row r="61" customFormat="false" ht="15" hidden="false" customHeight="false" outlineLevel="0" collapsed="false">
      <c r="B61" s="24" t="s">
        <v>678</v>
      </c>
      <c r="C61" s="25" t="s">
        <v>170</v>
      </c>
      <c r="E61" s="47" t="n">
        <f aca="false">-((1-'E1 TelukLamong Output'!$E$61)*'E1 TelukLamong Output'!$E$48*'Global Inputs'!$L$89+(1-'E2 CigadingExist Output'!$E$61)*'E2 CigadingExist Output'!$E$48*'Global Inputs'!$L$90+(1-'E3 Belawan Output'!$E$61)*'E3 Belawan Output'!$E$48*'Global Inputs'!$L$91+(1-'E4 WIN Output'!$E$61)*'E4 WIN Output'!$E$48*'Global Inputs'!$L$92+(1-'P01 CigWharf2 Output'!$E$60)*'P01 CigWharf2 Output'!$E$47*'Global Inputs'!$L$93+(1-'P02 CigConveyor Output'!$E$60)*'P02 CigConveyor Output'!$E$47*'Global Inputs'!$L$94+(1-'P03 KBSWarehouse Output'!$E$60)*'P03 KBSWarehouse Output'!$E$47*'Global Inputs'!$L$95+(1-'P04 TTLSilo Output'!$E$60)*'P04 TTLSilo Output'!$E$47*'Global Inputs'!$L$96+(1-'P05 Dumai Output'!$E$60)*'P05 Dumai Output'!$E$47*'Global Inputs'!$L$97+(1-'P06 Ciwandan Output'!$E$60)*'P06 Ciwandan Output'!$E$47*'Global Inputs'!$L$98+(1-'P08 DMSTrucking Output'!$E$60)*'P08 DMSTrucking Output'!$E$47*'Global Inputs'!$L$99+(1-'P12 BUMNOps Output'!$E$60)*'P12 BUMNOps Output'!$E$47*'Global Inputs'!$L$100+(1-'P15 TBM Output'!$E$60)*'P15 TBM Output'!$E$47*'Global Inputs'!$L$101+(1-'P19 Badas Output'!$E$72)*'P19 Badas Output'!$E$47*'Global Inputs'!$L$102)</f>
        <v>-416.575691854642</v>
      </c>
    </row>
    <row r="62" customFormat="false" ht="15" hidden="false" customHeight="false" outlineLevel="0" collapsed="false">
      <c r="B62" s="69" t="s">
        <v>679</v>
      </c>
      <c r="C62" s="25" t="s">
        <v>170</v>
      </c>
      <c r="E62" s="70" t="n">
        <f aca="false">$E$57+$E$58+$E$59+$E$60+$E$61</f>
        <v>3781.87617053578</v>
      </c>
    </row>
    <row r="63" customFormat="false" ht="15" hidden="false" customHeight="false" outlineLevel="0" collapsed="false">
      <c r="B63" s="69" t="s">
        <v>680</v>
      </c>
      <c r="C63" s="25" t="s">
        <v>240</v>
      </c>
      <c r="E63" s="80" t="n">
        <f aca="false">$E$62/'Global Inputs'!$E$23*1000</f>
        <v>232.516210915203</v>
      </c>
    </row>
    <row r="64" customFormat="false" ht="15" hidden="false" customHeight="false" outlineLevel="0" collapsed="false">
      <c r="B64" s="24" t="s">
        <v>681</v>
      </c>
      <c r="E64" s="82" t="str">
        <f aca="false">IF('Global Inputs'!$E$76&lt;='Global Inputs'!$E$11,"POST-money: injection received on/before the valuation date is inside cash","PRE-money: injection received after the valuation date (not in cash); LT loan still outstanding at the valuation date")</f>
        <v>PRE-money: injection received after the valuation date (not in cash); LT loan still outstanding at the valuation date</v>
      </c>
    </row>
    <row r="65" customFormat="false" ht="15" hidden="false" customHeight="false" outlineLevel="0" collapsed="false">
      <c r="B65" s="24" t="s">
        <v>682</v>
      </c>
      <c r="C65" s="25" t="s">
        <v>170</v>
      </c>
      <c r="E65" s="58" t="n">
        <f aca="false">'Funding Requirement'!$E$17</f>
        <v>357.83</v>
      </c>
    </row>
    <row r="66" customFormat="false" ht="15" hidden="false" customHeight="false" outlineLevel="0" collapsed="false">
      <c r="B66" s="24" t="s">
        <v>683</v>
      </c>
      <c r="C66" s="25" t="s">
        <v>170</v>
      </c>
      <c r="E66" s="58" t="n">
        <f aca="false">Financing!$E$28</f>
        <v>195.18</v>
      </c>
    </row>
    <row r="68" customFormat="false" ht="15" hidden="false" customHeight="false" outlineLevel="0" collapsed="false">
      <c r="B68" s="22" t="s">
        <v>684</v>
      </c>
      <c r="C68" s="23"/>
      <c r="D68" s="23"/>
      <c r="E68" s="23"/>
      <c r="F68" s="23"/>
      <c r="G68" s="23"/>
      <c r="H68" s="23"/>
      <c r="I68" s="23"/>
      <c r="J68" s="23"/>
      <c r="K68" s="23"/>
      <c r="L68" s="23"/>
      <c r="M68" s="23"/>
      <c r="N68" s="23"/>
      <c r="O68" s="23"/>
      <c r="P68" s="23"/>
      <c r="Q68" s="23"/>
      <c r="R68" s="23"/>
      <c r="S68" s="23"/>
    </row>
    <row r="69" customFormat="false" ht="15" hidden="false" customHeight="false" outlineLevel="0" collapsed="false">
      <c r="B69" s="5" t="s">
        <v>685</v>
      </c>
      <c r="D69" s="96" t="n">
        <f aca="false">$E$16+(-0.01)</f>
        <v>0.02</v>
      </c>
      <c r="E69" s="96" t="n">
        <f aca="false">$E$16+(-0.005)</f>
        <v>0.025</v>
      </c>
      <c r="F69" s="96" t="n">
        <f aca="false">$E$16+(0)</f>
        <v>0.03</v>
      </c>
      <c r="G69" s="96" t="n">
        <f aca="false">$E$16+(0.005)</f>
        <v>0.035</v>
      </c>
      <c r="H69" s="96" t="n">
        <f aca="false">$E$16+(0.01)</f>
        <v>0.04</v>
      </c>
    </row>
    <row r="70" customFormat="false" ht="15" hidden="false" customHeight="false" outlineLevel="0" collapsed="false">
      <c r="C70" s="97" t="n">
        <f aca="false">$E$15+(-0.02)</f>
        <v>0.09866512</v>
      </c>
      <c r="D70" s="47" t="n">
        <f aca="false">SUMPRODUCT($F$37:$S$37,$F$34:$S$34,1/(1+$C70)^$F$35:$S$35)+($E$45*(1+D$69)/($C70-D$69))/(1+$C70)^10</f>
        <v>5253.18777531272</v>
      </c>
      <c r="E70" s="47" t="n">
        <f aca="false">SUMPRODUCT($F$37:$S$37,$F$34:$S$34,1/(1+$C70)^$F$35:$S$35)+($E$45*(1+E$69)/($C70-E$69))/(1+$C70)^10</f>
        <v>5427.29946189403</v>
      </c>
      <c r="F70" s="47" t="n">
        <f aca="false">SUMPRODUCT($F$37:$S$37,$F$34:$S$34,1/(1+$C70)^$F$35:$S$35)+($E$45*(1+F$69)/($C70-F$69))/(1+$C70)^10</f>
        <v>5626.7677904766</v>
      </c>
      <c r="G70" s="47" t="n">
        <f aca="false">SUMPRODUCT($F$37:$S$37,$F$34:$S$34,1/(1+$C70)^$F$35:$S$35)+($E$45*(1+G$69)/($C70-G$69))/(1+$C70)^10</f>
        <v>5857.56698415179</v>
      </c>
      <c r="H70" s="47" t="n">
        <f aca="false">SUMPRODUCT($F$37:$S$37,$F$34:$S$34,1/(1+$C70)^$F$35:$S$35)+($E$45*(1+H$69)/($C70-H$69))/(1+$C70)^10</f>
        <v>6127.70798666931</v>
      </c>
    </row>
    <row r="71" customFormat="false" ht="15" hidden="false" customHeight="false" outlineLevel="0" collapsed="false">
      <c r="C71" s="97" t="n">
        <f aca="false">$E$15+(-0.01)</f>
        <v>0.10866512</v>
      </c>
      <c r="D71" s="47" t="n">
        <f aca="false">SUMPRODUCT($F$37:$S$37,$F$34:$S$34,1/(1+$C71)^$F$35:$S$35)+($E$45*(1+D$69)/($C71-D$69))/(1+$C71)^10</f>
        <v>4665.76637574153</v>
      </c>
      <c r="E71" s="47" t="n">
        <f aca="false">SUMPRODUCT($F$37:$S$37,$F$34:$S$34,1/(1+$C71)^$F$35:$S$35)+($E$45*(1+E$69)/($C71-E$69))/(1+$C71)^10</f>
        <v>4791.12648493962</v>
      </c>
      <c r="F71" s="47" t="n">
        <f aca="false">SUMPRODUCT($F$37:$S$37,$F$34:$S$34,1/(1+$C71)^$F$35:$S$35)+($E$45*(1+F$69)/($C71-F$69))/(1+$C71)^10</f>
        <v>4932.42251455556</v>
      </c>
      <c r="G71" s="47" t="n">
        <f aca="false">SUMPRODUCT($F$37:$S$37,$F$34:$S$34,1/(1+$C71)^$F$35:$S$35)+($E$45*(1+G$69)/($C71-G$69))/(1+$C71)^10</f>
        <v>5092.89940339171</v>
      </c>
      <c r="H71" s="47" t="n">
        <f aca="false">SUMPRODUCT($F$37:$S$37,$F$34:$S$34,1/(1+$C71)^$F$35:$S$35)+($E$45*(1+H$69)/($C71-H$69))/(1+$C71)^10</f>
        <v>5276.74723934571</v>
      </c>
    </row>
    <row r="72" customFormat="false" ht="15" hidden="false" customHeight="false" outlineLevel="0" collapsed="false">
      <c r="C72" s="97" t="n">
        <f aca="false">$E$15+(0)</f>
        <v>0.11866512</v>
      </c>
      <c r="D72" s="47" t="n">
        <f aca="false">SUMPRODUCT($F$37:$S$37,$F$34:$S$34,1/(1+$C72)^$F$35:$S$35)+($E$45*(1+D$69)/($C72-D$69))/(1+$C72)^10</f>
        <v>4194.53405710677</v>
      </c>
      <c r="E72" s="47" t="n">
        <f aca="false">SUMPRODUCT($F$37:$S$37,$F$34:$S$34,1/(1+$C72)^$F$35:$S$35)+($E$45*(1+E$69)/($C72-E$69))/(1+$C72)^10</f>
        <v>4287.3489461349</v>
      </c>
      <c r="F72" s="98" t="n">
        <f aca="false">SUMPRODUCT($F$37:$S$37,$F$34:$S$34,1/(1+$C72)^$F$35:$S$35)+($E$45*(1+F$69)/($C72-F$69))/(1+$C72)^10</f>
        <v>4390.63186239043</v>
      </c>
      <c r="G72" s="47" t="n">
        <f aca="false">SUMPRODUCT($F$37:$S$37,$F$34:$S$34,1/(1+$C72)^$F$35:$S$35)+($E$45*(1+G$69)/($C72-G$69))/(1+$C72)^10</f>
        <v>4506.25957851662</v>
      </c>
      <c r="H72" s="47" t="n">
        <f aca="false">SUMPRODUCT($F$37:$S$37,$F$34:$S$34,1/(1+$C72)^$F$35:$S$35)+($E$45*(1+H$69)/($C72-H$69))/(1+$C72)^10</f>
        <v>4636.58602212537</v>
      </c>
    </row>
    <row r="73" customFormat="false" ht="15" hidden="false" customHeight="false" outlineLevel="0" collapsed="false">
      <c r="C73" s="97" t="n">
        <f aca="false">$E$15+(0.01)</f>
        <v>0.12866512</v>
      </c>
      <c r="D73" s="47" t="n">
        <f aca="false">SUMPRODUCT($F$37:$S$37,$F$34:$S$34,1/(1+$C73)^$F$35:$S$35)+($E$45*(1+D$69)/($C73-D$69))/(1+$C73)^10</f>
        <v>3807.74508899465</v>
      </c>
      <c r="E73" s="47" t="n">
        <f aca="false">SUMPRODUCT($F$37:$S$37,$F$34:$S$34,1/(1+$C73)^$F$35:$S$35)+($E$45*(1+E$69)/($C73-E$69))/(1+$C73)^10</f>
        <v>3878.02825406891</v>
      </c>
      <c r="F73" s="47" t="n">
        <f aca="false">SUMPRODUCT($F$37:$S$37,$F$34:$S$34,1/(1+$C73)^$F$35:$S$35)+($E$45*(1+F$69)/($C73-F$69))/(1+$C73)^10</f>
        <v>3955.43482456489</v>
      </c>
      <c r="G73" s="47" t="n">
        <f aca="false">SUMPRODUCT($F$37:$S$37,$F$34:$S$34,1/(1+$C73)^$F$35:$S$35)+($E$45*(1+G$69)/($C73-G$69))/(1+$C73)^10</f>
        <v>4041.105578195</v>
      </c>
      <c r="H73" s="47" t="n">
        <f aca="false">SUMPRODUCT($F$37:$S$37,$F$34:$S$34,1/(1+$C73)^$F$35:$S$35)+($E$45*(1+H$69)/($C73-H$69))/(1+$C73)^10</f>
        <v>4136.43861544127</v>
      </c>
    </row>
    <row r="74" customFormat="false" ht="15" hidden="false" customHeight="false" outlineLevel="0" collapsed="false">
      <c r="C74" s="97" t="n">
        <f aca="false">$E$15+(0.02)</f>
        <v>0.13866512</v>
      </c>
      <c r="D74" s="47" t="n">
        <f aca="false">SUMPRODUCT($F$37:$S$37,$F$34:$S$34,1/(1+$C74)^$F$35:$S$35)+($E$45*(1+D$69)/($C74-D$69))/(1+$C74)^10</f>
        <v>3484.31881138212</v>
      </c>
      <c r="E74" s="47" t="n">
        <f aca="false">SUMPRODUCT($F$37:$S$37,$F$34:$S$34,1/(1+$C74)^$F$35:$S$35)+($E$45*(1+E$69)/($C74-E$69))/(1+$C74)^10</f>
        <v>3538.53707575004</v>
      </c>
      <c r="F74" s="47" t="n">
        <f aca="false">SUMPRODUCT($F$37:$S$37,$F$34:$S$34,1/(1+$C74)^$F$35:$S$35)+($E$45*(1+F$69)/($C74-F$69))/(1+$C74)^10</f>
        <v>3597.74482196531</v>
      </c>
      <c r="G74" s="47" t="n">
        <f aca="false">SUMPRODUCT($F$37:$S$37,$F$34:$S$34,1/(1+$C74)^$F$35:$S$35)+($E$45*(1+G$69)/($C74-G$69))/(1+$C74)^10</f>
        <v>3662.66401154892</v>
      </c>
      <c r="H74" s="47" t="n">
        <f aca="false">SUMPRODUCT($F$37:$S$37,$F$34:$S$34,1/(1+$C74)^$F$35:$S$35)+($E$45*(1+H$69)/($C74-H$69))/(1+$C74)^10</f>
        <v>3734.1629518675</v>
      </c>
    </row>
    <row r="75" customFormat="false" ht="15" hidden="false" customHeight="false" outlineLevel="0" collapsed="false">
      <c r="B75" s="5" t="s">
        <v>686</v>
      </c>
    </row>
    <row r="78" customFormat="false" ht="15" hidden="false" customHeight="false" outlineLevel="0" collapsed="false">
      <c r="B78" s="22" t="s">
        <v>687</v>
      </c>
      <c r="C78" s="23"/>
      <c r="D78" s="23"/>
      <c r="E78" s="23"/>
      <c r="F78" s="23"/>
      <c r="G78" s="23"/>
      <c r="H78" s="23"/>
      <c r="I78" s="23"/>
      <c r="J78" s="23"/>
      <c r="K78" s="23"/>
      <c r="L78" s="23"/>
      <c r="M78" s="23"/>
      <c r="N78" s="23"/>
      <c r="O78" s="23"/>
      <c r="P78" s="23"/>
      <c r="Q78" s="23"/>
      <c r="R78" s="23"/>
      <c r="S78" s="23"/>
    </row>
    <row r="79" customFormat="false" ht="15" hidden="false" customHeight="false" outlineLevel="0" collapsed="false">
      <c r="B79" s="24" t="s">
        <v>31</v>
      </c>
      <c r="C79" s="25" t="s">
        <v>170</v>
      </c>
      <c r="E79" s="58" t="n">
        <f aca="false">'E1 TelukLamong Output'!$E$48*'Global Inputs'!$L$89</f>
        <v>1190.21626244184</v>
      </c>
    </row>
    <row r="80" customFormat="false" ht="15" hidden="false" customHeight="false" outlineLevel="0" collapsed="false">
      <c r="B80" s="24" t="s">
        <v>34</v>
      </c>
      <c r="C80" s="25" t="s">
        <v>170</v>
      </c>
      <c r="E80" s="58" t="n">
        <f aca="false">'E2 CigadingExist Output'!$E$48*'Global Inputs'!$L$90</f>
        <v>461.150586479111</v>
      </c>
    </row>
    <row r="81" customFormat="false" ht="15" hidden="false" customHeight="false" outlineLevel="0" collapsed="false">
      <c r="B81" s="24" t="s">
        <v>37</v>
      </c>
      <c r="C81" s="25" t="s">
        <v>170</v>
      </c>
      <c r="E81" s="58" t="n">
        <f aca="false">'E3 Belawan Output'!$E$48*'Global Inputs'!$L$91</f>
        <v>237.96396515498</v>
      </c>
    </row>
    <row r="82" customFormat="false" ht="15" hidden="false" customHeight="false" outlineLevel="0" collapsed="false">
      <c r="B82" s="24" t="s">
        <v>40</v>
      </c>
      <c r="C82" s="25" t="s">
        <v>170</v>
      </c>
      <c r="E82" s="58" t="n">
        <f aca="false">'E4 WIN Output'!$E$48*'Global Inputs'!$L$92</f>
        <v>213.663418002089</v>
      </c>
    </row>
    <row r="83" customFormat="false" ht="15" hidden="false" customHeight="false" outlineLevel="0" collapsed="false">
      <c r="B83" s="24" t="s">
        <v>43</v>
      </c>
      <c r="C83" s="25" t="s">
        <v>170</v>
      </c>
      <c r="E83" s="58" t="n">
        <f aca="false">'P01 CigWharf2 Output'!$E$47*'Global Inputs'!$L$93</f>
        <v>960.014663512148</v>
      </c>
    </row>
    <row r="84" customFormat="false" ht="15" hidden="false" customHeight="false" outlineLevel="0" collapsed="false">
      <c r="B84" s="24" t="s">
        <v>46</v>
      </c>
      <c r="C84" s="25" t="s">
        <v>170</v>
      </c>
      <c r="E84" s="58" t="n">
        <f aca="false">'P02 CigConveyor Output'!$E$47*'Global Inputs'!$L$94</f>
        <v>280.518261713808</v>
      </c>
    </row>
    <row r="85" customFormat="false" ht="15" hidden="false" customHeight="false" outlineLevel="0" collapsed="false">
      <c r="B85" s="24" t="s">
        <v>48</v>
      </c>
      <c r="C85" s="25" t="s">
        <v>170</v>
      </c>
      <c r="E85" s="58" t="n">
        <f aca="false">'P03 KBSWarehouse Output'!$E$47*'Global Inputs'!$L$95</f>
        <v>189.579245679262</v>
      </c>
    </row>
    <row r="86" customFormat="false" ht="15" hidden="false" customHeight="false" outlineLevel="0" collapsed="false">
      <c r="B86" s="24" t="s">
        <v>51</v>
      </c>
      <c r="C86" s="25" t="s">
        <v>170</v>
      </c>
      <c r="E86" s="58" t="n">
        <f aca="false">'P04 TTLSilo Output'!$E$47*'Global Inputs'!$L$96</f>
        <v>104.744450946781</v>
      </c>
    </row>
    <row r="87" customFormat="false" ht="15" hidden="false" customHeight="false" outlineLevel="0" collapsed="false">
      <c r="B87" s="24" t="s">
        <v>54</v>
      </c>
      <c r="C87" s="25" t="s">
        <v>170</v>
      </c>
      <c r="E87" s="58" t="n">
        <f aca="false">'P05 Dumai Output'!$E$47*'Global Inputs'!$L$97</f>
        <v>197.603970664319</v>
      </c>
    </row>
    <row r="88" customFormat="false" ht="15" hidden="false" customHeight="false" outlineLevel="0" collapsed="false">
      <c r="B88" s="24" t="s">
        <v>57</v>
      </c>
      <c r="C88" s="25" t="s">
        <v>170</v>
      </c>
      <c r="E88" s="58" t="n">
        <f aca="false">'P06 Ciwandan Output'!$E$47*'Global Inputs'!$L$98</f>
        <v>475.823839559765</v>
      </c>
    </row>
    <row r="89" customFormat="false" ht="15" hidden="false" customHeight="false" outlineLevel="0" collapsed="false">
      <c r="B89" s="24" t="s">
        <v>60</v>
      </c>
      <c r="C89" s="25" t="s">
        <v>170</v>
      </c>
      <c r="E89" s="58" t="n">
        <f aca="false">'P08 DMSTrucking Output'!$E$47*'Global Inputs'!$L$99</f>
        <v>23.7365719787679</v>
      </c>
    </row>
    <row r="90" customFormat="false" ht="15" hidden="false" customHeight="false" outlineLevel="0" collapsed="false">
      <c r="B90" s="24" t="s">
        <v>63</v>
      </c>
      <c r="C90" s="25" t="s">
        <v>170</v>
      </c>
      <c r="E90" s="58" t="n">
        <f aca="false">'P12 BUMNOps Output'!$E$47*'Global Inputs'!$L$100</f>
        <v>532.304096473666</v>
      </c>
    </row>
    <row r="91" customFormat="false" ht="15" hidden="false" customHeight="false" outlineLevel="0" collapsed="false">
      <c r="B91" s="24" t="s">
        <v>66</v>
      </c>
      <c r="C91" s="25" t="s">
        <v>170</v>
      </c>
      <c r="E91" s="58" t="n">
        <f aca="false">'P15 TBM Output'!$E$47*'Global Inputs'!$L$101</f>
        <v>0</v>
      </c>
    </row>
    <row r="92" customFormat="false" ht="15" hidden="false" customHeight="false" outlineLevel="0" collapsed="false">
      <c r="B92" s="24" t="s">
        <v>69</v>
      </c>
      <c r="C92" s="25" t="s">
        <v>170</v>
      </c>
      <c r="E92" s="58" t="n">
        <f aca="false">'P19 Badas Output'!$E$47*'Global Inputs'!$L$102</f>
        <v>0</v>
      </c>
    </row>
    <row r="93" customFormat="false" ht="15" hidden="false" customHeight="false" outlineLevel="0" collapsed="false">
      <c r="B93" s="69" t="s">
        <v>688</v>
      </c>
      <c r="C93" s="25" t="s">
        <v>170</v>
      </c>
      <c r="E93" s="70" t="n">
        <f aca="false">$E$79+$E$80+$E$81+$E$82+$E$83+$E$84+$E$85+$E$86+$E$87+$E$88+$E$89+$E$90+$E$91+$E$92</f>
        <v>4867.31933260653</v>
      </c>
    </row>
    <row r="94" customFormat="false" ht="15" hidden="false" customHeight="false" outlineLevel="0" collapsed="false">
      <c r="B94" s="24" t="s">
        <v>689</v>
      </c>
      <c r="C94" s="25" t="s">
        <v>170</v>
      </c>
      <c r="E94" s="47" t="n">
        <f aca="false">$E$52-$E$93</f>
        <v>-476.687470216106</v>
      </c>
    </row>
    <row r="95" customFormat="false" ht="15" hidden="false" customHeight="false" outlineLevel="0" collapsed="false">
      <c r="B95" s="24" t="s">
        <v>690</v>
      </c>
      <c r="C95" s="25" t="s">
        <v>170</v>
      </c>
      <c r="E95" s="32" t="n">
        <f aca="false">'E1 TelukLamong Output'!$E$49*'Global Inputs'!$L$89+'E2 CigadingExist Output'!$E$49*'Global Inputs'!$L$90+'E3 Belawan Output'!$E$49*'Global Inputs'!$L$91+'E4 WIN Output'!$E$49*'Global Inputs'!$L$92+'P01 CigWharf2 Output'!$E$48*'Global Inputs'!$L$93+'P02 CigConveyor Output'!$E$48*'Global Inputs'!$L$94+'P03 KBSWarehouse Output'!$E$48*'Global Inputs'!$L$95+'P04 TTLSilo Output'!$E$48*'Global Inputs'!$L$96+'P05 Dumai Output'!$E$48*'Global Inputs'!$L$97+'P06 Ciwandan Output'!$E$48*'Global Inputs'!$L$98+'P08 DMSTrucking Output'!$E$48*'Global Inputs'!$L$99+'P12 BUMNOps Output'!$E$48*'Global Inputs'!$L$100+'P15 TBM Output'!$E$48*'Global Inputs'!$L$101+'P19 Badas Output'!$E$48*'Global Inputs'!$L$102-$E$50</f>
        <v>0</v>
      </c>
    </row>
    <row r="97" customFormat="false" ht="15" hidden="false" customHeight="false" outlineLevel="0" collapsed="false">
      <c r="B97" s="22" t="s">
        <v>695</v>
      </c>
      <c r="C97" s="23"/>
      <c r="D97" s="23"/>
      <c r="E97" s="23"/>
      <c r="F97" s="23"/>
      <c r="G97" s="23"/>
      <c r="H97" s="23"/>
      <c r="I97" s="23"/>
      <c r="J97" s="23"/>
      <c r="K97" s="23"/>
      <c r="L97" s="23"/>
      <c r="M97" s="23"/>
      <c r="N97" s="23"/>
      <c r="O97" s="23"/>
      <c r="P97" s="23"/>
      <c r="Q97" s="23"/>
      <c r="R97" s="23"/>
      <c r="S97" s="23"/>
    </row>
    <row r="98" customFormat="false" ht="15" hidden="false" customHeight="false" outlineLevel="0" collapsed="false">
      <c r="B98" s="69" t="s">
        <v>696</v>
      </c>
      <c r="C98" s="25" t="s">
        <v>170</v>
      </c>
      <c r="E98" s="70" t="n">
        <f aca="false">$E$52-'Valuation — Without BUMN'!$E$52</f>
        <v>532.022318286074</v>
      </c>
    </row>
    <row r="99" customFormat="false" ht="15" hidden="false" customHeight="false" outlineLevel="0" collapsed="false">
      <c r="B99" s="69" t="s">
        <v>697</v>
      </c>
      <c r="C99" s="25" t="s">
        <v>170</v>
      </c>
      <c r="E99" s="70" t="n">
        <f aca="false">$E$62-'Valuation — Without BUMN'!$E$62</f>
        <v>532.022318286073</v>
      </c>
    </row>
    <row r="100" customFormat="false" ht="15" hidden="false" customHeight="false" outlineLevel="0" collapsed="false">
      <c r="B100" s="5" t="s">
        <v>698</v>
      </c>
    </row>
  </sheetData>
  <hyperlinks>
    <hyperlink ref="C3" r:id="rId1" location="'Navigation'!A1" display="Navigation"/>
    <hyperlink ref="D3" r:id="rId2" location="'Global%20Inputs'!A1" display="Global Inputs"/>
    <hyperlink ref="E3" r:id="rId3" location="'Project%20Summary'!A1" display="Project Summary"/>
    <hyperlink ref="F3" r:id="rId4" location="'Funding%20Requirement'!A1" display="Funding"/>
    <hyperlink ref="G3" r:id="rId5" location="'FSL%20Financials%20—%20Without%20BUMN'!A1" display="FSL w/o BUMN"/>
    <hyperlink ref="H3" r:id="rId6" location="'FSL%20Financials%20—%20With%20BUMN'!A1" display="FSL w/ BUMN"/>
    <hyperlink ref="I3" r:id="rId7" location="'Valuation%20—%20Without%20BUMN'!A1" display="Val w/o BUMN"/>
    <hyperlink ref="J3" r:id="rId8" location="'Valuation%20—%20With%20BUMN'!A1" display="Val w/ BUMN"/>
    <hyperlink ref="K3" r:id="rId9" location="'Checks'!A1" display="Checks"/>
    <hyperlink ref="L3" r:id="rId10" location="'Model%20Flow'!A1" display="Model Flow"/>
  </hyperlink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0000"/>
    <pageSetUpPr fitToPage="true"/>
  </sheetPr>
  <dimension ref="B1:L4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95"/>
    <col collapsed="false" customWidth="true" hidden="false" outlineLevel="0" max="5" min="3" style="0" width="14"/>
    <col collapsed="false" customWidth="true" hidden="false" outlineLevel="0" max="8" min="6" style="0" width="12"/>
    <col collapsed="false" customWidth="true" hidden="false" outlineLevel="0" max="9" min="9" style="0" width="70"/>
    <col collapsed="false" customWidth="true" hidden="false" outlineLevel="0" max="12" min="10" style="0" width="12"/>
  </cols>
  <sheetData>
    <row r="1" customFormat="false" ht="17.35" hidden="false" customHeight="false" outlineLevel="0" collapsed="false">
      <c r="B1" s="1" t="s">
        <v>699</v>
      </c>
    </row>
    <row r="2" customFormat="false" ht="15" hidden="false" customHeight="false" outlineLevel="0" collapsed="false">
      <c r="B2" s="2" t="s">
        <v>700</v>
      </c>
    </row>
    <row r="3" customFormat="false" ht="15" hidden="false" customHeight="false" outlineLevel="0" collapsed="false">
      <c r="B3" s="5" t="s">
        <v>112</v>
      </c>
      <c r="C3" s="17" t="s">
        <v>113</v>
      </c>
      <c r="D3" s="17" t="s">
        <v>5</v>
      </c>
      <c r="E3" s="17" t="s">
        <v>7</v>
      </c>
      <c r="F3" s="17" t="s">
        <v>114</v>
      </c>
      <c r="G3" s="17" t="s">
        <v>115</v>
      </c>
      <c r="H3" s="17" t="s">
        <v>116</v>
      </c>
      <c r="I3" s="17" t="s">
        <v>117</v>
      </c>
      <c r="J3" s="17" t="s">
        <v>118</v>
      </c>
      <c r="K3" s="17" t="s">
        <v>21</v>
      </c>
      <c r="L3" s="17" t="s">
        <v>3</v>
      </c>
    </row>
    <row r="5" customFormat="false" ht="15" hidden="false" customHeight="false" outlineLevel="0" collapsed="false">
      <c r="B5" s="3" t="s">
        <v>701</v>
      </c>
      <c r="G5" s="99" t="str">
        <f aca="false">IF(COUNTIF(G8:G65,"FAIL")=0,"ALL PASS","FAIL: "&amp;COUNTIF(G8:G65,"FAIL"))</f>
        <v>ALL PASS</v>
      </c>
      <c r="I5" s="5" t="str">
        <f aca="false">COUNTIF(G8:G65,"WARNING")&amp;" warning(s)"</f>
        <v>1 warning(s)</v>
      </c>
    </row>
    <row r="7" customFormat="false" ht="15" hidden="false" customHeight="false" outlineLevel="0" collapsed="false">
      <c r="B7" s="6" t="s">
        <v>702</v>
      </c>
      <c r="E7" s="6" t="s">
        <v>703</v>
      </c>
      <c r="F7" s="6" t="s">
        <v>704</v>
      </c>
      <c r="G7" s="6" t="s">
        <v>705</v>
      </c>
      <c r="H7" s="6" t="s">
        <v>121</v>
      </c>
      <c r="I7" s="6" t="s">
        <v>124</v>
      </c>
    </row>
    <row r="8" customFormat="false" ht="15" hidden="false" customHeight="false" outlineLevel="0" collapsed="false">
      <c r="B8" s="16" t="s">
        <v>706</v>
      </c>
      <c r="E8" s="32" t="n">
        <f aca="false">SUMPRODUCT(MAX(ABS('FSL Financials — Without BUMN'!$G$51:$S$51)))</f>
        <v>0.00622501709540302</v>
      </c>
      <c r="F8" s="100" t="n">
        <v>0.01</v>
      </c>
      <c r="G8" s="99" t="str">
        <f aca="false">IF(ABS(E8)&lt;=F8,"PASS","FAIL")</f>
        <v>PASS</v>
      </c>
      <c r="H8" s="5" t="s">
        <v>707</v>
      </c>
      <c r="I8" s="5" t="s">
        <v>708</v>
      </c>
    </row>
    <row r="9" customFormat="false" ht="15" hidden="false" customHeight="false" outlineLevel="0" collapsed="false">
      <c r="B9" s="16" t="s">
        <v>709</v>
      </c>
      <c r="E9" s="32" t="n">
        <f aca="false">SUMPRODUCT(MAX(ABS('FSL Financials — With BUMN'!$G$51:$S$51)))</f>
        <v>0.00622501709540302</v>
      </c>
      <c r="F9" s="100" t="n">
        <v>0.01</v>
      </c>
      <c r="G9" s="99" t="str">
        <f aca="false">IF(ABS(E9)&lt;=F9,"PASS","FAIL")</f>
        <v>PASS</v>
      </c>
      <c r="H9" s="5" t="s">
        <v>707</v>
      </c>
    </row>
    <row r="10" customFormat="false" ht="15" hidden="false" customHeight="false" outlineLevel="0" collapsed="false">
      <c r="B10" s="16" t="s">
        <v>710</v>
      </c>
      <c r="E10" s="32" t="n">
        <f aca="false">SUMPRODUCT(MAX(ABS('FSL Financials — Without BUMN'!$G$67:$S$67)))</f>
        <v>0</v>
      </c>
      <c r="F10" s="100" t="n">
        <v>0.001</v>
      </c>
      <c r="G10" s="99" t="str">
        <f aca="false">IF(ABS(E10)&lt;=F10,"PASS","FAIL")</f>
        <v>PASS</v>
      </c>
      <c r="H10" s="5" t="s">
        <v>707</v>
      </c>
    </row>
    <row r="11" customFormat="false" ht="15" hidden="false" customHeight="false" outlineLevel="0" collapsed="false">
      <c r="B11" s="16" t="s">
        <v>711</v>
      </c>
      <c r="E11" s="32" t="n">
        <f aca="false">SUMPRODUCT(MAX(ABS('FSL Financials — With BUMN'!$G$67:$S$67)))</f>
        <v>2.8421709430404E-014</v>
      </c>
      <c r="F11" s="100" t="n">
        <v>0.001</v>
      </c>
      <c r="G11" s="99" t="str">
        <f aca="false">IF(ABS(E11)&lt;=F11,"PASS","FAIL")</f>
        <v>PASS</v>
      </c>
      <c r="H11" s="5" t="s">
        <v>707</v>
      </c>
    </row>
    <row r="12" customFormat="false" ht="15" hidden="false" customHeight="false" outlineLevel="0" collapsed="false">
      <c r="B12" s="16" t="s">
        <v>712</v>
      </c>
      <c r="E12" s="32" t="n">
        <f aca="false">SUMPRODUCT(MAX(ABS('Project Summary'!$F$31:$S$31)))</f>
        <v>0</v>
      </c>
      <c r="F12" s="100" t="n">
        <v>0.001</v>
      </c>
      <c r="G12" s="99" t="str">
        <f aca="false">IF(ABS(E12)&lt;=F12,"PASS","FAIL")</f>
        <v>PASS</v>
      </c>
      <c r="H12" s="5" t="s">
        <v>707</v>
      </c>
    </row>
    <row r="13" customFormat="false" ht="15" hidden="false" customHeight="false" outlineLevel="0" collapsed="false">
      <c r="B13" s="16" t="s">
        <v>713</v>
      </c>
      <c r="E13" s="32" t="n">
        <f aca="false">SUMPRODUCT(MAX(ABS('Project Summary'!$F$34:$S$34)))</f>
        <v>0</v>
      </c>
      <c r="F13" s="100" t="n">
        <v>0.001</v>
      </c>
      <c r="G13" s="99" t="str">
        <f aca="false">IF(ABS(E13)&lt;=F13,"PASS","FAIL")</f>
        <v>PASS</v>
      </c>
      <c r="H13" s="5" t="s">
        <v>707</v>
      </c>
    </row>
    <row r="14" customFormat="false" ht="15" hidden="false" customHeight="false" outlineLevel="0" collapsed="false">
      <c r="B14" s="16" t="s">
        <v>714</v>
      </c>
      <c r="E14" s="32" t="n">
        <f aca="false">SUMPRODUCT(MAX(ABS('Project Summary'!$F$37:$S$37)))</f>
        <v>0</v>
      </c>
      <c r="F14" s="100" t="n">
        <v>0.001</v>
      </c>
      <c r="G14" s="99" t="str">
        <f aca="false">IF(ABS(E14)&lt;=F14,"PASS","FAIL")</f>
        <v>PASS</v>
      </c>
      <c r="H14" s="5" t="s">
        <v>707</v>
      </c>
    </row>
    <row r="15" customFormat="false" ht="15" hidden="false" customHeight="false" outlineLevel="0" collapsed="false">
      <c r="B15" s="16" t="s">
        <v>715</v>
      </c>
      <c r="E15" s="32" t="n">
        <f aca="false">IF('E3 Belawan Input'!$E$84="PASS",0,1)+IF('P01 CigWharf2 Input'!$E$44="PASS",0,1)+IF('P02 CigConveyor Input'!$E$44="PASS",0,1)+IF('P03 KBSWarehouse Input'!$E$48="PASS",0,1)+IF('P04 TTLSilo Input'!$E$47="PASS",0,1)+IF('P05 Dumai Input'!$E$47="PASS",0,1)+IF('P06 Ciwandan Input'!$E$41="PASS",0,1)+IF('P15 TBM Input'!$E$61="PASS",0,1)+IF('P19 Badas FS Working Paper'!$E$65="PASS",0,1)</f>
        <v>0</v>
      </c>
      <c r="F15" s="100" t="n">
        <v>0</v>
      </c>
      <c r="G15" s="99" t="str">
        <f aca="false">IF(ABS(E15)&lt;=F15,"PASS","FAIL")</f>
        <v>PASS</v>
      </c>
      <c r="H15" s="5" t="s">
        <v>707</v>
      </c>
    </row>
    <row r="16" customFormat="false" ht="15" hidden="false" customHeight="false" outlineLevel="0" collapsed="false">
      <c r="B16" s="16" t="s">
        <v>716</v>
      </c>
      <c r="E16" s="32" t="n">
        <f aca="false">ABS('E3 Belawan Input'!$E$83)+ABS('P01 CigWharf2 Input'!$E$43)+ABS('P02 CigConveyor Input'!$E$43)+ABS('P03 KBSWarehouse Input'!$E$47)+ABS('P04 TTLSilo Input'!$E$46)+ABS('P05 Dumai Input'!$E$46)+ABS('P06 Ciwandan Input'!$E$40)+ABS('P15 TBM Input'!$E$60)+ABS('P19 Badas FS Working Paper'!$E$64)</f>
        <v>0</v>
      </c>
      <c r="F16" s="100" t="n">
        <v>0.0001</v>
      </c>
      <c r="G16" s="99" t="str">
        <f aca="false">IF(ABS(E16)&lt;=F16,"PASS","FAIL")</f>
        <v>PASS</v>
      </c>
      <c r="H16" s="5" t="s">
        <v>707</v>
      </c>
    </row>
    <row r="17" customFormat="false" ht="15" hidden="false" customHeight="false" outlineLevel="0" collapsed="false">
      <c r="B17" s="16" t="s">
        <v>717</v>
      </c>
      <c r="E17" s="32" t="n">
        <f aca="false">'Global Inputs'!$E$11-DATE(2026,12,31)</f>
        <v>0</v>
      </c>
      <c r="F17" s="100" t="n">
        <v>0</v>
      </c>
      <c r="G17" s="99" t="str">
        <f aca="false">IF(ABS(E17)&lt;=F17,"PASS","FAIL")</f>
        <v>PASS</v>
      </c>
      <c r="H17" s="5" t="s">
        <v>707</v>
      </c>
      <c r="I17" s="5" t="s">
        <v>718</v>
      </c>
    </row>
    <row r="18" customFormat="false" ht="15" hidden="false" customHeight="false" outlineLevel="0" collapsed="false">
      <c r="B18" s="16" t="s">
        <v>719</v>
      </c>
      <c r="E18" s="32" t="n">
        <f aca="false">SUMPRODUCT('Global Inputs'!$F$18:$S$18,--('Global Inputs'!$F$15:$S$15&lt;='Global Inputs'!$E$12))</f>
        <v>0</v>
      </c>
      <c r="F18" s="100" t="n">
        <v>0</v>
      </c>
      <c r="G18" s="99" t="str">
        <f aca="false">IF(ABS(E18)&lt;=F18,"PASS","FAIL")</f>
        <v>PASS</v>
      </c>
      <c r="H18" s="5" t="s">
        <v>707</v>
      </c>
    </row>
    <row r="19" customFormat="false" ht="15" hidden="false" customHeight="false" outlineLevel="0" collapsed="false">
      <c r="B19" s="16" t="s">
        <v>720</v>
      </c>
      <c r="E19" s="32" t="n">
        <f aca="false">INDEX('Global Inputs'!$F$18:$S$18,MATCH('Global Inputs'!$E$13,'Global Inputs'!$F$15:$S$15,0))-1/(1+'Global Inputs'!$E$53)</f>
        <v>0</v>
      </c>
      <c r="F19" s="100" t="n">
        <v>1E-006</v>
      </c>
      <c r="G19" s="99" t="str">
        <f aca="false">IF(ABS(E19)&lt;=F19,"PASS","FAIL")</f>
        <v>PASS</v>
      </c>
      <c r="H19" s="5" t="s">
        <v>707</v>
      </c>
    </row>
    <row r="20" customFormat="false" ht="15" hidden="false" customHeight="false" outlineLevel="0" collapsed="false">
      <c r="B20" s="16" t="s">
        <v>721</v>
      </c>
      <c r="E20" s="32" t="n">
        <f aca="false">MIN(0,MIN(Financing!$F$19:$S$19))</f>
        <v>0</v>
      </c>
      <c r="F20" s="100" t="n">
        <v>0</v>
      </c>
      <c r="G20" s="99" t="str">
        <f aca="false">IF(ABS(E20)&lt;=F20,"PASS","FAIL")</f>
        <v>PASS</v>
      </c>
      <c r="H20" s="5" t="s">
        <v>707</v>
      </c>
    </row>
    <row r="21" customFormat="false" ht="15" hidden="false" customHeight="false" outlineLevel="0" collapsed="false">
      <c r="B21" s="16" t="s">
        <v>722</v>
      </c>
      <c r="E21" s="32" t="n">
        <f aca="false">IF(SUM(Financing!$F$33:$S$33)=0,Financing!$S$19-'Global Inputs'!$E$72,0)</f>
        <v>0</v>
      </c>
      <c r="F21" s="100" t="n">
        <v>0.001</v>
      </c>
      <c r="G21" s="99" t="str">
        <f aca="false">IF(ABS(E21)&lt;=F21,"PASS","FAIL")</f>
        <v>PASS</v>
      </c>
      <c r="H21" s="5" t="s">
        <v>707</v>
      </c>
    </row>
    <row r="22" customFormat="false" ht="15" hidden="false" customHeight="false" outlineLevel="0" collapsed="false">
      <c r="B22" s="16" t="s">
        <v>723</v>
      </c>
      <c r="E22" s="32" t="n">
        <f aca="false">IF('Global Inputs'!$E$79=1,'Funding Requirement'!$E$25,0)</f>
        <v>0</v>
      </c>
      <c r="F22" s="100" t="n">
        <v>0.001</v>
      </c>
      <c r="G22" s="99" t="str">
        <f aca="false">IF(ABS(E22)&lt;=F22,"PASS","FAIL")</f>
        <v>PASS</v>
      </c>
      <c r="H22" s="5" t="s">
        <v>707</v>
      </c>
    </row>
    <row r="23" customFormat="false" ht="15" hidden="false" customHeight="false" outlineLevel="0" collapsed="false">
      <c r="B23" s="16" t="s">
        <v>724</v>
      </c>
      <c r="E23" s="32" t="n">
        <f aca="false">IF('Global Inputs'!$E$79=1,MIN(0,SUM(Financing!$F$33:$S$33)-SUM(Financing!$F$16:$S$16)),0)</f>
        <v>0</v>
      </c>
      <c r="F23" s="100" t="n">
        <v>0.001</v>
      </c>
      <c r="G23" s="99" t="str">
        <f aca="false">IF(ABS(E23)&lt;=F23,"PASS","FAIL")</f>
        <v>PASS</v>
      </c>
      <c r="H23" s="5" t="s">
        <v>707</v>
      </c>
    </row>
    <row r="24" customFormat="false" ht="15" hidden="false" customHeight="false" outlineLevel="0" collapsed="false">
      <c r="B24" s="16" t="s">
        <v>725</v>
      </c>
      <c r="E24" s="32" t="n">
        <f aca="false">MIN(0,-MAX('FSL Financials — Without BUMN'!$F$79:$S$79))</f>
        <v>-0</v>
      </c>
      <c r="F24" s="100" t="n">
        <v>0</v>
      </c>
      <c r="G24" s="99" t="str">
        <f aca="false">IF(ABS(E24)&lt;=F24,"PASS","FAIL")</f>
        <v>PASS</v>
      </c>
      <c r="H24" s="5" t="s">
        <v>707</v>
      </c>
    </row>
    <row r="25" customFormat="false" ht="15" hidden="false" customHeight="false" outlineLevel="0" collapsed="false">
      <c r="B25" s="16" t="s">
        <v>726</v>
      </c>
      <c r="E25" s="32" t="n">
        <f aca="false">MIN(0,-MAX('FSL Financials — With BUMN'!$F$79:$S$79))</f>
        <v>-0</v>
      </c>
      <c r="F25" s="100" t="n">
        <v>0</v>
      </c>
      <c r="G25" s="99" t="str">
        <f aca="false">IF(ABS(E25)&lt;=F25,"PASS","FAIL")</f>
        <v>PASS</v>
      </c>
      <c r="H25" s="5" t="s">
        <v>707</v>
      </c>
    </row>
    <row r="26" customFormat="false" ht="15" hidden="false" customHeight="false" outlineLevel="0" collapsed="false">
      <c r="B26" s="16" t="s">
        <v>727</v>
      </c>
      <c r="E26" s="32" t="n">
        <f aca="false">'Global Inputs'!$E$68</f>
        <v>0.00622501709517564</v>
      </c>
      <c r="F26" s="100" t="n">
        <v>0.01</v>
      </c>
      <c r="G26" s="99" t="str">
        <f aca="false">IF(ABS(E26)&lt;=F26,"PASS","FAIL")</f>
        <v>PASS</v>
      </c>
      <c r="H26" s="5" t="s">
        <v>707</v>
      </c>
      <c r="I26" s="5" t="s">
        <v>728</v>
      </c>
    </row>
    <row r="27" customFormat="false" ht="15" hidden="false" customHeight="false" outlineLevel="0" collapsed="false">
      <c r="B27" s="16" t="s">
        <v>729</v>
      </c>
      <c r="E27" s="32" t="n">
        <f aca="false">'Valuation — Without BUMN'!$E$95</f>
        <v>0</v>
      </c>
      <c r="F27" s="100" t="n">
        <v>0.001</v>
      </c>
      <c r="G27" s="99" t="str">
        <f aca="false">IF(ABS(E27)&lt;=F27,"PASS","FAIL")</f>
        <v>PASS</v>
      </c>
      <c r="H27" s="5" t="s">
        <v>707</v>
      </c>
    </row>
    <row r="28" customFormat="false" ht="15" hidden="false" customHeight="false" outlineLevel="0" collapsed="false">
      <c r="B28" s="16" t="s">
        <v>730</v>
      </c>
      <c r="E28" s="32" t="n">
        <f aca="false">'Valuation — With BUMN'!$E$95</f>
        <v>0</v>
      </c>
      <c r="F28" s="100" t="n">
        <v>0.001</v>
      </c>
      <c r="G28" s="99" t="str">
        <f aca="false">IF(ABS(E28)&lt;=F28,"PASS","FAIL")</f>
        <v>PASS</v>
      </c>
      <c r="H28" s="5" t="s">
        <v>707</v>
      </c>
    </row>
    <row r="29" customFormat="false" ht="15" hidden="false" customHeight="false" outlineLevel="0" collapsed="false">
      <c r="B29" s="16" t="s">
        <v>731</v>
      </c>
      <c r="E29" s="32" t="n">
        <f aca="false">IF('Funding Requirement'!$E$73="CHECK: % not 100%",1,0)+IF('Funding Requirement'!$E$82="CHECK: % not 100%",1,0)+IF('Funding Requirement'!$E$91="CHECK: % not 100%",1,0)+IF('Funding Requirement'!$E$100="CHECK: % not 100%",1,0)+IF('Funding Requirement'!$E$109="CHECK: % not 100%",1,0)</f>
        <v>0</v>
      </c>
      <c r="F29" s="100" t="n">
        <v>0</v>
      </c>
      <c r="G29" s="99" t="str">
        <f aca="false">IF(ABS(E29)&lt;=F29,"PASS","FAIL")</f>
        <v>PASS</v>
      </c>
      <c r="H29" s="5" t="s">
        <v>707</v>
      </c>
    </row>
    <row r="30" customFormat="false" ht="15" hidden="false" customHeight="false" outlineLevel="0" collapsed="false">
      <c r="B30" s="16" t="s">
        <v>732</v>
      </c>
      <c r="E30" s="32" t="n">
        <f aca="false">'Global Inputs'!$E$102</f>
        <v>0</v>
      </c>
      <c r="F30" s="100" t="n">
        <v>0</v>
      </c>
      <c r="G30" s="99" t="str">
        <f aca="false">IF(ABS(E30)&lt;=F30,"INFO","INFO")</f>
        <v>INFO</v>
      </c>
      <c r="H30" s="5" t="s">
        <v>733</v>
      </c>
    </row>
    <row r="31" customFormat="false" ht="15" hidden="false" customHeight="false" outlineLevel="0" collapsed="false">
      <c r="B31" s="16" t="s">
        <v>734</v>
      </c>
      <c r="E31" s="32" t="n">
        <f aca="false">'Funding Requirement'!$E$22</f>
        <v>0</v>
      </c>
      <c r="F31" s="100" t="n">
        <v>0.001</v>
      </c>
      <c r="G31" s="99" t="str">
        <f aca="false">IF(ABS(E31)&lt;=F31,"OK","WARNING")</f>
        <v>OK</v>
      </c>
      <c r="H31" s="5" t="s">
        <v>735</v>
      </c>
      <c r="I31" s="5" t="s">
        <v>736</v>
      </c>
    </row>
    <row r="32" customFormat="false" ht="15" hidden="false" customHeight="false" outlineLevel="0" collapsed="false">
      <c r="B32" s="16" t="s">
        <v>737</v>
      </c>
      <c r="E32" s="32" t="n">
        <f aca="false">MIN(0,MIN('E3 Belawan Calc'!$F$90:$S$90),MIN('P01 CigWharf2 Calc'!$F$42:$S$42),MIN('P02 CigConveyor Calc'!$F$37:$S$37),MIN('P03 KBSWarehouse Calc'!$F$37:$S$37),MIN('P04 TTLSilo Calc'!$F$43:$S$43),MIN('P05 Dumai Calc'!$F$47:$S$47),MIN('P06 Ciwandan Calc'!$F$41:$S$41),MIN('P15 TBM Calc'!$F$64:$S$64),MIN('P19 Badas Calculation'!$F$55:$S$55))</f>
        <v>0</v>
      </c>
      <c r="F32" s="100" t="n">
        <v>0.001</v>
      </c>
      <c r="G32" s="99" t="str">
        <f aca="false">IF(ABS(E32)&lt;=F32,"OK","WARNING")</f>
        <v>OK</v>
      </c>
      <c r="H32" s="5" t="s">
        <v>735</v>
      </c>
    </row>
    <row r="33" customFormat="false" ht="15" hidden="false" customHeight="false" outlineLevel="0" collapsed="false">
      <c r="B33" s="16" t="s">
        <v>738</v>
      </c>
      <c r="E33" s="32" t="n">
        <f aca="false">MIN(0,'FSL Financials — With BUMN'!$S$40)</f>
        <v>-321.331073725461</v>
      </c>
      <c r="F33" s="100" t="n">
        <v>0.001</v>
      </c>
      <c r="G33" s="99" t="str">
        <f aca="false">IF(ABS(E33)&lt;=F33,"OK","WARNING")</f>
        <v>WARNING</v>
      </c>
      <c r="H33" s="5" t="s">
        <v>735</v>
      </c>
    </row>
    <row r="34" customFormat="false" ht="15" hidden="false" customHeight="false" outlineLevel="0" collapsed="false">
      <c r="B34" s="16" t="s">
        <v>739</v>
      </c>
      <c r="E34" s="32" t="n">
        <f aca="false">SUM(Financing!$F$18:$S$18)</f>
        <v>0</v>
      </c>
      <c r="F34" s="100" t="n">
        <v>0.001</v>
      </c>
      <c r="G34" s="99" t="str">
        <f aca="false">IF(ABS(E34)&lt;=F34,"OK","WARNING")</f>
        <v>OK</v>
      </c>
      <c r="H34" s="5" t="s">
        <v>735</v>
      </c>
    </row>
    <row r="35" customFormat="false" ht="15" hidden="false" customHeight="false" outlineLevel="0" collapsed="false">
      <c r="B35" s="16" t="s">
        <v>740</v>
      </c>
      <c r="E35" s="32" t="n">
        <f aca="false">IF('Global Inputs'!$E$36=1,SUM('FSL Financials — With BUMN'!$F$86:$S$86),SUM('FSL Financials — Without BUMN'!$F$86:$S$86))</f>
        <v>0</v>
      </c>
      <c r="F35" s="100" t="n">
        <v>0.001</v>
      </c>
      <c r="G35" s="99" t="str">
        <f aca="false">IF(ABS(E35)&lt;=F35,"OK","WARNING")</f>
        <v>OK</v>
      </c>
      <c r="H35" s="5" t="s">
        <v>735</v>
      </c>
    </row>
    <row r="37" customFormat="false" ht="15" hidden="false" customHeight="false" outlineLevel="0" collapsed="false">
      <c r="B37" s="3" t="s">
        <v>741</v>
      </c>
    </row>
    <row r="38" customFormat="false" ht="25.5" hidden="false" customHeight="true" outlineLevel="0" collapsed="false">
      <c r="B38" s="7" t="s">
        <v>742</v>
      </c>
    </row>
    <row r="39" customFormat="false" ht="25.5" hidden="false" customHeight="true" outlineLevel="0" collapsed="false">
      <c r="B39" s="7" t="s">
        <v>743</v>
      </c>
    </row>
    <row r="40" customFormat="false" ht="25.5" hidden="false" customHeight="true" outlineLevel="0" collapsed="false">
      <c r="B40" s="7" t="s">
        <v>744</v>
      </c>
    </row>
    <row r="41" customFormat="false" ht="25.5" hidden="false" customHeight="true" outlineLevel="0" collapsed="false">
      <c r="B41" s="7" t="s">
        <v>745</v>
      </c>
    </row>
    <row r="42" customFormat="false" ht="25.5" hidden="false" customHeight="true" outlineLevel="0" collapsed="false">
      <c r="B42" s="7" t="s">
        <v>746</v>
      </c>
    </row>
    <row r="43" customFormat="false" ht="25.5" hidden="false" customHeight="true" outlineLevel="0" collapsed="false">
      <c r="B43" s="7" t="s">
        <v>747</v>
      </c>
    </row>
    <row r="44" customFormat="false" ht="25.5" hidden="false" customHeight="true" outlineLevel="0" collapsed="false">
      <c r="B44" s="7" t="s">
        <v>748</v>
      </c>
    </row>
    <row r="45" customFormat="false" ht="25.5" hidden="false" customHeight="true" outlineLevel="0" collapsed="false">
      <c r="B45" s="7" t="s">
        <v>749</v>
      </c>
    </row>
    <row r="46" customFormat="false" ht="25.5" hidden="false" customHeight="true" outlineLevel="0" collapsed="false">
      <c r="B46" s="7" t="s">
        <v>750</v>
      </c>
    </row>
    <row r="47" customFormat="false" ht="25.5" hidden="false" customHeight="true" outlineLevel="0" collapsed="false">
      <c r="B47" s="7" t="s">
        <v>751</v>
      </c>
    </row>
    <row r="48" customFormat="false" ht="25.5" hidden="false" customHeight="true" outlineLevel="0" collapsed="false">
      <c r="B48" s="7" t="s">
        <v>752</v>
      </c>
    </row>
  </sheetData>
  <hyperlinks>
    <hyperlink ref="C3" r:id="rId1" location="'Navigation'!A1" display="Navigation"/>
    <hyperlink ref="D3" r:id="rId2" location="'Global%20Inputs'!A1" display="Global Inputs"/>
    <hyperlink ref="E3" r:id="rId3" location="'Project%20Summary'!A1" display="Project Summary"/>
    <hyperlink ref="F3" r:id="rId4" location="'Funding%20Requirement'!A1" display="Funding"/>
    <hyperlink ref="G3" r:id="rId5" location="'FSL%20Financials%20—%20Without%20BUMN'!A1" display="FSL w/o BUMN"/>
    <hyperlink ref="H3" r:id="rId6" location="'FSL%20Financials%20—%20With%20BUMN'!A1" display="FSL w/ BUMN"/>
    <hyperlink ref="I3" r:id="rId7" location="'Valuation%20—%20Without%20BUMN'!A1" display="Val w/o BUMN"/>
    <hyperlink ref="J3" r:id="rId8" location="'Valuation%20—%20With%20BUMN'!A1" display="Val w/ BUMN"/>
    <hyperlink ref="K3" r:id="rId9" location="'Checks'!A1" display="Checks"/>
    <hyperlink ref="L3" r:id="rId10" location="'Model%20Flow'!A1" display="Model Flow"/>
  </hyperlink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0000"/>
    <pageSetUpPr fitToPage="true"/>
  </sheetPr>
  <dimension ref="B1:U1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5" ySplit="9" topLeftCell="F10" activePane="bottomRight" state="frozen"/>
      <selection pane="topLeft" activeCell="A1" activeCellId="0" sqref="A1"/>
      <selection pane="topRight" activeCell="F1" activeCellId="0" sqref="F1"/>
      <selection pane="bottomLeft" activeCell="A10" activeCellId="0" sqref="A10"/>
      <selection pane="bottomRigh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66"/>
    <col collapsed="false" customWidth="true" hidden="false" outlineLevel="0" max="3" min="3" style="0" width="11"/>
    <col collapsed="false" customWidth="true" hidden="false" outlineLevel="0" max="4" min="4" style="0" width="12"/>
    <col collapsed="false" customWidth="true" hidden="false" outlineLevel="0" max="5" min="5" style="0" width="13"/>
    <col collapsed="false" customWidth="true" hidden="false" outlineLevel="0" max="19" min="6" style="0" width="11.5"/>
    <col collapsed="false" customWidth="true" hidden="false" outlineLevel="0" max="20" min="20" style="0" width="40"/>
    <col collapsed="false" customWidth="true" hidden="false" outlineLevel="0" max="21" min="21" style="0" width="48"/>
  </cols>
  <sheetData>
    <row r="1" customFormat="false" ht="21.75" hidden="false" customHeight="true" outlineLevel="0" collapsed="false">
      <c r="B1" s="1" t="s">
        <v>753</v>
      </c>
    </row>
    <row r="2" customFormat="false" ht="15" hidden="false" customHeight="false" outlineLevel="0" collapsed="false">
      <c r="B2" s="2" t="s">
        <v>754</v>
      </c>
    </row>
    <row r="3" customFormat="false" ht="15" hidden="false" customHeight="false" outlineLevel="0" collapsed="false">
      <c r="B3" s="5" t="s">
        <v>112</v>
      </c>
      <c r="C3" s="17" t="s">
        <v>113</v>
      </c>
      <c r="D3" s="17" t="s">
        <v>5</v>
      </c>
      <c r="E3" s="17" t="s">
        <v>7</v>
      </c>
      <c r="F3" s="17" t="s">
        <v>114</v>
      </c>
      <c r="G3" s="17" t="s">
        <v>115</v>
      </c>
      <c r="H3" s="17" t="s">
        <v>116</v>
      </c>
      <c r="I3" s="17" t="s">
        <v>117</v>
      </c>
      <c r="J3" s="17" t="s">
        <v>118</v>
      </c>
      <c r="K3" s="17" t="s">
        <v>21</v>
      </c>
      <c r="L3" s="17" t="s">
        <v>3</v>
      </c>
    </row>
    <row r="5" customFormat="false" ht="15" hidden="false" customHeight="false" outlineLevel="0" collapsed="false">
      <c r="B5" s="6" t="s">
        <v>119</v>
      </c>
      <c r="C5" s="6" t="s">
        <v>120</v>
      </c>
      <c r="D5" s="6" t="s">
        <v>121</v>
      </c>
      <c r="E5" s="6" t="s">
        <v>122</v>
      </c>
      <c r="F5" s="18" t="n">
        <f aca="false">'Global Inputs'!F$5</f>
        <v>2023</v>
      </c>
      <c r="G5" s="18" t="n">
        <f aca="false">'Global Inputs'!G$5</f>
        <v>2024</v>
      </c>
      <c r="H5" s="18" t="n">
        <f aca="false">'Global Inputs'!H$5</f>
        <v>2025</v>
      </c>
      <c r="I5" s="18" t="n">
        <f aca="false">'Global Inputs'!I$5</f>
        <v>2026</v>
      </c>
      <c r="J5" s="18" t="n">
        <f aca="false">'Global Inputs'!J$5</f>
        <v>2027</v>
      </c>
      <c r="K5" s="18" t="n">
        <f aca="false">'Global Inputs'!K$5</f>
        <v>2028</v>
      </c>
      <c r="L5" s="18" t="n">
        <f aca="false">'Global Inputs'!L$5</f>
        <v>2029</v>
      </c>
      <c r="M5" s="18" t="n">
        <f aca="false">'Global Inputs'!M$5</f>
        <v>2030</v>
      </c>
      <c r="N5" s="18" t="n">
        <f aca="false">'Global Inputs'!N$5</f>
        <v>2031</v>
      </c>
      <c r="O5" s="18" t="n">
        <f aca="false">'Global Inputs'!O$5</f>
        <v>2032</v>
      </c>
      <c r="P5" s="18" t="n">
        <f aca="false">'Global Inputs'!P$5</f>
        <v>2033</v>
      </c>
      <c r="Q5" s="18" t="n">
        <f aca="false">'Global Inputs'!Q$5</f>
        <v>2034</v>
      </c>
      <c r="R5" s="18" t="n">
        <f aca="false">'Global Inputs'!R$5</f>
        <v>2035</v>
      </c>
      <c r="S5" s="18" t="n">
        <f aca="false">'Global Inputs'!S$5</f>
        <v>2036</v>
      </c>
      <c r="T5" s="6" t="s">
        <v>123</v>
      </c>
      <c r="U5" s="6" t="s">
        <v>124</v>
      </c>
    </row>
    <row r="6" customFormat="false" ht="15" hidden="false" customHeight="false" outlineLevel="0" collapsed="false">
      <c r="B6" s="19" t="s">
        <v>125</v>
      </c>
      <c r="F6" s="20" t="n">
        <f aca="false">'Global Inputs'!F$6</f>
        <v>45291</v>
      </c>
      <c r="G6" s="20" t="n">
        <f aca="false">'Global Inputs'!G$6</f>
        <v>45657</v>
      </c>
      <c r="H6" s="20" t="n">
        <f aca="false">'Global Inputs'!H$6</f>
        <v>46022</v>
      </c>
      <c r="I6" s="20" t="n">
        <f aca="false">'Global Inputs'!I$6</f>
        <v>46387</v>
      </c>
      <c r="J6" s="20" t="n">
        <f aca="false">'Global Inputs'!J$6</f>
        <v>46752</v>
      </c>
      <c r="K6" s="20" t="n">
        <f aca="false">'Global Inputs'!K$6</f>
        <v>47118</v>
      </c>
      <c r="L6" s="20" t="n">
        <f aca="false">'Global Inputs'!L$6</f>
        <v>47483</v>
      </c>
      <c r="M6" s="20" t="n">
        <f aca="false">'Global Inputs'!M$6</f>
        <v>47848</v>
      </c>
      <c r="N6" s="20" t="n">
        <f aca="false">'Global Inputs'!N$6</f>
        <v>48213</v>
      </c>
      <c r="O6" s="20" t="n">
        <f aca="false">'Global Inputs'!O$6</f>
        <v>48579</v>
      </c>
      <c r="P6" s="20" t="n">
        <f aca="false">'Global Inputs'!P$6</f>
        <v>48944</v>
      </c>
      <c r="Q6" s="20" t="n">
        <f aca="false">'Global Inputs'!Q$6</f>
        <v>49309</v>
      </c>
      <c r="R6" s="20" t="n">
        <f aca="false">'Global Inputs'!R$6</f>
        <v>49674</v>
      </c>
      <c r="S6" s="20" t="n">
        <f aca="false">'Global Inputs'!S$6</f>
        <v>50040</v>
      </c>
    </row>
    <row r="7" customFormat="false" ht="15" hidden="false" customHeight="false" outlineLevel="0" collapsed="false">
      <c r="B7" s="19" t="s">
        <v>126</v>
      </c>
      <c r="F7" s="21" t="n">
        <f aca="false">'Global Inputs'!F$7</f>
        <v>365</v>
      </c>
      <c r="G7" s="21" t="n">
        <f aca="false">'Global Inputs'!G$7</f>
        <v>366</v>
      </c>
      <c r="H7" s="21" t="n">
        <f aca="false">'Global Inputs'!H$7</f>
        <v>365</v>
      </c>
      <c r="I7" s="21" t="n">
        <f aca="false">'Global Inputs'!I$7</f>
        <v>365</v>
      </c>
      <c r="J7" s="21" t="n">
        <f aca="false">'Global Inputs'!J$7</f>
        <v>365</v>
      </c>
      <c r="K7" s="21" t="n">
        <f aca="false">'Global Inputs'!K$7</f>
        <v>366</v>
      </c>
      <c r="L7" s="21" t="n">
        <f aca="false">'Global Inputs'!L$7</f>
        <v>365</v>
      </c>
      <c r="M7" s="21" t="n">
        <f aca="false">'Global Inputs'!M$7</f>
        <v>365</v>
      </c>
      <c r="N7" s="21" t="n">
        <f aca="false">'Global Inputs'!N$7</f>
        <v>365</v>
      </c>
      <c r="O7" s="21" t="n">
        <f aca="false">'Global Inputs'!O$7</f>
        <v>366</v>
      </c>
      <c r="P7" s="21" t="n">
        <f aca="false">'Global Inputs'!P$7</f>
        <v>365</v>
      </c>
      <c r="Q7" s="21" t="n">
        <f aca="false">'Global Inputs'!Q$7</f>
        <v>365</v>
      </c>
      <c r="R7" s="21" t="n">
        <f aca="false">'Global Inputs'!R$7</f>
        <v>365</v>
      </c>
      <c r="S7" s="21" t="n">
        <f aca="false">'Global Inputs'!S$7</f>
        <v>366</v>
      </c>
    </row>
    <row r="8" customFormat="false" ht="15" hidden="false" customHeight="false" outlineLevel="0" collapsed="false">
      <c r="B8" s="19" t="s">
        <v>127</v>
      </c>
      <c r="F8" s="21" t="n">
        <f aca="false">'Global Inputs'!F$8</f>
        <v>0</v>
      </c>
      <c r="G8" s="21" t="n">
        <f aca="false">'Global Inputs'!G$8</f>
        <v>1</v>
      </c>
      <c r="H8" s="21" t="n">
        <f aca="false">'Global Inputs'!H$8</f>
        <v>1</v>
      </c>
      <c r="I8" s="21" t="n">
        <f aca="false">'Global Inputs'!I$8</f>
        <v>1</v>
      </c>
      <c r="J8" s="21" t="n">
        <f aca="false">'Global Inputs'!J$8</f>
        <v>1</v>
      </c>
      <c r="K8" s="21" t="n">
        <f aca="false">'Global Inputs'!K$8</f>
        <v>1</v>
      </c>
      <c r="L8" s="21" t="n">
        <f aca="false">'Global Inputs'!L$8</f>
        <v>1</v>
      </c>
      <c r="M8" s="21" t="n">
        <f aca="false">'Global Inputs'!M$8</f>
        <v>1</v>
      </c>
      <c r="N8" s="21" t="n">
        <f aca="false">'Global Inputs'!N$8</f>
        <v>1</v>
      </c>
      <c r="O8" s="21" t="n">
        <f aca="false">'Global Inputs'!O$8</f>
        <v>1</v>
      </c>
      <c r="P8" s="21" t="n">
        <f aca="false">'Global Inputs'!P$8</f>
        <v>1</v>
      </c>
      <c r="Q8" s="21" t="n">
        <f aca="false">'Global Inputs'!Q$8</f>
        <v>1</v>
      </c>
      <c r="R8" s="21" t="n">
        <f aca="false">'Global Inputs'!R$8</f>
        <v>1</v>
      </c>
      <c r="S8" s="21" t="n">
        <f aca="false">'Global Inputs'!S$8</f>
        <v>1</v>
      </c>
    </row>
    <row r="10" customFormat="false" ht="15" hidden="false" customHeight="false" outlineLevel="0" collapsed="false">
      <c r="B10" s="22" t="s">
        <v>755</v>
      </c>
      <c r="C10" s="23"/>
      <c r="D10" s="23"/>
      <c r="E10" s="23"/>
      <c r="F10" s="23"/>
      <c r="G10" s="23"/>
      <c r="H10" s="23"/>
      <c r="I10" s="23"/>
      <c r="J10" s="23"/>
      <c r="K10" s="23"/>
      <c r="L10" s="23"/>
      <c r="M10" s="23"/>
      <c r="N10" s="23"/>
      <c r="O10" s="23"/>
      <c r="P10" s="23"/>
      <c r="Q10" s="23"/>
      <c r="R10" s="23"/>
      <c r="S10" s="23"/>
    </row>
    <row r="11" customFormat="false" ht="15" hidden="false" customHeight="false" outlineLevel="0" collapsed="false">
      <c r="B11" s="24" t="s">
        <v>756</v>
      </c>
      <c r="C11" s="25" t="s">
        <v>170</v>
      </c>
      <c r="D11" s="25" t="s">
        <v>153</v>
      </c>
      <c r="G11" s="45" t="n">
        <v>305.288636575314</v>
      </c>
      <c r="H11" s="45" t="n">
        <v>427.602866470316</v>
      </c>
      <c r="I11" s="45" t="n">
        <v>622.064886286529</v>
      </c>
      <c r="J11" s="45" t="n">
        <v>754.462832875593</v>
      </c>
      <c r="K11" s="45" t="n">
        <v>841.309577025576</v>
      </c>
      <c r="L11" s="45" t="n">
        <v>917.907037231012</v>
      </c>
      <c r="M11" s="45" t="n">
        <v>957.016879172433</v>
      </c>
      <c r="N11" s="45" t="n">
        <v>1021.44310957036</v>
      </c>
      <c r="O11" s="45" t="n">
        <v>1068.32911720014</v>
      </c>
      <c r="P11" s="45" t="n">
        <v>1137.221937108</v>
      </c>
      <c r="Q11" s="45" t="n">
        <v>1162.58196694518</v>
      </c>
      <c r="R11" s="45" t="n">
        <v>1171.21436229586</v>
      </c>
      <c r="S11" s="45" t="n">
        <v>1212.28951630494</v>
      </c>
      <c r="T11" s="5" t="s">
        <v>757</v>
      </c>
    </row>
    <row r="12" customFormat="false" ht="15" hidden="false" customHeight="false" outlineLevel="0" collapsed="false">
      <c r="B12" s="24" t="s">
        <v>758</v>
      </c>
      <c r="C12" s="25" t="s">
        <v>170</v>
      </c>
      <c r="F12" s="58" t="n">
        <f aca="false">'FSL Financials — With BUMN'!F18</f>
        <v>0</v>
      </c>
      <c r="G12" s="58" t="n">
        <f aca="false">'FSL Financials — With BUMN'!G18</f>
        <v>305.288412360754</v>
      </c>
      <c r="H12" s="58" t="n">
        <f aca="false">'FSL Financials — With BUMN'!H18</f>
        <v>427.60263552932</v>
      </c>
      <c r="I12" s="58" t="n">
        <f aca="false">'FSL Financials — With BUMN'!I18</f>
        <v>622.064556538699</v>
      </c>
      <c r="J12" s="58" t="n">
        <f aca="false">'FSL Financials — With BUMN'!J18</f>
        <v>754.462492082283</v>
      </c>
      <c r="K12" s="58" t="n">
        <f aca="false">'FSL Financials — With BUMN'!K18</f>
        <v>841.309226008467</v>
      </c>
      <c r="L12" s="58" t="n">
        <f aca="false">'FSL Financials — With BUMN'!L18</f>
        <v>917.906667885605</v>
      </c>
      <c r="M12" s="58" t="n">
        <f aca="false">'FSL Financials — With BUMN'!M18</f>
        <v>957.016498746665</v>
      </c>
      <c r="N12" s="58" t="n">
        <f aca="false">'FSL Financials — With BUMN'!N18</f>
        <v>1021.44271773182</v>
      </c>
      <c r="O12" s="58" t="n">
        <f aca="false">'FSL Financials — With BUMN'!O18</f>
        <v>1068.32870482927</v>
      </c>
      <c r="P12" s="58" t="n">
        <f aca="false">'FSL Financials — With BUMN'!P18</f>
        <v>1137.22151236596</v>
      </c>
      <c r="Q12" s="58" t="n">
        <f aca="false">'FSL Financials — With BUMN'!Q18</f>
        <v>1162.58168525456</v>
      </c>
      <c r="R12" s="58" t="n">
        <f aca="false">'FSL Financials — With BUMN'!R18</f>
        <v>1171.21401861933</v>
      </c>
      <c r="S12" s="58" t="n">
        <f aca="false">'FSL Financials — With BUMN'!S18</f>
        <v>1212.2891656223</v>
      </c>
    </row>
    <row r="13" customFormat="false" ht="15" hidden="false" customHeight="false" outlineLevel="0" collapsed="false">
      <c r="B13" s="69" t="s">
        <v>759</v>
      </c>
      <c r="C13" s="25" t="s">
        <v>170</v>
      </c>
      <c r="F13" s="68" t="n">
        <f aca="false">F12-F11</f>
        <v>0</v>
      </c>
      <c r="G13" s="68" t="n">
        <f aca="false">G12-G11</f>
        <v>-0.000224214559921165</v>
      </c>
      <c r="H13" s="68" t="n">
        <f aca="false">H12-H11</f>
        <v>-0.000230940996800655</v>
      </c>
      <c r="I13" s="68" t="n">
        <f aca="false">I12-I11</f>
        <v>-0.000329747829823646</v>
      </c>
      <c r="J13" s="68" t="n">
        <f aca="false">J12-J11</f>
        <v>-0.000340793310215304</v>
      </c>
      <c r="K13" s="68" t="n">
        <f aca="false">K12-K11</f>
        <v>-0.000351017109665008</v>
      </c>
      <c r="L13" s="68" t="n">
        <f aca="false">L12-L11</f>
        <v>-0.000369345406511457</v>
      </c>
      <c r="M13" s="68" t="n">
        <f aca="false">M12-M11</f>
        <v>-0.000380425768639725</v>
      </c>
      <c r="N13" s="68" t="n">
        <f aca="false">N12-N11</f>
        <v>-0.000391838541531797</v>
      </c>
      <c r="O13" s="68" t="n">
        <f aca="false">O12-O11</f>
        <v>-0.000412370872936663</v>
      </c>
      <c r="P13" s="68" t="n">
        <f aca="false">P12-P11</f>
        <v>-0.000424742038831027</v>
      </c>
      <c r="Q13" s="68" t="n">
        <f aca="false">Q12-Q11</f>
        <v>-0.00028169061420158</v>
      </c>
      <c r="R13" s="68" t="n">
        <f aca="false">R12-R11</f>
        <v>-0.000343676522788883</v>
      </c>
      <c r="S13" s="68" t="n">
        <f aca="false">S12-S11</f>
        <v>-0.000350682634234545</v>
      </c>
      <c r="U13" s="5" t="s">
        <v>760</v>
      </c>
    </row>
    <row r="14" customFormat="false" ht="15" hidden="false" customHeight="false" outlineLevel="0" collapsed="false">
      <c r="B14" s="24" t="s">
        <v>761</v>
      </c>
      <c r="C14" s="25" t="s">
        <v>170</v>
      </c>
      <c r="D14" s="25" t="s">
        <v>153</v>
      </c>
      <c r="G14" s="45" t="n">
        <v>-122.54305842796</v>
      </c>
      <c r="H14" s="45" t="n">
        <v>-114.658762824422</v>
      </c>
      <c r="I14" s="45" t="n">
        <v>-112.224966728287</v>
      </c>
      <c r="J14" s="45" t="n">
        <v>-124.581135502231</v>
      </c>
      <c r="K14" s="45" t="n">
        <v>-146.734927068224</v>
      </c>
      <c r="L14" s="45" t="n">
        <v>-157.564350506016</v>
      </c>
      <c r="M14" s="45" t="n">
        <v>-167.623127965456</v>
      </c>
      <c r="N14" s="45" t="n">
        <v>-179.279132373637</v>
      </c>
      <c r="O14" s="45" t="n">
        <v>-190.134995813909</v>
      </c>
      <c r="P14" s="45" t="n">
        <v>-201.602677883666</v>
      </c>
      <c r="Q14" s="45" t="n">
        <v>-197.459136594285</v>
      </c>
      <c r="R14" s="45" t="n">
        <v>-206.40946772791</v>
      </c>
      <c r="S14" s="45" t="n">
        <v>-216.931142504853</v>
      </c>
      <c r="T14" s="5" t="s">
        <v>762</v>
      </c>
    </row>
    <row r="15" customFormat="false" ht="15" hidden="false" customHeight="false" outlineLevel="0" collapsed="false">
      <c r="B15" s="24" t="s">
        <v>763</v>
      </c>
      <c r="C15" s="25" t="s">
        <v>170</v>
      </c>
      <c r="F15" s="58" t="n">
        <f aca="false">'FSL Financials — With BUMN'!F19</f>
        <v>0</v>
      </c>
      <c r="G15" s="58" t="n">
        <f aca="false">'FSL Financials — With BUMN'!G19</f>
        <v>-122.543038522037</v>
      </c>
      <c r="H15" s="58" t="n">
        <f aca="false">'FSL Financials — With BUMN'!H19</f>
        <v>-114.658741724505</v>
      </c>
      <c r="I15" s="58" t="n">
        <f aca="false">'FSL Financials — With BUMN'!I19</f>
        <v>-112.224944325471</v>
      </c>
      <c r="J15" s="58" t="n">
        <f aca="false">'FSL Financials — With BUMN'!J19</f>
        <v>-124.581111752949</v>
      </c>
      <c r="K15" s="58" t="n">
        <f aca="false">'FSL Financials — With BUMN'!K19</f>
        <v>-146.734901704974</v>
      </c>
      <c r="L15" s="58" t="n">
        <f aca="false">'FSL Financials — With BUMN'!L19</f>
        <v>-157.564323537375</v>
      </c>
      <c r="M15" s="58" t="n">
        <f aca="false">'FSL Financials — With BUMN'!M19</f>
        <v>-167.623099382131</v>
      </c>
      <c r="N15" s="58" t="n">
        <f aca="false">'FSL Financials — With BUMN'!N19</f>
        <v>-179.279102068045</v>
      </c>
      <c r="O15" s="58" t="n">
        <f aca="false">'FSL Financials — With BUMN'!O19</f>
        <v>-190.13496362309</v>
      </c>
      <c r="P15" s="58" t="n">
        <f aca="false">'FSL Financials — With BUMN'!P19</f>
        <v>-201.602643771733</v>
      </c>
      <c r="Q15" s="58" t="n">
        <f aca="false">'FSL Financials — With BUMN'!Q19</f>
        <v>-197.459104337975</v>
      </c>
      <c r="R15" s="58" t="n">
        <f aca="false">'FSL Financials — With BUMN'!R19</f>
        <v>-206.409432070665</v>
      </c>
      <c r="S15" s="58" t="n">
        <f aca="false">'FSL Financials — With BUMN'!S19</f>
        <v>-216.931104713551</v>
      </c>
    </row>
    <row r="16" customFormat="false" ht="15" hidden="false" customHeight="false" outlineLevel="0" collapsed="false">
      <c r="B16" s="69" t="s">
        <v>759</v>
      </c>
      <c r="C16" s="25" t="s">
        <v>170</v>
      </c>
      <c r="F16" s="68" t="n">
        <f aca="false">F15-F14</f>
        <v>0</v>
      </c>
      <c r="G16" s="68" t="n">
        <f aca="false">G15-G14</f>
        <v>1.9905922741259E-005</v>
      </c>
      <c r="H16" s="68" t="n">
        <f aca="false">H15-H14</f>
        <v>2.10999168217541E-005</v>
      </c>
      <c r="I16" s="68" t="n">
        <f aca="false">I15-I14</f>
        <v>2.24028150768163E-005</v>
      </c>
      <c r="J16" s="68" t="n">
        <f aca="false">J15-J14</f>
        <v>2.37492821781871E-005</v>
      </c>
      <c r="K16" s="68" t="n">
        <f aca="false">K15-K14</f>
        <v>2.53632495059719E-005</v>
      </c>
      <c r="L16" s="68" t="n">
        <f aca="false">L15-L14</f>
        <v>2.69686406397796E-005</v>
      </c>
      <c r="M16" s="68" t="n">
        <f aca="false">M15-M14</f>
        <v>2.85833255020407E-005</v>
      </c>
      <c r="N16" s="68" t="n">
        <f aca="false">N15-N14</f>
        <v>3.03055914230299E-005</v>
      </c>
      <c r="O16" s="68" t="n">
        <f aca="false">O15-O14</f>
        <v>3.21908188993803E-005</v>
      </c>
      <c r="P16" s="68" t="n">
        <f aca="false">P15-P14</f>
        <v>3.41119329050343E-005</v>
      </c>
      <c r="Q16" s="68" t="n">
        <f aca="false">Q15-Q14</f>
        <v>3.22563104759865E-005</v>
      </c>
      <c r="R16" s="68" t="n">
        <f aca="false">R15-R14</f>
        <v>3.56572453199533E-005</v>
      </c>
      <c r="S16" s="68" t="n">
        <f aca="false">S15-S14</f>
        <v>3.77913015938702E-005</v>
      </c>
      <c r="U16" s="5" t="s">
        <v>764</v>
      </c>
    </row>
    <row r="17" customFormat="false" ht="15" hidden="false" customHeight="false" outlineLevel="0" collapsed="false">
      <c r="B17" s="24" t="s">
        <v>765</v>
      </c>
      <c r="C17" s="25" t="s">
        <v>170</v>
      </c>
      <c r="D17" s="25" t="s">
        <v>153</v>
      </c>
      <c r="G17" s="45" t="n">
        <v>-28.5101027444914</v>
      </c>
      <c r="H17" s="45" t="n">
        <v>-49.3855698671699</v>
      </c>
      <c r="I17" s="45" t="n">
        <v>-142.349631527037</v>
      </c>
      <c r="J17" s="45" t="n">
        <v>-179.633564043588</v>
      </c>
      <c r="K17" s="45" t="n">
        <v>-195.405144479306</v>
      </c>
      <c r="L17" s="45" t="n">
        <v>-206.352346578354</v>
      </c>
      <c r="M17" s="45" t="n">
        <v>-214.027735579395</v>
      </c>
      <c r="N17" s="45" t="n">
        <v>-223.791284173038</v>
      </c>
      <c r="O17" s="45" t="n">
        <v>-231.124852120791</v>
      </c>
      <c r="P17" s="45" t="n">
        <v>-241.327373116229</v>
      </c>
      <c r="Q17" s="45" t="n">
        <v>-249.213334876899</v>
      </c>
      <c r="R17" s="45" t="n">
        <v>-253.459508349192</v>
      </c>
      <c r="S17" s="45" t="n">
        <v>-261.085332887954</v>
      </c>
      <c r="T17" s="5" t="s">
        <v>766</v>
      </c>
    </row>
    <row r="18" customFormat="false" ht="15" hidden="false" customHeight="false" outlineLevel="0" collapsed="false">
      <c r="B18" s="24" t="s">
        <v>767</v>
      </c>
      <c r="C18" s="25" t="s">
        <v>170</v>
      </c>
      <c r="F18" s="58" t="n">
        <f aca="false">'FSL Financials — With BUMN'!F21</f>
        <v>0</v>
      </c>
      <c r="G18" s="58" t="n">
        <f aca="false">'FSL Financials — With BUMN'!G21</f>
        <v>-28.5101006637158</v>
      </c>
      <c r="H18" s="58" t="n">
        <f aca="false">'FSL Financials — With BUMN'!H21</f>
        <v>-49.3855677304474</v>
      </c>
      <c r="I18" s="58" t="n">
        <f aca="false">'FSL Financials — With BUMN'!I21</f>
        <v>-142.349582474731</v>
      </c>
      <c r="J18" s="58" t="n">
        <f aca="false">'FSL Financials — With BUMN'!J21</f>
        <v>-179.633513295842</v>
      </c>
      <c r="K18" s="58" t="n">
        <f aca="false">'FSL Financials — With BUMN'!K21</f>
        <v>-195.405088551547</v>
      </c>
      <c r="L18" s="58" t="n">
        <f aca="false">'FSL Financials — With BUMN'!L21</f>
        <v>-206.352288352617</v>
      </c>
      <c r="M18" s="58" t="n">
        <f aca="false">'FSL Financials — With BUMN'!M21</f>
        <v>-214.027675301354</v>
      </c>
      <c r="N18" s="58" t="n">
        <f aca="false">'FSL Financials — With BUMN'!N21</f>
        <v>-223.791221548373</v>
      </c>
      <c r="O18" s="58" t="n">
        <f aca="false">'FSL Financials — With BUMN'!O21</f>
        <v>-231.124787453281</v>
      </c>
      <c r="P18" s="58" t="n">
        <f aca="false">'FSL Financials — With BUMN'!P21</f>
        <v>-241.327306334338</v>
      </c>
      <c r="Q18" s="58" t="n">
        <f aca="false">'FSL Financials — With BUMN'!Q21</f>
        <v>-249.213265906317</v>
      </c>
      <c r="R18" s="58" t="n">
        <f aca="false">'FSL Financials — With BUMN'!R21</f>
        <v>-253.459436691751</v>
      </c>
      <c r="S18" s="58" t="n">
        <f aca="false">'FSL Financials — With BUMN'!S21</f>
        <v>-261.085258858745</v>
      </c>
    </row>
    <row r="19" customFormat="false" ht="15" hidden="false" customHeight="false" outlineLevel="0" collapsed="false">
      <c r="B19" s="69" t="s">
        <v>759</v>
      </c>
      <c r="C19" s="25" t="s">
        <v>170</v>
      </c>
      <c r="F19" s="68" t="n">
        <f aca="false">F18-F17</f>
        <v>0</v>
      </c>
      <c r="G19" s="68" t="n">
        <f aca="false">G18-G17</f>
        <v>2.08077557672937E-006</v>
      </c>
      <c r="H19" s="68" t="n">
        <f aca="false">H18-H17</f>
        <v>2.13672253579489E-006</v>
      </c>
      <c r="I19" s="68" t="n">
        <f aca="false">I18-I17</f>
        <v>4.90523060250325E-005</v>
      </c>
      <c r="J19" s="68" t="n">
        <f aca="false">J18-J17</f>
        <v>5.07477463429495E-005</v>
      </c>
      <c r="K19" s="68" t="n">
        <f aca="false">K18-K17</f>
        <v>5.59277584386564E-005</v>
      </c>
      <c r="L19" s="68" t="n">
        <f aca="false">L18-L17</f>
        <v>5.82257369501349E-005</v>
      </c>
      <c r="M19" s="68" t="n">
        <f aca="false">M18-M17</f>
        <v>6.02780407632508E-005</v>
      </c>
      <c r="N19" s="68" t="n">
        <f aca="false">N18-N17</f>
        <v>6.26246643093964E-005</v>
      </c>
      <c r="O19" s="68" t="n">
        <f aca="false">O18-O17</f>
        <v>6.4667509661831E-005</v>
      </c>
      <c r="P19" s="68" t="n">
        <f aca="false">P18-P17</f>
        <v>6.67818912063467E-005</v>
      </c>
      <c r="Q19" s="68" t="n">
        <f aca="false">Q18-Q17</f>
        <v>6.89705816512287E-005</v>
      </c>
      <c r="R19" s="68" t="n">
        <f aca="false">R18-R17</f>
        <v>7.16574409977966E-005</v>
      </c>
      <c r="S19" s="68" t="n">
        <f aca="false">S18-S17</f>
        <v>7.40292095997575E-005</v>
      </c>
      <c r="U19" s="5" t="s">
        <v>764</v>
      </c>
    </row>
    <row r="20" customFormat="false" ht="15" hidden="false" customHeight="false" outlineLevel="0" collapsed="false">
      <c r="B20" s="24" t="s">
        <v>768</v>
      </c>
      <c r="C20" s="25" t="s">
        <v>170</v>
      </c>
      <c r="D20" s="25" t="s">
        <v>153</v>
      </c>
      <c r="G20" s="45" t="n">
        <v>154.235475402863</v>
      </c>
      <c r="H20" s="45" t="n">
        <v>263.558533778724</v>
      </c>
      <c r="I20" s="45" t="n">
        <v>367.490288031206</v>
      </c>
      <c r="J20" s="45" t="n">
        <v>450.248133329773</v>
      </c>
      <c r="K20" s="45" t="n">
        <v>499.169505478047</v>
      </c>
      <c r="L20" s="45" t="n">
        <v>553.990340146642</v>
      </c>
      <c r="M20" s="45" t="n">
        <v>575.366015627582</v>
      </c>
      <c r="N20" s="45" t="n">
        <v>618.372693023684</v>
      </c>
      <c r="O20" s="45" t="n">
        <v>647.069269265444</v>
      </c>
      <c r="P20" s="45" t="n">
        <v>694.291886108108</v>
      </c>
      <c r="Q20" s="45" t="n">
        <v>715.909495473993</v>
      </c>
      <c r="R20" s="45" t="n">
        <v>711.345386218753</v>
      </c>
      <c r="S20" s="45" t="n">
        <v>734.27304091213</v>
      </c>
      <c r="T20" s="5" t="s">
        <v>769</v>
      </c>
    </row>
    <row r="21" customFormat="false" ht="15" hidden="false" customHeight="false" outlineLevel="0" collapsed="false">
      <c r="B21" s="24" t="s">
        <v>770</v>
      </c>
      <c r="C21" s="25" t="s">
        <v>170</v>
      </c>
      <c r="F21" s="58" t="n">
        <f aca="false">'FSL Financials — With BUMN'!F22</f>
        <v>0</v>
      </c>
      <c r="G21" s="58" t="n">
        <f aca="false">'FSL Financials — With BUMN'!G22</f>
        <v>154.235273175001</v>
      </c>
      <c r="H21" s="58" t="n">
        <f aca="false">'FSL Financials — With BUMN'!H22</f>
        <v>263.558326074367</v>
      </c>
      <c r="I21" s="58" t="n">
        <f aca="false">'FSL Financials — With BUMN'!I22</f>
        <v>367.490029738497</v>
      </c>
      <c r="J21" s="58" t="n">
        <f aca="false">'FSL Financials — With BUMN'!J22</f>
        <v>450.247867033492</v>
      </c>
      <c r="K21" s="58" t="n">
        <f aca="false">'FSL Financials — With BUMN'!K22</f>
        <v>499.169235751945</v>
      </c>
      <c r="L21" s="58" t="n">
        <f aca="false">'FSL Financials — With BUMN'!L22</f>
        <v>553.990055995613</v>
      </c>
      <c r="M21" s="58" t="n">
        <f aca="false">'FSL Financials — With BUMN'!M22</f>
        <v>575.36572406318</v>
      </c>
      <c r="N21" s="58" t="n">
        <f aca="false">'FSL Financials — With BUMN'!N22</f>
        <v>618.372394115397</v>
      </c>
      <c r="O21" s="58" t="n">
        <f aca="false">'FSL Financials — With BUMN'!O22</f>
        <v>647.0689537529</v>
      </c>
      <c r="P21" s="58" t="n">
        <f aca="false">'FSL Financials — With BUMN'!P22</f>
        <v>694.291562259893</v>
      </c>
      <c r="Q21" s="58" t="n">
        <f aca="false">'FSL Financials — With BUMN'!Q22</f>
        <v>715.909315010271</v>
      </c>
      <c r="R21" s="58" t="n">
        <f aca="false">'FSL Financials — With BUMN'!R22</f>
        <v>711.345149856917</v>
      </c>
      <c r="S21" s="58" t="n">
        <f aca="false">'FSL Financials — With BUMN'!S22</f>
        <v>734.272802050007</v>
      </c>
    </row>
    <row r="22" customFormat="false" ht="15" hidden="false" customHeight="false" outlineLevel="0" collapsed="false">
      <c r="B22" s="69" t="s">
        <v>759</v>
      </c>
      <c r="C22" s="25" t="s">
        <v>170</v>
      </c>
      <c r="F22" s="68" t="n">
        <f aca="false">F21-F20</f>
        <v>0</v>
      </c>
      <c r="G22" s="68" t="n">
        <f aca="false">G21-G20</f>
        <v>-0.000202227861677784</v>
      </c>
      <c r="H22" s="68" t="n">
        <f aca="false">H21-H20</f>
        <v>-0.000207704357478633</v>
      </c>
      <c r="I22" s="68" t="n">
        <f aca="false">I21-I20</f>
        <v>-0.000258292708792851</v>
      </c>
      <c r="J22" s="68" t="n">
        <f aca="false">J21-J20</f>
        <v>-0.000266296281722589</v>
      </c>
      <c r="K22" s="68" t="n">
        <f aca="false">K21-K20</f>
        <v>-0.000269726101635115</v>
      </c>
      <c r="L22" s="68" t="n">
        <f aca="false">L21-L20</f>
        <v>-0.000284151028949964</v>
      </c>
      <c r="M22" s="68" t="n">
        <f aca="false">M21-M20</f>
        <v>-0.000291564402346012</v>
      </c>
      <c r="N22" s="68" t="n">
        <f aca="false">N21-N20</f>
        <v>-0.000298908286254118</v>
      </c>
      <c r="O22" s="68" t="n">
        <f aca="false">O21-O20</f>
        <v>-0.000315512544034391</v>
      </c>
      <c r="P22" s="68" t="n">
        <f aca="false">P21-P20</f>
        <v>-0.000323848214975442</v>
      </c>
      <c r="Q22" s="68" t="n">
        <f aca="false">Q21-Q20</f>
        <v>-0.000180463721903834</v>
      </c>
      <c r="R22" s="68" t="n">
        <f aca="false">R21-R20</f>
        <v>-0.000236361836073229</v>
      </c>
      <c r="S22" s="68" t="n">
        <f aca="false">S21-S20</f>
        <v>-0.000238862123524086</v>
      </c>
      <c r="U22" s="5" t="s">
        <v>764</v>
      </c>
    </row>
    <row r="23" customFormat="false" ht="15" hidden="false" customHeight="false" outlineLevel="0" collapsed="false">
      <c r="B23" s="24" t="s">
        <v>771</v>
      </c>
      <c r="C23" s="25" t="s">
        <v>170</v>
      </c>
      <c r="D23" s="25" t="s">
        <v>153</v>
      </c>
      <c r="G23" s="45" t="n">
        <v>-88.3730624089353</v>
      </c>
      <c r="H23" s="45" t="n">
        <v>-113.599685182002</v>
      </c>
      <c r="I23" s="45" t="n">
        <v>-134.967803903113</v>
      </c>
      <c r="J23" s="45" t="n">
        <v>-136.941341687209</v>
      </c>
      <c r="K23" s="45" t="n">
        <v>-144.198430063336</v>
      </c>
      <c r="L23" s="45" t="n">
        <v>-146.207162156986</v>
      </c>
      <c r="M23" s="45" t="n">
        <v>-146.216068892509</v>
      </c>
      <c r="N23" s="45" t="n">
        <v>-146.225153762742</v>
      </c>
      <c r="O23" s="45" t="n">
        <v>-148.23442033038</v>
      </c>
      <c r="P23" s="45" t="n">
        <v>-148.243872229371</v>
      </c>
      <c r="Q23" s="45" t="n">
        <v>-142.715667928246</v>
      </c>
      <c r="R23" s="45" t="n">
        <v>-142.725501683956</v>
      </c>
      <c r="S23" s="45" t="n">
        <v>-142.73553211478</v>
      </c>
      <c r="T23" s="5" t="s">
        <v>772</v>
      </c>
    </row>
    <row r="24" customFormat="false" ht="15" hidden="false" customHeight="false" outlineLevel="0" collapsed="false">
      <c r="B24" s="24" t="s">
        <v>773</v>
      </c>
      <c r="C24" s="25" t="s">
        <v>170</v>
      </c>
      <c r="F24" s="58" t="n">
        <f aca="false">'FSL Financials — With BUMN'!F23</f>
        <v>-0</v>
      </c>
      <c r="G24" s="58" t="n">
        <f aca="false">'FSL Financials — With BUMN'!G23</f>
        <v>-88.3730862512023</v>
      </c>
      <c r="H24" s="58" t="n">
        <f aca="false">'FSL Financials — With BUMN'!H23</f>
        <v>-113.599709038291</v>
      </c>
      <c r="I24" s="58" t="n">
        <f aca="false">'FSL Financials — With BUMN'!I23</f>
        <v>-127.998275273704</v>
      </c>
      <c r="J24" s="58" t="n">
        <f aca="false">'FSL Financials — With BUMN'!J23</f>
        <v>-141.840867465638</v>
      </c>
      <c r="K24" s="58" t="n">
        <f aca="false">'FSL Financials — With BUMN'!K23</f>
        <v>-149.097955856646</v>
      </c>
      <c r="L24" s="58" t="n">
        <f aca="false">'FSL Financials — With BUMN'!L23</f>
        <v>-151.106687965474</v>
      </c>
      <c r="M24" s="58" t="n">
        <f aca="false">'FSL Financials — With BUMN'!M23</f>
        <v>-151.115594716478</v>
      </c>
      <c r="N24" s="58" t="n">
        <f aca="false">'FSL Financials — With BUMN'!N23</f>
        <v>-151.124679602502</v>
      </c>
      <c r="O24" s="58" t="n">
        <f aca="false">'FSL Financials — With BUMN'!O23</f>
        <v>-153.133946186247</v>
      </c>
      <c r="P24" s="58" t="n">
        <f aca="false">'FSL Financials — With BUMN'!P23</f>
        <v>-139.30513865452</v>
      </c>
      <c r="Q24" s="58" t="n">
        <f aca="false">'FSL Financials — With BUMN'!Q23</f>
        <v>-132.613053120152</v>
      </c>
      <c r="R24" s="58" t="n">
        <f aca="false">'FSL Financials — With BUMN'!R23</f>
        <v>-130.935393142955</v>
      </c>
      <c r="S24" s="58" t="n">
        <f aca="false">'FSL Financials — With BUMN'!S23</f>
        <v>-125.837611091214</v>
      </c>
    </row>
    <row r="25" customFormat="false" ht="15" hidden="false" customHeight="false" outlineLevel="0" collapsed="false">
      <c r="B25" s="69" t="s">
        <v>759</v>
      </c>
      <c r="C25" s="25" t="s">
        <v>170</v>
      </c>
      <c r="F25" s="68" t="n">
        <f aca="false">F24-F23</f>
        <v>-0</v>
      </c>
      <c r="G25" s="68" t="n">
        <f aca="false">G24-G23</f>
        <v>-2.38422669838201E-005</v>
      </c>
      <c r="H25" s="68" t="n">
        <f aca="false">H24-H23</f>
        <v>-2.38562889052218E-005</v>
      </c>
      <c r="I25" s="68" t="n">
        <f aca="false">I24-I23</f>
        <v>6.96952862940873</v>
      </c>
      <c r="J25" s="68" t="n">
        <f aca="false">J24-J23</f>
        <v>-4.89952577842982</v>
      </c>
      <c r="K25" s="68" t="n">
        <f aca="false">K24-K23</f>
        <v>-4.89952579330995</v>
      </c>
      <c r="L25" s="68" t="n">
        <f aca="false">L24-L23</f>
        <v>-4.8995258084878</v>
      </c>
      <c r="M25" s="68" t="n">
        <f aca="false">M24-M23</f>
        <v>-4.89952582396907</v>
      </c>
      <c r="N25" s="68" t="n">
        <f aca="false">N24-N23</f>
        <v>-4.89952583976009</v>
      </c>
      <c r="O25" s="68" t="n">
        <f aca="false">O24-O23</f>
        <v>-4.8995258558669</v>
      </c>
      <c r="P25" s="68" t="n">
        <f aca="false">P24-P23</f>
        <v>8.93873357485114</v>
      </c>
      <c r="Q25" s="68" t="n">
        <f aca="false">Q24-Q23</f>
        <v>10.1026148080937</v>
      </c>
      <c r="R25" s="68" t="n">
        <f aca="false">R24-R23</f>
        <v>11.790108541001</v>
      </c>
      <c r="S25" s="68" t="n">
        <f aca="false">S24-S23</f>
        <v>16.8979210235665</v>
      </c>
      <c r="U25" s="5" t="s">
        <v>774</v>
      </c>
    </row>
    <row r="26" customFormat="false" ht="15" hidden="false" customHeight="false" outlineLevel="0" collapsed="false">
      <c r="B26" s="24" t="s">
        <v>775</v>
      </c>
      <c r="C26" s="25" t="s">
        <v>170</v>
      </c>
      <c r="D26" s="25" t="s">
        <v>153</v>
      </c>
      <c r="G26" s="45" t="n">
        <v>65.8624129939277</v>
      </c>
      <c r="H26" s="45" t="n">
        <v>149.958848596723</v>
      </c>
      <c r="I26" s="45" t="n">
        <v>232.522484128093</v>
      </c>
      <c r="J26" s="45" t="n">
        <v>313.306791642565</v>
      </c>
      <c r="K26" s="45" t="n">
        <v>354.971075414711</v>
      </c>
      <c r="L26" s="45" t="n">
        <v>407.783177989656</v>
      </c>
      <c r="M26" s="45" t="n">
        <v>429.149946735074</v>
      </c>
      <c r="N26" s="45" t="n">
        <v>472.147539260942</v>
      </c>
      <c r="O26" s="45" t="n">
        <v>498.834848935064</v>
      </c>
      <c r="P26" s="45" t="n">
        <v>546.048013878738</v>
      </c>
      <c r="Q26" s="45" t="n">
        <v>573.193827545747</v>
      </c>
      <c r="R26" s="45" t="n">
        <v>568.619884534797</v>
      </c>
      <c r="S26" s="45" t="n">
        <v>591.53750879735</v>
      </c>
      <c r="T26" s="5" t="s">
        <v>776</v>
      </c>
    </row>
    <row r="27" customFormat="false" ht="15" hidden="false" customHeight="false" outlineLevel="0" collapsed="false">
      <c r="B27" s="24" t="s">
        <v>777</v>
      </c>
      <c r="C27" s="25" t="s">
        <v>170</v>
      </c>
      <c r="F27" s="58" t="n">
        <f aca="false">'FSL Financials — With BUMN'!F24</f>
        <v>0</v>
      </c>
      <c r="G27" s="58" t="n">
        <f aca="false">'FSL Financials — With BUMN'!G24</f>
        <v>65.862186923799</v>
      </c>
      <c r="H27" s="58" t="n">
        <f aca="false">'FSL Financials — With BUMN'!H24</f>
        <v>149.958617036076</v>
      </c>
      <c r="I27" s="58" t="n">
        <f aca="false">'FSL Financials — With BUMN'!I24</f>
        <v>239.491754464793</v>
      </c>
      <c r="J27" s="58" t="n">
        <f aca="false">'FSL Financials — With BUMN'!J24</f>
        <v>308.406999567853</v>
      </c>
      <c r="K27" s="58" t="n">
        <f aca="false">'FSL Financials — With BUMN'!K24</f>
        <v>350.071279895299</v>
      </c>
      <c r="L27" s="58" t="n">
        <f aca="false">'FSL Financials — With BUMN'!L24</f>
        <v>402.883368030139</v>
      </c>
      <c r="M27" s="58" t="n">
        <f aca="false">'FSL Financials — With BUMN'!M24</f>
        <v>424.250129346702</v>
      </c>
      <c r="N27" s="58" t="n">
        <f aca="false">'FSL Financials — With BUMN'!N24</f>
        <v>467.247714512895</v>
      </c>
      <c r="O27" s="58" t="n">
        <f aca="false">'FSL Financials — With BUMN'!O24</f>
        <v>493.935007566653</v>
      </c>
      <c r="P27" s="58" t="n">
        <f aca="false">'FSL Financials — With BUMN'!P24</f>
        <v>554.986423605374</v>
      </c>
      <c r="Q27" s="58" t="n">
        <f aca="false">'FSL Financials — With BUMN'!Q24</f>
        <v>583.296261890118</v>
      </c>
      <c r="R27" s="58" t="n">
        <f aca="false">'FSL Financials — With BUMN'!R24</f>
        <v>580.409756713962</v>
      </c>
      <c r="S27" s="58" t="n">
        <f aca="false">'FSL Financials — With BUMN'!S24</f>
        <v>608.435190958793</v>
      </c>
    </row>
    <row r="28" customFormat="false" ht="15" hidden="false" customHeight="false" outlineLevel="0" collapsed="false">
      <c r="B28" s="69" t="s">
        <v>759</v>
      </c>
      <c r="C28" s="25" t="s">
        <v>170</v>
      </c>
      <c r="F28" s="68" t="n">
        <f aca="false">F27-F26</f>
        <v>0</v>
      </c>
      <c r="G28" s="68" t="n">
        <f aca="false">G27-G26</f>
        <v>-0.000226070128661604</v>
      </c>
      <c r="H28" s="68" t="n">
        <f aca="false">H27-H26</f>
        <v>-0.000231560646341222</v>
      </c>
      <c r="I28" s="68" t="n">
        <f aca="false">I27-I26</f>
        <v>6.96927033669994</v>
      </c>
      <c r="J28" s="68" t="n">
        <f aca="false">J27-J26</f>
        <v>-4.89979207471151</v>
      </c>
      <c r="K28" s="68" t="n">
        <f aca="false">K27-K26</f>
        <v>-4.89979551941161</v>
      </c>
      <c r="L28" s="68" t="n">
        <f aca="false">L27-L26</f>
        <v>-4.89980995951669</v>
      </c>
      <c r="M28" s="68" t="n">
        <f aca="false">M27-M26</f>
        <v>-4.89981738837133</v>
      </c>
      <c r="N28" s="68" t="n">
        <f aca="false">N27-N26</f>
        <v>-4.89982474804634</v>
      </c>
      <c r="O28" s="68" t="n">
        <f aca="false">O27-O26</f>
        <v>-4.89984136841093</v>
      </c>
      <c r="P28" s="68" t="n">
        <f aca="false">P27-P26</f>
        <v>8.93840972663611</v>
      </c>
      <c r="Q28" s="68" t="n">
        <f aca="false">Q27-Q26</f>
        <v>10.1024343443717</v>
      </c>
      <c r="R28" s="68" t="n">
        <f aca="false">R27-R26</f>
        <v>11.7898721791649</v>
      </c>
      <c r="S28" s="68" t="n">
        <f aca="false">S27-S26</f>
        <v>16.897682161443</v>
      </c>
      <c r="U28" s="5" t="s">
        <v>778</v>
      </c>
    </row>
    <row r="29" customFormat="false" ht="15" hidden="false" customHeight="false" outlineLevel="0" collapsed="false">
      <c r="B29" s="24" t="s">
        <v>779</v>
      </c>
      <c r="C29" s="25" t="s">
        <v>170</v>
      </c>
      <c r="D29" s="25" t="s">
        <v>153</v>
      </c>
      <c r="G29" s="45" t="n">
        <v>-5.470905517661</v>
      </c>
      <c r="H29" s="45" t="n">
        <v>-15.2734501777697</v>
      </c>
      <c r="I29" s="45" t="n">
        <v>0</v>
      </c>
      <c r="J29" s="45" t="n">
        <v>0</v>
      </c>
      <c r="K29" s="45" t="n">
        <v>0</v>
      </c>
      <c r="L29" s="45" t="n">
        <v>0</v>
      </c>
      <c r="M29" s="45" t="n">
        <v>0</v>
      </c>
      <c r="N29" s="45" t="n">
        <v>0</v>
      </c>
      <c r="O29" s="45" t="n">
        <v>0</v>
      </c>
      <c r="P29" s="45" t="n">
        <v>0</v>
      </c>
      <c r="Q29" s="45" t="n">
        <v>0</v>
      </c>
      <c r="R29" s="45" t="n">
        <v>0</v>
      </c>
      <c r="S29" s="45" t="n">
        <v>0</v>
      </c>
      <c r="T29" s="5" t="s">
        <v>780</v>
      </c>
    </row>
    <row r="30" customFormat="false" ht="15" hidden="false" customHeight="false" outlineLevel="0" collapsed="false">
      <c r="B30" s="24" t="s">
        <v>781</v>
      </c>
      <c r="C30" s="25" t="s">
        <v>170</v>
      </c>
      <c r="F30" s="58" t="n">
        <f aca="false">'FSL Financials — With BUMN'!F25</f>
        <v>-0</v>
      </c>
      <c r="G30" s="58" t="n">
        <f aca="false">'FSL Financials — With BUMN'!G25</f>
        <v>-5.470905517661</v>
      </c>
      <c r="H30" s="58" t="n">
        <f aca="false">'FSL Financials — With BUMN'!H25</f>
        <v>-15.2734615278</v>
      </c>
      <c r="I30" s="58" t="n">
        <f aca="false">'FSL Financials — With BUMN'!I25</f>
        <v>-15.2734615278</v>
      </c>
      <c r="J30" s="58" t="n">
        <f aca="false">'FSL Financials — With BUMN'!J25</f>
        <v>-7.57396311378575</v>
      </c>
      <c r="K30" s="58" t="n">
        <f aca="false">'FSL Financials — With BUMN'!K25</f>
        <v>-0</v>
      </c>
      <c r="L30" s="58" t="n">
        <f aca="false">'FSL Financials — With BUMN'!L25</f>
        <v>-0</v>
      </c>
      <c r="M30" s="58" t="n">
        <f aca="false">'FSL Financials — With BUMN'!M25</f>
        <v>-0</v>
      </c>
      <c r="N30" s="58" t="n">
        <f aca="false">'FSL Financials — With BUMN'!N25</f>
        <v>-0</v>
      </c>
      <c r="O30" s="58" t="n">
        <f aca="false">'FSL Financials — With BUMN'!O25</f>
        <v>-0</v>
      </c>
      <c r="P30" s="58" t="n">
        <f aca="false">'FSL Financials — With BUMN'!P25</f>
        <v>-0</v>
      </c>
      <c r="Q30" s="58" t="n">
        <f aca="false">'FSL Financials — With BUMN'!Q25</f>
        <v>-0</v>
      </c>
      <c r="R30" s="58" t="n">
        <f aca="false">'FSL Financials — With BUMN'!R25</f>
        <v>-0</v>
      </c>
      <c r="S30" s="58" t="n">
        <f aca="false">'FSL Financials — With BUMN'!S25</f>
        <v>-0</v>
      </c>
    </row>
    <row r="31" customFormat="false" ht="15" hidden="false" customHeight="false" outlineLevel="0" collapsed="false">
      <c r="B31" s="69" t="s">
        <v>759</v>
      </c>
      <c r="C31" s="25" t="s">
        <v>170</v>
      </c>
      <c r="F31" s="68" t="n">
        <f aca="false">F30-F29</f>
        <v>-0</v>
      </c>
      <c r="G31" s="68" t="n">
        <f aca="false">G30-G29</f>
        <v>0</v>
      </c>
      <c r="H31" s="68" t="n">
        <f aca="false">H30-H29</f>
        <v>-1.13500303413616E-005</v>
      </c>
      <c r="I31" s="68" t="n">
        <f aca="false">I30-I29</f>
        <v>-15.2734615278</v>
      </c>
      <c r="J31" s="68" t="n">
        <f aca="false">J30-J29</f>
        <v>-7.57396311378575</v>
      </c>
      <c r="K31" s="68" t="n">
        <f aca="false">K30-K29</f>
        <v>-0</v>
      </c>
      <c r="L31" s="68" t="n">
        <f aca="false">L30-L29</f>
        <v>-0</v>
      </c>
      <c r="M31" s="68" t="n">
        <f aca="false">M30-M29</f>
        <v>-0</v>
      </c>
      <c r="N31" s="68" t="n">
        <f aca="false">N30-N29</f>
        <v>-0</v>
      </c>
      <c r="O31" s="68" t="n">
        <f aca="false">O30-O29</f>
        <v>-0</v>
      </c>
      <c r="P31" s="68" t="n">
        <f aca="false">P30-P29</f>
        <v>-0</v>
      </c>
      <c r="Q31" s="68" t="n">
        <f aca="false">Q30-Q29</f>
        <v>-0</v>
      </c>
      <c r="R31" s="68" t="n">
        <f aca="false">R30-R29</f>
        <v>-0</v>
      </c>
      <c r="S31" s="68" t="n">
        <f aca="false">S30-S29</f>
        <v>-0</v>
      </c>
      <c r="U31" s="5" t="s">
        <v>782</v>
      </c>
    </row>
    <row r="32" customFormat="false" ht="15" hidden="false" customHeight="false" outlineLevel="0" collapsed="false">
      <c r="B32" s="24" t="s">
        <v>783</v>
      </c>
      <c r="C32" s="25" t="s">
        <v>170</v>
      </c>
      <c r="D32" s="25" t="s">
        <v>153</v>
      </c>
      <c r="G32" s="45" t="n">
        <v>-19.9622835124278</v>
      </c>
      <c r="H32" s="45" t="n">
        <v>-34.0117423389102</v>
      </c>
      <c r="I32" s="45" t="n">
        <v>-55.2194495915298</v>
      </c>
      <c r="J32" s="45" t="n">
        <v>-70.7088695927035</v>
      </c>
      <c r="K32" s="45" t="n">
        <v>-79.691245471649</v>
      </c>
      <c r="L32" s="45" t="n">
        <v>-89.9720752160191</v>
      </c>
      <c r="M32" s="45" t="n">
        <v>-94.4417574523771</v>
      </c>
      <c r="N32" s="45" t="n">
        <v>-103.872458637407</v>
      </c>
      <c r="O32" s="45" t="n">
        <v>-109.743666765714</v>
      </c>
      <c r="P32" s="45" t="n">
        <v>-120.130563053322</v>
      </c>
      <c r="Q32" s="45" t="n">
        <v>-126.102642060064</v>
      </c>
      <c r="R32" s="45" t="n">
        <v>-125.096374597655</v>
      </c>
      <c r="S32" s="45" t="n">
        <v>-130.138251935417</v>
      </c>
      <c r="T32" s="5" t="s">
        <v>784</v>
      </c>
    </row>
    <row r="33" customFormat="false" ht="15" hidden="false" customHeight="false" outlineLevel="0" collapsed="false">
      <c r="B33" s="24" t="s">
        <v>785</v>
      </c>
      <c r="C33" s="25" t="s">
        <v>170</v>
      </c>
      <c r="F33" s="58" t="n">
        <f aca="false">'FSL Financials — With BUMN'!F29</f>
        <v>0</v>
      </c>
      <c r="G33" s="58" t="n">
        <f aca="false">'FSL Financials — With BUMN'!G29</f>
        <v>-18.7586388646014</v>
      </c>
      <c r="H33" s="58" t="n">
        <f aca="false">'FSL Financials — With BUMN'!H29</f>
        <v>-33.5844154581491</v>
      </c>
      <c r="I33" s="58" t="n">
        <f aca="false">'FSL Financials — With BUMN'!I29</f>
        <v>-53.3925317816728</v>
      </c>
      <c r="J33" s="58" t="n">
        <f aca="false">'FSL Financials — With BUMN'!J29</f>
        <v>-67.9646476811628</v>
      </c>
      <c r="K33" s="58" t="n">
        <f aca="false">'FSL Financials — With BUMN'!K29</f>
        <v>-78.6132946643785</v>
      </c>
      <c r="L33" s="58" t="n">
        <f aca="false">'FSL Financials — With BUMN'!L29</f>
        <v>-88.8941212015764</v>
      </c>
      <c r="M33" s="58" t="n">
        <f aca="false">'FSL Financials — With BUMN'!M29</f>
        <v>-93.3638017792526</v>
      </c>
      <c r="N33" s="58" t="n">
        <f aca="false">'FSL Financials — With BUMN'!N29</f>
        <v>-102.794497192837</v>
      </c>
      <c r="O33" s="58" t="n">
        <f aca="false">'FSL Financials — With BUMN'!O29</f>
        <v>-108.665701664664</v>
      </c>
      <c r="P33" s="58" t="n">
        <f aca="false">'FSL Financials — With BUMN'!P29</f>
        <v>-122.097013193182</v>
      </c>
      <c r="Q33" s="58" t="n">
        <f aca="false">'FSL Financials — With BUMN'!Q29</f>
        <v>-128.325177615826</v>
      </c>
      <c r="R33" s="58" t="n">
        <f aca="false">'FSL Financials — With BUMN'!R29</f>
        <v>-127.690146477072</v>
      </c>
      <c r="S33" s="58" t="n">
        <f aca="false">'FSL Financials — With BUMN'!S29</f>
        <v>-133.855742010935</v>
      </c>
    </row>
    <row r="34" customFormat="false" ht="15" hidden="false" customHeight="false" outlineLevel="0" collapsed="false">
      <c r="B34" s="69" t="s">
        <v>759</v>
      </c>
      <c r="C34" s="25" t="s">
        <v>170</v>
      </c>
      <c r="F34" s="68" t="n">
        <f aca="false">F33-F32</f>
        <v>0</v>
      </c>
      <c r="G34" s="68" t="n">
        <f aca="false">G33-G32</f>
        <v>1.20364464782643</v>
      </c>
      <c r="H34" s="68" t="n">
        <f aca="false">H33-H32</f>
        <v>0.427326880761065</v>
      </c>
      <c r="I34" s="68" t="n">
        <f aca="false">I33-I32</f>
        <v>1.82691780985697</v>
      </c>
      <c r="J34" s="68" t="n">
        <f aca="false">J33-J32</f>
        <v>2.74422191154078</v>
      </c>
      <c r="K34" s="68" t="n">
        <f aca="false">K33-K32</f>
        <v>1.0779508072705</v>
      </c>
      <c r="L34" s="68" t="n">
        <f aca="false">L33-L32</f>
        <v>1.07795401444272</v>
      </c>
      <c r="M34" s="68" t="n">
        <f aca="false">M33-M32</f>
        <v>1.07795567312451</v>
      </c>
      <c r="N34" s="68" t="n">
        <f aca="false">N33-N32</f>
        <v>1.07796144457021</v>
      </c>
      <c r="O34" s="68" t="n">
        <f aca="false">O33-O32</f>
        <v>1.0779651010504</v>
      </c>
      <c r="P34" s="68" t="n">
        <f aca="false">P33-P32</f>
        <v>-1.96645013985999</v>
      </c>
      <c r="Q34" s="68" t="n">
        <f aca="false">Q33-Q32</f>
        <v>-2.22253555576182</v>
      </c>
      <c r="R34" s="68" t="n">
        <f aca="false">R33-R32</f>
        <v>-2.59377187941631</v>
      </c>
      <c r="S34" s="68" t="n">
        <f aca="false">S33-S32</f>
        <v>-3.71749007551745</v>
      </c>
      <c r="U34" s="5" t="s">
        <v>786</v>
      </c>
    </row>
    <row r="35" customFormat="false" ht="15" hidden="false" customHeight="false" outlineLevel="0" collapsed="false">
      <c r="B35" s="24" t="s">
        <v>787</v>
      </c>
      <c r="C35" s="25" t="s">
        <v>170</v>
      </c>
      <c r="D35" s="25" t="s">
        <v>153</v>
      </c>
      <c r="G35" s="45" t="n">
        <v>40.4292239638389</v>
      </c>
      <c r="H35" s="45" t="n">
        <v>100.673656080043</v>
      </c>
      <c r="I35" s="45" t="n">
        <v>177.303034536564</v>
      </c>
      <c r="J35" s="45" t="n">
        <v>242.597922049861</v>
      </c>
      <c r="K35" s="45" t="n">
        <v>275.279829943062</v>
      </c>
      <c r="L35" s="45" t="n">
        <v>317.811102773637</v>
      </c>
      <c r="M35" s="45" t="n">
        <v>334.708189282697</v>
      </c>
      <c r="N35" s="45" t="n">
        <v>368.275080623534</v>
      </c>
      <c r="O35" s="45" t="n">
        <v>389.09118216935</v>
      </c>
      <c r="P35" s="45" t="n">
        <v>425.917450825415</v>
      </c>
      <c r="Q35" s="45" t="n">
        <v>447.091185485682</v>
      </c>
      <c r="R35" s="45" t="n">
        <v>443.523509937142</v>
      </c>
      <c r="S35" s="45" t="n">
        <v>461.399256861933</v>
      </c>
      <c r="T35" s="5" t="s">
        <v>788</v>
      </c>
    </row>
    <row r="36" customFormat="false" ht="15" hidden="false" customHeight="false" outlineLevel="0" collapsed="false">
      <c r="B36" s="24" t="s">
        <v>789</v>
      </c>
      <c r="C36" s="25" t="s">
        <v>170</v>
      </c>
      <c r="F36" s="58" t="n">
        <f aca="false">'FSL Financials — With BUMN'!F30</f>
        <v>0</v>
      </c>
      <c r="G36" s="58" t="n">
        <f aca="false">'FSL Financials — With BUMN'!G30</f>
        <v>41.6326425415366</v>
      </c>
      <c r="H36" s="58" t="n">
        <f aca="false">'FSL Financials — With BUMN'!H30</f>
        <v>101.100740050127</v>
      </c>
      <c r="I36" s="58" t="n">
        <f aca="false">'FSL Financials — With BUMN'!I30</f>
        <v>170.82576115532</v>
      </c>
      <c r="J36" s="58" t="n">
        <f aca="false">'FSL Financials — With BUMN'!J30</f>
        <v>232.868388772905</v>
      </c>
      <c r="K36" s="58" t="n">
        <f aca="false">'FSL Financials — With BUMN'!K30</f>
        <v>271.457985230921</v>
      </c>
      <c r="L36" s="58" t="n">
        <f aca="false">'FSL Financials — With BUMN'!L30</f>
        <v>313.989246828563</v>
      </c>
      <c r="M36" s="58" t="n">
        <f aca="false">'FSL Financials — With BUMN'!M30</f>
        <v>330.88632756745</v>
      </c>
      <c r="N36" s="58" t="n">
        <f aca="false">'FSL Financials — With BUMN'!N30</f>
        <v>364.453217320058</v>
      </c>
      <c r="O36" s="58" t="n">
        <f aca="false">'FSL Financials — With BUMN'!O30</f>
        <v>385.269305901989</v>
      </c>
      <c r="P36" s="58" t="n">
        <f aca="false">'FSL Financials — With BUMN'!P30</f>
        <v>432.889410412191</v>
      </c>
      <c r="Q36" s="58" t="n">
        <f aca="false">'FSL Financials — With BUMN'!Q30</f>
        <v>454.971084274292</v>
      </c>
      <c r="R36" s="58" t="n">
        <f aca="false">'FSL Financials — With BUMN'!R30</f>
        <v>452.71961023689</v>
      </c>
      <c r="S36" s="58" t="n">
        <f aca="false">'FSL Financials — With BUMN'!S30</f>
        <v>474.579448947858</v>
      </c>
    </row>
    <row r="37" customFormat="false" ht="15" hidden="false" customHeight="false" outlineLevel="0" collapsed="false">
      <c r="B37" s="69" t="s">
        <v>759</v>
      </c>
      <c r="C37" s="25" t="s">
        <v>170</v>
      </c>
      <c r="F37" s="68" t="n">
        <f aca="false">F36-F35</f>
        <v>0</v>
      </c>
      <c r="G37" s="68" t="n">
        <f aca="false">G36-G35</f>
        <v>1.20341857769778</v>
      </c>
      <c r="H37" s="68" t="n">
        <f aca="false">H36-H35</f>
        <v>0.427083970084325</v>
      </c>
      <c r="I37" s="68" t="n">
        <f aca="false">I36-I35</f>
        <v>-6.47727338124307</v>
      </c>
      <c r="J37" s="68" t="n">
        <f aca="false">J36-J35</f>
        <v>-9.72953327695655</v>
      </c>
      <c r="K37" s="68" t="n">
        <f aca="false">K36-K35</f>
        <v>-3.82184471214123</v>
      </c>
      <c r="L37" s="68" t="n">
        <f aca="false">L36-L35</f>
        <v>-3.82185594507399</v>
      </c>
      <c r="M37" s="68" t="n">
        <f aca="false">M36-M35</f>
        <v>-3.82186171524688</v>
      </c>
      <c r="N37" s="68" t="n">
        <f aca="false">N36-N35</f>
        <v>-3.82186330347599</v>
      </c>
      <c r="O37" s="68" t="n">
        <f aca="false">O36-O35</f>
        <v>-3.82187626736055</v>
      </c>
      <c r="P37" s="68" t="n">
        <f aca="false">P36-P35</f>
        <v>6.97195958677622</v>
      </c>
      <c r="Q37" s="68" t="n">
        <f aca="false">Q36-Q35</f>
        <v>7.87989878860992</v>
      </c>
      <c r="R37" s="68" t="n">
        <f aca="false">R36-R35</f>
        <v>9.19610029974859</v>
      </c>
      <c r="S37" s="68" t="n">
        <f aca="false">S36-S35</f>
        <v>13.1801920859256</v>
      </c>
      <c r="U37" s="5" t="s">
        <v>790</v>
      </c>
    </row>
    <row r="38" customFormat="false" ht="15" hidden="false" customHeight="false" outlineLevel="0" collapsed="false">
      <c r="B38" s="24" t="s">
        <v>791</v>
      </c>
      <c r="C38" s="25" t="s">
        <v>170</v>
      </c>
      <c r="D38" s="25" t="s">
        <v>153</v>
      </c>
      <c r="G38" s="45" t="n">
        <v>-125.2405</v>
      </c>
      <c r="H38" s="45" t="n">
        <v>-14.6385</v>
      </c>
      <c r="I38" s="45" t="n">
        <v>-419.772029761905</v>
      </c>
      <c r="J38" s="45" t="n">
        <v>-160.003625</v>
      </c>
      <c r="K38" s="45" t="n">
        <v>0</v>
      </c>
      <c r="L38" s="45" t="n">
        <v>0</v>
      </c>
      <c r="M38" s="45" t="n">
        <v>0</v>
      </c>
      <c r="N38" s="45" t="n">
        <v>0</v>
      </c>
      <c r="O38" s="45" t="n">
        <v>0</v>
      </c>
      <c r="P38" s="45" t="n">
        <v>0</v>
      </c>
      <c r="Q38" s="45" t="n">
        <v>0</v>
      </c>
      <c r="R38" s="45" t="n">
        <v>0</v>
      </c>
      <c r="S38" s="45" t="n">
        <v>0</v>
      </c>
      <c r="T38" s="5" t="s">
        <v>792</v>
      </c>
    </row>
    <row r="39" customFormat="false" ht="15" hidden="false" customHeight="false" outlineLevel="0" collapsed="false">
      <c r="B39" s="24" t="s">
        <v>793</v>
      </c>
      <c r="C39" s="25" t="s">
        <v>170</v>
      </c>
      <c r="F39" s="58" t="n">
        <f aca="false">'FSL Financials — With BUMN'!F58</f>
        <v>-198.433</v>
      </c>
      <c r="G39" s="58" t="n">
        <f aca="false">'FSL Financials — With BUMN'!G58</f>
        <v>-125.2405</v>
      </c>
      <c r="H39" s="58" t="n">
        <f aca="false">'FSL Financials — With BUMN'!H58</f>
        <v>-14.6385</v>
      </c>
      <c r="I39" s="58" t="n">
        <f aca="false">'FSL Financials — With BUMN'!I58</f>
        <v>-419.772045611905</v>
      </c>
      <c r="J39" s="58" t="n">
        <f aca="false">'FSL Financials — With BUMN'!J58</f>
        <v>-160.003625</v>
      </c>
      <c r="K39" s="58" t="n">
        <f aca="false">'FSL Financials — With BUMN'!K58</f>
        <v>-0</v>
      </c>
      <c r="L39" s="58" t="n">
        <f aca="false">'FSL Financials — With BUMN'!L58</f>
        <v>-0</v>
      </c>
      <c r="M39" s="58" t="n">
        <f aca="false">'FSL Financials — With BUMN'!M58</f>
        <v>-0</v>
      </c>
      <c r="N39" s="58" t="n">
        <f aca="false">'FSL Financials — With BUMN'!N58</f>
        <v>-0</v>
      </c>
      <c r="O39" s="58" t="n">
        <f aca="false">'FSL Financials — With BUMN'!O58</f>
        <v>-0</v>
      </c>
      <c r="P39" s="58" t="n">
        <f aca="false">'FSL Financials — With BUMN'!P58</f>
        <v>-0</v>
      </c>
      <c r="Q39" s="58" t="n">
        <f aca="false">'FSL Financials — With BUMN'!Q58</f>
        <v>-0</v>
      </c>
      <c r="R39" s="58" t="n">
        <f aca="false">'FSL Financials — With BUMN'!R58</f>
        <v>-0</v>
      </c>
      <c r="S39" s="58" t="n">
        <f aca="false">'FSL Financials — With BUMN'!S58</f>
        <v>-0</v>
      </c>
    </row>
    <row r="40" customFormat="false" ht="15" hidden="false" customHeight="false" outlineLevel="0" collapsed="false">
      <c r="B40" s="69" t="s">
        <v>759</v>
      </c>
      <c r="C40" s="25" t="s">
        <v>170</v>
      </c>
      <c r="F40" s="68" t="n">
        <f aca="false">F39-F38</f>
        <v>-198.433</v>
      </c>
      <c r="G40" s="68" t="n">
        <f aca="false">G39-G38</f>
        <v>0</v>
      </c>
      <c r="H40" s="68" t="n">
        <f aca="false">H39-H38</f>
        <v>0</v>
      </c>
      <c r="I40" s="68" t="n">
        <f aca="false">I39-I38</f>
        <v>-1.58500000679851E-005</v>
      </c>
      <c r="J40" s="68" t="n">
        <f aca="false">J39-J38</f>
        <v>0</v>
      </c>
      <c r="K40" s="68" t="n">
        <f aca="false">K39-K38</f>
        <v>-0</v>
      </c>
      <c r="L40" s="68" t="n">
        <f aca="false">L39-L38</f>
        <v>-0</v>
      </c>
      <c r="M40" s="68" t="n">
        <f aca="false">M39-M38</f>
        <v>-0</v>
      </c>
      <c r="N40" s="68" t="n">
        <f aca="false">N39-N38</f>
        <v>-0</v>
      </c>
      <c r="O40" s="68" t="n">
        <f aca="false">O39-O38</f>
        <v>-0</v>
      </c>
      <c r="P40" s="68" t="n">
        <f aca="false">P39-P38</f>
        <v>-0</v>
      </c>
      <c r="Q40" s="68" t="n">
        <f aca="false">Q39-Q38</f>
        <v>-0</v>
      </c>
      <c r="R40" s="68" t="n">
        <f aca="false">R39-R38</f>
        <v>-0</v>
      </c>
      <c r="S40" s="68" t="n">
        <f aca="false">S39-S38</f>
        <v>-0</v>
      </c>
      <c r="U40" s="5" t="s">
        <v>794</v>
      </c>
    </row>
    <row r="41" customFormat="false" ht="15" hidden="false" customHeight="false" outlineLevel="0" collapsed="false">
      <c r="B41" s="24" t="s">
        <v>795</v>
      </c>
      <c r="C41" s="25" t="s">
        <v>170</v>
      </c>
      <c r="D41" s="25" t="s">
        <v>153</v>
      </c>
      <c r="G41" s="45" t="n">
        <v>0</v>
      </c>
      <c r="H41" s="45" t="n">
        <v>0</v>
      </c>
      <c r="I41" s="45" t="n">
        <v>419.772029761905</v>
      </c>
      <c r="J41" s="45" t="n">
        <v>160.003625</v>
      </c>
      <c r="K41" s="45" t="n">
        <v>0</v>
      </c>
      <c r="L41" s="45" t="n">
        <v>0</v>
      </c>
      <c r="M41" s="45" t="n">
        <v>0</v>
      </c>
      <c r="N41" s="45" t="n">
        <v>0</v>
      </c>
      <c r="O41" s="45" t="n">
        <v>0</v>
      </c>
      <c r="P41" s="45" t="n">
        <v>0</v>
      </c>
      <c r="Q41" s="45" t="n">
        <v>0</v>
      </c>
      <c r="R41" s="45" t="n">
        <v>0</v>
      </c>
      <c r="S41" s="45" t="n">
        <v>0</v>
      </c>
      <c r="T41" s="5" t="s">
        <v>796</v>
      </c>
    </row>
    <row r="42" customFormat="false" ht="15" hidden="false" customHeight="false" outlineLevel="0" collapsed="false">
      <c r="B42" s="24" t="s">
        <v>797</v>
      </c>
      <c r="C42" s="25" t="s">
        <v>170</v>
      </c>
      <c r="F42" s="58" t="n">
        <f aca="false">'FSL Financials — With BUMN'!F60</f>
        <v>0</v>
      </c>
      <c r="G42" s="58" t="n">
        <f aca="false">'FSL Financials — With BUMN'!G60</f>
        <v>0</v>
      </c>
      <c r="H42" s="58" t="n">
        <f aca="false">'FSL Financials — With BUMN'!H60</f>
        <v>0</v>
      </c>
      <c r="I42" s="58" t="n">
        <f aca="false">'FSL Financials — With BUMN'!I60</f>
        <v>0</v>
      </c>
      <c r="J42" s="58" t="n">
        <f aca="false">'FSL Financials — With BUMN'!J60</f>
        <v>195.18</v>
      </c>
      <c r="K42" s="58" t="n">
        <f aca="false">'FSL Financials — With BUMN'!K60</f>
        <v>0</v>
      </c>
      <c r="L42" s="58" t="n">
        <f aca="false">'FSL Financials — With BUMN'!L60</f>
        <v>0</v>
      </c>
      <c r="M42" s="58" t="n">
        <f aca="false">'FSL Financials — With BUMN'!M60</f>
        <v>0</v>
      </c>
      <c r="N42" s="58" t="n">
        <f aca="false">'FSL Financials — With BUMN'!N60</f>
        <v>0</v>
      </c>
      <c r="O42" s="58" t="n">
        <f aca="false">'FSL Financials — With BUMN'!O60</f>
        <v>0</v>
      </c>
      <c r="P42" s="58" t="n">
        <f aca="false">'FSL Financials — With BUMN'!P60</f>
        <v>0</v>
      </c>
      <c r="Q42" s="58" t="n">
        <f aca="false">'FSL Financials — With BUMN'!Q60</f>
        <v>0</v>
      </c>
      <c r="R42" s="58" t="n">
        <f aca="false">'FSL Financials — With BUMN'!R60</f>
        <v>0</v>
      </c>
      <c r="S42" s="58" t="n">
        <f aca="false">'FSL Financials — With BUMN'!S60</f>
        <v>0</v>
      </c>
    </row>
    <row r="43" customFormat="false" ht="15" hidden="false" customHeight="false" outlineLevel="0" collapsed="false">
      <c r="B43" s="69" t="s">
        <v>759</v>
      </c>
      <c r="C43" s="25" t="s">
        <v>170</v>
      </c>
      <c r="F43" s="68" t="n">
        <f aca="false">F42-F41</f>
        <v>0</v>
      </c>
      <c r="G43" s="68" t="n">
        <f aca="false">G42-G41</f>
        <v>0</v>
      </c>
      <c r="H43" s="68" t="n">
        <f aca="false">H42-H41</f>
        <v>0</v>
      </c>
      <c r="I43" s="68" t="n">
        <f aca="false">I42-I41</f>
        <v>-419.772029761905</v>
      </c>
      <c r="J43" s="68" t="n">
        <f aca="false">J42-J41</f>
        <v>35.176375</v>
      </c>
      <c r="K43" s="68" t="n">
        <f aca="false">K42-K41</f>
        <v>0</v>
      </c>
      <c r="L43" s="68" t="n">
        <f aca="false">L42-L41</f>
        <v>0</v>
      </c>
      <c r="M43" s="68" t="n">
        <f aca="false">M42-M41</f>
        <v>0</v>
      </c>
      <c r="N43" s="68" t="n">
        <f aca="false">N42-N41</f>
        <v>0</v>
      </c>
      <c r="O43" s="68" t="n">
        <f aca="false">O42-O41</f>
        <v>0</v>
      </c>
      <c r="P43" s="68" t="n">
        <f aca="false">P42-P41</f>
        <v>0</v>
      </c>
      <c r="Q43" s="68" t="n">
        <f aca="false">Q42-Q41</f>
        <v>0</v>
      </c>
      <c r="R43" s="68" t="n">
        <f aca="false">R42-R41</f>
        <v>0</v>
      </c>
      <c r="S43" s="68" t="n">
        <f aca="false">S42-S41</f>
        <v>0</v>
      </c>
      <c r="U43" s="5" t="s">
        <v>798</v>
      </c>
    </row>
    <row r="44" customFormat="false" ht="15" hidden="false" customHeight="false" outlineLevel="0" collapsed="false">
      <c r="B44" s="24" t="s">
        <v>799</v>
      </c>
      <c r="C44" s="25" t="s">
        <v>170</v>
      </c>
      <c r="D44" s="25" t="s">
        <v>153</v>
      </c>
      <c r="G44" s="45" t="n">
        <v>-29.3384652487601</v>
      </c>
      <c r="H44" s="45" t="n">
        <v>-195.18</v>
      </c>
      <c r="I44" s="45" t="n">
        <v>0</v>
      </c>
      <c r="J44" s="45" t="n">
        <v>0</v>
      </c>
      <c r="K44" s="45" t="n">
        <v>0</v>
      </c>
      <c r="L44" s="45" t="n">
        <v>0</v>
      </c>
      <c r="M44" s="45" t="n">
        <v>0</v>
      </c>
      <c r="N44" s="45" t="n">
        <v>0</v>
      </c>
      <c r="O44" s="45" t="n">
        <v>0</v>
      </c>
      <c r="P44" s="45" t="n">
        <v>0</v>
      </c>
      <c r="Q44" s="45" t="n">
        <v>0</v>
      </c>
      <c r="R44" s="45" t="n">
        <v>0</v>
      </c>
      <c r="S44" s="45" t="n">
        <v>0</v>
      </c>
      <c r="T44" s="5" t="s">
        <v>800</v>
      </c>
    </row>
    <row r="45" customFormat="false" ht="15" hidden="false" customHeight="false" outlineLevel="0" collapsed="false">
      <c r="B45" s="24" t="s">
        <v>801</v>
      </c>
      <c r="C45" s="25" t="s">
        <v>170</v>
      </c>
      <c r="F45" s="58" t="n">
        <f aca="false">'FSL Financials — With BUMN'!F61</f>
        <v>-0</v>
      </c>
      <c r="G45" s="58" t="n">
        <f aca="false">'FSL Financials — With BUMN'!G61</f>
        <v>-29.338</v>
      </c>
      <c r="H45" s="58" t="n">
        <f aca="false">'FSL Financials — With BUMN'!H61</f>
        <v>-0</v>
      </c>
      <c r="I45" s="58" t="n">
        <f aca="false">'FSL Financials — With BUMN'!I61</f>
        <v>-0</v>
      </c>
      <c r="J45" s="58" t="n">
        <f aca="false">'FSL Financials — With BUMN'!J61</f>
        <v>-195.18</v>
      </c>
      <c r="K45" s="58" t="n">
        <f aca="false">'FSL Financials — With BUMN'!K61</f>
        <v>-0</v>
      </c>
      <c r="L45" s="58" t="n">
        <f aca="false">'FSL Financials — With BUMN'!L61</f>
        <v>-0</v>
      </c>
      <c r="M45" s="58" t="n">
        <f aca="false">'FSL Financials — With BUMN'!M61</f>
        <v>-0</v>
      </c>
      <c r="N45" s="58" t="n">
        <f aca="false">'FSL Financials — With BUMN'!N61</f>
        <v>-0</v>
      </c>
      <c r="O45" s="58" t="n">
        <f aca="false">'FSL Financials — With BUMN'!O61</f>
        <v>-0</v>
      </c>
      <c r="P45" s="58" t="n">
        <f aca="false">'FSL Financials — With BUMN'!P61</f>
        <v>-0</v>
      </c>
      <c r="Q45" s="58" t="n">
        <f aca="false">'FSL Financials — With BUMN'!Q61</f>
        <v>-0</v>
      </c>
      <c r="R45" s="58" t="n">
        <f aca="false">'FSL Financials — With BUMN'!R61</f>
        <v>-0</v>
      </c>
      <c r="S45" s="58" t="n">
        <f aca="false">'FSL Financials — With BUMN'!S61</f>
        <v>-0</v>
      </c>
    </row>
    <row r="46" customFormat="false" ht="15" hidden="false" customHeight="false" outlineLevel="0" collapsed="false">
      <c r="B46" s="69" t="s">
        <v>759</v>
      </c>
      <c r="C46" s="25" t="s">
        <v>170</v>
      </c>
      <c r="F46" s="68" t="n">
        <f aca="false">F45-F44</f>
        <v>-0</v>
      </c>
      <c r="G46" s="68" t="n">
        <f aca="false">G45-G44</f>
        <v>0.000465248760097126</v>
      </c>
      <c r="H46" s="68" t="n">
        <f aca="false">H45-H44</f>
        <v>195.18</v>
      </c>
      <c r="I46" s="68" t="n">
        <f aca="false">I45-I44</f>
        <v>-0</v>
      </c>
      <c r="J46" s="68" t="n">
        <f aca="false">J45-J44</f>
        <v>-195.18</v>
      </c>
      <c r="K46" s="68" t="n">
        <f aca="false">K45-K44</f>
        <v>-0</v>
      </c>
      <c r="L46" s="68" t="n">
        <f aca="false">L45-L44</f>
        <v>-0</v>
      </c>
      <c r="M46" s="68" t="n">
        <f aca="false">M45-M44</f>
        <v>-0</v>
      </c>
      <c r="N46" s="68" t="n">
        <f aca="false">N45-N44</f>
        <v>-0</v>
      </c>
      <c r="O46" s="68" t="n">
        <f aca="false">O45-O44</f>
        <v>-0</v>
      </c>
      <c r="P46" s="68" t="n">
        <f aca="false">P45-P44</f>
        <v>-0</v>
      </c>
      <c r="Q46" s="68" t="n">
        <f aca="false">Q45-Q44</f>
        <v>-0</v>
      </c>
      <c r="R46" s="68" t="n">
        <f aca="false">R45-R44</f>
        <v>-0</v>
      </c>
      <c r="S46" s="68" t="n">
        <f aca="false">S45-S44</f>
        <v>-0</v>
      </c>
      <c r="U46" s="5" t="s">
        <v>802</v>
      </c>
    </row>
    <row r="47" customFormat="false" ht="15" hidden="false" customHeight="false" outlineLevel="0" collapsed="false">
      <c r="B47" s="24" t="s">
        <v>803</v>
      </c>
      <c r="C47" s="25" t="s">
        <v>170</v>
      </c>
      <c r="D47" s="25" t="s">
        <v>153</v>
      </c>
      <c r="G47" s="45" t="n">
        <v>-6.33270252882222</v>
      </c>
      <c r="H47" s="45" t="n">
        <v>-17.0182252083605</v>
      </c>
      <c r="I47" s="45" t="n">
        <v>-46.9982882416607</v>
      </c>
      <c r="J47" s="45" t="n">
        <v>-66.3015987081923</v>
      </c>
      <c r="K47" s="45" t="n">
        <v>-75.8525923459205</v>
      </c>
      <c r="L47" s="45" t="n">
        <v>-87.991662902149</v>
      </c>
      <c r="M47" s="45" t="n">
        <v>-92.7842922467479</v>
      </c>
      <c r="N47" s="45" t="n">
        <v>-102.572735835586</v>
      </c>
      <c r="O47" s="45" t="n">
        <v>-108.112981262461</v>
      </c>
      <c r="P47" s="45" t="n">
        <v>-118.854059461265</v>
      </c>
      <c r="Q47" s="45" t="n">
        <v>-124.893946505218</v>
      </c>
      <c r="R47" s="45" t="n">
        <v>-123.506043419409</v>
      </c>
      <c r="S47" s="45" t="n">
        <v>-128.545879609158</v>
      </c>
      <c r="T47" s="5" t="s">
        <v>804</v>
      </c>
    </row>
    <row r="48" customFormat="false" ht="15" hidden="false" customHeight="false" outlineLevel="0" collapsed="false">
      <c r="B48" s="24" t="s">
        <v>805</v>
      </c>
      <c r="C48" s="25" t="s">
        <v>170</v>
      </c>
      <c r="F48" s="58" t="n">
        <f aca="false">'FSL Financials — With BUMN'!F62</f>
        <v>0</v>
      </c>
      <c r="G48" s="58" t="n">
        <f aca="false">'FSL Financials — With BUMN'!G62</f>
        <v>-6.69374501594868</v>
      </c>
      <c r="H48" s="58" t="n">
        <f aca="false">'FSL Financials — With BUMN'!H62</f>
        <v>-24.2964551405486</v>
      </c>
      <c r="I48" s="58" t="n">
        <f aca="false">'FSL Financials — With BUMN'!I62</f>
        <v>-44.0489600534566</v>
      </c>
      <c r="J48" s="58" t="n">
        <f aca="false">'FSL Financials — With BUMN'!J62</f>
        <v>-4.21817349433223</v>
      </c>
      <c r="K48" s="58" t="n">
        <f aca="false">'FSL Financials — With BUMN'!K62</f>
        <v>-74.7455416491423</v>
      </c>
      <c r="L48" s="58" t="n">
        <f aca="false">'FSL Financials — With BUMN'!L62</f>
        <v>-86.8862321324982</v>
      </c>
      <c r="M48" s="58" t="n">
        <f aca="false">'FSL Financials — With BUMN'!M62</f>
        <v>-91.6805310997233</v>
      </c>
      <c r="N48" s="58" t="n">
        <f aca="false">'FSL Financials — With BUMN'!N62</f>
        <v>-101.470695702166</v>
      </c>
      <c r="O48" s="58" t="n">
        <f aca="false">'FSL Financials — With BUMN'!O62</f>
        <v>-107.01271108861</v>
      </c>
      <c r="P48" s="58" t="n">
        <f aca="false">'FSL Financials — With BUMN'!P62</f>
        <v>-120.993766384675</v>
      </c>
      <c r="Q48" s="58" t="n">
        <f aca="false">'FSL Financials — With BUMN'!Q62</f>
        <v>-127.30791631538</v>
      </c>
      <c r="R48" s="58" t="n">
        <f aca="false">'FSL Financials — With BUMN'!R62</f>
        <v>-126.31681123754</v>
      </c>
      <c r="S48" s="58" t="n">
        <f aca="false">'FSL Financials — With BUMN'!S62</f>
        <v>-132.553870638718</v>
      </c>
    </row>
    <row r="49" customFormat="false" ht="15" hidden="false" customHeight="false" outlineLevel="0" collapsed="false">
      <c r="B49" s="69" t="s">
        <v>759</v>
      </c>
      <c r="C49" s="25" t="s">
        <v>170</v>
      </c>
      <c r="F49" s="68" t="n">
        <f aca="false">F48-F47</f>
        <v>0</v>
      </c>
      <c r="G49" s="68" t="n">
        <f aca="false">G48-G47</f>
        <v>-0.361042487126465</v>
      </c>
      <c r="H49" s="68" t="n">
        <f aca="false">H48-H47</f>
        <v>-7.27822993218808</v>
      </c>
      <c r="I49" s="68" t="n">
        <f aca="false">I48-I47</f>
        <v>2.94932818820407</v>
      </c>
      <c r="J49" s="68" t="n">
        <f aca="false">J48-J47</f>
        <v>62.0834252138601</v>
      </c>
      <c r="K49" s="68" t="n">
        <f aca="false">K48-K47</f>
        <v>1.1070506967782</v>
      </c>
      <c r="L49" s="68" t="n">
        <f aca="false">L48-L47</f>
        <v>1.10543076965088</v>
      </c>
      <c r="M49" s="68" t="n">
        <f aca="false">M48-M47</f>
        <v>1.10376114702453</v>
      </c>
      <c r="N49" s="68" t="n">
        <f aca="false">N48-N47</f>
        <v>1.10204013341988</v>
      </c>
      <c r="O49" s="68" t="n">
        <f aca="false">O48-O47</f>
        <v>1.1002701738507</v>
      </c>
      <c r="P49" s="68" t="n">
        <f aca="false">P48-P47</f>
        <v>-2.13970692340928</v>
      </c>
      <c r="Q49" s="68" t="n">
        <f aca="false">Q48-Q47</f>
        <v>-2.41396981016156</v>
      </c>
      <c r="R49" s="68" t="n">
        <f aca="false">R48-R47</f>
        <v>-2.81076781813151</v>
      </c>
      <c r="S49" s="68" t="n">
        <f aca="false">S48-S47</f>
        <v>-4.00799102956012</v>
      </c>
      <c r="U49" s="5" t="s">
        <v>806</v>
      </c>
    </row>
    <row r="50" customFormat="false" ht="15" hidden="false" customHeight="false" outlineLevel="0" collapsed="false">
      <c r="B50" s="24" t="s">
        <v>807</v>
      </c>
      <c r="C50" s="25" t="s">
        <v>170</v>
      </c>
      <c r="D50" s="25" t="s">
        <v>153</v>
      </c>
      <c r="G50" s="45" t="n">
        <v>31.3665625449431</v>
      </c>
      <c r="H50" s="45" t="n">
        <v>3</v>
      </c>
      <c r="I50" s="45" t="n">
        <v>244.097742596334</v>
      </c>
      <c r="J50" s="45" t="n">
        <v>542.027948629898</v>
      </c>
      <c r="K50" s="45" t="n">
        <v>877.017787548691</v>
      </c>
      <c r="L50" s="45" t="n">
        <v>1244.24051216575</v>
      </c>
      <c r="M50" s="45" t="n">
        <v>1628.38546559125</v>
      </c>
      <c r="N50" s="45" t="n">
        <v>2033.32803198944</v>
      </c>
      <c r="O50" s="45" t="n">
        <v>2457.9696194316</v>
      </c>
      <c r="P50" s="45" t="n">
        <v>2905.40862675477</v>
      </c>
      <c r="Q50" s="45" t="n">
        <v>3367.37420029246</v>
      </c>
      <c r="R50" s="45" t="n">
        <v>3829.78854422902</v>
      </c>
      <c r="S50" s="45" t="n">
        <v>4301.53783458677</v>
      </c>
      <c r="T50" s="5" t="s">
        <v>808</v>
      </c>
    </row>
    <row r="51" customFormat="false" ht="15" hidden="false" customHeight="false" outlineLevel="0" collapsed="false">
      <c r="B51" s="24" t="s">
        <v>809</v>
      </c>
      <c r="C51" s="25" t="s">
        <v>170</v>
      </c>
      <c r="F51" s="58" t="n">
        <f aca="false">'FSL Financials — With BUMN'!F66</f>
        <v>60.6389</v>
      </c>
      <c r="G51" s="58" t="n">
        <f aca="false">'FSL Financials — With BUMN'!G66</f>
        <v>32.2094486119924</v>
      </c>
      <c r="H51" s="58" t="n">
        <f aca="false">'FSL Financials — With BUMN'!H66</f>
        <v>192.171764763442</v>
      </c>
      <c r="I51" s="58" t="n">
        <f aca="false">'FSL Financials — With BUMN'!I66</f>
        <v>3.00000000000003</v>
      </c>
      <c r="J51" s="58" t="n">
        <f aca="false">'FSL Financials — With BUMN'!J66</f>
        <v>198.18</v>
      </c>
      <c r="K51" s="58" t="n">
        <f aca="false">'FSL Financials — With BUMN'!K66</f>
        <v>535.354571712009</v>
      </c>
      <c r="L51" s="58" t="n">
        <f aca="false">'FSL Financials — With BUMN'!L66</f>
        <v>904.760399202382</v>
      </c>
      <c r="M51" s="58" t="n">
        <f aca="false">'FSL Financials — With BUMN'!M66</f>
        <v>1291.08677911698</v>
      </c>
      <c r="N51" s="58" t="n">
        <f aca="false">'FSL Financials — With BUMN'!N66</f>
        <v>1698.20904945038</v>
      </c>
      <c r="O51" s="58" t="n">
        <f aca="false">'FSL Financials — With BUMN'!O66</f>
        <v>2125.02855889965</v>
      </c>
      <c r="P51" s="58" t="n">
        <f aca="false">'FSL Financials — With BUMN'!P66</f>
        <v>2568.36108681033</v>
      </c>
      <c r="Q51" s="58" t="n">
        <f aca="false">'FSL Financials — With BUMN'!Q66</f>
        <v>3025.17014634693</v>
      </c>
      <c r="R51" s="58" t="n">
        <f aca="false">'FSL Financials — With BUMN'!R66</f>
        <v>3482.17972158667</v>
      </c>
      <c r="S51" s="58" t="n">
        <f aca="false">'FSL Financials — With BUMN'!S66</f>
        <v>3946.20329255594</v>
      </c>
    </row>
    <row r="52" customFormat="false" ht="15" hidden="false" customHeight="false" outlineLevel="0" collapsed="false">
      <c r="B52" s="69" t="s">
        <v>759</v>
      </c>
      <c r="C52" s="25" t="s">
        <v>170</v>
      </c>
      <c r="F52" s="68" t="n">
        <f aca="false">F51-F50</f>
        <v>60.6389</v>
      </c>
      <c r="G52" s="68" t="n">
        <f aca="false">G51-G50</f>
        <v>0.84288606704931</v>
      </c>
      <c r="H52" s="68" t="n">
        <f aca="false">H51-H50</f>
        <v>189.171764763442</v>
      </c>
      <c r="I52" s="68" t="n">
        <f aca="false">I51-I50</f>
        <v>-241.097742596334</v>
      </c>
      <c r="J52" s="68" t="n">
        <f aca="false">J51-J50</f>
        <v>-343.847948629898</v>
      </c>
      <c r="K52" s="68" t="n">
        <f aca="false">K51-K50</f>
        <v>-341.663215836682</v>
      </c>
      <c r="L52" s="68" t="n">
        <f aca="false">L51-L50</f>
        <v>-339.48011296337</v>
      </c>
      <c r="M52" s="68" t="n">
        <f aca="false">M51-M50</f>
        <v>-337.298686474264</v>
      </c>
      <c r="N52" s="68" t="n">
        <f aca="false">N51-N50</f>
        <v>-335.118982539062</v>
      </c>
      <c r="O52" s="68" t="n">
        <f aca="false">O51-O50</f>
        <v>-332.941060531951</v>
      </c>
      <c r="P52" s="68" t="n">
        <f aca="false">P51-P50</f>
        <v>-337.047539944444</v>
      </c>
      <c r="Q52" s="68" t="n">
        <f aca="false">Q51-Q50</f>
        <v>-342.204053945532</v>
      </c>
      <c r="R52" s="68" t="n">
        <f aca="false">R51-R50</f>
        <v>-347.608822642346</v>
      </c>
      <c r="S52" s="68" t="n">
        <f aca="false">S51-S50</f>
        <v>-355.334542030824</v>
      </c>
      <c r="U52" s="5" t="s">
        <v>810</v>
      </c>
    </row>
    <row r="53" customFormat="false" ht="15" hidden="false" customHeight="false" outlineLevel="0" collapsed="false">
      <c r="B53" s="24" t="s">
        <v>811</v>
      </c>
      <c r="C53" s="25" t="s">
        <v>170</v>
      </c>
      <c r="D53" s="25" t="s">
        <v>153</v>
      </c>
      <c r="G53" s="45" t="n">
        <v>862.889756524061</v>
      </c>
      <c r="H53" s="45" t="n">
        <v>763.92857134206</v>
      </c>
      <c r="I53" s="45" t="n">
        <v>1048.73279720085</v>
      </c>
      <c r="J53" s="45" t="n">
        <v>1071.79508051364</v>
      </c>
      <c r="K53" s="45" t="n">
        <v>927.596650450307</v>
      </c>
      <c r="L53" s="45" t="n">
        <v>781.389488293321</v>
      </c>
      <c r="M53" s="45" t="n">
        <v>635.173419400813</v>
      </c>
      <c r="N53" s="45" t="n">
        <v>488.948265638071</v>
      </c>
      <c r="O53" s="45" t="n">
        <v>340.713845307691</v>
      </c>
      <c r="P53" s="45" t="n">
        <v>192.46997307832</v>
      </c>
      <c r="Q53" s="45" t="n">
        <v>49.7543051500739</v>
      </c>
      <c r="R53" s="45" t="n">
        <v>-92.9711965338821</v>
      </c>
      <c r="S53" s="45" t="n">
        <v>-235.706728648662</v>
      </c>
      <c r="T53" s="5" t="s">
        <v>812</v>
      </c>
    </row>
    <row r="54" customFormat="false" ht="15" hidden="false" customHeight="false" outlineLevel="0" collapsed="false">
      <c r="B54" s="24" t="s">
        <v>813</v>
      </c>
      <c r="C54" s="25" t="s">
        <v>170</v>
      </c>
      <c r="F54" s="58" t="n">
        <f aca="false">0</f>
        <v>0</v>
      </c>
      <c r="G54" s="58" t="n">
        <f aca="false">0</f>
        <v>0</v>
      </c>
      <c r="H54" s="58" t="n">
        <f aca="false">0</f>
        <v>0</v>
      </c>
      <c r="I54" s="58" t="n">
        <f aca="false">0</f>
        <v>0</v>
      </c>
      <c r="J54" s="58" t="n">
        <f aca="false">0</f>
        <v>0</v>
      </c>
      <c r="K54" s="58" t="n">
        <f aca="false">0</f>
        <v>0</v>
      </c>
      <c r="L54" s="58" t="n">
        <f aca="false">0</f>
        <v>0</v>
      </c>
      <c r="M54" s="58" t="n">
        <f aca="false">0</f>
        <v>0</v>
      </c>
      <c r="N54" s="58" t="n">
        <f aca="false">0</f>
        <v>0</v>
      </c>
      <c r="O54" s="58" t="n">
        <f aca="false">0</f>
        <v>0</v>
      </c>
      <c r="P54" s="58" t="n">
        <f aca="false">0</f>
        <v>0</v>
      </c>
      <c r="Q54" s="58" t="n">
        <f aca="false">0</f>
        <v>0</v>
      </c>
      <c r="R54" s="58" t="n">
        <f aca="false">0</f>
        <v>0</v>
      </c>
      <c r="S54" s="58" t="n">
        <f aca="false">0</f>
        <v>0</v>
      </c>
    </row>
    <row r="55" customFormat="false" ht="15" hidden="false" customHeight="false" outlineLevel="0" collapsed="false">
      <c r="B55" s="69" t="s">
        <v>759</v>
      </c>
      <c r="C55" s="25" t="s">
        <v>170</v>
      </c>
      <c r="F55" s="68" t="n">
        <f aca="false">F54-F53</f>
        <v>0</v>
      </c>
      <c r="G55" s="68" t="n">
        <f aca="false">G54-G53</f>
        <v>-862.889756524061</v>
      </c>
      <c r="H55" s="68" t="n">
        <f aca="false">H54-H53</f>
        <v>-763.92857134206</v>
      </c>
      <c r="I55" s="68" t="n">
        <f aca="false">I54-I53</f>
        <v>-1048.73279720085</v>
      </c>
      <c r="J55" s="68" t="n">
        <f aca="false">J54-J53</f>
        <v>-1071.79508051364</v>
      </c>
      <c r="K55" s="68" t="n">
        <f aca="false">K54-K53</f>
        <v>-927.596650450307</v>
      </c>
      <c r="L55" s="68" t="n">
        <f aca="false">L54-L53</f>
        <v>-781.389488293321</v>
      </c>
      <c r="M55" s="68" t="n">
        <f aca="false">M54-M53</f>
        <v>-635.173419400813</v>
      </c>
      <c r="N55" s="68" t="n">
        <f aca="false">N54-N53</f>
        <v>-488.948265638071</v>
      </c>
      <c r="O55" s="68" t="n">
        <f aca="false">O54-O53</f>
        <v>-340.713845307691</v>
      </c>
      <c r="P55" s="68" t="n">
        <f aca="false">P54-P53</f>
        <v>-192.46997307832</v>
      </c>
      <c r="Q55" s="68" t="n">
        <f aca="false">Q54-Q53</f>
        <v>-49.7543051500739</v>
      </c>
      <c r="R55" s="68" t="n">
        <f aca="false">R54-R53</f>
        <v>92.9711965338821</v>
      </c>
      <c r="S55" s="68" t="n">
        <f aca="false">S54-S53</f>
        <v>235.706728648662</v>
      </c>
      <c r="U55" s="5" t="s">
        <v>814</v>
      </c>
    </row>
    <row r="56" customFormat="false" ht="15" hidden="false" customHeight="false" outlineLevel="0" collapsed="false">
      <c r="B56" s="24" t="s">
        <v>815</v>
      </c>
      <c r="C56" s="25" t="s">
        <v>170</v>
      </c>
      <c r="D56" s="25" t="s">
        <v>153</v>
      </c>
      <c r="G56" s="45" t="n">
        <v>195.18</v>
      </c>
      <c r="H56" s="45" t="n">
        <v>0</v>
      </c>
      <c r="I56" s="45" t="n">
        <v>0</v>
      </c>
      <c r="J56" s="45" t="n">
        <v>0</v>
      </c>
      <c r="K56" s="45" t="n">
        <v>0</v>
      </c>
      <c r="L56" s="45" t="n">
        <v>0</v>
      </c>
      <c r="M56" s="45" t="n">
        <v>0</v>
      </c>
      <c r="N56" s="45" t="n">
        <v>0</v>
      </c>
      <c r="O56" s="45" t="n">
        <v>0</v>
      </c>
      <c r="P56" s="45" t="n">
        <v>0</v>
      </c>
      <c r="Q56" s="45" t="n">
        <v>0</v>
      </c>
      <c r="R56" s="45" t="n">
        <v>0</v>
      </c>
      <c r="S56" s="45" t="n">
        <v>0</v>
      </c>
      <c r="T56" s="5" t="s">
        <v>816</v>
      </c>
    </row>
    <row r="57" customFormat="false" ht="15" hidden="false" customHeight="false" outlineLevel="0" collapsed="false">
      <c r="B57" s="24" t="s">
        <v>817</v>
      </c>
      <c r="C57" s="25" t="s">
        <v>170</v>
      </c>
      <c r="F57" s="58" t="n">
        <f aca="false">'FSL Financials — With BUMN'!F45</f>
        <v>224.518</v>
      </c>
      <c r="G57" s="58" t="n">
        <f aca="false">'FSL Financials — With BUMN'!G45</f>
        <v>195.18</v>
      </c>
      <c r="H57" s="58" t="n">
        <f aca="false">'FSL Financials — With BUMN'!H45</f>
        <v>195.18</v>
      </c>
      <c r="I57" s="58" t="n">
        <f aca="false">'FSL Financials — With BUMN'!I45</f>
        <v>195.18</v>
      </c>
      <c r="J57" s="58" t="n">
        <f aca="false">'FSL Financials — With BUMN'!J45</f>
        <v>0</v>
      </c>
      <c r="K57" s="58" t="n">
        <f aca="false">'FSL Financials — With BUMN'!K45</f>
        <v>0</v>
      </c>
      <c r="L57" s="58" t="n">
        <f aca="false">'FSL Financials — With BUMN'!L45</f>
        <v>0</v>
      </c>
      <c r="M57" s="58" t="n">
        <f aca="false">'FSL Financials — With BUMN'!M45</f>
        <v>0</v>
      </c>
      <c r="N57" s="58" t="n">
        <f aca="false">'FSL Financials — With BUMN'!N45</f>
        <v>0</v>
      </c>
      <c r="O57" s="58" t="n">
        <f aca="false">'FSL Financials — With BUMN'!O45</f>
        <v>0</v>
      </c>
      <c r="P57" s="58" t="n">
        <f aca="false">'FSL Financials — With BUMN'!P45</f>
        <v>0</v>
      </c>
      <c r="Q57" s="58" t="n">
        <f aca="false">'FSL Financials — With BUMN'!Q45</f>
        <v>0</v>
      </c>
      <c r="R57" s="58" t="n">
        <f aca="false">'FSL Financials — With BUMN'!R45</f>
        <v>0</v>
      </c>
      <c r="S57" s="58" t="n">
        <f aca="false">'FSL Financials — With BUMN'!S45</f>
        <v>0</v>
      </c>
    </row>
    <row r="58" customFormat="false" ht="15" hidden="false" customHeight="false" outlineLevel="0" collapsed="false">
      <c r="B58" s="69" t="s">
        <v>759</v>
      </c>
      <c r="C58" s="25" t="s">
        <v>170</v>
      </c>
      <c r="F58" s="68" t="n">
        <f aca="false">F57-F56</f>
        <v>224.518</v>
      </c>
      <c r="G58" s="68" t="n">
        <f aca="false">G57-G56</f>
        <v>0</v>
      </c>
      <c r="H58" s="68" t="n">
        <f aca="false">H57-H56</f>
        <v>195.18</v>
      </c>
      <c r="I58" s="68" t="n">
        <f aca="false">I57-I56</f>
        <v>195.18</v>
      </c>
      <c r="J58" s="68" t="n">
        <f aca="false">J57-J56</f>
        <v>0</v>
      </c>
      <c r="K58" s="68" t="n">
        <f aca="false">K57-K56</f>
        <v>0</v>
      </c>
      <c r="L58" s="68" t="n">
        <f aca="false">L57-L56</f>
        <v>0</v>
      </c>
      <c r="M58" s="68" t="n">
        <f aca="false">M57-M56</f>
        <v>0</v>
      </c>
      <c r="N58" s="68" t="n">
        <f aca="false">N57-N56</f>
        <v>0</v>
      </c>
      <c r="O58" s="68" t="n">
        <f aca="false">O57-O56</f>
        <v>0</v>
      </c>
      <c r="P58" s="68" t="n">
        <f aca="false">P57-P56</f>
        <v>0</v>
      </c>
      <c r="Q58" s="68" t="n">
        <f aca="false">Q57-Q56</f>
        <v>0</v>
      </c>
      <c r="R58" s="68" t="n">
        <f aca="false">R57-R56</f>
        <v>0</v>
      </c>
      <c r="S58" s="68" t="n">
        <f aca="false">S57-S56</f>
        <v>0</v>
      </c>
      <c r="U58" s="5" t="s">
        <v>818</v>
      </c>
    </row>
    <row r="59" customFormat="false" ht="15" hidden="false" customHeight="false" outlineLevel="0" collapsed="false">
      <c r="B59" s="24" t="s">
        <v>819</v>
      </c>
      <c r="C59" s="25" t="s">
        <v>170</v>
      </c>
      <c r="D59" s="25" t="s">
        <v>153</v>
      </c>
      <c r="G59" s="45" t="n">
        <v>677.7306</v>
      </c>
      <c r="H59" s="45" t="n">
        <v>677.7306</v>
      </c>
      <c r="I59" s="45" t="n">
        <v>1097.50262976191</v>
      </c>
      <c r="J59" s="45" t="n">
        <v>1257.50625476191</v>
      </c>
      <c r="K59" s="45" t="n">
        <v>1257.50625476191</v>
      </c>
      <c r="L59" s="45" t="n">
        <v>1257.50625476191</v>
      </c>
      <c r="M59" s="45" t="n">
        <v>1257.50625476191</v>
      </c>
      <c r="N59" s="45" t="n">
        <v>1257.50625476191</v>
      </c>
      <c r="O59" s="45" t="n">
        <v>1257.50625476191</v>
      </c>
      <c r="P59" s="45" t="n">
        <v>1257.50625476191</v>
      </c>
      <c r="Q59" s="45" t="n">
        <v>1257.50625476191</v>
      </c>
      <c r="R59" s="45" t="n">
        <v>1257.50625476191</v>
      </c>
      <c r="S59" s="45" t="n">
        <v>1257.50625476191</v>
      </c>
      <c r="T59" s="5" t="s">
        <v>820</v>
      </c>
    </row>
    <row r="60" customFormat="false" ht="15" hidden="false" customHeight="false" outlineLevel="0" collapsed="false">
      <c r="B60" s="24" t="s">
        <v>821</v>
      </c>
      <c r="C60" s="25" t="s">
        <v>170</v>
      </c>
      <c r="F60" s="58" t="n">
        <f aca="false">'FSL Financials — With BUMN'!F48</f>
        <v>677.731</v>
      </c>
      <c r="G60" s="58" t="n">
        <f aca="false">'FSL Financials — With BUMN'!G48</f>
        <v>677.731</v>
      </c>
      <c r="H60" s="58" t="n">
        <f aca="false">'FSL Financials — With BUMN'!H48</f>
        <v>677.731</v>
      </c>
      <c r="I60" s="58" t="n">
        <f aca="false">'FSL Financials — With BUMN'!I48</f>
        <v>677.731</v>
      </c>
      <c r="J60" s="58" t="n">
        <f aca="false">'FSL Financials — With BUMN'!J48</f>
        <v>872.911</v>
      </c>
      <c r="K60" s="58" t="n">
        <f aca="false">'FSL Financials — With BUMN'!K48</f>
        <v>872.911</v>
      </c>
      <c r="L60" s="58" t="n">
        <f aca="false">'FSL Financials — With BUMN'!L48</f>
        <v>872.911</v>
      </c>
      <c r="M60" s="58" t="n">
        <f aca="false">'FSL Financials — With BUMN'!M48</f>
        <v>872.911</v>
      </c>
      <c r="N60" s="58" t="n">
        <f aca="false">'FSL Financials — With BUMN'!N48</f>
        <v>872.911</v>
      </c>
      <c r="O60" s="58" t="n">
        <f aca="false">'FSL Financials — With BUMN'!O48</f>
        <v>872.911</v>
      </c>
      <c r="P60" s="58" t="n">
        <f aca="false">'FSL Financials — With BUMN'!P48</f>
        <v>872.911</v>
      </c>
      <c r="Q60" s="58" t="n">
        <f aca="false">'FSL Financials — With BUMN'!Q48</f>
        <v>872.911</v>
      </c>
      <c r="R60" s="58" t="n">
        <f aca="false">'FSL Financials — With BUMN'!R48</f>
        <v>872.911</v>
      </c>
      <c r="S60" s="58" t="n">
        <f aca="false">'FSL Financials — With BUMN'!S48</f>
        <v>872.911</v>
      </c>
    </row>
    <row r="61" customFormat="false" ht="15" hidden="false" customHeight="false" outlineLevel="0" collapsed="false">
      <c r="B61" s="69" t="s">
        <v>759</v>
      </c>
      <c r="C61" s="25" t="s">
        <v>170</v>
      </c>
      <c r="F61" s="68" t="n">
        <f aca="false">F60-F59</f>
        <v>677.731</v>
      </c>
      <c r="G61" s="68" t="n">
        <f aca="false">G60-G59</f>
        <v>0.000400000000013279</v>
      </c>
      <c r="H61" s="68" t="n">
        <f aca="false">H60-H59</f>
        <v>0.000400000000013279</v>
      </c>
      <c r="I61" s="68" t="n">
        <f aca="false">I60-I59</f>
        <v>-419.771629761905</v>
      </c>
      <c r="J61" s="68" t="n">
        <f aca="false">J60-J59</f>
        <v>-384.595254761905</v>
      </c>
      <c r="K61" s="68" t="n">
        <f aca="false">K60-K59</f>
        <v>-384.595254761905</v>
      </c>
      <c r="L61" s="68" t="n">
        <f aca="false">L60-L59</f>
        <v>-384.595254761905</v>
      </c>
      <c r="M61" s="68" t="n">
        <f aca="false">M60-M59</f>
        <v>-384.595254761905</v>
      </c>
      <c r="N61" s="68" t="n">
        <f aca="false">N60-N59</f>
        <v>-384.595254761905</v>
      </c>
      <c r="O61" s="68" t="n">
        <f aca="false">O60-O59</f>
        <v>-384.595254761905</v>
      </c>
      <c r="P61" s="68" t="n">
        <f aca="false">P60-P59</f>
        <v>-384.595254761905</v>
      </c>
      <c r="Q61" s="68" t="n">
        <f aca="false">Q60-Q59</f>
        <v>-384.595254761905</v>
      </c>
      <c r="R61" s="68" t="n">
        <f aca="false">R60-R59</f>
        <v>-384.595254761905</v>
      </c>
      <c r="S61" s="68" t="n">
        <f aca="false">S60-S59</f>
        <v>-384.595254761905</v>
      </c>
      <c r="U61" s="5" t="s">
        <v>822</v>
      </c>
    </row>
    <row r="62" customFormat="false" ht="15" hidden="false" customHeight="false" outlineLevel="0" collapsed="false">
      <c r="B62" s="24" t="s">
        <v>823</v>
      </c>
      <c r="C62" s="25" t="s">
        <v>170</v>
      </c>
      <c r="D62" s="25" t="s">
        <v>153</v>
      </c>
      <c r="G62" s="45" t="n">
        <v>324.688533783827</v>
      </c>
      <c r="H62" s="45" t="n">
        <v>408.343964655509</v>
      </c>
      <c r="I62" s="45" t="n">
        <v>538.648710950412</v>
      </c>
      <c r="J62" s="45" t="n">
        <v>714.94503429208</v>
      </c>
      <c r="K62" s="45" t="n">
        <v>914.372271889222</v>
      </c>
      <c r="L62" s="45" t="n">
        <v>1144.19171176071</v>
      </c>
      <c r="M62" s="45" t="n">
        <v>1386.11560879666</v>
      </c>
      <c r="N62" s="45" t="n">
        <v>1651.81795358461</v>
      </c>
      <c r="O62" s="45" t="n">
        <v>1932.7961544915</v>
      </c>
      <c r="P62" s="45" t="n">
        <v>2239.85954585565</v>
      </c>
      <c r="Q62" s="45" t="n">
        <v>2562.05678483611</v>
      </c>
      <c r="R62" s="45" t="n">
        <v>2882.07425135384</v>
      </c>
      <c r="S62" s="45" t="n">
        <v>3214.92762860662</v>
      </c>
      <c r="T62" s="5" t="s">
        <v>824</v>
      </c>
    </row>
    <row r="63" customFormat="false" ht="15" hidden="false" customHeight="false" outlineLevel="0" collapsed="false">
      <c r="B63" s="24" t="s">
        <v>825</v>
      </c>
      <c r="C63" s="25" t="s">
        <v>170</v>
      </c>
      <c r="F63" s="58" t="n">
        <f aca="false">'FSL Financials — With BUMN'!F49</f>
        <v>290.592</v>
      </c>
      <c r="G63" s="58" t="n">
        <f aca="false">'FSL Financials — With BUMN'!G49</f>
        <v>325.530897525588</v>
      </c>
      <c r="H63" s="58" t="n">
        <f aca="false">'FSL Financials — With BUMN'!H49</f>
        <v>402.335182435167</v>
      </c>
      <c r="I63" s="58" t="n">
        <f aca="false">'FSL Financials — With BUMN'!I49</f>
        <v>529.111983537031</v>
      </c>
      <c r="J63" s="58" t="n">
        <f aca="false">'FSL Financials — With BUMN'!J49</f>
        <v>757.762198815603</v>
      </c>
      <c r="K63" s="58" t="n">
        <f aca="false">'FSL Financials — With BUMN'!K49</f>
        <v>954.474642397381</v>
      </c>
      <c r="L63" s="58" t="n">
        <f aca="false">'FSL Financials — With BUMN'!L49</f>
        <v>1181.57765709345</v>
      </c>
      <c r="M63" s="58" t="n">
        <f aca="false">'FSL Financials — With BUMN'!M49</f>
        <v>1420.78345356117</v>
      </c>
      <c r="N63" s="58" t="n">
        <f aca="false">'FSL Financials — With BUMN'!N49</f>
        <v>1683.76597517906</v>
      </c>
      <c r="O63" s="58" t="n">
        <f aca="false">'FSL Financials — With BUMN'!O49</f>
        <v>1962.02256999244</v>
      </c>
      <c r="P63" s="58" t="n">
        <f aca="false">'FSL Financials — With BUMN'!P49</f>
        <v>2273.91821401996</v>
      </c>
      <c r="Q63" s="58" t="n">
        <f aca="false">'FSL Financials — With BUMN'!Q49</f>
        <v>2601.58138197887</v>
      </c>
      <c r="R63" s="58" t="n">
        <f aca="false">'FSL Financials — With BUMN'!R49</f>
        <v>2927.98418097822</v>
      </c>
      <c r="S63" s="58" t="n">
        <f aca="false">'FSL Financials — With BUMN'!S49</f>
        <v>3270.00975928736</v>
      </c>
    </row>
    <row r="64" customFormat="false" ht="15" hidden="false" customHeight="false" outlineLevel="0" collapsed="false">
      <c r="B64" s="69" t="s">
        <v>759</v>
      </c>
      <c r="C64" s="25" t="s">
        <v>170</v>
      </c>
      <c r="F64" s="68" t="n">
        <f aca="false">F63-F62</f>
        <v>290.592</v>
      </c>
      <c r="G64" s="68" t="n">
        <f aca="false">G63-G62</f>
        <v>0.842363741761403</v>
      </c>
      <c r="H64" s="68" t="n">
        <f aca="false">H63-H62</f>
        <v>-6.00878222034226</v>
      </c>
      <c r="I64" s="68" t="n">
        <f aca="false">I63-I62</f>
        <v>-9.53672741338119</v>
      </c>
      <c r="J64" s="68" t="n">
        <f aca="false">J63-J62</f>
        <v>42.8171645235225</v>
      </c>
      <c r="K64" s="68" t="n">
        <f aca="false">K63-K62</f>
        <v>40.1023705081593</v>
      </c>
      <c r="L64" s="68" t="n">
        <f aca="false">L63-L62</f>
        <v>37.3859453327366</v>
      </c>
      <c r="M64" s="68" t="n">
        <f aca="false">M63-M62</f>
        <v>34.6678447645138</v>
      </c>
      <c r="N64" s="68" t="n">
        <f aca="false">N63-N62</f>
        <v>31.9480215944573</v>
      </c>
      <c r="O64" s="68" t="n">
        <f aca="false">O63-O62</f>
        <v>29.2264155009475</v>
      </c>
      <c r="P64" s="68" t="n">
        <f aca="false">P63-P62</f>
        <v>34.0586681643144</v>
      </c>
      <c r="Q64" s="68" t="n">
        <f aca="false">Q63-Q62</f>
        <v>39.5245971427644</v>
      </c>
      <c r="R64" s="68" t="n">
        <f aca="false">R63-R62</f>
        <v>45.9099296243812</v>
      </c>
      <c r="S64" s="68" t="n">
        <f aca="false">S63-S62</f>
        <v>55.082130680747</v>
      </c>
      <c r="U64" s="5" t="s">
        <v>826</v>
      </c>
    </row>
    <row r="66" customFormat="false" ht="15" hidden="false" customHeight="false" outlineLevel="0" collapsed="false">
      <c r="B66" s="22" t="s">
        <v>827</v>
      </c>
      <c r="C66" s="23"/>
      <c r="D66" s="23"/>
      <c r="E66" s="23"/>
      <c r="F66" s="23"/>
      <c r="G66" s="23"/>
      <c r="H66" s="23"/>
      <c r="I66" s="23"/>
      <c r="J66" s="23"/>
      <c r="K66" s="23"/>
      <c r="L66" s="23"/>
      <c r="M66" s="23"/>
      <c r="N66" s="23"/>
      <c r="O66" s="23"/>
      <c r="P66" s="23"/>
      <c r="Q66" s="23"/>
      <c r="R66" s="23"/>
      <c r="S66" s="23"/>
    </row>
    <row r="67" customFormat="false" ht="15" hidden="false" customHeight="false" outlineLevel="0" collapsed="false">
      <c r="B67" s="24" t="s">
        <v>828</v>
      </c>
      <c r="C67" s="25" t="s">
        <v>170</v>
      </c>
      <c r="D67" s="25" t="s">
        <v>153</v>
      </c>
      <c r="G67" s="45" t="n">
        <v>70.7700202726427</v>
      </c>
      <c r="H67" s="45" t="n">
        <v>73.6725793136351</v>
      </c>
      <c r="I67" s="45" t="n">
        <v>75.611991688747</v>
      </c>
      <c r="J67" s="45" t="n">
        <v>78.6308779998137</v>
      </c>
      <c r="K67" s="45" t="n">
        <v>81.7078477120795</v>
      </c>
      <c r="L67" s="45" t="n">
        <v>89.2620496024652</v>
      </c>
      <c r="M67" s="45" t="n">
        <v>92.6176757960445</v>
      </c>
      <c r="N67" s="45" t="n">
        <v>96.0352932058431</v>
      </c>
      <c r="O67" s="45" t="n">
        <v>104.616641934683</v>
      </c>
      <c r="P67" s="45" t="n">
        <v>108.340410490952</v>
      </c>
      <c r="Q67" s="45" t="n">
        <v>112.129822313572</v>
      </c>
      <c r="R67" s="45" t="n">
        <v>115.984077253955</v>
      </c>
      <c r="S67" s="45" t="n">
        <v>119.902182721709</v>
      </c>
      <c r="T67" s="5" t="s">
        <v>829</v>
      </c>
    </row>
    <row r="68" customFormat="false" ht="15" hidden="false" customHeight="false" outlineLevel="0" collapsed="false">
      <c r="B68" s="24" t="s">
        <v>830</v>
      </c>
      <c r="C68" s="25" t="s">
        <v>170</v>
      </c>
      <c r="F68" s="58" t="n">
        <f aca="false">'E1 TelukLamong Output'!F17</f>
        <v>0</v>
      </c>
      <c r="G68" s="58" t="n">
        <f aca="false">'E1 TelukLamong Output'!G17</f>
        <v>70.769813754729</v>
      </c>
      <c r="H68" s="58" t="n">
        <f aca="false">'E1 TelukLamong Output'!H17</f>
        <v>73.6723672098848</v>
      </c>
      <c r="I68" s="58" t="n">
        <f aca="false">'E1 TelukLamong Output'!I17</f>
        <v>75.6117738740764</v>
      </c>
      <c r="J68" s="58" t="n">
        <f aca="false">'E1 TelukLamong Output'!J17</f>
        <v>78.6306543388679</v>
      </c>
      <c r="K68" s="58" t="n">
        <f aca="false">'E1 TelukLamong Output'!K17</f>
        <v>81.7076180724527</v>
      </c>
      <c r="L68" s="58" t="n">
        <f aca="false">'E1 TelukLamong Output'!L17</f>
        <v>89.2618060570292</v>
      </c>
      <c r="M68" s="58" t="n">
        <f aca="false">'E1 TelukLamong Output'!M17</f>
        <v>92.6174257693723</v>
      </c>
      <c r="N68" s="58" t="n">
        <f aca="false">'E1 TelukLamong Output'!N17</f>
        <v>96.0350365549655</v>
      </c>
      <c r="O68" s="58" t="n">
        <f aca="false">'E1 TelukLamong Output'!O17</f>
        <v>104.616369743427</v>
      </c>
      <c r="P68" s="58" t="n">
        <f aca="false">'E1 TelukLamong Output'!P17</f>
        <v>108.340131123112</v>
      </c>
      <c r="Q68" s="58" t="n">
        <f aca="false">'E1 TelukLamong Output'!Q17</f>
        <v>112.129535615479</v>
      </c>
      <c r="R68" s="58" t="n">
        <f aca="false">'E1 TelukLamong Output'!R17</f>
        <v>115.983783071147</v>
      </c>
      <c r="S68" s="58" t="n">
        <f aca="false">'E1 TelukLamong Output'!S17</f>
        <v>119.901880899139</v>
      </c>
    </row>
    <row r="69" customFormat="false" ht="15" hidden="false" customHeight="false" outlineLevel="0" collapsed="false">
      <c r="B69" s="69" t="s">
        <v>338</v>
      </c>
      <c r="C69" s="25" t="s">
        <v>170</v>
      </c>
      <c r="F69" s="68" t="n">
        <f aca="false">F68-F67</f>
        <v>0</v>
      </c>
      <c r="G69" s="68" t="n">
        <f aca="false">G68-G67</f>
        <v>-0.000206517913696302</v>
      </c>
      <c r="H69" s="68" t="n">
        <f aca="false">H68-H67</f>
        <v>-0.000212103750271808</v>
      </c>
      <c r="I69" s="68" t="n">
        <f aca="false">I68-I67</f>
        <v>-0.000217814670662619</v>
      </c>
      <c r="J69" s="68" t="n">
        <f aca="false">J68-J67</f>
        <v>-0.000223660945863458</v>
      </c>
      <c r="K69" s="68" t="n">
        <f aca="false">K68-K67</f>
        <v>-0.000229639626724065</v>
      </c>
      <c r="L69" s="68" t="n">
        <f aca="false">L68-L67</f>
        <v>-0.000243545435964165</v>
      </c>
      <c r="M69" s="68" t="n">
        <f aca="false">M68-M67</f>
        <v>-0.000250026672233616</v>
      </c>
      <c r="N69" s="68" t="n">
        <f aca="false">N68-N67</f>
        <v>-0.00025665087764537</v>
      </c>
      <c r="O69" s="68" t="n">
        <f aca="false">O68-O67</f>
        <v>-0.000272191256740939</v>
      </c>
      <c r="P69" s="68" t="n">
        <f aca="false">P68-P67</f>
        <v>-0.000279367840505529</v>
      </c>
      <c r="Q69" s="68" t="n">
        <f aca="false">Q68-Q67</f>
        <v>-0.000286698092736515</v>
      </c>
      <c r="R69" s="68" t="n">
        <f aca="false">R68-R67</f>
        <v>-0.00029418280823279</v>
      </c>
      <c r="S69" s="68" t="n">
        <f aca="false">S68-S67</f>
        <v>-0.000301822569539922</v>
      </c>
      <c r="U69" s="5" t="s">
        <v>831</v>
      </c>
    </row>
    <row r="70" customFormat="false" ht="15" hidden="false" customHeight="false" outlineLevel="0" collapsed="false">
      <c r="B70" s="24" t="s">
        <v>832</v>
      </c>
      <c r="C70" s="25" t="s">
        <v>170</v>
      </c>
      <c r="D70" s="25" t="s">
        <v>153</v>
      </c>
      <c r="G70" s="45" t="n">
        <v>-24.8752393352897</v>
      </c>
      <c r="H70" s="45" t="n">
        <v>-17.9712589355053</v>
      </c>
      <c r="I70" s="45" t="n">
        <v>-18.4750140152239</v>
      </c>
      <c r="J70" s="45" t="n">
        <v>-8.09716105154234</v>
      </c>
      <c r="K70" s="45" t="n">
        <v>-7.26185854733026</v>
      </c>
      <c r="L70" s="45" t="n">
        <v>-1.18080026497646</v>
      </c>
      <c r="M70" s="45" t="n">
        <v>-0.130768957549392</v>
      </c>
      <c r="N70" s="45" t="n">
        <v>5.32489629078828</v>
      </c>
      <c r="O70" s="45" t="n">
        <v>5.51045772605853</v>
      </c>
      <c r="P70" s="45" t="n">
        <v>11.68482485732</v>
      </c>
      <c r="Q70" s="45" t="n">
        <v>13.0958354336496</v>
      </c>
      <c r="R70" s="45" t="n">
        <v>14.5331703132026</v>
      </c>
      <c r="S70" s="45" t="n">
        <v>15.9967210834913</v>
      </c>
      <c r="T70" s="5" t="s">
        <v>833</v>
      </c>
    </row>
    <row r="71" customFormat="false" ht="15" hidden="false" customHeight="false" outlineLevel="0" collapsed="false">
      <c r="B71" s="24" t="s">
        <v>834</v>
      </c>
      <c r="C71" s="25" t="s">
        <v>170</v>
      </c>
      <c r="F71" s="58" t="n">
        <f aca="false">'E2 CigadingExist Output'!F17</f>
        <v>0</v>
      </c>
      <c r="G71" s="58" t="n">
        <f aca="false">'E2 CigadingExist Output'!G17</f>
        <v>-24.8752588875047</v>
      </c>
      <c r="H71" s="58" t="n">
        <f aca="false">'E2 CigadingExist Output'!H17</f>
        <v>-17.9712783924015</v>
      </c>
      <c r="I71" s="58" t="n">
        <f aca="false">'E2 CigadingExist Output'!I17</f>
        <v>-18.4750333433378</v>
      </c>
      <c r="J71" s="58" t="n">
        <f aca="false">'E2 CigadingExist Output'!J17</f>
        <v>-8.09718027849051</v>
      </c>
      <c r="K71" s="58" t="n">
        <f aca="false">'E2 CigadingExist Output'!K17</f>
        <v>-7.26187767005758</v>
      </c>
      <c r="L71" s="58" t="n">
        <f aca="false">'E2 CigadingExist Output'!L17</f>
        <v>-1.1808192497535</v>
      </c>
      <c r="M71" s="58" t="n">
        <f aca="false">'E2 CigadingExist Output'!M17</f>
        <v>-0.130787831718834</v>
      </c>
      <c r="N71" s="58" t="n">
        <f aca="false">'E2 CigadingExist Output'!N17</f>
        <v>5.32487753056357</v>
      </c>
      <c r="O71" s="58" t="n">
        <f aca="false">'E2 CigadingExist Output'!O17</f>
        <v>5.51043911379837</v>
      </c>
      <c r="P71" s="58" t="n">
        <f aca="false">'E2 CigadingExist Output'!P17</f>
        <v>11.6848063659806</v>
      </c>
      <c r="Q71" s="58" t="n">
        <f aca="false">'E2 CigadingExist Output'!Q17</f>
        <v>13.095817066876</v>
      </c>
      <c r="R71" s="58" t="n">
        <f aca="false">'E2 CigadingExist Output'!R17</f>
        <v>14.5331520747484</v>
      </c>
      <c r="S71" s="58" t="n">
        <f aca="false">'E2 CigadingExist Output'!S17</f>
        <v>15.9967029772222</v>
      </c>
    </row>
    <row r="72" customFormat="false" ht="15" hidden="false" customHeight="false" outlineLevel="0" collapsed="false">
      <c r="B72" s="69" t="s">
        <v>338</v>
      </c>
      <c r="C72" s="25" t="s">
        <v>170</v>
      </c>
      <c r="F72" s="68" t="n">
        <f aca="false">F71-F70</f>
        <v>0</v>
      </c>
      <c r="G72" s="68" t="n">
        <f aca="false">G71-G70</f>
        <v>-1.95522150185923E-005</v>
      </c>
      <c r="H72" s="68" t="n">
        <f aca="false">H71-H70</f>
        <v>-1.94568961617847E-005</v>
      </c>
      <c r="I72" s="68" t="n">
        <f aca="false">I71-I70</f>
        <v>-1.93281138685109E-005</v>
      </c>
      <c r="J72" s="68" t="n">
        <f aca="false">J71-J70</f>
        <v>-1.92269481615881E-005</v>
      </c>
      <c r="K72" s="68" t="n">
        <f aca="false">K71-K70</f>
        <v>-1.91227273234063E-005</v>
      </c>
      <c r="L72" s="68" t="n">
        <f aca="false">L71-L70</f>
        <v>-1.89847770426521E-005</v>
      </c>
      <c r="M72" s="68" t="n">
        <f aca="false">M71-M70</f>
        <v>-1.88741694416017E-005</v>
      </c>
      <c r="N72" s="68" t="n">
        <f aca="false">N71-N70</f>
        <v>-1.87602247123664E-005</v>
      </c>
      <c r="O72" s="68" t="n">
        <f aca="false">O71-O70</f>
        <v>-1.86122601633087E-005</v>
      </c>
      <c r="P72" s="68" t="n">
        <f aca="false">P71-P70</f>
        <v>-1.8491339387694E-005</v>
      </c>
      <c r="Q72" s="68" t="n">
        <f aca="false">Q71-Q70</f>
        <v>-1.83667736148863E-005</v>
      </c>
      <c r="R72" s="68" t="n">
        <f aca="false">R71-R70</f>
        <v>-1.82384541762559E-005</v>
      </c>
      <c r="S72" s="68" t="n">
        <f aca="false">S71-S70</f>
        <v>-1.81062691417822E-005</v>
      </c>
      <c r="U72" s="5" t="s">
        <v>831</v>
      </c>
    </row>
    <row r="73" customFormat="false" ht="15" hidden="false" customHeight="false" outlineLevel="0" collapsed="false">
      <c r="B73" s="24" t="s">
        <v>835</v>
      </c>
      <c r="C73" s="25" t="s">
        <v>170</v>
      </c>
      <c r="D73" s="25" t="s">
        <v>153</v>
      </c>
      <c r="G73" s="45" t="n">
        <v>5.91163095052072</v>
      </c>
      <c r="H73" s="45" t="n">
        <v>6.16210724900483</v>
      </c>
      <c r="I73" s="45" t="n">
        <v>6.57390149654168</v>
      </c>
      <c r="J73" s="45" t="n">
        <v>17.7878146069071</v>
      </c>
      <c r="K73" s="45" t="n">
        <v>21.7674368885849</v>
      </c>
      <c r="L73" s="45" t="n">
        <v>25.988363681565</v>
      </c>
      <c r="M73" s="45" t="n">
        <v>30.4633729446148</v>
      </c>
      <c r="N73" s="45" t="n">
        <v>35.2059069339973</v>
      </c>
      <c r="O73" s="45" t="n">
        <v>40.2301075558576</v>
      </c>
      <c r="P73" s="45" t="n">
        <v>45.5508536677527</v>
      </c>
      <c r="Q73" s="45" t="n">
        <v>51.1838004403746</v>
      </c>
      <c r="R73" s="45" t="n">
        <v>26.8285297184541</v>
      </c>
      <c r="S73" s="45" t="n">
        <v>29.6258198721091</v>
      </c>
      <c r="T73" s="5" t="s">
        <v>836</v>
      </c>
    </row>
    <row r="74" customFormat="false" ht="15" hidden="false" customHeight="false" outlineLevel="0" collapsed="false">
      <c r="B74" s="24" t="s">
        <v>837</v>
      </c>
      <c r="C74" s="25" t="s">
        <v>170</v>
      </c>
      <c r="F74" s="58" t="n">
        <f aca="false">'E3 Belawan Output'!F17</f>
        <v>0</v>
      </c>
      <c r="G74" s="58" t="n">
        <f aca="false">'E3 Belawan Output'!G17</f>
        <v>5.91163095052072</v>
      </c>
      <c r="H74" s="58" t="n">
        <f aca="false">'E3 Belawan Output'!H17</f>
        <v>6.16210724900483</v>
      </c>
      <c r="I74" s="58" t="n">
        <f aca="false">'E3 Belawan Output'!I17</f>
        <v>13.1205639965417</v>
      </c>
      <c r="J74" s="58" t="n">
        <f aca="false">'E3 Belawan Output'!J17</f>
        <v>17.7878146069071</v>
      </c>
      <c r="K74" s="58" t="n">
        <f aca="false">'E3 Belawan Output'!K17</f>
        <v>21.7674368885848</v>
      </c>
      <c r="L74" s="58" t="n">
        <f aca="false">'E3 Belawan Output'!L17</f>
        <v>25.988363681565</v>
      </c>
      <c r="M74" s="58" t="n">
        <f aca="false">'E3 Belawan Output'!M17</f>
        <v>30.4633729446148</v>
      </c>
      <c r="N74" s="58" t="n">
        <f aca="false">'E3 Belawan Output'!N17</f>
        <v>35.2059069339973</v>
      </c>
      <c r="O74" s="58" t="n">
        <f aca="false">'E3 Belawan Output'!O17</f>
        <v>40.230107555175</v>
      </c>
      <c r="P74" s="58" t="n">
        <f aca="false">'E3 Belawan Output'!P17</f>
        <v>45.5508536670102</v>
      </c>
      <c r="Q74" s="58" t="n">
        <f aca="false">'E3 Belawan Output'!Q17</f>
        <v>52.6121398384541</v>
      </c>
      <c r="R74" s="58" t="n">
        <f aca="false">'E3 Belawan Output'!R17</f>
        <v>29.6800089766659</v>
      </c>
      <c r="S74" s="58" t="n">
        <f aca="false">'E3 Belawan Output'!S17</f>
        <v>32.477305479646</v>
      </c>
    </row>
    <row r="75" customFormat="false" ht="15" hidden="false" customHeight="false" outlineLevel="0" collapsed="false">
      <c r="B75" s="69" t="s">
        <v>338</v>
      </c>
      <c r="C75" s="25" t="s">
        <v>170</v>
      </c>
      <c r="F75" s="68" t="n">
        <f aca="false">F74-F73</f>
        <v>0</v>
      </c>
      <c r="G75" s="68" t="n">
        <f aca="false">G74-G73</f>
        <v>0</v>
      </c>
      <c r="H75" s="68" t="n">
        <f aca="false">H74-H73</f>
        <v>0</v>
      </c>
      <c r="I75" s="68" t="n">
        <f aca="false">I74-I73</f>
        <v>6.5466625</v>
      </c>
      <c r="J75" s="68" t="n">
        <f aca="false">J74-J73</f>
        <v>0</v>
      </c>
      <c r="K75" s="68" t="n">
        <f aca="false">K74-K73</f>
        <v>0</v>
      </c>
      <c r="L75" s="68" t="n">
        <f aca="false">L74-L73</f>
        <v>0</v>
      </c>
      <c r="M75" s="68" t="n">
        <f aca="false">M74-M73</f>
        <v>0</v>
      </c>
      <c r="N75" s="68" t="n">
        <f aca="false">N74-N73</f>
        <v>0</v>
      </c>
      <c r="O75" s="68" t="n">
        <f aca="false">O74-O73</f>
        <v>-6.82568668253225E-010</v>
      </c>
      <c r="P75" s="68" t="n">
        <f aca="false">P74-P73</f>
        <v>-7.42446104595729E-010</v>
      </c>
      <c r="Q75" s="68" t="n">
        <f aca="false">Q74-Q73</f>
        <v>1.42833939807947</v>
      </c>
      <c r="R75" s="68" t="n">
        <f aca="false">R74-R73</f>
        <v>2.85147925821178</v>
      </c>
      <c r="S75" s="68" t="n">
        <f aca="false">S74-S73</f>
        <v>2.85148560753687</v>
      </c>
      <c r="U75" s="5" t="s">
        <v>831</v>
      </c>
    </row>
    <row r="76" customFormat="false" ht="15" hidden="false" customHeight="false" outlineLevel="0" collapsed="false">
      <c r="B76" s="24" t="s">
        <v>838</v>
      </c>
      <c r="C76" s="25" t="s">
        <v>170</v>
      </c>
      <c r="D76" s="25" t="s">
        <v>153</v>
      </c>
      <c r="G76" s="45" t="n">
        <v>14.0560011060539</v>
      </c>
      <c r="H76" s="45" t="n">
        <v>13.5062762279603</v>
      </c>
      <c r="I76" s="45" t="n">
        <v>16.2857849654813</v>
      </c>
      <c r="J76" s="45" t="n">
        <v>17.9916002981247</v>
      </c>
      <c r="K76" s="45" t="n">
        <v>19.8431535285916</v>
      </c>
      <c r="L76" s="45" t="n">
        <v>21.8524394489134</v>
      </c>
      <c r="M76" s="45" t="n">
        <v>24.0324287042929</v>
      </c>
      <c r="N76" s="45" t="n">
        <v>26.3971468759459</v>
      </c>
      <c r="O76" s="45" t="n">
        <v>28.9617599660388</v>
      </c>
      <c r="P76" s="45" t="n">
        <v>31.7426668030327</v>
      </c>
      <c r="Q76" s="45" t="n">
        <v>30.7632980747309</v>
      </c>
      <c r="R76" s="45" t="n">
        <v>32.4911524399013</v>
      </c>
      <c r="S76" s="45" t="n">
        <v>34.3086118052616</v>
      </c>
      <c r="T76" s="5" t="s">
        <v>839</v>
      </c>
    </row>
    <row r="77" customFormat="false" ht="15" hidden="false" customHeight="false" outlineLevel="0" collapsed="false">
      <c r="B77" s="24" t="s">
        <v>840</v>
      </c>
      <c r="C77" s="25" t="s">
        <v>170</v>
      </c>
      <c r="F77" s="58" t="n">
        <f aca="false">'E4 WIN Output'!F17</f>
        <v>0</v>
      </c>
      <c r="G77" s="58" t="n">
        <f aca="false">'E4 WIN Output'!G17</f>
        <v>14.0560011060539</v>
      </c>
      <c r="H77" s="58" t="n">
        <f aca="false">'E4 WIN Output'!H17</f>
        <v>13.5062762279603</v>
      </c>
      <c r="I77" s="58" t="n">
        <f aca="false">'E4 WIN Output'!I17</f>
        <v>16.2857849654813</v>
      </c>
      <c r="J77" s="58" t="n">
        <f aca="false">'E4 WIN Output'!J17</f>
        <v>17.9916002981247</v>
      </c>
      <c r="K77" s="58" t="n">
        <f aca="false">'E4 WIN Output'!K17</f>
        <v>19.8431535285916</v>
      </c>
      <c r="L77" s="58" t="n">
        <f aca="false">'E4 WIN Output'!L17</f>
        <v>21.8524394489134</v>
      </c>
      <c r="M77" s="58" t="n">
        <f aca="false">'E4 WIN Output'!M17</f>
        <v>24.0324287042929</v>
      </c>
      <c r="N77" s="58" t="n">
        <f aca="false">'E4 WIN Output'!N17</f>
        <v>26.3971468759459</v>
      </c>
      <c r="O77" s="58" t="n">
        <f aca="false">'E4 WIN Output'!O17</f>
        <v>28.9617599660388</v>
      </c>
      <c r="P77" s="58" t="n">
        <f aca="false">'E4 WIN Output'!P17</f>
        <v>31.7426668030327</v>
      </c>
      <c r="Q77" s="58" t="n">
        <f aca="false">'E4 WIN Output'!Q17</f>
        <v>30.7632980747309</v>
      </c>
      <c r="R77" s="58" t="n">
        <f aca="false">'E4 WIN Output'!R17</f>
        <v>32.4911524399013</v>
      </c>
      <c r="S77" s="58" t="n">
        <f aca="false">'E4 WIN Output'!S17</f>
        <v>34.3086118052616</v>
      </c>
    </row>
    <row r="78" customFormat="false" ht="15" hidden="false" customHeight="false" outlineLevel="0" collapsed="false">
      <c r="B78" s="69" t="s">
        <v>338</v>
      </c>
      <c r="C78" s="25" t="s">
        <v>170</v>
      </c>
      <c r="F78" s="68" t="n">
        <f aca="false">F77-F76</f>
        <v>0</v>
      </c>
      <c r="G78" s="68" t="n">
        <f aca="false">G77-G76</f>
        <v>0</v>
      </c>
      <c r="H78" s="68" t="n">
        <f aca="false">H77-H76</f>
        <v>0</v>
      </c>
      <c r="I78" s="68" t="n">
        <f aca="false">I77-I76</f>
        <v>0</v>
      </c>
      <c r="J78" s="68" t="n">
        <f aca="false">J77-J76</f>
        <v>0</v>
      </c>
      <c r="K78" s="68" t="n">
        <f aca="false">K77-K76</f>
        <v>0</v>
      </c>
      <c r="L78" s="68" t="n">
        <f aca="false">L77-L76</f>
        <v>0</v>
      </c>
      <c r="M78" s="68" t="n">
        <f aca="false">M77-M76</f>
        <v>0</v>
      </c>
      <c r="N78" s="68" t="n">
        <f aca="false">N77-N76</f>
        <v>0</v>
      </c>
      <c r="O78" s="68" t="n">
        <f aca="false">O77-O76</f>
        <v>0</v>
      </c>
      <c r="P78" s="68" t="n">
        <f aca="false">P77-P76</f>
        <v>0</v>
      </c>
      <c r="Q78" s="68" t="n">
        <f aca="false">Q77-Q76</f>
        <v>0</v>
      </c>
      <c r="R78" s="68" t="n">
        <f aca="false">R77-R76</f>
        <v>0</v>
      </c>
      <c r="S78" s="68" t="n">
        <f aca="false">S77-S76</f>
        <v>0</v>
      </c>
      <c r="U78" s="5" t="s">
        <v>831</v>
      </c>
    </row>
    <row r="79" customFormat="false" ht="15" hidden="false" customHeight="false" outlineLevel="0" collapsed="false">
      <c r="B79" s="24" t="s">
        <v>841</v>
      </c>
      <c r="C79" s="25" t="s">
        <v>170</v>
      </c>
      <c r="D79" s="25" t="s">
        <v>153</v>
      </c>
      <c r="G79" s="45" t="n">
        <v>0</v>
      </c>
      <c r="H79" s="45" t="n">
        <v>52.9362886974509</v>
      </c>
      <c r="I79" s="45" t="n">
        <v>54.8277161683319</v>
      </c>
      <c r="J79" s="45" t="n">
        <v>73.7873356587479</v>
      </c>
      <c r="K79" s="45" t="n">
        <v>76.271430550329</v>
      </c>
      <c r="L79" s="45" t="n">
        <v>89.6507188548437</v>
      </c>
      <c r="M79" s="45" t="n">
        <v>92.5737265341256</v>
      </c>
      <c r="N79" s="45" t="n">
        <v>103.153359567071</v>
      </c>
      <c r="O79" s="45" t="n">
        <v>106.439815350791</v>
      </c>
      <c r="P79" s="45" t="n">
        <v>118.336521789057</v>
      </c>
      <c r="Q79" s="45" t="n">
        <v>122.031616250562</v>
      </c>
      <c r="R79" s="45" t="n">
        <v>125.811974214367</v>
      </c>
      <c r="S79" s="45" t="n">
        <v>129.67859519525</v>
      </c>
      <c r="T79" s="5" t="s">
        <v>842</v>
      </c>
    </row>
    <row r="80" customFormat="false" ht="15" hidden="false" customHeight="false" outlineLevel="0" collapsed="false">
      <c r="B80" s="24" t="s">
        <v>843</v>
      </c>
      <c r="C80" s="25" t="s">
        <v>170</v>
      </c>
      <c r="F80" s="58" t="n">
        <f aca="false">'P01 CigWharf2 Output'!F17</f>
        <v>0</v>
      </c>
      <c r="G80" s="58" t="n">
        <f aca="false">'P01 CigWharf2 Output'!G17</f>
        <v>0</v>
      </c>
      <c r="H80" s="58" t="n">
        <f aca="false">'P01 CigWharf2 Output'!H17</f>
        <v>52.9362886974509</v>
      </c>
      <c r="I80" s="58" t="n">
        <f aca="false">'P01 CigWharf2 Output'!I17</f>
        <v>54.8277161683319</v>
      </c>
      <c r="J80" s="58" t="n">
        <f aca="false">'P01 CigWharf2 Output'!J17</f>
        <v>73.7873356587479</v>
      </c>
      <c r="K80" s="58" t="n">
        <f aca="false">'P01 CigWharf2 Output'!K17</f>
        <v>76.271430550329</v>
      </c>
      <c r="L80" s="58" t="n">
        <f aca="false">'P01 CigWharf2 Output'!L17</f>
        <v>89.6507188548437</v>
      </c>
      <c r="M80" s="58" t="n">
        <f aca="false">'P01 CigWharf2 Output'!M17</f>
        <v>92.5737265341256</v>
      </c>
      <c r="N80" s="58" t="n">
        <f aca="false">'P01 CigWharf2 Output'!N17</f>
        <v>103.153359567071</v>
      </c>
      <c r="O80" s="58" t="n">
        <f aca="false">'P01 CigWharf2 Output'!O17</f>
        <v>106.439815350791</v>
      </c>
      <c r="P80" s="58" t="n">
        <f aca="false">'P01 CigWharf2 Output'!P17</f>
        <v>130.65141489426</v>
      </c>
      <c r="Q80" s="58" t="n">
        <f aca="false">'P01 CigWharf2 Output'!Q17</f>
        <v>134.346509355765</v>
      </c>
      <c r="R80" s="58" t="n">
        <f aca="false">'P01 CigWharf2 Output'!R17</f>
        <v>138.12686731957</v>
      </c>
      <c r="S80" s="58" t="n">
        <f aca="false">'P01 CigWharf2 Output'!S17</f>
        <v>141.993488300454</v>
      </c>
    </row>
    <row r="81" customFormat="false" ht="15" hidden="false" customHeight="false" outlineLevel="0" collapsed="false">
      <c r="B81" s="69" t="s">
        <v>338</v>
      </c>
      <c r="C81" s="25" t="s">
        <v>170</v>
      </c>
      <c r="F81" s="68" t="n">
        <f aca="false">F80-F79</f>
        <v>0</v>
      </c>
      <c r="G81" s="68" t="n">
        <f aca="false">G80-G79</f>
        <v>0</v>
      </c>
      <c r="H81" s="68" t="n">
        <f aca="false">H80-H79</f>
        <v>0</v>
      </c>
      <c r="I81" s="68" t="n">
        <f aca="false">I80-I79</f>
        <v>0</v>
      </c>
      <c r="J81" s="68" t="n">
        <f aca="false">J80-J79</f>
        <v>0</v>
      </c>
      <c r="K81" s="68" t="n">
        <f aca="false">K80-K79</f>
        <v>0</v>
      </c>
      <c r="L81" s="68" t="n">
        <f aca="false">L80-L79</f>
        <v>0</v>
      </c>
      <c r="M81" s="68" t="n">
        <f aca="false">M80-M79</f>
        <v>0</v>
      </c>
      <c r="N81" s="68" t="n">
        <f aca="false">N80-N79</f>
        <v>0</v>
      </c>
      <c r="O81" s="68" t="n">
        <f aca="false">O80-O79</f>
        <v>0</v>
      </c>
      <c r="P81" s="68" t="n">
        <f aca="false">P80-P79</f>
        <v>12.3148931052032</v>
      </c>
      <c r="Q81" s="68" t="n">
        <f aca="false">Q80-Q79</f>
        <v>12.3148931052033</v>
      </c>
      <c r="R81" s="68" t="n">
        <f aca="false">R80-R79</f>
        <v>12.3148931052033</v>
      </c>
      <c r="S81" s="68" t="n">
        <f aca="false">S80-S79</f>
        <v>12.3148931052033</v>
      </c>
      <c r="U81" s="5" t="s">
        <v>831</v>
      </c>
    </row>
    <row r="82" customFormat="false" ht="15" hidden="false" customHeight="false" outlineLevel="0" collapsed="false">
      <c r="B82" s="24" t="s">
        <v>844</v>
      </c>
      <c r="C82" s="25" t="s">
        <v>170</v>
      </c>
      <c r="D82" s="25" t="s">
        <v>153</v>
      </c>
      <c r="G82" s="45" t="n">
        <v>0</v>
      </c>
      <c r="H82" s="45" t="n">
        <v>21.6528560441769</v>
      </c>
      <c r="I82" s="45" t="n">
        <v>22.4896657234019</v>
      </c>
      <c r="J82" s="45" t="n">
        <v>23.3482366120917</v>
      </c>
      <c r="K82" s="45" t="n">
        <v>24.2290179529028</v>
      </c>
      <c r="L82" s="45" t="n">
        <v>25.1324600669192</v>
      </c>
      <c r="M82" s="45" t="n">
        <v>26.0590136309157</v>
      </c>
      <c r="N82" s="45" t="n">
        <v>27.0091288869531</v>
      </c>
      <c r="O82" s="45" t="n">
        <v>27.9832547794767</v>
      </c>
      <c r="P82" s="45" t="n">
        <v>28.9818380147702</v>
      </c>
      <c r="Q82" s="45" t="n">
        <v>30.0053220372856</v>
      </c>
      <c r="R82" s="45" t="n">
        <v>31.0541459170108</v>
      </c>
      <c r="S82" s="45" t="n">
        <v>32.1287431416568</v>
      </c>
      <c r="T82" s="5" t="s">
        <v>845</v>
      </c>
    </row>
    <row r="83" customFormat="false" ht="15" hidden="false" customHeight="false" outlineLevel="0" collapsed="false">
      <c r="B83" s="24" t="s">
        <v>846</v>
      </c>
      <c r="C83" s="25" t="s">
        <v>170</v>
      </c>
      <c r="F83" s="58" t="n">
        <f aca="false">'P02 CigConveyor Output'!F17</f>
        <v>0</v>
      </c>
      <c r="G83" s="58" t="n">
        <f aca="false">'P02 CigConveyor Output'!G17</f>
        <v>0</v>
      </c>
      <c r="H83" s="58" t="n">
        <f aca="false">'P02 CigConveyor Output'!H17</f>
        <v>21.6528560441769</v>
      </c>
      <c r="I83" s="58" t="n">
        <f aca="false">'P02 CigConveyor Output'!I17</f>
        <v>22.4896657234019</v>
      </c>
      <c r="J83" s="58" t="n">
        <f aca="false">'P02 CigConveyor Output'!J17</f>
        <v>23.3482366120917</v>
      </c>
      <c r="K83" s="58" t="n">
        <f aca="false">'P02 CigConveyor Output'!K17</f>
        <v>24.2290179529028</v>
      </c>
      <c r="L83" s="58" t="n">
        <f aca="false">'P02 CigConveyor Output'!L17</f>
        <v>25.1324600669191</v>
      </c>
      <c r="M83" s="58" t="n">
        <f aca="false">'P02 CigConveyor Output'!M17</f>
        <v>26.0590136309156</v>
      </c>
      <c r="N83" s="58" t="n">
        <f aca="false">'P02 CigConveyor Output'!N17</f>
        <v>27.0091288869531</v>
      </c>
      <c r="O83" s="58" t="n">
        <f aca="false">'P02 CigConveyor Output'!O17</f>
        <v>27.9832547794767</v>
      </c>
      <c r="P83" s="58" t="n">
        <f aca="false">'P02 CigConveyor Output'!P17</f>
        <v>30.5052043567138</v>
      </c>
      <c r="Q83" s="58" t="n">
        <f aca="false">'P02 CigConveyor Output'!Q17</f>
        <v>31.5286883792293</v>
      </c>
      <c r="R83" s="58" t="n">
        <f aca="false">'P02 CigConveyor Output'!R17</f>
        <v>32.5775122589544</v>
      </c>
      <c r="S83" s="58" t="n">
        <f aca="false">'P02 CigConveyor Output'!S17</f>
        <v>33.6521094836004</v>
      </c>
    </row>
    <row r="84" customFormat="false" ht="15" hidden="false" customHeight="false" outlineLevel="0" collapsed="false">
      <c r="B84" s="69" t="s">
        <v>338</v>
      </c>
      <c r="C84" s="25" t="s">
        <v>170</v>
      </c>
      <c r="F84" s="68" t="n">
        <f aca="false">F83-F82</f>
        <v>0</v>
      </c>
      <c r="G84" s="68" t="n">
        <f aca="false">G83-G82</f>
        <v>0</v>
      </c>
      <c r="H84" s="68" t="n">
        <f aca="false">H83-H82</f>
        <v>0</v>
      </c>
      <c r="I84" s="68" t="n">
        <f aca="false">I83-I82</f>
        <v>0</v>
      </c>
      <c r="J84" s="68" t="n">
        <f aca="false">J83-J82</f>
        <v>0</v>
      </c>
      <c r="K84" s="68" t="n">
        <f aca="false">K83-K82</f>
        <v>0</v>
      </c>
      <c r="L84" s="68" t="n">
        <f aca="false">L83-L82</f>
        <v>0</v>
      </c>
      <c r="M84" s="68" t="n">
        <f aca="false">M83-M82</f>
        <v>0</v>
      </c>
      <c r="N84" s="68" t="n">
        <f aca="false">N83-N82</f>
        <v>0</v>
      </c>
      <c r="O84" s="68" t="n">
        <f aca="false">O83-O82</f>
        <v>0</v>
      </c>
      <c r="P84" s="68" t="n">
        <f aca="false">P83-P82</f>
        <v>1.52336634194367</v>
      </c>
      <c r="Q84" s="68" t="n">
        <f aca="false">Q83-Q82</f>
        <v>1.52336634194367</v>
      </c>
      <c r="R84" s="68" t="n">
        <f aca="false">R83-R82</f>
        <v>1.52336634194367</v>
      </c>
      <c r="S84" s="68" t="n">
        <f aca="false">S83-S82</f>
        <v>1.52336634194366</v>
      </c>
      <c r="U84" s="5" t="s">
        <v>831</v>
      </c>
    </row>
    <row r="85" customFormat="false" ht="15" hidden="false" customHeight="false" outlineLevel="0" collapsed="false">
      <c r="B85" s="24" t="s">
        <v>847</v>
      </c>
      <c r="C85" s="25" t="s">
        <v>170</v>
      </c>
      <c r="D85" s="25" t="s">
        <v>153</v>
      </c>
      <c r="G85" s="45" t="n">
        <v>0</v>
      </c>
      <c r="H85" s="45" t="n">
        <v>0</v>
      </c>
      <c r="I85" s="45" t="n">
        <v>0</v>
      </c>
      <c r="J85" s="45" t="n">
        <v>21.2095128</v>
      </c>
      <c r="K85" s="45" t="n">
        <v>21.845798184</v>
      </c>
      <c r="L85" s="45" t="n">
        <v>22.50117212952</v>
      </c>
      <c r="M85" s="45" t="n">
        <v>23.1762072934056</v>
      </c>
      <c r="N85" s="45" t="n">
        <v>23.8714935122078</v>
      </c>
      <c r="O85" s="45" t="n">
        <v>24.587638317574</v>
      </c>
      <c r="P85" s="45" t="n">
        <v>25.3252674671012</v>
      </c>
      <c r="Q85" s="45" t="n">
        <v>26.0850254911143</v>
      </c>
      <c r="R85" s="45" t="n">
        <v>26.8675762558477</v>
      </c>
      <c r="S85" s="45" t="n">
        <v>27.6736035435231</v>
      </c>
      <c r="T85" s="5" t="s">
        <v>848</v>
      </c>
    </row>
    <row r="86" customFormat="false" ht="15" hidden="false" customHeight="false" outlineLevel="0" collapsed="false">
      <c r="B86" s="24" t="s">
        <v>849</v>
      </c>
      <c r="C86" s="25" t="s">
        <v>170</v>
      </c>
      <c r="F86" s="58" t="n">
        <f aca="false">'P03 KBSWarehouse Output'!F17</f>
        <v>0</v>
      </c>
      <c r="G86" s="58" t="n">
        <f aca="false">'P03 KBSWarehouse Output'!G17</f>
        <v>0</v>
      </c>
      <c r="H86" s="58" t="n">
        <f aca="false">'P03 KBSWarehouse Output'!H17</f>
        <v>0</v>
      </c>
      <c r="I86" s="58" t="n">
        <f aca="false">'P03 KBSWarehouse Output'!I17</f>
        <v>0</v>
      </c>
      <c r="J86" s="58" t="n">
        <f aca="false">'P03 KBSWarehouse Output'!J17</f>
        <v>16.3100149825</v>
      </c>
      <c r="K86" s="58" t="n">
        <f aca="false">'P03 KBSWarehouse Output'!K17</f>
        <v>16.9463003665</v>
      </c>
      <c r="L86" s="58" t="n">
        <f aca="false">'P03 KBSWarehouse Output'!L17</f>
        <v>17.60167431202</v>
      </c>
      <c r="M86" s="58" t="n">
        <f aca="false">'P03 KBSWarehouse Output'!M17</f>
        <v>18.2767094759056</v>
      </c>
      <c r="N86" s="58" t="n">
        <f aca="false">'P03 KBSWarehouse Output'!N17</f>
        <v>18.9719956947078</v>
      </c>
      <c r="O86" s="58" t="n">
        <f aca="false">'P03 KBSWarehouse Output'!O17</f>
        <v>19.688140500074</v>
      </c>
      <c r="P86" s="58" t="n">
        <f aca="false">'P03 KBSWarehouse Output'!P17</f>
        <v>20.4257696496012</v>
      </c>
      <c r="Q86" s="58" t="n">
        <f aca="false">'P03 KBSWarehouse Output'!Q17</f>
        <v>21.1855276736143</v>
      </c>
      <c r="R86" s="58" t="n">
        <f aca="false">'P03 KBSWarehouse Output'!R17</f>
        <v>21.9680784383477</v>
      </c>
      <c r="S86" s="58" t="n">
        <f aca="false">'P03 KBSWarehouse Output'!S17</f>
        <v>22.7741057260231</v>
      </c>
    </row>
    <row r="87" customFormat="false" ht="15" hidden="false" customHeight="false" outlineLevel="0" collapsed="false">
      <c r="B87" s="69" t="s">
        <v>338</v>
      </c>
      <c r="C87" s="25" t="s">
        <v>170</v>
      </c>
      <c r="F87" s="68" t="n">
        <f aca="false">F86-F85</f>
        <v>0</v>
      </c>
      <c r="G87" s="68" t="n">
        <f aca="false">G86-G85</f>
        <v>0</v>
      </c>
      <c r="H87" s="68" t="n">
        <f aca="false">H86-H85</f>
        <v>0</v>
      </c>
      <c r="I87" s="68" t="n">
        <f aca="false">I86-I85</f>
        <v>0</v>
      </c>
      <c r="J87" s="68" t="n">
        <f aca="false">J86-J85</f>
        <v>-4.8994978175</v>
      </c>
      <c r="K87" s="68" t="n">
        <f aca="false">K86-K85</f>
        <v>-4.8994978175</v>
      </c>
      <c r="L87" s="68" t="n">
        <f aca="false">L86-L85</f>
        <v>-4.8994978175</v>
      </c>
      <c r="M87" s="68" t="n">
        <f aca="false">M86-M85</f>
        <v>-4.8994978175</v>
      </c>
      <c r="N87" s="68" t="n">
        <f aca="false">N86-N85</f>
        <v>-4.8994978175</v>
      </c>
      <c r="O87" s="68" t="n">
        <f aca="false">O86-O85</f>
        <v>-4.8994978175</v>
      </c>
      <c r="P87" s="68" t="n">
        <f aca="false">P86-P85</f>
        <v>-4.8994978175</v>
      </c>
      <c r="Q87" s="68" t="n">
        <f aca="false">Q86-Q85</f>
        <v>-4.8994978175</v>
      </c>
      <c r="R87" s="68" t="n">
        <f aca="false">R86-R85</f>
        <v>-4.8994978175</v>
      </c>
      <c r="S87" s="68" t="n">
        <f aca="false">S86-S85</f>
        <v>-4.8994978175</v>
      </c>
      <c r="U87" s="5" t="s">
        <v>831</v>
      </c>
    </row>
    <row r="88" customFormat="false" ht="15" hidden="false" customHeight="false" outlineLevel="0" collapsed="false">
      <c r="B88" s="24" t="s">
        <v>850</v>
      </c>
      <c r="C88" s="25" t="s">
        <v>170</v>
      </c>
      <c r="D88" s="25" t="s">
        <v>153</v>
      </c>
      <c r="G88" s="45" t="n">
        <v>0</v>
      </c>
      <c r="H88" s="45" t="n">
        <v>0</v>
      </c>
      <c r="I88" s="45" t="n">
        <v>0</v>
      </c>
      <c r="J88" s="45" t="n">
        <v>9.007028125</v>
      </c>
      <c r="K88" s="45" t="n">
        <v>9.007028125</v>
      </c>
      <c r="L88" s="45" t="n">
        <v>9.007028125</v>
      </c>
      <c r="M88" s="45" t="n">
        <v>9.007028125</v>
      </c>
      <c r="N88" s="45" t="n">
        <v>9.007028125</v>
      </c>
      <c r="O88" s="45" t="n">
        <v>9.007028125</v>
      </c>
      <c r="P88" s="45" t="n">
        <v>9.007028125</v>
      </c>
      <c r="Q88" s="45" t="n">
        <v>9.007028125</v>
      </c>
      <c r="R88" s="45" t="n">
        <v>9.007028125</v>
      </c>
      <c r="S88" s="45" t="n">
        <v>9.007028125</v>
      </c>
      <c r="T88" s="5" t="s">
        <v>851</v>
      </c>
    </row>
    <row r="89" customFormat="false" ht="15" hidden="false" customHeight="false" outlineLevel="0" collapsed="false">
      <c r="B89" s="24" t="s">
        <v>852</v>
      </c>
      <c r="C89" s="25" t="s">
        <v>170</v>
      </c>
      <c r="F89" s="58" t="n">
        <f aca="false">'P04 TTLSilo Output'!F17</f>
        <v>0</v>
      </c>
      <c r="G89" s="58" t="n">
        <f aca="false">'P04 TTLSilo Output'!G17</f>
        <v>0</v>
      </c>
      <c r="H89" s="58" t="n">
        <f aca="false">'P04 TTLSilo Output'!H17</f>
        <v>0</v>
      </c>
      <c r="I89" s="58" t="n">
        <f aca="false">'P04 TTLSilo Output'!I17</f>
        <v>0</v>
      </c>
      <c r="J89" s="58" t="n">
        <f aca="false">'P04 TTLSilo Output'!J17</f>
        <v>9.00702404925</v>
      </c>
      <c r="K89" s="58" t="n">
        <f aca="false">'P04 TTLSilo Output'!K17</f>
        <v>9.00702404925</v>
      </c>
      <c r="L89" s="58" t="n">
        <f aca="false">'P04 TTLSilo Output'!L17</f>
        <v>9.00702404925</v>
      </c>
      <c r="M89" s="58" t="n">
        <f aca="false">'P04 TTLSilo Output'!M17</f>
        <v>9.00702404925</v>
      </c>
      <c r="N89" s="58" t="n">
        <f aca="false">'P04 TTLSilo Output'!N17</f>
        <v>9.00702404925</v>
      </c>
      <c r="O89" s="58" t="n">
        <f aca="false">'P04 TTLSilo Output'!O17</f>
        <v>9.00702404925</v>
      </c>
      <c r="P89" s="58" t="n">
        <f aca="false">'P04 TTLSilo Output'!P17</f>
        <v>9.00702404925</v>
      </c>
      <c r="Q89" s="58" t="n">
        <f aca="false">'P04 TTLSilo Output'!Q17</f>
        <v>9.00702404925</v>
      </c>
      <c r="R89" s="58" t="n">
        <f aca="false">'P04 TTLSilo Output'!R17</f>
        <v>9.00702404925</v>
      </c>
      <c r="S89" s="58" t="n">
        <f aca="false">'P04 TTLSilo Output'!S17</f>
        <v>9.00702404925</v>
      </c>
    </row>
    <row r="90" customFormat="false" ht="15" hidden="false" customHeight="false" outlineLevel="0" collapsed="false">
      <c r="B90" s="69" t="s">
        <v>338</v>
      </c>
      <c r="C90" s="25" t="s">
        <v>170</v>
      </c>
      <c r="F90" s="68" t="n">
        <f aca="false">F89-F88</f>
        <v>0</v>
      </c>
      <c r="G90" s="68" t="n">
        <f aca="false">G89-G88</f>
        <v>0</v>
      </c>
      <c r="H90" s="68" t="n">
        <f aca="false">H89-H88</f>
        <v>0</v>
      </c>
      <c r="I90" s="68" t="n">
        <f aca="false">I89-I88</f>
        <v>0</v>
      </c>
      <c r="J90" s="68" t="n">
        <f aca="false">J89-J88</f>
        <v>-4.07574999883309E-006</v>
      </c>
      <c r="K90" s="68" t="n">
        <f aca="false">K89-K88</f>
        <v>-4.07574999883309E-006</v>
      </c>
      <c r="L90" s="68" t="n">
        <f aca="false">L89-L88</f>
        <v>-4.07574999883309E-006</v>
      </c>
      <c r="M90" s="68" t="n">
        <f aca="false">M89-M88</f>
        <v>-4.07574999883309E-006</v>
      </c>
      <c r="N90" s="68" t="n">
        <f aca="false">N89-N88</f>
        <v>-4.07574999883309E-006</v>
      </c>
      <c r="O90" s="68" t="n">
        <f aca="false">O89-O88</f>
        <v>-4.07574999883309E-006</v>
      </c>
      <c r="P90" s="68" t="n">
        <f aca="false">P89-P88</f>
        <v>-4.07574999883309E-006</v>
      </c>
      <c r="Q90" s="68" t="n">
        <f aca="false">Q89-Q88</f>
        <v>-4.07574999883309E-006</v>
      </c>
      <c r="R90" s="68" t="n">
        <f aca="false">R89-R88</f>
        <v>-4.07574999883309E-006</v>
      </c>
      <c r="S90" s="68" t="n">
        <f aca="false">S89-S88</f>
        <v>-4.07574999883309E-006</v>
      </c>
      <c r="U90" s="5" t="s">
        <v>831</v>
      </c>
    </row>
    <row r="91" customFormat="false" ht="15" hidden="false" customHeight="false" outlineLevel="0" collapsed="false">
      <c r="B91" s="24" t="s">
        <v>853</v>
      </c>
      <c r="C91" s="25" t="s">
        <v>170</v>
      </c>
      <c r="D91" s="25" t="s">
        <v>153</v>
      </c>
      <c r="G91" s="45" t="n">
        <v>0</v>
      </c>
      <c r="H91" s="45" t="n">
        <v>0</v>
      </c>
      <c r="I91" s="45" t="n">
        <v>16.8902650509249</v>
      </c>
      <c r="J91" s="45" t="n">
        <v>16.3785910474674</v>
      </c>
      <c r="K91" s="45" t="n">
        <v>15.8541251939234</v>
      </c>
      <c r="L91" s="45" t="n">
        <v>18.1888704346151</v>
      </c>
      <c r="M91" s="45" t="n">
        <v>17.1907720267094</v>
      </c>
      <c r="N91" s="45" t="n">
        <v>16.8357122406427</v>
      </c>
      <c r="O91" s="45" t="n">
        <v>16.2472871536662</v>
      </c>
      <c r="P91" s="45" t="n">
        <v>18.6939711983313</v>
      </c>
      <c r="Q91" s="45" t="n">
        <v>23.6033079855922</v>
      </c>
      <c r="R91" s="45" t="n">
        <v>22.5208992044465</v>
      </c>
      <c r="S91" s="45" t="n">
        <v>22.2549413704251</v>
      </c>
      <c r="T91" s="5" t="s">
        <v>854</v>
      </c>
    </row>
    <row r="92" customFormat="false" ht="15" hidden="false" customHeight="false" outlineLevel="0" collapsed="false">
      <c r="B92" s="24" t="s">
        <v>855</v>
      </c>
      <c r="C92" s="25" t="s">
        <v>170</v>
      </c>
      <c r="F92" s="58" t="n">
        <f aca="false">'P05 Dumai Output'!F17</f>
        <v>0</v>
      </c>
      <c r="G92" s="58" t="n">
        <f aca="false">'P05 Dumai Output'!G17</f>
        <v>0</v>
      </c>
      <c r="H92" s="58" t="n">
        <f aca="false">'P05 Dumai Output'!H17</f>
        <v>0</v>
      </c>
      <c r="I92" s="58" t="n">
        <f aca="false">'P05 Dumai Output'!I17</f>
        <v>17.3131550509249</v>
      </c>
      <c r="J92" s="58" t="n">
        <f aca="false">'P05 Dumai Output'!J17</f>
        <v>16.3785910474674</v>
      </c>
      <c r="K92" s="58" t="n">
        <f aca="false">'P05 Dumai Output'!K17</f>
        <v>15.8541251939234</v>
      </c>
      <c r="L92" s="58" t="n">
        <f aca="false">'P05 Dumai Output'!L17</f>
        <v>18.1888704346151</v>
      </c>
      <c r="M92" s="58" t="n">
        <f aca="false">'P05 Dumai Output'!M17</f>
        <v>17.1907720267094</v>
      </c>
      <c r="N92" s="58" t="n">
        <f aca="false">'P05 Dumai Output'!N17</f>
        <v>16.8357122406427</v>
      </c>
      <c r="O92" s="58" t="n">
        <f aca="false">'P05 Dumai Output'!O17</f>
        <v>16.2472871536662</v>
      </c>
      <c r="P92" s="58" t="n">
        <f aca="false">'P05 Dumai Output'!P17</f>
        <v>18.6939711983313</v>
      </c>
      <c r="Q92" s="58" t="n">
        <f aca="false">'P05 Dumai Output'!Q17</f>
        <v>23.3390017355922</v>
      </c>
      <c r="R92" s="58" t="n">
        <f aca="false">'P05 Dumai Output'!R17</f>
        <v>22.5208992044465</v>
      </c>
      <c r="S92" s="58" t="n">
        <f aca="false">'P05 Dumai Output'!S17</f>
        <v>22.2549413704251</v>
      </c>
    </row>
    <row r="93" customFormat="false" ht="15" hidden="false" customHeight="false" outlineLevel="0" collapsed="false">
      <c r="B93" s="69" t="s">
        <v>338</v>
      </c>
      <c r="C93" s="25" t="s">
        <v>170</v>
      </c>
      <c r="F93" s="68" t="n">
        <f aca="false">F92-F91</f>
        <v>0</v>
      </c>
      <c r="G93" s="68" t="n">
        <f aca="false">G92-G91</f>
        <v>0</v>
      </c>
      <c r="H93" s="68" t="n">
        <f aca="false">H92-H91</f>
        <v>0</v>
      </c>
      <c r="I93" s="68" t="n">
        <f aca="false">I92-I91</f>
        <v>0.422889999999995</v>
      </c>
      <c r="J93" s="68" t="n">
        <f aca="false">J92-J91</f>
        <v>0</v>
      </c>
      <c r="K93" s="68" t="n">
        <f aca="false">K92-K91</f>
        <v>0</v>
      </c>
      <c r="L93" s="68" t="n">
        <f aca="false">L92-L91</f>
        <v>0</v>
      </c>
      <c r="M93" s="68" t="n">
        <f aca="false">M92-M91</f>
        <v>0</v>
      </c>
      <c r="N93" s="68" t="n">
        <f aca="false">N92-N91</f>
        <v>0</v>
      </c>
      <c r="O93" s="68" t="n">
        <f aca="false">O92-O91</f>
        <v>0</v>
      </c>
      <c r="P93" s="68" t="n">
        <f aca="false">P92-P91</f>
        <v>0</v>
      </c>
      <c r="Q93" s="68" t="n">
        <f aca="false">Q92-Q91</f>
        <v>-0.264306249999997</v>
      </c>
      <c r="R93" s="68" t="n">
        <f aca="false">R92-R91</f>
        <v>0</v>
      </c>
      <c r="S93" s="68" t="n">
        <f aca="false">S92-S91</f>
        <v>0</v>
      </c>
      <c r="U93" s="5" t="s">
        <v>831</v>
      </c>
    </row>
    <row r="94" customFormat="false" ht="15" hidden="false" customHeight="false" outlineLevel="0" collapsed="false">
      <c r="B94" s="24" t="s">
        <v>856</v>
      </c>
      <c r="C94" s="25" t="s">
        <v>170</v>
      </c>
      <c r="D94" s="25" t="s">
        <v>153</v>
      </c>
      <c r="G94" s="45" t="n">
        <v>0</v>
      </c>
      <c r="H94" s="45" t="n">
        <v>0</v>
      </c>
      <c r="I94" s="45" t="n">
        <v>0</v>
      </c>
      <c r="J94" s="45" t="n">
        <v>0</v>
      </c>
      <c r="K94" s="45" t="n">
        <v>25.9550819327677</v>
      </c>
      <c r="L94" s="45" t="n">
        <v>39.3202077940907</v>
      </c>
      <c r="M94" s="45" t="n">
        <v>43.7296878467979</v>
      </c>
      <c r="N94" s="45" t="n">
        <v>56.4430514530444</v>
      </c>
      <c r="O94" s="45" t="n">
        <v>59.9066010958846</v>
      </c>
      <c r="P94" s="45" t="n">
        <v>70.4957359865306</v>
      </c>
      <c r="Q94" s="45" t="n">
        <v>74.7883331049428</v>
      </c>
      <c r="R94" s="45" t="n">
        <v>84.491412246499</v>
      </c>
      <c r="S94" s="45" t="n">
        <v>89.5256545737265</v>
      </c>
      <c r="T94" s="5" t="s">
        <v>857</v>
      </c>
    </row>
    <row r="95" customFormat="false" ht="15" hidden="false" customHeight="false" outlineLevel="0" collapsed="false">
      <c r="B95" s="24" t="s">
        <v>858</v>
      </c>
      <c r="C95" s="25" t="s">
        <v>170</v>
      </c>
      <c r="F95" s="58" t="n">
        <f aca="false">'P06 Ciwandan Output'!F17</f>
        <v>0</v>
      </c>
      <c r="G95" s="58" t="n">
        <f aca="false">'P06 Ciwandan Output'!G17</f>
        <v>0</v>
      </c>
      <c r="H95" s="58" t="n">
        <f aca="false">'P06 Ciwandan Output'!H17</f>
        <v>0</v>
      </c>
      <c r="I95" s="58" t="n">
        <f aca="false">'P06 Ciwandan Output'!I17</f>
        <v>0</v>
      </c>
      <c r="J95" s="58" t="n">
        <f aca="false">'P06 Ciwandan Output'!J17</f>
        <v>0</v>
      </c>
      <c r="K95" s="58" t="n">
        <f aca="false">'P06 Ciwandan Output'!K17</f>
        <v>25.9550857813347</v>
      </c>
      <c r="L95" s="58" t="n">
        <f aca="false">'P06 Ciwandan Output'!L17</f>
        <v>39.3202124317826</v>
      </c>
      <c r="M95" s="58" t="n">
        <f aca="false">'P06 Ciwandan Output'!M17</f>
        <v>43.729692931476</v>
      </c>
      <c r="N95" s="58" t="n">
        <f aca="false">'P06 Ciwandan Output'!N17</f>
        <v>56.4430572386772</v>
      </c>
      <c r="O95" s="58" t="n">
        <f aca="false">'P06 Ciwandan Output'!O17</f>
        <v>59.9066072511298</v>
      </c>
      <c r="P95" s="58" t="n">
        <f aca="false">'P06 Ciwandan Output'!P17</f>
        <v>70.495742490185</v>
      </c>
      <c r="Q95" s="58" t="n">
        <f aca="false">'P06 Ciwandan Output'!Q17</f>
        <v>74.788339977327</v>
      </c>
      <c r="R95" s="58" t="n">
        <f aca="false">'P06 Ciwandan Output'!R17</f>
        <v>84.4914199448939</v>
      </c>
      <c r="S95" s="58" t="n">
        <f aca="false">'P06 Ciwandan Output'!S17</f>
        <v>94.633475209953</v>
      </c>
    </row>
    <row r="96" customFormat="false" ht="15" hidden="false" customHeight="false" outlineLevel="0" collapsed="false">
      <c r="B96" s="69" t="s">
        <v>338</v>
      </c>
      <c r="C96" s="25" t="s">
        <v>170</v>
      </c>
      <c r="F96" s="68" t="n">
        <f aca="false">F95-F94</f>
        <v>0</v>
      </c>
      <c r="G96" s="68" t="n">
        <f aca="false">G95-G94</f>
        <v>0</v>
      </c>
      <c r="H96" s="68" t="n">
        <f aca="false">H95-H94</f>
        <v>0</v>
      </c>
      <c r="I96" s="68" t="n">
        <f aca="false">I95-I94</f>
        <v>0</v>
      </c>
      <c r="J96" s="68" t="n">
        <f aca="false">J95-J94</f>
        <v>0</v>
      </c>
      <c r="K96" s="68" t="n">
        <f aca="false">K95-K94</f>
        <v>3.84856702240199E-006</v>
      </c>
      <c r="L96" s="68" t="n">
        <f aca="false">L95-L94</f>
        <v>4.6376919513591E-006</v>
      </c>
      <c r="M96" s="68" t="n">
        <f aca="false">M95-M94</f>
        <v>5.084678029732E-006</v>
      </c>
      <c r="N96" s="68" t="n">
        <f aca="false">N95-N94</f>
        <v>5.78563282971345E-006</v>
      </c>
      <c r="O96" s="68" t="n">
        <f aca="false">O95-O94</f>
        <v>6.15524514557819E-006</v>
      </c>
      <c r="P96" s="68" t="n">
        <f aca="false">P95-P94</f>
        <v>6.50365437593337E-006</v>
      </c>
      <c r="Q96" s="68" t="n">
        <f aca="false">Q95-Q94</f>
        <v>6.87238421903658E-006</v>
      </c>
      <c r="R96" s="68" t="n">
        <f aca="false">R95-R94</f>
        <v>7.69839490999402E-006</v>
      </c>
      <c r="S96" s="68" t="n">
        <f aca="false">S95-S94</f>
        <v>5.10782063622649</v>
      </c>
      <c r="U96" s="5" t="s">
        <v>831</v>
      </c>
    </row>
    <row r="97" customFormat="false" ht="15" hidden="false" customHeight="false" outlineLevel="0" collapsed="false">
      <c r="B97" s="24" t="s">
        <v>859</v>
      </c>
      <c r="C97" s="25" t="s">
        <v>170</v>
      </c>
      <c r="D97" s="25" t="s">
        <v>153</v>
      </c>
      <c r="G97" s="45" t="n">
        <v>0</v>
      </c>
      <c r="H97" s="45" t="n">
        <v>0</v>
      </c>
      <c r="I97" s="45" t="n">
        <v>0</v>
      </c>
      <c r="J97" s="45" t="n">
        <v>1.81156057034682</v>
      </c>
      <c r="K97" s="45" t="n">
        <v>2.15266818745723</v>
      </c>
      <c r="L97" s="45" t="n">
        <v>2.25931073308095</v>
      </c>
      <c r="M97" s="45" t="n">
        <v>2.37175095507338</v>
      </c>
      <c r="N97" s="45" t="n">
        <v>2.49042262372558</v>
      </c>
      <c r="O97" s="45" t="n">
        <v>2.59603581843734</v>
      </c>
      <c r="P97" s="45" t="n">
        <v>2.70570672995046</v>
      </c>
      <c r="Q97" s="45" t="n">
        <v>2.81961044902658</v>
      </c>
      <c r="R97" s="45" t="n">
        <v>2.93793052070563</v>
      </c>
      <c r="S97" s="45" t="n">
        <v>3.06085939002755</v>
      </c>
      <c r="T97" s="5" t="s">
        <v>860</v>
      </c>
    </row>
    <row r="98" customFormat="false" ht="15" hidden="false" customHeight="false" outlineLevel="0" collapsed="false">
      <c r="B98" s="24" t="s">
        <v>861</v>
      </c>
      <c r="C98" s="25" t="s">
        <v>170</v>
      </c>
      <c r="F98" s="58" t="n">
        <f aca="false">'P08 DMSTrucking Output'!F17</f>
        <v>0</v>
      </c>
      <c r="G98" s="58" t="n">
        <f aca="false">'P08 DMSTrucking Output'!G17</f>
        <v>0</v>
      </c>
      <c r="H98" s="58" t="n">
        <f aca="false">'P08 DMSTrucking Output'!H17</f>
        <v>0</v>
      </c>
      <c r="I98" s="58" t="n">
        <f aca="false">'P08 DMSTrucking Output'!I17</f>
        <v>0</v>
      </c>
      <c r="J98" s="58" t="n">
        <f aca="false">'P08 DMSTrucking Output'!J17</f>
        <v>1.8115596479104</v>
      </c>
      <c r="K98" s="58" t="n">
        <f aca="false">'P08 DMSTrucking Output'!K17</f>
        <v>2.15266723734771</v>
      </c>
      <c r="L98" s="58" t="n">
        <f aca="false">'P08 DMSTrucking Output'!L17</f>
        <v>2.25930975446814</v>
      </c>
      <c r="M98" s="58" t="n">
        <f aca="false">'P08 DMSTrucking Output'!M17</f>
        <v>2.37174994710219</v>
      </c>
      <c r="N98" s="58" t="n">
        <f aca="false">'P08 DMSTrucking Output'!N17</f>
        <v>2.49042158551525</v>
      </c>
      <c r="O98" s="58" t="n">
        <f aca="false">'P08 DMSTrucking Output'!O17</f>
        <v>2.59603474908071</v>
      </c>
      <c r="P98" s="58" t="n">
        <f aca="false">'P08 DMSTrucking Output'!P17</f>
        <v>2.70570562851313</v>
      </c>
      <c r="Q98" s="58" t="n">
        <f aca="false">'P08 DMSTrucking Output'!Q17</f>
        <v>2.81960931454613</v>
      </c>
      <c r="R98" s="58" t="n">
        <f aca="false">'P08 DMSTrucking Output'!R17</f>
        <v>2.93792935219077</v>
      </c>
      <c r="S98" s="58" t="n">
        <f aca="false">'P08 DMSTrucking Output'!S17</f>
        <v>3.06085818645724</v>
      </c>
    </row>
    <row r="99" customFormat="false" ht="15" hidden="false" customHeight="false" outlineLevel="0" collapsed="false">
      <c r="B99" s="69" t="s">
        <v>338</v>
      </c>
      <c r="C99" s="25" t="s">
        <v>170</v>
      </c>
      <c r="F99" s="68" t="n">
        <f aca="false">F98-F97</f>
        <v>0</v>
      </c>
      <c r="G99" s="68" t="n">
        <f aca="false">G98-G97</f>
        <v>0</v>
      </c>
      <c r="H99" s="68" t="n">
        <f aca="false">H98-H97</f>
        <v>0</v>
      </c>
      <c r="I99" s="68" t="n">
        <f aca="false">I98-I97</f>
        <v>0</v>
      </c>
      <c r="J99" s="68" t="n">
        <f aca="false">J98-J97</f>
        <v>-9.224364247995E-007</v>
      </c>
      <c r="K99" s="68" t="n">
        <f aca="false">K98-K97</f>
        <v>-9.50109516839603E-007</v>
      </c>
      <c r="L99" s="68" t="n">
        <f aca="false">L98-L97</f>
        <v>-9.78612802349232E-007</v>
      </c>
      <c r="M99" s="68" t="n">
        <f aca="false">M98-M97</f>
        <v>-1.0079711869615E-006</v>
      </c>
      <c r="N99" s="68" t="n">
        <f aca="false">N98-N97</f>
        <v>-1.03821032304552E-006</v>
      </c>
      <c r="O99" s="68" t="n">
        <f aca="false">O98-O97</f>
        <v>-1.06935663124474E-006</v>
      </c>
      <c r="P99" s="68" t="n">
        <f aca="false">P98-P97</f>
        <v>-1.10143733111912E-006</v>
      </c>
      <c r="Q99" s="68" t="n">
        <f aca="false">Q98-Q97</f>
        <v>-1.13448045047093E-006</v>
      </c>
      <c r="R99" s="68" t="n">
        <f aca="false">R98-R97</f>
        <v>-1.16851486353653E-006</v>
      </c>
      <c r="S99" s="68" t="n">
        <f aca="false">S98-S97</f>
        <v>-1.20357030963802E-006</v>
      </c>
      <c r="U99" s="5" t="s">
        <v>831</v>
      </c>
    </row>
    <row r="100" customFormat="false" ht="15" hidden="false" customHeight="false" outlineLevel="0" collapsed="false">
      <c r="B100" s="24" t="s">
        <v>862</v>
      </c>
      <c r="C100" s="25" t="s">
        <v>170</v>
      </c>
      <c r="D100" s="25" t="s">
        <v>153</v>
      </c>
      <c r="G100" s="45" t="n">
        <v>0</v>
      </c>
      <c r="H100" s="45" t="n">
        <v>0</v>
      </c>
      <c r="I100" s="45" t="n">
        <v>58.3181730498884</v>
      </c>
      <c r="J100" s="45" t="n">
        <v>61.4513949756076</v>
      </c>
      <c r="K100" s="45" t="n">
        <v>63.5993457064049</v>
      </c>
      <c r="L100" s="45" t="n">
        <v>65.8013573836193</v>
      </c>
      <c r="M100" s="45" t="n">
        <v>68.0590518356435</v>
      </c>
      <c r="N100" s="45" t="n">
        <v>70.3740995457218</v>
      </c>
      <c r="O100" s="45" t="n">
        <v>72.7482211115957</v>
      </c>
      <c r="P100" s="45" t="n">
        <v>75.1831887489392</v>
      </c>
      <c r="Q100" s="45" t="n">
        <v>77.6808278398964</v>
      </c>
      <c r="R100" s="45" t="n">
        <v>76.0919883254077</v>
      </c>
      <c r="S100" s="45" t="n">
        <v>78.37474797517</v>
      </c>
      <c r="T100" s="5" t="s">
        <v>863</v>
      </c>
    </row>
    <row r="101" customFormat="false" ht="15" hidden="false" customHeight="false" outlineLevel="0" collapsed="false">
      <c r="B101" s="24" t="s">
        <v>864</v>
      </c>
      <c r="C101" s="25" t="s">
        <v>170</v>
      </c>
      <c r="F101" s="58" t="n">
        <f aca="false">'P12 BUMNOps Output'!F17</f>
        <v>0</v>
      </c>
      <c r="G101" s="58" t="n">
        <f aca="false">'P12 BUMNOps Output'!G17</f>
        <v>0</v>
      </c>
      <c r="H101" s="58" t="n">
        <f aca="false">'P12 BUMNOps Output'!H17</f>
        <v>0</v>
      </c>
      <c r="I101" s="58" t="n">
        <f aca="false">'P12 BUMNOps Output'!I17</f>
        <v>58.3181280293729</v>
      </c>
      <c r="J101" s="58" t="n">
        <f aca="false">'P12 BUMNOps Output'!J17</f>
        <v>61.4513486044767</v>
      </c>
      <c r="K101" s="58" t="n">
        <f aca="false">'P12 BUMNOps Output'!K17</f>
        <v>63.59929794414</v>
      </c>
      <c r="L101" s="58" t="n">
        <f aca="false">'P12 BUMNOps Output'!L17</f>
        <v>65.8013081884864</v>
      </c>
      <c r="M101" s="58" t="n">
        <f aca="false">'P12 BUMNOps Output'!M17</f>
        <v>68.0590011646567</v>
      </c>
      <c r="N101" s="58" t="n">
        <f aca="false">'P12 BUMNOps Output'!N17</f>
        <v>70.3740473546053</v>
      </c>
      <c r="O101" s="58" t="n">
        <f aca="false">'P12 BUMNOps Output'!O17</f>
        <v>72.7481673547458</v>
      </c>
      <c r="P101" s="58" t="n">
        <f aca="false">'P12 BUMNOps Output'!P17</f>
        <v>75.1831333793838</v>
      </c>
      <c r="Q101" s="58" t="n">
        <f aca="false">'P12 BUMNOps Output'!Q17</f>
        <v>77.6807708092543</v>
      </c>
      <c r="R101" s="58" t="n">
        <f aca="false">'P12 BUMNOps Output'!R17</f>
        <v>76.0919295838464</v>
      </c>
      <c r="S101" s="58" t="n">
        <f aca="false">'P12 BUMNOps Output'!S17</f>
        <v>78.3746874713618</v>
      </c>
    </row>
    <row r="102" customFormat="false" ht="15" hidden="false" customHeight="false" outlineLevel="0" collapsed="false">
      <c r="B102" s="69" t="s">
        <v>338</v>
      </c>
      <c r="C102" s="25" t="s">
        <v>170</v>
      </c>
      <c r="F102" s="68" t="n">
        <f aca="false">F101-F100</f>
        <v>0</v>
      </c>
      <c r="G102" s="68" t="n">
        <f aca="false">G101-G100</f>
        <v>0</v>
      </c>
      <c r="H102" s="68" t="n">
        <f aca="false">H101-H100</f>
        <v>0</v>
      </c>
      <c r="I102" s="68" t="n">
        <f aca="false">I101-I100</f>
        <v>-4.50205155004824E-005</v>
      </c>
      <c r="J102" s="68" t="n">
        <f aca="false">J101-J100</f>
        <v>-4.63711309492965E-005</v>
      </c>
      <c r="K102" s="68" t="n">
        <f aca="false">K101-K100</f>
        <v>-4.77622648702436E-005</v>
      </c>
      <c r="L102" s="68" t="n">
        <f aca="false">L101-L100</f>
        <v>-4.91951328456253E-005</v>
      </c>
      <c r="M102" s="68" t="n">
        <f aca="false">M101-M100</f>
        <v>-5.0670986837531E-005</v>
      </c>
      <c r="N102" s="68" t="n">
        <f aca="false">N101-N100</f>
        <v>-5.21911164526046E-005</v>
      </c>
      <c r="O102" s="68" t="n">
        <f aca="false">O101-O100</f>
        <v>-5.3756849894171E-005</v>
      </c>
      <c r="P102" s="68" t="n">
        <f aca="false">P101-P100</f>
        <v>-5.53695554117439E-005</v>
      </c>
      <c r="Q102" s="68" t="n">
        <f aca="false">Q101-Q100</f>
        <v>-5.70306420826228E-005</v>
      </c>
      <c r="R102" s="68" t="n">
        <f aca="false">R101-R100</f>
        <v>-5.87415613324538E-005</v>
      </c>
      <c r="S102" s="68" t="n">
        <f aca="false">S101-S100</f>
        <v>-6.05038081999965E-005</v>
      </c>
      <c r="U102" s="5" t="s">
        <v>831</v>
      </c>
    </row>
    <row r="103" customFormat="false" ht="15" hidden="false" customHeight="false" outlineLevel="0" collapsed="false">
      <c r="B103" s="5" t="s">
        <v>865</v>
      </c>
    </row>
    <row r="104" customFormat="false" ht="15" hidden="false" customHeight="false" outlineLevel="0" collapsed="false">
      <c r="B104" s="5" t="s">
        <v>866</v>
      </c>
    </row>
    <row r="106" customFormat="false" ht="15" hidden="false" customHeight="false" outlineLevel="0" collapsed="false">
      <c r="B106" s="22" t="s">
        <v>867</v>
      </c>
      <c r="C106" s="23"/>
      <c r="D106" s="23"/>
      <c r="E106" s="23"/>
      <c r="F106" s="23"/>
      <c r="G106" s="23"/>
      <c r="H106" s="23"/>
      <c r="I106" s="23"/>
      <c r="J106" s="23"/>
      <c r="K106" s="23"/>
      <c r="L106" s="23"/>
      <c r="M106" s="23"/>
      <c r="N106" s="23"/>
      <c r="O106" s="23"/>
      <c r="P106" s="23"/>
      <c r="Q106" s="23"/>
      <c r="R106" s="23"/>
      <c r="S106" s="23"/>
    </row>
    <row r="107" customFormat="false" ht="15" hidden="false" customHeight="false" outlineLevel="0" collapsed="false">
      <c r="B107" s="5" t="s">
        <v>868</v>
      </c>
    </row>
    <row r="108" customFormat="false" ht="15" hidden="false" customHeight="false" outlineLevel="0" collapsed="false">
      <c r="B108" s="5" t="s">
        <v>869</v>
      </c>
    </row>
    <row r="109" customFormat="false" ht="15" hidden="false" customHeight="false" outlineLevel="0" collapsed="false">
      <c r="B109" s="5" t="s">
        <v>870</v>
      </c>
    </row>
    <row r="110" customFormat="false" ht="15" hidden="false" customHeight="false" outlineLevel="0" collapsed="false">
      <c r="B110" s="5" t="s">
        <v>871</v>
      </c>
    </row>
    <row r="111" customFormat="false" ht="15" hidden="false" customHeight="false" outlineLevel="0" collapsed="false">
      <c r="B111" s="5" t="s">
        <v>872</v>
      </c>
    </row>
    <row r="112" customFormat="false" ht="15" hidden="false" customHeight="false" outlineLevel="0" collapsed="false">
      <c r="B112" s="5" t="s">
        <v>873</v>
      </c>
    </row>
    <row r="113" customFormat="false" ht="15" hidden="false" customHeight="false" outlineLevel="0" collapsed="false">
      <c r="B113" s="5" t="s">
        <v>874</v>
      </c>
    </row>
    <row r="114" customFormat="false" ht="15" hidden="false" customHeight="false" outlineLevel="0" collapsed="false">
      <c r="B114" s="5" t="s">
        <v>875</v>
      </c>
    </row>
  </sheetData>
  <hyperlinks>
    <hyperlink ref="C3" r:id="rId1" location="'Navigation'!A1" display="Navigation"/>
    <hyperlink ref="D3" r:id="rId2" location="'Global%20Inputs'!A1" display="Global Inputs"/>
    <hyperlink ref="E3" r:id="rId3" location="'Project%20Summary'!A1" display="Project Summary"/>
    <hyperlink ref="F3" r:id="rId4" location="'Funding%20Requirement'!A1" display="Funding"/>
    <hyperlink ref="G3" r:id="rId5" location="'FSL%20Financials%20—%20Without%20BUMN'!A1" display="FSL w/o BUMN"/>
    <hyperlink ref="H3" r:id="rId6" location="'FSL%20Financials%20—%20With%20BUMN'!A1" display="FSL w/ BUMN"/>
    <hyperlink ref="I3" r:id="rId7" location="'Valuation%20—%20Without%20BUMN'!A1" display="Val w/o BUMN"/>
    <hyperlink ref="J3" r:id="rId8" location="'Valuation%20—%20With%20BUMN'!A1" display="Val w/ BUMN"/>
    <hyperlink ref="K3" r:id="rId9" location="'Checks'!A1" display="Checks"/>
    <hyperlink ref="L3" r:id="rId10" location="'Model%20Flow'!A1" display="Model Flow"/>
  </hyperlink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D966"/>
    <pageSetUpPr fitToPage="true"/>
  </sheetPr>
  <dimension ref="B1:U8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5" ySplit="9" topLeftCell="F10" activePane="bottomRight" state="frozen"/>
      <selection pane="topLeft" activeCell="A1" activeCellId="0" sqref="A1"/>
      <selection pane="topRight" activeCell="F1" activeCellId="0" sqref="F1"/>
      <selection pane="bottomLeft" activeCell="A10" activeCellId="0" sqref="A10"/>
      <selection pane="bottomRigh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66"/>
    <col collapsed="false" customWidth="true" hidden="false" outlineLevel="0" max="3" min="3" style="0" width="11"/>
    <col collapsed="false" customWidth="true" hidden="false" outlineLevel="0" max="4" min="4" style="0" width="12"/>
    <col collapsed="false" customWidth="true" hidden="false" outlineLevel="0" max="5" min="5" style="0" width="13"/>
    <col collapsed="false" customWidth="true" hidden="false" outlineLevel="0" max="19" min="6" style="0" width="11.5"/>
    <col collapsed="false" customWidth="true" hidden="false" outlineLevel="0" max="20" min="20" style="0" width="40"/>
    <col collapsed="false" customWidth="true" hidden="false" outlineLevel="0" max="21" min="21" style="0" width="48"/>
  </cols>
  <sheetData>
    <row r="1" customFormat="false" ht="21.75" hidden="false" customHeight="true" outlineLevel="0" collapsed="false">
      <c r="B1" s="1" t="s">
        <v>876</v>
      </c>
    </row>
    <row r="2" customFormat="false" ht="15" hidden="false" customHeight="false" outlineLevel="0" collapsed="false">
      <c r="B2" s="2" t="s">
        <v>877</v>
      </c>
    </row>
    <row r="3" customFormat="false" ht="15" hidden="false" customHeight="false" outlineLevel="0" collapsed="false">
      <c r="B3" s="5" t="s">
        <v>112</v>
      </c>
      <c r="C3" s="17" t="s">
        <v>27</v>
      </c>
      <c r="D3" s="17" t="s">
        <v>28</v>
      </c>
      <c r="E3" s="17" t="s">
        <v>29</v>
      </c>
      <c r="F3" s="17" t="s">
        <v>113</v>
      </c>
      <c r="G3" s="17" t="s">
        <v>5</v>
      </c>
      <c r="H3" s="17" t="s">
        <v>7</v>
      </c>
      <c r="I3" s="17" t="s">
        <v>114</v>
      </c>
      <c r="J3" s="17" t="s">
        <v>115</v>
      </c>
      <c r="K3" s="17" t="s">
        <v>116</v>
      </c>
      <c r="L3" s="17" t="s">
        <v>117</v>
      </c>
      <c r="M3" s="17" t="s">
        <v>118</v>
      </c>
      <c r="N3" s="17" t="s">
        <v>21</v>
      </c>
      <c r="O3" s="17" t="s">
        <v>3</v>
      </c>
    </row>
    <row r="5" customFormat="false" ht="15" hidden="false" customHeight="false" outlineLevel="0" collapsed="false">
      <c r="B5" s="6" t="s">
        <v>119</v>
      </c>
      <c r="C5" s="6" t="s">
        <v>120</v>
      </c>
      <c r="D5" s="6" t="s">
        <v>121</v>
      </c>
      <c r="E5" s="6" t="s">
        <v>122</v>
      </c>
      <c r="F5" s="18" t="n">
        <f aca="false">'Global Inputs'!F$5</f>
        <v>2023</v>
      </c>
      <c r="G5" s="18" t="n">
        <f aca="false">'Global Inputs'!G$5</f>
        <v>2024</v>
      </c>
      <c r="H5" s="18" t="n">
        <f aca="false">'Global Inputs'!H$5</f>
        <v>2025</v>
      </c>
      <c r="I5" s="18" t="n">
        <f aca="false">'Global Inputs'!I$5</f>
        <v>2026</v>
      </c>
      <c r="J5" s="18" t="n">
        <f aca="false">'Global Inputs'!J$5</f>
        <v>2027</v>
      </c>
      <c r="K5" s="18" t="n">
        <f aca="false">'Global Inputs'!K$5</f>
        <v>2028</v>
      </c>
      <c r="L5" s="18" t="n">
        <f aca="false">'Global Inputs'!L$5</f>
        <v>2029</v>
      </c>
      <c r="M5" s="18" t="n">
        <f aca="false">'Global Inputs'!M$5</f>
        <v>2030</v>
      </c>
      <c r="N5" s="18" t="n">
        <f aca="false">'Global Inputs'!N$5</f>
        <v>2031</v>
      </c>
      <c r="O5" s="18" t="n">
        <f aca="false">'Global Inputs'!O$5</f>
        <v>2032</v>
      </c>
      <c r="P5" s="18" t="n">
        <f aca="false">'Global Inputs'!P$5</f>
        <v>2033</v>
      </c>
      <c r="Q5" s="18" t="n">
        <f aca="false">'Global Inputs'!Q$5</f>
        <v>2034</v>
      </c>
      <c r="R5" s="18" t="n">
        <f aca="false">'Global Inputs'!R$5</f>
        <v>2035</v>
      </c>
      <c r="S5" s="18" t="n">
        <f aca="false">'Global Inputs'!S$5</f>
        <v>2036</v>
      </c>
      <c r="T5" s="6" t="s">
        <v>123</v>
      </c>
      <c r="U5" s="6" t="s">
        <v>124</v>
      </c>
    </row>
    <row r="6" customFormat="false" ht="15" hidden="false" customHeight="false" outlineLevel="0" collapsed="false">
      <c r="B6" s="19" t="s">
        <v>125</v>
      </c>
      <c r="F6" s="20" t="n">
        <f aca="false">'Global Inputs'!F$6</f>
        <v>45291</v>
      </c>
      <c r="G6" s="20" t="n">
        <f aca="false">'Global Inputs'!G$6</f>
        <v>45657</v>
      </c>
      <c r="H6" s="20" t="n">
        <f aca="false">'Global Inputs'!H$6</f>
        <v>46022</v>
      </c>
      <c r="I6" s="20" t="n">
        <f aca="false">'Global Inputs'!I$6</f>
        <v>46387</v>
      </c>
      <c r="J6" s="20" t="n">
        <f aca="false">'Global Inputs'!J$6</f>
        <v>46752</v>
      </c>
      <c r="K6" s="20" t="n">
        <f aca="false">'Global Inputs'!K$6</f>
        <v>47118</v>
      </c>
      <c r="L6" s="20" t="n">
        <f aca="false">'Global Inputs'!L$6</f>
        <v>47483</v>
      </c>
      <c r="M6" s="20" t="n">
        <f aca="false">'Global Inputs'!M$6</f>
        <v>47848</v>
      </c>
      <c r="N6" s="20" t="n">
        <f aca="false">'Global Inputs'!N$6</f>
        <v>48213</v>
      </c>
      <c r="O6" s="20" t="n">
        <f aca="false">'Global Inputs'!O$6</f>
        <v>48579</v>
      </c>
      <c r="P6" s="20" t="n">
        <f aca="false">'Global Inputs'!P$6</f>
        <v>48944</v>
      </c>
      <c r="Q6" s="20" t="n">
        <f aca="false">'Global Inputs'!Q$6</f>
        <v>49309</v>
      </c>
      <c r="R6" s="20" t="n">
        <f aca="false">'Global Inputs'!R$6</f>
        <v>49674</v>
      </c>
      <c r="S6" s="20" t="n">
        <f aca="false">'Global Inputs'!S$6</f>
        <v>50040</v>
      </c>
    </row>
    <row r="7" customFormat="false" ht="15" hidden="false" customHeight="false" outlineLevel="0" collapsed="false">
      <c r="B7" s="19" t="s">
        <v>126</v>
      </c>
      <c r="F7" s="21" t="n">
        <f aca="false">'Global Inputs'!F$7</f>
        <v>365</v>
      </c>
      <c r="G7" s="21" t="n">
        <f aca="false">'Global Inputs'!G$7</f>
        <v>366</v>
      </c>
      <c r="H7" s="21" t="n">
        <f aca="false">'Global Inputs'!H$7</f>
        <v>365</v>
      </c>
      <c r="I7" s="21" t="n">
        <f aca="false">'Global Inputs'!I$7</f>
        <v>365</v>
      </c>
      <c r="J7" s="21" t="n">
        <f aca="false">'Global Inputs'!J$7</f>
        <v>365</v>
      </c>
      <c r="K7" s="21" t="n">
        <f aca="false">'Global Inputs'!K$7</f>
        <v>366</v>
      </c>
      <c r="L7" s="21" t="n">
        <f aca="false">'Global Inputs'!L$7</f>
        <v>365</v>
      </c>
      <c r="M7" s="21" t="n">
        <f aca="false">'Global Inputs'!M$7</f>
        <v>365</v>
      </c>
      <c r="N7" s="21" t="n">
        <f aca="false">'Global Inputs'!N$7</f>
        <v>365</v>
      </c>
      <c r="O7" s="21" t="n">
        <f aca="false">'Global Inputs'!O$7</f>
        <v>366</v>
      </c>
      <c r="P7" s="21" t="n">
        <f aca="false">'Global Inputs'!P$7</f>
        <v>365</v>
      </c>
      <c r="Q7" s="21" t="n">
        <f aca="false">'Global Inputs'!Q$7</f>
        <v>365</v>
      </c>
      <c r="R7" s="21" t="n">
        <f aca="false">'Global Inputs'!R$7</f>
        <v>365</v>
      </c>
      <c r="S7" s="21" t="n">
        <f aca="false">'Global Inputs'!S$7</f>
        <v>366</v>
      </c>
    </row>
    <row r="8" customFormat="false" ht="15" hidden="false" customHeight="false" outlineLevel="0" collapsed="false">
      <c r="B8" s="19" t="s">
        <v>127</v>
      </c>
      <c r="F8" s="21" t="n">
        <f aca="false">'Global Inputs'!F$8</f>
        <v>0</v>
      </c>
      <c r="G8" s="21" t="n">
        <f aca="false">'Global Inputs'!G$8</f>
        <v>1</v>
      </c>
      <c r="H8" s="21" t="n">
        <f aca="false">'Global Inputs'!H$8</f>
        <v>1</v>
      </c>
      <c r="I8" s="21" t="n">
        <f aca="false">'Global Inputs'!I$8</f>
        <v>1</v>
      </c>
      <c r="J8" s="21" t="n">
        <f aca="false">'Global Inputs'!J$8</f>
        <v>1</v>
      </c>
      <c r="K8" s="21" t="n">
        <f aca="false">'Global Inputs'!K$8</f>
        <v>1</v>
      </c>
      <c r="L8" s="21" t="n">
        <f aca="false">'Global Inputs'!L$8</f>
        <v>1</v>
      </c>
      <c r="M8" s="21" t="n">
        <f aca="false">'Global Inputs'!M$8</f>
        <v>1</v>
      </c>
      <c r="N8" s="21" t="n">
        <f aca="false">'Global Inputs'!N$8</f>
        <v>1</v>
      </c>
      <c r="O8" s="21" t="n">
        <f aca="false">'Global Inputs'!O$8</f>
        <v>1</v>
      </c>
      <c r="P8" s="21" t="n">
        <f aca="false">'Global Inputs'!P$8</f>
        <v>1</v>
      </c>
      <c r="Q8" s="21" t="n">
        <f aca="false">'Global Inputs'!Q$8</f>
        <v>1</v>
      </c>
      <c r="R8" s="21" t="n">
        <f aca="false">'Global Inputs'!R$8</f>
        <v>1</v>
      </c>
      <c r="S8" s="21" t="n">
        <f aca="false">'Global Inputs'!S$8</f>
        <v>1</v>
      </c>
    </row>
    <row r="10" customFormat="false" ht="15" hidden="false" customHeight="false" outlineLevel="0" collapsed="false">
      <c r="B10" s="22" t="s">
        <v>878</v>
      </c>
      <c r="C10" s="23"/>
      <c r="D10" s="23"/>
      <c r="E10" s="23"/>
      <c r="F10" s="23"/>
      <c r="G10" s="23"/>
      <c r="H10" s="23"/>
      <c r="I10" s="23"/>
      <c r="J10" s="23"/>
      <c r="K10" s="23"/>
      <c r="L10" s="23"/>
      <c r="M10" s="23"/>
      <c r="N10" s="23"/>
      <c r="O10" s="23"/>
      <c r="P10" s="23"/>
      <c r="Q10" s="23"/>
      <c r="R10" s="23"/>
      <c r="S10" s="23"/>
    </row>
    <row r="11" customFormat="false" ht="15" hidden="false" customHeight="false" outlineLevel="0" collapsed="false">
      <c r="B11" s="24" t="s">
        <v>879</v>
      </c>
      <c r="E11" s="24" t="s">
        <v>880</v>
      </c>
    </row>
    <row r="12" customFormat="false" ht="15" hidden="false" customHeight="false" outlineLevel="0" collapsed="false">
      <c r="B12" s="24" t="s">
        <v>25</v>
      </c>
      <c r="E12" s="24" t="s">
        <v>881</v>
      </c>
    </row>
    <row r="13" customFormat="false" ht="15" hidden="false" customHeight="false" outlineLevel="0" collapsed="false">
      <c r="B13" s="24" t="s">
        <v>882</v>
      </c>
      <c r="E13" s="24" t="s">
        <v>883</v>
      </c>
    </row>
    <row r="14" customFormat="false" ht="15" hidden="false" customHeight="false" outlineLevel="0" collapsed="false">
      <c r="B14" s="24" t="s">
        <v>275</v>
      </c>
      <c r="E14" s="24" t="s">
        <v>285</v>
      </c>
    </row>
    <row r="15" customFormat="false" ht="15" hidden="false" customHeight="false" outlineLevel="0" collapsed="false">
      <c r="B15" s="24" t="s">
        <v>386</v>
      </c>
      <c r="E15" s="24" t="s">
        <v>32</v>
      </c>
    </row>
    <row r="16" customFormat="false" ht="15" hidden="false" customHeight="false" outlineLevel="0" collapsed="false">
      <c r="B16" s="24" t="s">
        <v>884</v>
      </c>
      <c r="E16" s="24" t="s">
        <v>885</v>
      </c>
    </row>
    <row r="17" customFormat="false" ht="15" hidden="false" customHeight="false" outlineLevel="0" collapsed="false">
      <c r="B17" s="24" t="s">
        <v>886</v>
      </c>
      <c r="E17" s="24" t="s">
        <v>887</v>
      </c>
    </row>
    <row r="18" customFormat="false" ht="15" hidden="false" customHeight="false" outlineLevel="0" collapsed="false">
      <c r="B18" s="24" t="s">
        <v>888</v>
      </c>
      <c r="E18" s="24" t="s">
        <v>889</v>
      </c>
    </row>
    <row r="19" customFormat="false" ht="15" hidden="false" customHeight="false" outlineLevel="0" collapsed="false">
      <c r="B19" s="24" t="s">
        <v>890</v>
      </c>
      <c r="E19" s="24" t="s">
        <v>891</v>
      </c>
    </row>
    <row r="21" customFormat="false" ht="15" hidden="false" customHeight="false" outlineLevel="0" collapsed="false">
      <c r="B21" s="22" t="s">
        <v>892</v>
      </c>
      <c r="C21" s="23"/>
      <c r="D21" s="23"/>
      <c r="E21" s="23"/>
      <c r="F21" s="23"/>
      <c r="G21" s="23"/>
      <c r="H21" s="23"/>
      <c r="I21" s="23"/>
      <c r="J21" s="23"/>
      <c r="K21" s="23"/>
      <c r="L21" s="23"/>
      <c r="M21" s="23"/>
      <c r="N21" s="23"/>
      <c r="O21" s="23"/>
      <c r="P21" s="23"/>
      <c r="Q21" s="23"/>
      <c r="R21" s="23"/>
      <c r="S21" s="23"/>
    </row>
    <row r="22" customFormat="false" ht="15" hidden="false" customHeight="false" outlineLevel="0" collapsed="false">
      <c r="B22" s="24" t="s">
        <v>893</v>
      </c>
      <c r="C22" s="25" t="s">
        <v>180</v>
      </c>
      <c r="D22" s="25" t="s">
        <v>894</v>
      </c>
      <c r="E22" s="65" t="n">
        <f aca="false">'Global Inputs'!$E$89</f>
        <v>1</v>
      </c>
      <c r="T22" s="5" t="s">
        <v>895</v>
      </c>
    </row>
    <row r="23" customFormat="false" ht="15" hidden="false" customHeight="false" outlineLevel="0" collapsed="false">
      <c r="B23" s="24" t="s">
        <v>896</v>
      </c>
      <c r="C23" s="25" t="s">
        <v>175</v>
      </c>
      <c r="D23" s="25" t="s">
        <v>894</v>
      </c>
      <c r="E23" s="65" t="n">
        <f aca="false">'Global Inputs'!$F$89</f>
        <v>1</v>
      </c>
      <c r="T23" s="5" t="s">
        <v>895</v>
      </c>
    </row>
    <row r="24" customFormat="false" ht="15" hidden="false" customHeight="false" outlineLevel="0" collapsed="false">
      <c r="B24" s="24" t="s">
        <v>897</v>
      </c>
      <c r="C24" s="25" t="s">
        <v>160</v>
      </c>
      <c r="D24" s="25" t="s">
        <v>894</v>
      </c>
      <c r="E24" s="67" t="n">
        <f aca="false">'Global Inputs'!$G$89</f>
        <v>0.65</v>
      </c>
      <c r="T24" s="5" t="s">
        <v>895</v>
      </c>
    </row>
    <row r="26" customFormat="false" ht="15" hidden="false" customHeight="false" outlineLevel="0" collapsed="false">
      <c r="B26" s="22" t="s">
        <v>898</v>
      </c>
      <c r="C26" s="23"/>
      <c r="D26" s="23"/>
      <c r="E26" s="23"/>
      <c r="F26" s="23"/>
      <c r="G26" s="23"/>
      <c r="H26" s="23"/>
      <c r="I26" s="23"/>
      <c r="J26" s="23"/>
      <c r="K26" s="23"/>
      <c r="L26" s="23"/>
      <c r="M26" s="23"/>
      <c r="N26" s="23"/>
      <c r="O26" s="23"/>
      <c r="P26" s="23"/>
      <c r="Q26" s="23"/>
      <c r="R26" s="23"/>
      <c r="S26" s="23"/>
    </row>
    <row r="27" customFormat="false" ht="15" hidden="false" customHeight="false" outlineLevel="0" collapsed="false">
      <c r="B27" s="24" t="s">
        <v>899</v>
      </c>
      <c r="C27" s="25" t="s">
        <v>900</v>
      </c>
      <c r="D27" s="28" t="s">
        <v>153</v>
      </c>
      <c r="E27" s="101" t="n">
        <v>2063650</v>
      </c>
      <c r="T27" s="5" t="s">
        <v>901</v>
      </c>
    </row>
    <row r="28" customFormat="false" ht="15" hidden="false" customHeight="false" outlineLevel="0" collapsed="false">
      <c r="B28" s="24" t="s">
        <v>902</v>
      </c>
      <c r="C28" s="25" t="s">
        <v>160</v>
      </c>
      <c r="D28" s="28" t="s">
        <v>153</v>
      </c>
      <c r="G28" s="35" t="n">
        <v>0</v>
      </c>
      <c r="H28" s="35" t="n">
        <v>0.03</v>
      </c>
      <c r="I28" s="35" t="n">
        <v>0.03</v>
      </c>
      <c r="J28" s="35" t="n">
        <v>0.03</v>
      </c>
      <c r="K28" s="35" t="n">
        <v>0.03</v>
      </c>
      <c r="L28" s="35" t="n">
        <v>0.03</v>
      </c>
      <c r="M28" s="35" t="n">
        <v>0.03</v>
      </c>
      <c r="N28" s="35" t="n">
        <v>0.03</v>
      </c>
      <c r="O28" s="35" t="n">
        <v>0.03</v>
      </c>
      <c r="P28" s="35" t="n">
        <v>0.03</v>
      </c>
      <c r="Q28" s="35" t="n">
        <v>0.03</v>
      </c>
      <c r="R28" s="35" t="n">
        <v>0.03</v>
      </c>
      <c r="S28" s="35" t="n">
        <v>0.03</v>
      </c>
      <c r="T28" s="5" t="s">
        <v>903</v>
      </c>
    </row>
    <row r="29" customFormat="false" ht="15" hidden="false" customHeight="false" outlineLevel="0" collapsed="false">
      <c r="B29" s="24" t="s">
        <v>904</v>
      </c>
      <c r="C29" s="25" t="s">
        <v>905</v>
      </c>
      <c r="D29" s="28" t="s">
        <v>153</v>
      </c>
      <c r="G29" s="101" t="n">
        <v>42880</v>
      </c>
      <c r="H29" s="101" t="n">
        <v>42880</v>
      </c>
      <c r="I29" s="101" t="n">
        <v>42880</v>
      </c>
      <c r="J29" s="101" t="n">
        <v>42880</v>
      </c>
      <c r="K29" s="101" t="n">
        <v>42880</v>
      </c>
      <c r="L29" s="101" t="n">
        <v>44166.4</v>
      </c>
      <c r="M29" s="101" t="n">
        <v>44166.4</v>
      </c>
      <c r="N29" s="101" t="n">
        <v>44166.4</v>
      </c>
      <c r="O29" s="101" t="n">
        <v>45491.392</v>
      </c>
      <c r="P29" s="101" t="n">
        <v>45491.392</v>
      </c>
      <c r="Q29" s="101" t="n">
        <v>45491.392</v>
      </c>
      <c r="R29" s="101" t="n">
        <v>45491.392</v>
      </c>
      <c r="S29" s="101" t="n">
        <v>45491.392</v>
      </c>
      <c r="T29" s="5" t="s">
        <v>906</v>
      </c>
    </row>
    <row r="30" customFormat="false" ht="15" hidden="false" customHeight="false" outlineLevel="0" collapsed="false">
      <c r="B30" s="24" t="s">
        <v>907</v>
      </c>
      <c r="C30" s="25" t="s">
        <v>900</v>
      </c>
      <c r="D30" s="28" t="s">
        <v>153</v>
      </c>
      <c r="E30" s="101" t="n">
        <v>1602570</v>
      </c>
      <c r="T30" s="5" t="s">
        <v>908</v>
      </c>
    </row>
    <row r="31" customFormat="false" ht="15" hidden="false" customHeight="false" outlineLevel="0" collapsed="false">
      <c r="B31" s="24" t="s">
        <v>909</v>
      </c>
      <c r="C31" s="25" t="s">
        <v>160</v>
      </c>
      <c r="D31" s="28" t="s">
        <v>153</v>
      </c>
      <c r="G31" s="35" t="n">
        <v>0</v>
      </c>
      <c r="H31" s="35" t="n">
        <v>0.03</v>
      </c>
      <c r="I31" s="35" t="n">
        <v>0.03</v>
      </c>
      <c r="J31" s="35" t="n">
        <v>0.03</v>
      </c>
      <c r="K31" s="35" t="n">
        <v>0.03</v>
      </c>
      <c r="L31" s="35" t="n">
        <v>0.03</v>
      </c>
      <c r="M31" s="35" t="n">
        <v>0.03</v>
      </c>
      <c r="N31" s="35" t="n">
        <v>0.03</v>
      </c>
      <c r="O31" s="35" t="n">
        <v>0.03</v>
      </c>
      <c r="P31" s="35" t="n">
        <v>0.03</v>
      </c>
      <c r="Q31" s="35" t="n">
        <v>0.03</v>
      </c>
      <c r="R31" s="35" t="n">
        <v>0.03</v>
      </c>
      <c r="S31" s="35" t="n">
        <v>0.03</v>
      </c>
      <c r="T31" s="5" t="s">
        <v>910</v>
      </c>
    </row>
    <row r="32" customFormat="false" ht="15" hidden="false" customHeight="false" outlineLevel="0" collapsed="false">
      <c r="B32" s="24" t="s">
        <v>911</v>
      </c>
      <c r="C32" s="25" t="s">
        <v>905</v>
      </c>
      <c r="D32" s="28" t="s">
        <v>153</v>
      </c>
      <c r="G32" s="101" t="n">
        <v>42400</v>
      </c>
      <c r="H32" s="101" t="n">
        <v>42400</v>
      </c>
      <c r="I32" s="101" t="n">
        <v>42400</v>
      </c>
      <c r="J32" s="101" t="n">
        <v>42400</v>
      </c>
      <c r="K32" s="101" t="n">
        <v>42400</v>
      </c>
      <c r="L32" s="101" t="n">
        <v>43672</v>
      </c>
      <c r="M32" s="101" t="n">
        <v>43672</v>
      </c>
      <c r="N32" s="101" t="n">
        <v>43672</v>
      </c>
      <c r="O32" s="101" t="n">
        <v>44982.16</v>
      </c>
      <c r="P32" s="101" t="n">
        <v>44982.16</v>
      </c>
      <c r="Q32" s="101" t="n">
        <v>44982.16</v>
      </c>
      <c r="R32" s="101" t="n">
        <v>44982.16</v>
      </c>
      <c r="S32" s="101" t="n">
        <v>44982.16</v>
      </c>
      <c r="T32" s="5" t="s">
        <v>912</v>
      </c>
    </row>
    <row r="33" customFormat="false" ht="15" hidden="false" customHeight="false" outlineLevel="0" collapsed="false">
      <c r="B33" s="24" t="s">
        <v>913</v>
      </c>
      <c r="C33" s="25" t="s">
        <v>180</v>
      </c>
      <c r="D33" s="28" t="s">
        <v>176</v>
      </c>
      <c r="E33" s="102" t="n">
        <v>0</v>
      </c>
      <c r="T33" s="5" t="s">
        <v>914</v>
      </c>
      <c r="U33" s="5" t="s">
        <v>915</v>
      </c>
    </row>
    <row r="34" customFormat="false" ht="15" hidden="false" customHeight="false" outlineLevel="0" collapsed="false">
      <c r="B34" s="24" t="s">
        <v>916</v>
      </c>
      <c r="C34" s="25" t="s">
        <v>900</v>
      </c>
      <c r="D34" s="28" t="s">
        <v>153</v>
      </c>
      <c r="G34" s="101" t="n">
        <v>0</v>
      </c>
      <c r="H34" s="101" t="n">
        <v>0</v>
      </c>
      <c r="I34" s="101" t="n">
        <v>0</v>
      </c>
      <c r="J34" s="101" t="n">
        <v>0</v>
      </c>
      <c r="K34" s="101" t="n">
        <v>0</v>
      </c>
      <c r="L34" s="101" t="n">
        <v>1000000</v>
      </c>
      <c r="M34" s="101" t="n">
        <v>1500000</v>
      </c>
      <c r="N34" s="101" t="n">
        <v>2700000</v>
      </c>
      <c r="O34" s="101" t="n">
        <v>2000000</v>
      </c>
      <c r="P34" s="101" t="n">
        <v>3000000</v>
      </c>
      <c r="Q34" s="101" t="n">
        <v>3000000</v>
      </c>
      <c r="R34" s="101" t="n">
        <v>3000000</v>
      </c>
      <c r="S34" s="101" t="n">
        <v>3000000</v>
      </c>
      <c r="T34" s="5" t="s">
        <v>917</v>
      </c>
    </row>
    <row r="35" customFormat="false" ht="15" hidden="false" customHeight="false" outlineLevel="0" collapsed="false">
      <c r="B35" s="22" t="s">
        <v>918</v>
      </c>
      <c r="C35" s="23"/>
      <c r="D35" s="23"/>
      <c r="E35" s="23"/>
      <c r="F35" s="23"/>
      <c r="G35" s="23"/>
      <c r="H35" s="23"/>
      <c r="I35" s="23"/>
      <c r="J35" s="23"/>
      <c r="K35" s="23"/>
      <c r="L35" s="23"/>
      <c r="M35" s="23"/>
      <c r="N35" s="23"/>
      <c r="O35" s="23"/>
      <c r="P35" s="23"/>
      <c r="Q35" s="23"/>
      <c r="R35" s="23"/>
      <c r="S35" s="23"/>
    </row>
    <row r="36" customFormat="false" ht="15" hidden="false" customHeight="false" outlineLevel="0" collapsed="false">
      <c r="B36" s="24" t="s">
        <v>919</v>
      </c>
      <c r="C36" s="25" t="s">
        <v>170</v>
      </c>
      <c r="D36" s="28" t="s">
        <v>153</v>
      </c>
      <c r="E36" s="45" t="n">
        <v>12.86929567153</v>
      </c>
      <c r="T36" s="5" t="s">
        <v>920</v>
      </c>
    </row>
    <row r="37" customFormat="false" ht="15" hidden="false" customHeight="false" outlineLevel="0" collapsed="false">
      <c r="B37" s="24" t="s">
        <v>921</v>
      </c>
      <c r="C37" s="25" t="s">
        <v>160</v>
      </c>
      <c r="D37" s="28" t="s">
        <v>153</v>
      </c>
      <c r="G37" s="35" t="n">
        <v>0.035</v>
      </c>
      <c r="H37" s="35" t="n">
        <v>0.035</v>
      </c>
      <c r="I37" s="35" t="n">
        <v>0.035</v>
      </c>
      <c r="J37" s="35" t="n">
        <v>0.035</v>
      </c>
      <c r="K37" s="35" t="n">
        <v>0.035</v>
      </c>
      <c r="L37" s="35" t="n">
        <v>0.035</v>
      </c>
      <c r="M37" s="35" t="n">
        <v>0.035</v>
      </c>
      <c r="N37" s="35" t="n">
        <v>0.035</v>
      </c>
      <c r="O37" s="35" t="n">
        <v>0.035</v>
      </c>
      <c r="P37" s="35" t="n">
        <v>0.035</v>
      </c>
      <c r="Q37" s="35" t="n">
        <v>0.035</v>
      </c>
      <c r="R37" s="35" t="n">
        <v>0.035</v>
      </c>
      <c r="S37" s="35" t="n">
        <v>0.035</v>
      </c>
      <c r="T37" s="5" t="s">
        <v>922</v>
      </c>
    </row>
    <row r="38" customFormat="false" ht="15" hidden="false" customHeight="false" outlineLevel="0" collapsed="false">
      <c r="B38" s="24" t="s">
        <v>923</v>
      </c>
      <c r="C38" s="25" t="s">
        <v>900</v>
      </c>
      <c r="D38" s="28" t="s">
        <v>153</v>
      </c>
      <c r="E38" s="101" t="n">
        <v>3579865.85</v>
      </c>
      <c r="T38" s="5" t="s">
        <v>924</v>
      </c>
    </row>
    <row r="39" customFormat="false" ht="15" hidden="false" customHeight="false" outlineLevel="0" collapsed="false">
      <c r="B39" s="24" t="s">
        <v>925</v>
      </c>
      <c r="C39" s="25" t="s">
        <v>148</v>
      </c>
      <c r="D39" s="28" t="s">
        <v>153</v>
      </c>
      <c r="E39" s="37" t="n">
        <v>1.2</v>
      </c>
      <c r="T39" s="5" t="s">
        <v>926</v>
      </c>
    </row>
    <row r="40" customFormat="false" ht="15" hidden="false" customHeight="false" outlineLevel="0" collapsed="false">
      <c r="B40" s="24" t="s">
        <v>927</v>
      </c>
      <c r="C40" s="25" t="s">
        <v>170</v>
      </c>
      <c r="D40" s="28" t="s">
        <v>153</v>
      </c>
      <c r="E40" s="45" t="n">
        <v>4.3341669714466</v>
      </c>
      <c r="T40" s="5" t="s">
        <v>928</v>
      </c>
    </row>
    <row r="41" customFormat="false" ht="15" hidden="false" customHeight="false" outlineLevel="0" collapsed="false">
      <c r="B41" s="24" t="s">
        <v>929</v>
      </c>
      <c r="C41" s="25" t="s">
        <v>160</v>
      </c>
      <c r="D41" s="28" t="s">
        <v>153</v>
      </c>
      <c r="G41" s="35" t="n">
        <v>0.03</v>
      </c>
      <c r="H41" s="35" t="n">
        <v>0.03</v>
      </c>
      <c r="I41" s="35" t="n">
        <v>0.03</v>
      </c>
      <c r="J41" s="35" t="n">
        <v>0.03</v>
      </c>
      <c r="K41" s="35" t="n">
        <v>0.03</v>
      </c>
      <c r="L41" s="35" t="n">
        <v>0.03</v>
      </c>
      <c r="M41" s="35" t="n">
        <v>0.03</v>
      </c>
      <c r="N41" s="35" t="n">
        <v>0.03</v>
      </c>
      <c r="O41" s="35" t="n">
        <v>0.03</v>
      </c>
      <c r="P41" s="35" t="n">
        <v>0.03</v>
      </c>
      <c r="Q41" s="35" t="n">
        <v>0.03</v>
      </c>
      <c r="R41" s="35" t="n">
        <v>0.03</v>
      </c>
      <c r="S41" s="35" t="n">
        <v>0.03</v>
      </c>
      <c r="T41" s="5" t="s">
        <v>930</v>
      </c>
    </row>
    <row r="42" customFormat="false" ht="15" hidden="false" customHeight="false" outlineLevel="0" collapsed="false">
      <c r="B42" s="24" t="s">
        <v>931</v>
      </c>
      <c r="C42" s="25" t="s">
        <v>170</v>
      </c>
      <c r="D42" s="28" t="s">
        <v>153</v>
      </c>
      <c r="E42" s="45" t="n">
        <v>2.5548429764421</v>
      </c>
      <c r="T42" s="5" t="s">
        <v>932</v>
      </c>
    </row>
    <row r="43" customFormat="false" ht="15" hidden="false" customHeight="false" outlineLevel="0" collapsed="false">
      <c r="B43" s="24" t="s">
        <v>933</v>
      </c>
      <c r="C43" s="25" t="s">
        <v>160</v>
      </c>
      <c r="D43" s="28" t="s">
        <v>153</v>
      </c>
      <c r="G43" s="35" t="n">
        <v>0.03</v>
      </c>
      <c r="H43" s="35" t="n">
        <v>0.03</v>
      </c>
      <c r="I43" s="35" t="n">
        <v>0.03</v>
      </c>
      <c r="J43" s="35" t="n">
        <v>0.03</v>
      </c>
      <c r="K43" s="35" t="n">
        <v>0.03</v>
      </c>
      <c r="L43" s="35" t="n">
        <v>0.03</v>
      </c>
      <c r="M43" s="35" t="n">
        <v>0.03</v>
      </c>
      <c r="N43" s="35" t="n">
        <v>0.03</v>
      </c>
      <c r="O43" s="35" t="n">
        <v>0.03</v>
      </c>
      <c r="P43" s="35" t="n">
        <v>0.03</v>
      </c>
      <c r="Q43" s="35" t="n">
        <v>0.03</v>
      </c>
      <c r="R43" s="35" t="n">
        <v>0.03</v>
      </c>
      <c r="S43" s="35" t="n">
        <v>0.03</v>
      </c>
      <c r="T43" s="5" t="s">
        <v>934</v>
      </c>
    </row>
    <row r="44" customFormat="false" ht="15" hidden="false" customHeight="false" outlineLevel="0" collapsed="false">
      <c r="B44" s="24" t="s">
        <v>935</v>
      </c>
      <c r="C44" s="25" t="s">
        <v>170</v>
      </c>
      <c r="D44" s="28" t="s">
        <v>153</v>
      </c>
      <c r="E44" s="45" t="n">
        <v>2.092034448</v>
      </c>
      <c r="T44" s="5" t="s">
        <v>936</v>
      </c>
    </row>
    <row r="45" customFormat="false" ht="15" hidden="false" customHeight="false" outlineLevel="0" collapsed="false">
      <c r="B45" s="24" t="s">
        <v>937</v>
      </c>
      <c r="C45" s="25" t="s">
        <v>160</v>
      </c>
      <c r="D45" s="28" t="s">
        <v>153</v>
      </c>
      <c r="G45" s="35" t="n">
        <v>0.035</v>
      </c>
      <c r="H45" s="35" t="n">
        <v>0.035</v>
      </c>
      <c r="I45" s="35" t="n">
        <v>0.035</v>
      </c>
      <c r="J45" s="35" t="n">
        <v>0.035</v>
      </c>
      <c r="K45" s="35" t="n">
        <v>0.035</v>
      </c>
      <c r="L45" s="35" t="n">
        <v>0.035</v>
      </c>
      <c r="M45" s="35" t="n">
        <v>0.035</v>
      </c>
      <c r="N45" s="35" t="n">
        <v>0.035</v>
      </c>
      <c r="O45" s="35" t="n">
        <v>0.035</v>
      </c>
      <c r="P45" s="35" t="n">
        <v>0.035</v>
      </c>
      <c r="Q45" s="35" t="n">
        <v>0.035</v>
      </c>
      <c r="R45" s="35" t="n">
        <v>0.035</v>
      </c>
      <c r="S45" s="35" t="n">
        <v>0.035</v>
      </c>
      <c r="T45" s="5" t="s">
        <v>938</v>
      </c>
    </row>
    <row r="46" customFormat="false" ht="15" hidden="false" customHeight="false" outlineLevel="0" collapsed="false">
      <c r="B46" s="24" t="s">
        <v>939</v>
      </c>
      <c r="C46" s="25" t="s">
        <v>170</v>
      </c>
      <c r="D46" s="28" t="s">
        <v>153</v>
      </c>
      <c r="E46" s="45" t="n">
        <v>2.0448544530069</v>
      </c>
      <c r="T46" s="5" t="s">
        <v>940</v>
      </c>
    </row>
    <row r="47" customFormat="false" ht="15" hidden="false" customHeight="false" outlineLevel="0" collapsed="false">
      <c r="B47" s="24" t="s">
        <v>941</v>
      </c>
      <c r="C47" s="25" t="s">
        <v>160</v>
      </c>
      <c r="D47" s="28" t="s">
        <v>153</v>
      </c>
      <c r="G47" s="35" t="n">
        <v>0.03</v>
      </c>
      <c r="H47" s="35" t="n">
        <v>0.03</v>
      </c>
      <c r="I47" s="35" t="n">
        <v>0.03</v>
      </c>
      <c r="J47" s="35" t="n">
        <v>0.03</v>
      </c>
      <c r="K47" s="35" t="n">
        <v>0.03</v>
      </c>
      <c r="L47" s="35" t="n">
        <v>0.03</v>
      </c>
      <c r="M47" s="35" t="n">
        <v>0.03</v>
      </c>
      <c r="N47" s="35" t="n">
        <v>0.03</v>
      </c>
      <c r="O47" s="35" t="n">
        <v>0.03</v>
      </c>
      <c r="P47" s="35" t="n">
        <v>0.03</v>
      </c>
      <c r="Q47" s="35" t="n">
        <v>0.03</v>
      </c>
      <c r="R47" s="35" t="n">
        <v>0.03</v>
      </c>
      <c r="S47" s="35" t="n">
        <v>0.03</v>
      </c>
      <c r="T47" s="5" t="s">
        <v>942</v>
      </c>
    </row>
    <row r="48" customFormat="false" ht="15" hidden="false" customHeight="false" outlineLevel="0" collapsed="false">
      <c r="B48" s="24" t="s">
        <v>943</v>
      </c>
      <c r="C48" s="25" t="s">
        <v>170</v>
      </c>
      <c r="D48" s="28" t="s">
        <v>153</v>
      </c>
      <c r="E48" s="45" t="n">
        <v>1.246304098</v>
      </c>
      <c r="T48" s="5" t="s">
        <v>944</v>
      </c>
    </row>
    <row r="49" customFormat="false" ht="15" hidden="false" customHeight="false" outlineLevel="0" collapsed="false">
      <c r="B49" s="24" t="s">
        <v>945</v>
      </c>
      <c r="C49" s="25" t="s">
        <v>160</v>
      </c>
      <c r="D49" s="28" t="s">
        <v>153</v>
      </c>
      <c r="G49" s="35" t="n">
        <v>0.035</v>
      </c>
      <c r="H49" s="35" t="n">
        <v>0.035</v>
      </c>
      <c r="I49" s="35" t="n">
        <v>0.035</v>
      </c>
      <c r="J49" s="35" t="n">
        <v>0.035</v>
      </c>
      <c r="K49" s="35" t="n">
        <v>0.035</v>
      </c>
      <c r="L49" s="35" t="n">
        <v>0.035</v>
      </c>
      <c r="M49" s="35" t="n">
        <v>0.035</v>
      </c>
      <c r="N49" s="35" t="n">
        <v>0.035</v>
      </c>
      <c r="O49" s="35" t="n">
        <v>0.035</v>
      </c>
      <c r="P49" s="35" t="n">
        <v>0.035</v>
      </c>
      <c r="Q49" s="35" t="n">
        <v>0.035</v>
      </c>
      <c r="R49" s="35" t="n">
        <v>0.035</v>
      </c>
      <c r="S49" s="35" t="n">
        <v>0.035</v>
      </c>
      <c r="T49" s="5" t="s">
        <v>946</v>
      </c>
    </row>
    <row r="50" customFormat="false" ht="15" hidden="false" customHeight="false" outlineLevel="0" collapsed="false">
      <c r="B50" s="24" t="s">
        <v>947</v>
      </c>
      <c r="C50" s="25" t="s">
        <v>160</v>
      </c>
      <c r="D50" s="28" t="s">
        <v>153</v>
      </c>
      <c r="G50" s="103" t="n">
        <v>0.0213023</v>
      </c>
      <c r="H50" s="103" t="n">
        <v>0.0213023</v>
      </c>
      <c r="I50" s="103" t="n">
        <v>0.0213023</v>
      </c>
      <c r="J50" s="103" t="n">
        <v>0.0213023</v>
      </c>
      <c r="K50" s="103" t="n">
        <v>0.0213023</v>
      </c>
      <c r="L50" s="103" t="n">
        <v>0.0213023</v>
      </c>
      <c r="M50" s="103" t="n">
        <v>0.0213023</v>
      </c>
      <c r="N50" s="103" t="n">
        <v>0.0213023</v>
      </c>
      <c r="O50" s="103" t="n">
        <v>0.0213023</v>
      </c>
      <c r="P50" s="103" t="n">
        <v>0.0213023</v>
      </c>
      <c r="Q50" s="103" t="n">
        <v>0.0213023</v>
      </c>
      <c r="R50" s="103" t="n">
        <v>0.0213023</v>
      </c>
      <c r="S50" s="103" t="n">
        <v>0.0213023</v>
      </c>
      <c r="T50" s="5" t="s">
        <v>948</v>
      </c>
    </row>
    <row r="51" customFormat="false" ht="15" hidden="false" customHeight="false" outlineLevel="0" collapsed="false">
      <c r="B51" s="24" t="s">
        <v>949</v>
      </c>
      <c r="C51" s="25" t="s">
        <v>170</v>
      </c>
      <c r="D51" s="28" t="s">
        <v>153</v>
      </c>
      <c r="E51" s="45" t="n">
        <v>0.64506</v>
      </c>
      <c r="T51" s="5" t="s">
        <v>950</v>
      </c>
    </row>
    <row r="52" customFormat="false" ht="15" hidden="false" customHeight="false" outlineLevel="0" collapsed="false">
      <c r="B52" s="24" t="s">
        <v>951</v>
      </c>
      <c r="C52" s="25" t="s">
        <v>160</v>
      </c>
      <c r="D52" s="28" t="s">
        <v>153</v>
      </c>
      <c r="G52" s="35" t="n">
        <v>0.035</v>
      </c>
      <c r="H52" s="35" t="n">
        <v>0.035</v>
      </c>
      <c r="I52" s="35" t="n">
        <v>0.035</v>
      </c>
      <c r="J52" s="35" t="n">
        <v>0.035</v>
      </c>
      <c r="K52" s="35" t="n">
        <v>0.035</v>
      </c>
      <c r="L52" s="35" t="n">
        <v>0.035</v>
      </c>
      <c r="M52" s="35" t="n">
        <v>0.035</v>
      </c>
      <c r="N52" s="35" t="n">
        <v>0.035</v>
      </c>
      <c r="O52" s="35" t="n">
        <v>0.035</v>
      </c>
      <c r="P52" s="35" t="n">
        <v>0.035</v>
      </c>
      <c r="Q52" s="35" t="n">
        <v>0.035</v>
      </c>
      <c r="R52" s="35" t="n">
        <v>0.035</v>
      </c>
      <c r="S52" s="35" t="n">
        <v>0.035</v>
      </c>
      <c r="T52" s="5" t="s">
        <v>952</v>
      </c>
    </row>
    <row r="53" customFormat="false" ht="15" hidden="false" customHeight="false" outlineLevel="0" collapsed="false">
      <c r="B53" s="24" t="s">
        <v>953</v>
      </c>
      <c r="C53" s="25" t="s">
        <v>170</v>
      </c>
      <c r="D53" s="28" t="s">
        <v>153</v>
      </c>
      <c r="E53" s="45" t="n">
        <v>0.2389568971904</v>
      </c>
      <c r="T53" s="5" t="s">
        <v>954</v>
      </c>
    </row>
    <row r="54" customFormat="false" ht="15" hidden="false" customHeight="false" outlineLevel="0" collapsed="false">
      <c r="B54" s="24" t="s">
        <v>955</v>
      </c>
      <c r="C54" s="25" t="s">
        <v>160</v>
      </c>
      <c r="D54" s="28" t="s">
        <v>153</v>
      </c>
      <c r="G54" s="35" t="n">
        <v>0.03</v>
      </c>
      <c r="H54" s="35" t="n">
        <v>0.03</v>
      </c>
      <c r="I54" s="35" t="n">
        <v>0.03</v>
      </c>
      <c r="J54" s="35" t="n">
        <v>0.03</v>
      </c>
      <c r="K54" s="35" t="n">
        <v>0.03</v>
      </c>
      <c r="L54" s="35" t="n">
        <v>0.03</v>
      </c>
      <c r="M54" s="35" t="n">
        <v>0.03</v>
      </c>
      <c r="N54" s="35" t="n">
        <v>0.03</v>
      </c>
      <c r="O54" s="35" t="n">
        <v>0.03</v>
      </c>
      <c r="P54" s="35" t="n">
        <v>0.03</v>
      </c>
      <c r="Q54" s="35" t="n">
        <v>0.03</v>
      </c>
      <c r="R54" s="35" t="n">
        <v>0.03</v>
      </c>
      <c r="S54" s="35" t="n">
        <v>0.03</v>
      </c>
      <c r="T54" s="5" t="s">
        <v>956</v>
      </c>
    </row>
    <row r="55" customFormat="false" ht="15" hidden="false" customHeight="false" outlineLevel="0" collapsed="false">
      <c r="B55" s="22" t="s">
        <v>957</v>
      </c>
      <c r="C55" s="23"/>
      <c r="D55" s="23"/>
      <c r="E55" s="23"/>
      <c r="F55" s="23"/>
      <c r="G55" s="23"/>
      <c r="H55" s="23"/>
      <c r="I55" s="23"/>
      <c r="J55" s="23"/>
      <c r="K55" s="23"/>
      <c r="L55" s="23"/>
      <c r="M55" s="23"/>
      <c r="N55" s="23"/>
      <c r="O55" s="23"/>
      <c r="P55" s="23"/>
      <c r="Q55" s="23"/>
      <c r="R55" s="23"/>
      <c r="S55" s="23"/>
    </row>
    <row r="56" customFormat="false" ht="15" hidden="false" customHeight="false" outlineLevel="0" collapsed="false">
      <c r="B56" s="24" t="s">
        <v>958</v>
      </c>
      <c r="C56" s="25" t="s">
        <v>170</v>
      </c>
      <c r="D56" s="28" t="s">
        <v>153</v>
      </c>
      <c r="E56" s="45" t="n">
        <v>41.4670756824223</v>
      </c>
      <c r="T56" s="5" t="s">
        <v>959</v>
      </c>
      <c r="U56" s="5" t="s">
        <v>960</v>
      </c>
    </row>
    <row r="57" customFormat="false" ht="15" hidden="false" customHeight="false" outlineLevel="0" collapsed="false">
      <c r="B57" s="24" t="s">
        <v>961</v>
      </c>
      <c r="C57" s="25" t="s">
        <v>170</v>
      </c>
      <c r="D57" s="28" t="s">
        <v>153</v>
      </c>
      <c r="G57" s="45" t="n">
        <v>0</v>
      </c>
      <c r="H57" s="45" t="n">
        <v>0</v>
      </c>
      <c r="I57" s="45" t="n">
        <v>1</v>
      </c>
      <c r="J57" s="45" t="n">
        <v>1</v>
      </c>
      <c r="K57" s="45" t="n">
        <v>1</v>
      </c>
      <c r="L57" s="45" t="n">
        <v>2</v>
      </c>
      <c r="M57" s="45" t="n">
        <v>2</v>
      </c>
      <c r="N57" s="45" t="n">
        <v>2</v>
      </c>
      <c r="O57" s="45" t="n">
        <v>3</v>
      </c>
      <c r="P57" s="45" t="n">
        <v>3</v>
      </c>
      <c r="Q57" s="45" t="n">
        <v>3</v>
      </c>
      <c r="R57" s="45" t="n">
        <v>3</v>
      </c>
      <c r="S57" s="45" t="n">
        <v>3</v>
      </c>
      <c r="T57" s="5" t="s">
        <v>962</v>
      </c>
      <c r="U57" s="5" t="s">
        <v>963</v>
      </c>
    </row>
    <row r="58" customFormat="false" ht="15" hidden="false" customHeight="false" outlineLevel="0" collapsed="false">
      <c r="B58" s="24" t="s">
        <v>964</v>
      </c>
      <c r="C58" s="25" t="s">
        <v>170</v>
      </c>
      <c r="D58" s="28" t="s">
        <v>153</v>
      </c>
      <c r="E58" s="45" t="n">
        <v>0.26834</v>
      </c>
      <c r="T58" s="5" t="s">
        <v>965</v>
      </c>
    </row>
    <row r="59" customFormat="false" ht="15" hidden="false" customHeight="false" outlineLevel="0" collapsed="false">
      <c r="B59" s="24" t="s">
        <v>966</v>
      </c>
      <c r="C59" s="25" t="s">
        <v>160</v>
      </c>
      <c r="D59" s="28" t="s">
        <v>153</v>
      </c>
      <c r="G59" s="35" t="n">
        <v>0.02</v>
      </c>
      <c r="H59" s="35" t="n">
        <v>0.02</v>
      </c>
      <c r="I59" s="35" t="n">
        <v>0.02</v>
      </c>
      <c r="J59" s="35" t="n">
        <v>0.02</v>
      </c>
      <c r="K59" s="35" t="n">
        <v>0.02</v>
      </c>
      <c r="L59" s="35" t="n">
        <v>0.02</v>
      </c>
      <c r="M59" s="35" t="n">
        <v>0.02</v>
      </c>
      <c r="N59" s="35" t="n">
        <v>0.02</v>
      </c>
      <c r="O59" s="35" t="n">
        <v>0.02</v>
      </c>
      <c r="P59" s="35" t="n">
        <v>0.02</v>
      </c>
      <c r="Q59" s="35" t="n">
        <v>0.02</v>
      </c>
      <c r="R59" s="35" t="n">
        <v>0.02</v>
      </c>
      <c r="S59" s="35" t="n">
        <v>0.02</v>
      </c>
      <c r="T59" s="5" t="s">
        <v>967</v>
      </c>
    </row>
    <row r="60" customFormat="false" ht="15" hidden="false" customHeight="false" outlineLevel="0" collapsed="false">
      <c r="B60" s="22" t="s">
        <v>968</v>
      </c>
      <c r="C60" s="23"/>
      <c r="D60" s="23"/>
      <c r="E60" s="23"/>
      <c r="F60" s="23"/>
      <c r="G60" s="23"/>
      <c r="H60" s="23"/>
      <c r="I60" s="23"/>
      <c r="J60" s="23"/>
      <c r="K60" s="23"/>
      <c r="L60" s="23"/>
      <c r="M60" s="23"/>
      <c r="N60" s="23"/>
      <c r="O60" s="23"/>
      <c r="P60" s="23"/>
      <c r="Q60" s="23"/>
      <c r="R60" s="23"/>
      <c r="S60" s="23"/>
    </row>
    <row r="61" customFormat="false" ht="15" hidden="false" customHeight="false" outlineLevel="0" collapsed="false">
      <c r="B61" s="24" t="s">
        <v>969</v>
      </c>
      <c r="C61" s="25" t="s">
        <v>170</v>
      </c>
      <c r="D61" s="28" t="s">
        <v>153</v>
      </c>
      <c r="E61" s="45" t="n">
        <v>6.647</v>
      </c>
      <c r="T61" s="5" t="s">
        <v>970</v>
      </c>
    </row>
    <row r="62" customFormat="false" ht="15" hidden="false" customHeight="false" outlineLevel="0" collapsed="false">
      <c r="B62" s="24" t="s">
        <v>971</v>
      </c>
      <c r="C62" s="25" t="s">
        <v>160</v>
      </c>
      <c r="D62" s="28" t="s">
        <v>153</v>
      </c>
      <c r="G62" s="35" t="n">
        <v>0.03</v>
      </c>
      <c r="H62" s="35" t="n">
        <v>0.03</v>
      </c>
      <c r="I62" s="35" t="n">
        <v>0.03</v>
      </c>
      <c r="J62" s="35" t="n">
        <v>0.03</v>
      </c>
      <c r="K62" s="35" t="n">
        <v>0.03</v>
      </c>
      <c r="L62" s="35" t="n">
        <v>0.03</v>
      </c>
      <c r="M62" s="35" t="n">
        <v>0.03</v>
      </c>
      <c r="N62" s="35" t="n">
        <v>0.03</v>
      </c>
      <c r="O62" s="35" t="n">
        <v>0.03</v>
      </c>
      <c r="P62" s="35" t="n">
        <v>0.03</v>
      </c>
      <c r="Q62" s="35" t="n">
        <v>0.03</v>
      </c>
      <c r="R62" s="35" t="n">
        <v>0.03</v>
      </c>
      <c r="S62" s="35" t="n">
        <v>0.03</v>
      </c>
      <c r="T62" s="5" t="s">
        <v>972</v>
      </c>
    </row>
    <row r="63" customFormat="false" ht="15" hidden="false" customHeight="false" outlineLevel="0" collapsed="false">
      <c r="B63" s="24" t="s">
        <v>973</v>
      </c>
      <c r="C63" s="25" t="s">
        <v>170</v>
      </c>
      <c r="D63" s="28" t="s">
        <v>153</v>
      </c>
      <c r="E63" s="45" t="n">
        <v>2.55729</v>
      </c>
      <c r="T63" s="5" t="s">
        <v>974</v>
      </c>
    </row>
    <row r="64" customFormat="false" ht="15" hidden="false" customHeight="false" outlineLevel="0" collapsed="false">
      <c r="B64" s="24" t="s">
        <v>975</v>
      </c>
      <c r="C64" s="25" t="s">
        <v>160</v>
      </c>
      <c r="D64" s="28" t="s">
        <v>153</v>
      </c>
      <c r="G64" s="35" t="n">
        <v>0.03</v>
      </c>
      <c r="H64" s="35" t="n">
        <v>0.03</v>
      </c>
      <c r="I64" s="35" t="n">
        <v>0.03</v>
      </c>
      <c r="J64" s="35" t="n">
        <v>0.03</v>
      </c>
      <c r="K64" s="35" t="n">
        <v>0.03</v>
      </c>
      <c r="L64" s="35" t="n">
        <v>0.03</v>
      </c>
      <c r="M64" s="35" t="n">
        <v>0.03</v>
      </c>
      <c r="N64" s="35" t="n">
        <v>0.03</v>
      </c>
      <c r="O64" s="35" t="n">
        <v>0.03</v>
      </c>
      <c r="P64" s="35" t="n">
        <v>0.03</v>
      </c>
      <c r="Q64" s="35" t="n">
        <v>0.03</v>
      </c>
      <c r="R64" s="35" t="n">
        <v>0.03</v>
      </c>
      <c r="S64" s="35" t="n">
        <v>0.03</v>
      </c>
      <c r="T64" s="5" t="s">
        <v>976</v>
      </c>
    </row>
    <row r="65" customFormat="false" ht="15" hidden="false" customHeight="false" outlineLevel="0" collapsed="false">
      <c r="B65" s="24" t="s">
        <v>977</v>
      </c>
      <c r="C65" s="25" t="s">
        <v>170</v>
      </c>
      <c r="D65" s="28" t="s">
        <v>153</v>
      </c>
      <c r="E65" s="45" t="n">
        <v>1.0491</v>
      </c>
      <c r="T65" s="5" t="s">
        <v>978</v>
      </c>
    </row>
    <row r="66" customFormat="false" ht="15" hidden="false" customHeight="false" outlineLevel="0" collapsed="false">
      <c r="B66" s="24" t="s">
        <v>979</v>
      </c>
      <c r="C66" s="25" t="s">
        <v>160</v>
      </c>
      <c r="D66" s="28" t="s">
        <v>153</v>
      </c>
      <c r="G66" s="35" t="n">
        <v>0.03</v>
      </c>
      <c r="H66" s="35" t="n">
        <v>0.03</v>
      </c>
      <c r="I66" s="35" t="n">
        <v>0.03</v>
      </c>
      <c r="J66" s="35" t="n">
        <v>0.03</v>
      </c>
      <c r="K66" s="35" t="n">
        <v>0.03</v>
      </c>
      <c r="L66" s="35" t="n">
        <v>0.03</v>
      </c>
      <c r="M66" s="35" t="n">
        <v>0.03</v>
      </c>
      <c r="N66" s="35" t="n">
        <v>0.03</v>
      </c>
      <c r="O66" s="35" t="n">
        <v>0.03</v>
      </c>
      <c r="P66" s="35" t="n">
        <v>0.03</v>
      </c>
      <c r="Q66" s="35" t="n">
        <v>0.03</v>
      </c>
      <c r="R66" s="35" t="n">
        <v>0.03</v>
      </c>
      <c r="S66" s="35" t="n">
        <v>0.03</v>
      </c>
      <c r="T66" s="5" t="s">
        <v>980</v>
      </c>
    </row>
    <row r="67" customFormat="false" ht="15" hidden="false" customHeight="false" outlineLevel="0" collapsed="false">
      <c r="B67" s="24" t="s">
        <v>981</v>
      </c>
      <c r="C67" s="25" t="s">
        <v>170</v>
      </c>
      <c r="D67" s="28" t="s">
        <v>153</v>
      </c>
      <c r="E67" s="45" t="n">
        <v>0.994492</v>
      </c>
      <c r="T67" s="5" t="s">
        <v>982</v>
      </c>
    </row>
    <row r="68" customFormat="false" ht="15" hidden="false" customHeight="false" outlineLevel="0" collapsed="false">
      <c r="B68" s="24" t="s">
        <v>983</v>
      </c>
      <c r="C68" s="25" t="s">
        <v>160</v>
      </c>
      <c r="D68" s="28" t="s">
        <v>153</v>
      </c>
      <c r="G68" s="35" t="n">
        <v>0.03</v>
      </c>
      <c r="H68" s="35" t="n">
        <v>0.03</v>
      </c>
      <c r="I68" s="35" t="n">
        <v>0.03</v>
      </c>
      <c r="J68" s="35" t="n">
        <v>0.03</v>
      </c>
      <c r="K68" s="35" t="n">
        <v>0.03</v>
      </c>
      <c r="L68" s="35" t="n">
        <v>0.03</v>
      </c>
      <c r="M68" s="35" t="n">
        <v>0.03</v>
      </c>
      <c r="N68" s="35" t="n">
        <v>0.03</v>
      </c>
      <c r="O68" s="35" t="n">
        <v>0.03</v>
      </c>
      <c r="P68" s="35" t="n">
        <v>0.03</v>
      </c>
      <c r="Q68" s="35" t="n">
        <v>0.03</v>
      </c>
      <c r="R68" s="35" t="n">
        <v>0.03</v>
      </c>
      <c r="S68" s="35" t="n">
        <v>0.03</v>
      </c>
      <c r="T68" s="5" t="s">
        <v>984</v>
      </c>
    </row>
    <row r="69" customFormat="false" ht="15" hidden="false" customHeight="false" outlineLevel="0" collapsed="false">
      <c r="B69" s="24" t="s">
        <v>985</v>
      </c>
      <c r="C69" s="25" t="s">
        <v>170</v>
      </c>
      <c r="D69" s="28" t="s">
        <v>153</v>
      </c>
      <c r="E69" s="45" t="n">
        <v>0.785963</v>
      </c>
      <c r="T69" s="5" t="s">
        <v>986</v>
      </c>
    </row>
    <row r="70" customFormat="false" ht="15" hidden="false" customHeight="false" outlineLevel="0" collapsed="false">
      <c r="B70" s="24" t="s">
        <v>987</v>
      </c>
      <c r="C70" s="25" t="s">
        <v>160</v>
      </c>
      <c r="D70" s="28" t="s">
        <v>153</v>
      </c>
      <c r="G70" s="35" t="n">
        <v>0.02</v>
      </c>
      <c r="H70" s="35" t="n">
        <v>0.02</v>
      </c>
      <c r="I70" s="35" t="n">
        <v>0.02</v>
      </c>
      <c r="J70" s="35" t="n">
        <v>0.02</v>
      </c>
      <c r="K70" s="35" t="n">
        <v>0.02</v>
      </c>
      <c r="L70" s="35" t="n">
        <v>0.02</v>
      </c>
      <c r="M70" s="35" t="n">
        <v>0.02</v>
      </c>
      <c r="N70" s="35" t="n">
        <v>0.02</v>
      </c>
      <c r="O70" s="35" t="n">
        <v>0.02</v>
      </c>
      <c r="P70" s="35" t="n">
        <v>0.02</v>
      </c>
      <c r="Q70" s="35" t="n">
        <v>0.02</v>
      </c>
      <c r="R70" s="35" t="n">
        <v>0.02</v>
      </c>
      <c r="S70" s="35" t="n">
        <v>0.02</v>
      </c>
      <c r="T70" s="5" t="s">
        <v>988</v>
      </c>
    </row>
    <row r="71" customFormat="false" ht="15" hidden="false" customHeight="false" outlineLevel="0" collapsed="false">
      <c r="B71" s="24" t="s">
        <v>989</v>
      </c>
      <c r="C71" s="25" t="s">
        <v>170</v>
      </c>
      <c r="D71" s="28" t="s">
        <v>153</v>
      </c>
      <c r="E71" s="45" t="n">
        <v>0.658344</v>
      </c>
      <c r="T71" s="5" t="s">
        <v>990</v>
      </c>
    </row>
    <row r="72" customFormat="false" ht="15" hidden="false" customHeight="false" outlineLevel="0" collapsed="false">
      <c r="B72" s="24" t="s">
        <v>991</v>
      </c>
      <c r="C72" s="25" t="s">
        <v>160</v>
      </c>
      <c r="D72" s="28" t="s">
        <v>153</v>
      </c>
      <c r="G72" s="35" t="n">
        <v>0.03</v>
      </c>
      <c r="H72" s="35" t="n">
        <v>0.03</v>
      </c>
      <c r="I72" s="35" t="n">
        <v>0.03</v>
      </c>
      <c r="J72" s="35" t="n">
        <v>0.03</v>
      </c>
      <c r="K72" s="35" t="n">
        <v>0.03</v>
      </c>
      <c r="L72" s="35" t="n">
        <v>0.03</v>
      </c>
      <c r="M72" s="35" t="n">
        <v>0.03</v>
      </c>
      <c r="N72" s="35" t="n">
        <v>0.03</v>
      </c>
      <c r="O72" s="35" t="n">
        <v>0.03</v>
      </c>
      <c r="P72" s="35" t="n">
        <v>0.03</v>
      </c>
      <c r="Q72" s="35" t="n">
        <v>0.03</v>
      </c>
      <c r="R72" s="35" t="n">
        <v>0.03</v>
      </c>
      <c r="S72" s="35" t="n">
        <v>0.03</v>
      </c>
      <c r="T72" s="5" t="s">
        <v>992</v>
      </c>
    </row>
    <row r="73" customFormat="false" ht="15" hidden="false" customHeight="false" outlineLevel="0" collapsed="false">
      <c r="B73" s="24" t="s">
        <v>993</v>
      </c>
      <c r="C73" s="25" t="s">
        <v>170</v>
      </c>
      <c r="D73" s="28" t="s">
        <v>153</v>
      </c>
      <c r="E73" s="45" t="n">
        <v>0.274084</v>
      </c>
      <c r="T73" s="5" t="s">
        <v>994</v>
      </c>
    </row>
    <row r="74" customFormat="false" ht="15" hidden="false" customHeight="false" outlineLevel="0" collapsed="false">
      <c r="B74" s="24" t="s">
        <v>995</v>
      </c>
      <c r="C74" s="25" t="s">
        <v>160</v>
      </c>
      <c r="D74" s="28" t="s">
        <v>153</v>
      </c>
      <c r="G74" s="35" t="n">
        <v>0.02</v>
      </c>
      <c r="H74" s="35" t="n">
        <v>0.02</v>
      </c>
      <c r="I74" s="35" t="n">
        <v>0.02</v>
      </c>
      <c r="J74" s="35" t="n">
        <v>0.02</v>
      </c>
      <c r="K74" s="35" t="n">
        <v>0.02</v>
      </c>
      <c r="L74" s="35" t="n">
        <v>0.02</v>
      </c>
      <c r="M74" s="35" t="n">
        <v>0.02</v>
      </c>
      <c r="N74" s="35" t="n">
        <v>0.02</v>
      </c>
      <c r="O74" s="35" t="n">
        <v>0.02</v>
      </c>
      <c r="P74" s="35" t="n">
        <v>0.02</v>
      </c>
      <c r="Q74" s="35" t="n">
        <v>0.02</v>
      </c>
      <c r="R74" s="35" t="n">
        <v>0.02</v>
      </c>
      <c r="S74" s="35" t="n">
        <v>0.02</v>
      </c>
      <c r="T74" s="5" t="s">
        <v>996</v>
      </c>
    </row>
    <row r="75" customFormat="false" ht="15" hidden="false" customHeight="false" outlineLevel="0" collapsed="false">
      <c r="B75" s="24" t="s">
        <v>997</v>
      </c>
      <c r="C75" s="25" t="s">
        <v>170</v>
      </c>
      <c r="D75" s="28" t="s">
        <v>153</v>
      </c>
      <c r="E75" s="45" t="n">
        <v>0.225279</v>
      </c>
      <c r="T75" s="5" t="s">
        <v>998</v>
      </c>
    </row>
    <row r="76" customFormat="false" ht="15" hidden="false" customHeight="false" outlineLevel="0" collapsed="false">
      <c r="B76" s="24" t="s">
        <v>999</v>
      </c>
      <c r="C76" s="25" t="s">
        <v>160</v>
      </c>
      <c r="D76" s="28" t="s">
        <v>153</v>
      </c>
      <c r="G76" s="35" t="n">
        <v>0.02</v>
      </c>
      <c r="H76" s="35" t="n">
        <v>0.02</v>
      </c>
      <c r="I76" s="35" t="n">
        <v>0.02</v>
      </c>
      <c r="J76" s="35" t="n">
        <v>0.02</v>
      </c>
      <c r="K76" s="35" t="n">
        <v>0.02</v>
      </c>
      <c r="L76" s="35" t="n">
        <v>0.02</v>
      </c>
      <c r="M76" s="35" t="n">
        <v>0.02</v>
      </c>
      <c r="N76" s="35" t="n">
        <v>0.02</v>
      </c>
      <c r="O76" s="35" t="n">
        <v>0.02</v>
      </c>
      <c r="P76" s="35" t="n">
        <v>0.02</v>
      </c>
      <c r="Q76" s="35" t="n">
        <v>0.02</v>
      </c>
      <c r="R76" s="35" t="n">
        <v>0.02</v>
      </c>
      <c r="S76" s="35" t="n">
        <v>0.02</v>
      </c>
      <c r="T76" s="5" t="s">
        <v>1000</v>
      </c>
    </row>
    <row r="77" customFormat="false" ht="15" hidden="false" customHeight="false" outlineLevel="0" collapsed="false">
      <c r="B77" s="24" t="s">
        <v>1001</v>
      </c>
      <c r="C77" s="25" t="s">
        <v>170</v>
      </c>
      <c r="D77" s="28" t="s">
        <v>153</v>
      </c>
      <c r="E77" s="45" t="n">
        <v>0.212824</v>
      </c>
      <c r="T77" s="5" t="s">
        <v>1002</v>
      </c>
    </row>
    <row r="78" customFormat="false" ht="15" hidden="false" customHeight="false" outlineLevel="0" collapsed="false">
      <c r="B78" s="24" t="s">
        <v>1003</v>
      </c>
      <c r="C78" s="25" t="s">
        <v>160</v>
      </c>
      <c r="D78" s="28" t="s">
        <v>153</v>
      </c>
      <c r="G78" s="35" t="n">
        <v>0.03</v>
      </c>
      <c r="H78" s="35" t="n">
        <v>0.03</v>
      </c>
      <c r="I78" s="35" t="n">
        <v>0.03</v>
      </c>
      <c r="J78" s="35" t="n">
        <v>0.03</v>
      </c>
      <c r="K78" s="35" t="n">
        <v>0.03</v>
      </c>
      <c r="L78" s="35" t="n">
        <v>0.03</v>
      </c>
      <c r="M78" s="35" t="n">
        <v>0.03</v>
      </c>
      <c r="N78" s="35" t="n">
        <v>0.03</v>
      </c>
      <c r="O78" s="35" t="n">
        <v>0.03</v>
      </c>
      <c r="P78" s="35" t="n">
        <v>0.03</v>
      </c>
      <c r="Q78" s="35" t="n">
        <v>0.03</v>
      </c>
      <c r="R78" s="35" t="n">
        <v>0.03</v>
      </c>
      <c r="S78" s="35" t="n">
        <v>0.03</v>
      </c>
      <c r="T78" s="5" t="s">
        <v>1004</v>
      </c>
    </row>
    <row r="79" customFormat="false" ht="15" hidden="false" customHeight="false" outlineLevel="0" collapsed="false">
      <c r="B79" s="24" t="s">
        <v>1005</v>
      </c>
      <c r="C79" s="25" t="s">
        <v>170</v>
      </c>
      <c r="D79" s="28" t="s">
        <v>153</v>
      </c>
      <c r="E79" s="45" t="n">
        <v>0.192331</v>
      </c>
      <c r="T79" s="5" t="s">
        <v>1006</v>
      </c>
    </row>
    <row r="80" customFormat="false" ht="15" hidden="false" customHeight="false" outlineLevel="0" collapsed="false">
      <c r="B80" s="24" t="s">
        <v>1007</v>
      </c>
      <c r="C80" s="25" t="s">
        <v>160</v>
      </c>
      <c r="D80" s="28" t="s">
        <v>153</v>
      </c>
      <c r="G80" s="35" t="n">
        <v>0.03</v>
      </c>
      <c r="H80" s="35" t="n">
        <v>0.03</v>
      </c>
      <c r="I80" s="35" t="n">
        <v>0.03</v>
      </c>
      <c r="J80" s="35" t="n">
        <v>0.03</v>
      </c>
      <c r="K80" s="35" t="n">
        <v>0.03</v>
      </c>
      <c r="L80" s="35" t="n">
        <v>0.03</v>
      </c>
      <c r="M80" s="35" t="n">
        <v>0.03</v>
      </c>
      <c r="N80" s="35" t="n">
        <v>0.03</v>
      </c>
      <c r="O80" s="35" t="n">
        <v>0.03</v>
      </c>
      <c r="P80" s="35" t="n">
        <v>0.03</v>
      </c>
      <c r="Q80" s="35" t="n">
        <v>0.03</v>
      </c>
      <c r="R80" s="35" t="n">
        <v>0.03</v>
      </c>
      <c r="S80" s="35" t="n">
        <v>0.03</v>
      </c>
      <c r="T80" s="5" t="s">
        <v>1008</v>
      </c>
    </row>
    <row r="81" customFormat="false" ht="15" hidden="false" customHeight="false" outlineLevel="0" collapsed="false">
      <c r="B81" s="24" t="s">
        <v>1009</v>
      </c>
      <c r="C81" s="25" t="s">
        <v>170</v>
      </c>
      <c r="D81" s="28" t="s">
        <v>153</v>
      </c>
      <c r="E81" s="45" t="n">
        <v>0.00210121</v>
      </c>
      <c r="T81" s="5" t="s">
        <v>1010</v>
      </c>
    </row>
    <row r="82" customFormat="false" ht="15" hidden="false" customHeight="false" outlineLevel="0" collapsed="false">
      <c r="B82" s="24" t="s">
        <v>1011</v>
      </c>
      <c r="C82" s="25" t="s">
        <v>160</v>
      </c>
      <c r="D82" s="28" t="s">
        <v>153</v>
      </c>
      <c r="G82" s="35" t="n">
        <v>0.02</v>
      </c>
      <c r="H82" s="35" t="n">
        <v>0.02</v>
      </c>
      <c r="I82" s="35" t="n">
        <v>0.02</v>
      </c>
      <c r="J82" s="35" t="n">
        <v>0.02</v>
      </c>
      <c r="K82" s="35" t="n">
        <v>0.02</v>
      </c>
      <c r="L82" s="35" t="n">
        <v>0.02</v>
      </c>
      <c r="M82" s="35" t="n">
        <v>0.02</v>
      </c>
      <c r="N82" s="35" t="n">
        <v>0.02</v>
      </c>
      <c r="O82" s="35" t="n">
        <v>0.02</v>
      </c>
      <c r="P82" s="35" t="n">
        <v>0.02</v>
      </c>
      <c r="Q82" s="35" t="n">
        <v>0.02</v>
      </c>
      <c r="R82" s="35" t="n">
        <v>0.02</v>
      </c>
      <c r="S82" s="35" t="n">
        <v>0.02</v>
      </c>
      <c r="T82" s="5" t="s">
        <v>1012</v>
      </c>
    </row>
  </sheetData>
  <hyperlinks>
    <hyperlink ref="C3" r:id="rId1" location="'E1%20TelukLamong%20Input'!A1" display="Input"/>
    <hyperlink ref="D3" r:id="rId2" location="'E1%20TelukLamong%20Calc'!A1" display="Calc"/>
    <hyperlink ref="E3" r:id="rId3" location="'E1%20TelukLamong%20Output'!A1" display="Output"/>
    <hyperlink ref="F3" r:id="rId4" location="'Navigation'!A1" display="Navigation"/>
    <hyperlink ref="G3" r:id="rId5" location="'Global%20Inputs'!A1" display="Global Inputs"/>
    <hyperlink ref="H3" r:id="rId6" location="'Project%20Summary'!A1" display="Project Summary"/>
    <hyperlink ref="I3" r:id="rId7" location="'Funding%20Requirement'!A1" display="Funding"/>
    <hyperlink ref="J3" r:id="rId8" location="'FSL%20Financials%20—%20Without%20BUMN'!A1" display="FSL w/o BUMN"/>
    <hyperlink ref="K3" r:id="rId9" location="'FSL%20Financials%20—%20With%20BUMN'!A1" display="FSL w/ BUMN"/>
    <hyperlink ref="L3" r:id="rId10" location="'Valuation%20—%20Without%20BUMN'!A1" display="Val w/o BUMN"/>
    <hyperlink ref="M3" r:id="rId11" location="'Valuation%20—%20With%20BUMN'!A1" display="Val w/ BUMN"/>
    <hyperlink ref="N3" r:id="rId12" location="'Checks'!A1" display="Checks"/>
    <hyperlink ref="O3" r:id="rId13" location="'Model%20Flow'!A1" display="Model Flow"/>
  </hyperlink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BFBF"/>
    <pageSetUpPr fitToPage="true"/>
  </sheetPr>
  <dimension ref="B1:U9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5" ySplit="9" topLeftCell="F10" activePane="bottomRight" state="frozen"/>
      <selection pane="topLeft" activeCell="A1" activeCellId="0" sqref="A1"/>
      <selection pane="topRight" activeCell="F1" activeCellId="0" sqref="F1"/>
      <selection pane="bottomLeft" activeCell="A10" activeCellId="0" sqref="A10"/>
      <selection pane="bottomRigh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66"/>
    <col collapsed="false" customWidth="true" hidden="false" outlineLevel="0" max="3" min="3" style="0" width="11"/>
    <col collapsed="false" customWidth="true" hidden="false" outlineLevel="0" max="4" min="4" style="0" width="12"/>
    <col collapsed="false" customWidth="true" hidden="false" outlineLevel="0" max="5" min="5" style="0" width="13"/>
    <col collapsed="false" customWidth="true" hidden="false" outlineLevel="0" max="19" min="6" style="0" width="11.5"/>
    <col collapsed="false" customWidth="true" hidden="false" outlineLevel="0" max="20" min="20" style="0" width="40"/>
    <col collapsed="false" customWidth="true" hidden="false" outlineLevel="0" max="21" min="21" style="0" width="48"/>
  </cols>
  <sheetData>
    <row r="1" customFormat="false" ht="21.75" hidden="false" customHeight="true" outlineLevel="0" collapsed="false">
      <c r="B1" s="1" t="s">
        <v>1013</v>
      </c>
    </row>
    <row r="2" customFormat="false" ht="15" hidden="false" customHeight="false" outlineLevel="0" collapsed="false">
      <c r="B2" s="2" t="s">
        <v>1014</v>
      </c>
    </row>
    <row r="3" customFormat="false" ht="15" hidden="false" customHeight="false" outlineLevel="0" collapsed="false">
      <c r="B3" s="5" t="s">
        <v>112</v>
      </c>
      <c r="C3" s="17" t="s">
        <v>27</v>
      </c>
      <c r="D3" s="17" t="s">
        <v>28</v>
      </c>
      <c r="E3" s="17" t="s">
        <v>29</v>
      </c>
      <c r="F3" s="17" t="s">
        <v>113</v>
      </c>
      <c r="G3" s="17" t="s">
        <v>5</v>
      </c>
      <c r="H3" s="17" t="s">
        <v>7</v>
      </c>
      <c r="I3" s="17" t="s">
        <v>114</v>
      </c>
      <c r="J3" s="17" t="s">
        <v>115</v>
      </c>
      <c r="K3" s="17" t="s">
        <v>116</v>
      </c>
      <c r="L3" s="17" t="s">
        <v>117</v>
      </c>
      <c r="M3" s="17" t="s">
        <v>118</v>
      </c>
      <c r="N3" s="17" t="s">
        <v>21</v>
      </c>
      <c r="O3" s="17" t="s">
        <v>3</v>
      </c>
    </row>
    <row r="5" customFormat="false" ht="15" hidden="false" customHeight="false" outlineLevel="0" collapsed="false">
      <c r="B5" s="6" t="s">
        <v>119</v>
      </c>
      <c r="C5" s="6" t="s">
        <v>120</v>
      </c>
      <c r="D5" s="6" t="s">
        <v>121</v>
      </c>
      <c r="E5" s="6" t="s">
        <v>122</v>
      </c>
      <c r="F5" s="18" t="n">
        <f aca="false">'Global Inputs'!F$5</f>
        <v>2023</v>
      </c>
      <c r="G5" s="18" t="n">
        <f aca="false">'Global Inputs'!G$5</f>
        <v>2024</v>
      </c>
      <c r="H5" s="18" t="n">
        <f aca="false">'Global Inputs'!H$5</f>
        <v>2025</v>
      </c>
      <c r="I5" s="18" t="n">
        <f aca="false">'Global Inputs'!I$5</f>
        <v>2026</v>
      </c>
      <c r="J5" s="18" t="n">
        <f aca="false">'Global Inputs'!J$5</f>
        <v>2027</v>
      </c>
      <c r="K5" s="18" t="n">
        <f aca="false">'Global Inputs'!K$5</f>
        <v>2028</v>
      </c>
      <c r="L5" s="18" t="n">
        <f aca="false">'Global Inputs'!L$5</f>
        <v>2029</v>
      </c>
      <c r="M5" s="18" t="n">
        <f aca="false">'Global Inputs'!M$5</f>
        <v>2030</v>
      </c>
      <c r="N5" s="18" t="n">
        <f aca="false">'Global Inputs'!N$5</f>
        <v>2031</v>
      </c>
      <c r="O5" s="18" t="n">
        <f aca="false">'Global Inputs'!O$5</f>
        <v>2032</v>
      </c>
      <c r="P5" s="18" t="n">
        <f aca="false">'Global Inputs'!P$5</f>
        <v>2033</v>
      </c>
      <c r="Q5" s="18" t="n">
        <f aca="false">'Global Inputs'!Q$5</f>
        <v>2034</v>
      </c>
      <c r="R5" s="18" t="n">
        <f aca="false">'Global Inputs'!R$5</f>
        <v>2035</v>
      </c>
      <c r="S5" s="18" t="n">
        <f aca="false">'Global Inputs'!S$5</f>
        <v>2036</v>
      </c>
      <c r="T5" s="6" t="s">
        <v>123</v>
      </c>
      <c r="U5" s="6" t="s">
        <v>124</v>
      </c>
    </row>
    <row r="6" customFormat="false" ht="15" hidden="false" customHeight="false" outlineLevel="0" collapsed="false">
      <c r="B6" s="19" t="s">
        <v>125</v>
      </c>
      <c r="F6" s="20" t="n">
        <f aca="false">'Global Inputs'!F$6</f>
        <v>45291</v>
      </c>
      <c r="G6" s="20" t="n">
        <f aca="false">'Global Inputs'!G$6</f>
        <v>45657</v>
      </c>
      <c r="H6" s="20" t="n">
        <f aca="false">'Global Inputs'!H$6</f>
        <v>46022</v>
      </c>
      <c r="I6" s="20" t="n">
        <f aca="false">'Global Inputs'!I$6</f>
        <v>46387</v>
      </c>
      <c r="J6" s="20" t="n">
        <f aca="false">'Global Inputs'!J$6</f>
        <v>46752</v>
      </c>
      <c r="K6" s="20" t="n">
        <f aca="false">'Global Inputs'!K$6</f>
        <v>47118</v>
      </c>
      <c r="L6" s="20" t="n">
        <f aca="false">'Global Inputs'!L$6</f>
        <v>47483</v>
      </c>
      <c r="M6" s="20" t="n">
        <f aca="false">'Global Inputs'!M$6</f>
        <v>47848</v>
      </c>
      <c r="N6" s="20" t="n">
        <f aca="false">'Global Inputs'!N$6</f>
        <v>48213</v>
      </c>
      <c r="O6" s="20" t="n">
        <f aca="false">'Global Inputs'!O$6</f>
        <v>48579</v>
      </c>
      <c r="P6" s="20" t="n">
        <f aca="false">'Global Inputs'!P$6</f>
        <v>48944</v>
      </c>
      <c r="Q6" s="20" t="n">
        <f aca="false">'Global Inputs'!Q$6</f>
        <v>49309</v>
      </c>
      <c r="R6" s="20" t="n">
        <f aca="false">'Global Inputs'!R$6</f>
        <v>49674</v>
      </c>
      <c r="S6" s="20" t="n">
        <f aca="false">'Global Inputs'!S$6</f>
        <v>50040</v>
      </c>
    </row>
    <row r="7" customFormat="false" ht="15" hidden="false" customHeight="false" outlineLevel="0" collapsed="false">
      <c r="B7" s="19" t="s">
        <v>126</v>
      </c>
      <c r="F7" s="21" t="n">
        <f aca="false">'Global Inputs'!F$7</f>
        <v>365</v>
      </c>
      <c r="G7" s="21" t="n">
        <f aca="false">'Global Inputs'!G$7</f>
        <v>366</v>
      </c>
      <c r="H7" s="21" t="n">
        <f aca="false">'Global Inputs'!H$7</f>
        <v>365</v>
      </c>
      <c r="I7" s="21" t="n">
        <f aca="false">'Global Inputs'!I$7</f>
        <v>365</v>
      </c>
      <c r="J7" s="21" t="n">
        <f aca="false">'Global Inputs'!J$7</f>
        <v>365</v>
      </c>
      <c r="K7" s="21" t="n">
        <f aca="false">'Global Inputs'!K$7</f>
        <v>366</v>
      </c>
      <c r="L7" s="21" t="n">
        <f aca="false">'Global Inputs'!L$7</f>
        <v>365</v>
      </c>
      <c r="M7" s="21" t="n">
        <f aca="false">'Global Inputs'!M$7</f>
        <v>365</v>
      </c>
      <c r="N7" s="21" t="n">
        <f aca="false">'Global Inputs'!N$7</f>
        <v>365</v>
      </c>
      <c r="O7" s="21" t="n">
        <f aca="false">'Global Inputs'!O$7</f>
        <v>366</v>
      </c>
      <c r="P7" s="21" t="n">
        <f aca="false">'Global Inputs'!P$7</f>
        <v>365</v>
      </c>
      <c r="Q7" s="21" t="n">
        <f aca="false">'Global Inputs'!Q$7</f>
        <v>365</v>
      </c>
      <c r="R7" s="21" t="n">
        <f aca="false">'Global Inputs'!R$7</f>
        <v>365</v>
      </c>
      <c r="S7" s="21" t="n">
        <f aca="false">'Global Inputs'!S$7</f>
        <v>366</v>
      </c>
    </row>
    <row r="8" customFormat="false" ht="15" hidden="false" customHeight="false" outlineLevel="0" collapsed="false">
      <c r="B8" s="19" t="s">
        <v>127</v>
      </c>
      <c r="F8" s="21" t="n">
        <f aca="false">'Global Inputs'!F$8</f>
        <v>0</v>
      </c>
      <c r="G8" s="21" t="n">
        <f aca="false">'Global Inputs'!G$8</f>
        <v>1</v>
      </c>
      <c r="H8" s="21" t="n">
        <f aca="false">'Global Inputs'!H$8</f>
        <v>1</v>
      </c>
      <c r="I8" s="21" t="n">
        <f aca="false">'Global Inputs'!I$8</f>
        <v>1</v>
      </c>
      <c r="J8" s="21" t="n">
        <f aca="false">'Global Inputs'!J$8</f>
        <v>1</v>
      </c>
      <c r="K8" s="21" t="n">
        <f aca="false">'Global Inputs'!K$8</f>
        <v>1</v>
      </c>
      <c r="L8" s="21" t="n">
        <f aca="false">'Global Inputs'!L$8</f>
        <v>1</v>
      </c>
      <c r="M8" s="21" t="n">
        <f aca="false">'Global Inputs'!M$8</f>
        <v>1</v>
      </c>
      <c r="N8" s="21" t="n">
        <f aca="false">'Global Inputs'!N$8</f>
        <v>1</v>
      </c>
      <c r="O8" s="21" t="n">
        <f aca="false">'Global Inputs'!O$8</f>
        <v>1</v>
      </c>
      <c r="P8" s="21" t="n">
        <f aca="false">'Global Inputs'!P$8</f>
        <v>1</v>
      </c>
      <c r="Q8" s="21" t="n">
        <f aca="false">'Global Inputs'!Q$8</f>
        <v>1</v>
      </c>
      <c r="R8" s="21" t="n">
        <f aca="false">'Global Inputs'!R$8</f>
        <v>1</v>
      </c>
      <c r="S8" s="21" t="n">
        <f aca="false">'Global Inputs'!S$8</f>
        <v>1</v>
      </c>
    </row>
    <row r="10" customFormat="false" ht="15" hidden="false" customHeight="false" outlineLevel="0" collapsed="false">
      <c r="B10" s="22" t="s">
        <v>1015</v>
      </c>
      <c r="C10" s="23"/>
      <c r="D10" s="23"/>
      <c r="E10" s="23"/>
      <c r="F10" s="23"/>
      <c r="G10" s="23"/>
      <c r="H10" s="23"/>
      <c r="I10" s="23"/>
      <c r="J10" s="23"/>
      <c r="K10" s="23"/>
      <c r="L10" s="23"/>
      <c r="M10" s="23"/>
      <c r="N10" s="23"/>
      <c r="O10" s="23"/>
      <c r="P10" s="23"/>
      <c r="Q10" s="23"/>
      <c r="R10" s="23"/>
      <c r="S10" s="23"/>
    </row>
    <row r="11" customFormat="false" ht="15" hidden="false" customHeight="false" outlineLevel="0" collapsed="false">
      <c r="B11" s="24" t="s">
        <v>1016</v>
      </c>
      <c r="C11" s="25" t="s">
        <v>143</v>
      </c>
      <c r="F11" s="30" t="n">
        <f aca="false">F$8</f>
        <v>0</v>
      </c>
      <c r="G11" s="30" t="n">
        <f aca="false">G$8</f>
        <v>1</v>
      </c>
      <c r="H11" s="30" t="n">
        <f aca="false">H$8</f>
        <v>1</v>
      </c>
      <c r="I11" s="30" t="n">
        <f aca="false">I$8</f>
        <v>1</v>
      </c>
      <c r="J11" s="30" t="n">
        <f aca="false">J$8</f>
        <v>1</v>
      </c>
      <c r="K11" s="30" t="n">
        <f aca="false">K$8</f>
        <v>1</v>
      </c>
      <c r="L11" s="30" t="n">
        <f aca="false">L$8</f>
        <v>1</v>
      </c>
      <c r="M11" s="30" t="n">
        <f aca="false">M$8</f>
        <v>1</v>
      </c>
      <c r="N11" s="30" t="n">
        <f aca="false">N$8</f>
        <v>1</v>
      </c>
      <c r="O11" s="30" t="n">
        <f aca="false">O$8</f>
        <v>1</v>
      </c>
      <c r="P11" s="30" t="n">
        <f aca="false">P$8</f>
        <v>1</v>
      </c>
      <c r="Q11" s="30" t="n">
        <f aca="false">Q$8</f>
        <v>1</v>
      </c>
      <c r="R11" s="30" t="n">
        <f aca="false">R$8</f>
        <v>1</v>
      </c>
      <c r="S11" s="30" t="n">
        <f aca="false">S$8</f>
        <v>1</v>
      </c>
    </row>
    <row r="13" customFormat="false" ht="15" hidden="false" customHeight="false" outlineLevel="0" collapsed="false">
      <c r="B13" s="22" t="s">
        <v>1017</v>
      </c>
      <c r="C13" s="23"/>
      <c r="D13" s="23"/>
      <c r="E13" s="23"/>
      <c r="F13" s="23"/>
      <c r="G13" s="23"/>
      <c r="H13" s="23"/>
      <c r="I13" s="23"/>
      <c r="J13" s="23"/>
      <c r="K13" s="23"/>
      <c r="L13" s="23"/>
      <c r="M13" s="23"/>
      <c r="N13" s="23"/>
      <c r="O13" s="23"/>
      <c r="P13" s="23"/>
      <c r="Q13" s="23"/>
      <c r="R13" s="23"/>
      <c r="S13" s="23"/>
    </row>
    <row r="14" customFormat="false" ht="15" hidden="false" customHeight="false" outlineLevel="0" collapsed="false">
      <c r="B14" s="24" t="s">
        <v>1018</v>
      </c>
      <c r="C14" s="25" t="s">
        <v>1019</v>
      </c>
      <c r="F14" s="104" t="n">
        <f aca="false">1</f>
        <v>1</v>
      </c>
      <c r="G14" s="104" t="n">
        <f aca="false">F14*(1+'E1 TelukLamong Input'!G28)*G$8</f>
        <v>1</v>
      </c>
      <c r="H14" s="104" t="n">
        <f aca="false">G14*(1+'E1 TelukLamong Input'!H28)*H$8</f>
        <v>1.03</v>
      </c>
      <c r="I14" s="104" t="n">
        <f aca="false">H14*(1+'E1 TelukLamong Input'!I28)*I$8</f>
        <v>1.0609</v>
      </c>
      <c r="J14" s="104" t="n">
        <f aca="false">I14*(1+'E1 TelukLamong Input'!J28)*J$8</f>
        <v>1.092727</v>
      </c>
      <c r="K14" s="104" t="n">
        <f aca="false">J14*(1+'E1 TelukLamong Input'!K28)*K$8</f>
        <v>1.12550881</v>
      </c>
      <c r="L14" s="104" t="n">
        <f aca="false">K14*(1+'E1 TelukLamong Input'!L28)*L$8</f>
        <v>1.1592740743</v>
      </c>
      <c r="M14" s="104" t="n">
        <f aca="false">L14*(1+'E1 TelukLamong Input'!M28)*M$8</f>
        <v>1.194052296529</v>
      </c>
      <c r="N14" s="104" t="n">
        <f aca="false">M14*(1+'E1 TelukLamong Input'!N28)*N$8</f>
        <v>1.22987386542487</v>
      </c>
      <c r="O14" s="104" t="n">
        <f aca="false">N14*(1+'E1 TelukLamong Input'!O28)*O$8</f>
        <v>1.26677008138762</v>
      </c>
      <c r="P14" s="104" t="n">
        <f aca="false">O14*(1+'E1 TelukLamong Input'!P28)*P$8</f>
        <v>1.30477318382925</v>
      </c>
      <c r="Q14" s="104" t="n">
        <f aca="false">P14*(1+'E1 TelukLamong Input'!Q28)*Q$8</f>
        <v>1.34391637934412</v>
      </c>
      <c r="R14" s="104" t="n">
        <f aca="false">Q14*(1+'E1 TelukLamong Input'!R28)*R$8</f>
        <v>1.38423387072445</v>
      </c>
      <c r="S14" s="104" t="n">
        <f aca="false">R14*(1+'E1 TelukLamong Input'!S28)*S$8</f>
        <v>1.42576088684618</v>
      </c>
    </row>
    <row r="15" customFormat="false" ht="15" hidden="false" customHeight="false" outlineLevel="0" collapsed="false">
      <c r="B15" s="24" t="s">
        <v>1020</v>
      </c>
      <c r="C15" s="25" t="s">
        <v>900</v>
      </c>
      <c r="E15" s="31" t="n">
        <f aca="false">SUM(F15:S15)</f>
        <v>32229653.2588107</v>
      </c>
      <c r="F15" s="31" t="n">
        <f aca="false">'E1 TelukLamong Input'!$E$27*F14*F$8</f>
        <v>0</v>
      </c>
      <c r="G15" s="31" t="n">
        <f aca="false">'E1 TelukLamong Input'!$E$27*G14*G$8</f>
        <v>2063650</v>
      </c>
      <c r="H15" s="31" t="n">
        <f aca="false">'E1 TelukLamong Input'!$E$27*H14*H$8</f>
        <v>2125559.5</v>
      </c>
      <c r="I15" s="31" t="n">
        <f aca="false">'E1 TelukLamong Input'!$E$27*I14*I$8</f>
        <v>2189326.285</v>
      </c>
      <c r="J15" s="31" t="n">
        <f aca="false">'E1 TelukLamong Input'!$E$27*J14*J$8</f>
        <v>2255006.07355</v>
      </c>
      <c r="K15" s="31" t="n">
        <f aca="false">'E1 TelukLamong Input'!$E$27*K14*K$8</f>
        <v>2322656.2557565</v>
      </c>
      <c r="L15" s="31" t="n">
        <f aca="false">'E1 TelukLamong Input'!$E$27*L14*L$8</f>
        <v>2392335.9434292</v>
      </c>
      <c r="M15" s="31" t="n">
        <f aca="false">'E1 TelukLamong Input'!$E$27*M14*M$8</f>
        <v>2464106.02173207</v>
      </c>
      <c r="N15" s="31" t="n">
        <f aca="false">'E1 TelukLamong Input'!$E$27*N14*N$8</f>
        <v>2538029.20238403</v>
      </c>
      <c r="O15" s="31" t="n">
        <f aca="false">'E1 TelukLamong Input'!$E$27*O14*O$8</f>
        <v>2614170.07845555</v>
      </c>
      <c r="P15" s="31" t="n">
        <f aca="false">'E1 TelukLamong Input'!$E$27*P14*P$8</f>
        <v>2692595.18080922</v>
      </c>
      <c r="Q15" s="31" t="n">
        <f aca="false">'E1 TelukLamong Input'!$E$27*Q14*Q$8</f>
        <v>2773373.0362335</v>
      </c>
      <c r="R15" s="31" t="n">
        <f aca="false">'E1 TelukLamong Input'!$E$27*R14*R$8</f>
        <v>2856574.2273205</v>
      </c>
      <c r="S15" s="31" t="n">
        <f aca="false">'E1 TelukLamong Input'!$E$27*S14*S$8</f>
        <v>2942271.45414012</v>
      </c>
    </row>
    <row r="16" customFormat="false" ht="15" hidden="false" customHeight="false" outlineLevel="0" collapsed="false">
      <c r="B16" s="24" t="s">
        <v>1021</v>
      </c>
      <c r="C16" s="25" t="s">
        <v>170</v>
      </c>
      <c r="E16" s="47" t="n">
        <f aca="false">SUM(F16:S16)</f>
        <v>1427.76324717329</v>
      </c>
      <c r="F16" s="47" t="n">
        <f aca="false">F15*'E1 TelukLamong Input'!F29/10^9</f>
        <v>0</v>
      </c>
      <c r="G16" s="47" t="n">
        <f aca="false">G15*'E1 TelukLamong Input'!G29/10^9</f>
        <v>88.489312</v>
      </c>
      <c r="H16" s="47" t="n">
        <f aca="false">H15*'E1 TelukLamong Input'!H29/10^9</f>
        <v>91.14399136</v>
      </c>
      <c r="I16" s="47" t="n">
        <f aca="false">I15*'E1 TelukLamong Input'!I29/10^9</f>
        <v>93.8783111008</v>
      </c>
      <c r="J16" s="47" t="n">
        <f aca="false">J15*'E1 TelukLamong Input'!J29/10^9</f>
        <v>96.694660433824</v>
      </c>
      <c r="K16" s="47" t="n">
        <f aca="false">K15*'E1 TelukLamong Input'!K29/10^9</f>
        <v>99.5955002468387</v>
      </c>
      <c r="L16" s="47" t="n">
        <f aca="false">L15*'E1 TelukLamong Input'!L29/10^9</f>
        <v>105.660866211871</v>
      </c>
      <c r="M16" s="47" t="n">
        <f aca="false">M15*'E1 TelukLamong Input'!M29/10^9</f>
        <v>108.830692198227</v>
      </c>
      <c r="N16" s="47" t="n">
        <f aca="false">N15*'E1 TelukLamong Input'!N29/10^9</f>
        <v>112.095612964174</v>
      </c>
      <c r="O16" s="47" t="n">
        <f aca="false">O15*'E1 TelukLamong Input'!O29/10^9</f>
        <v>118.922235793692</v>
      </c>
      <c r="P16" s="47" t="n">
        <f aca="false">P15*'E1 TelukLamong Input'!P29/10^9</f>
        <v>122.489902867503</v>
      </c>
      <c r="Q16" s="47" t="n">
        <f aca="false">Q15*'E1 TelukLamong Input'!Q29/10^9</f>
        <v>126.164599953528</v>
      </c>
      <c r="R16" s="47" t="n">
        <f aca="false">R15*'E1 TelukLamong Input'!R29/10^9</f>
        <v>129.949537952134</v>
      </c>
      <c r="S16" s="47" t="n">
        <f aca="false">S15*'E1 TelukLamong Input'!S29/10^9</f>
        <v>133.848024090698</v>
      </c>
    </row>
    <row r="17" customFormat="false" ht="15" hidden="false" customHeight="false" outlineLevel="0" collapsed="false">
      <c r="B17" s="24" t="s">
        <v>1022</v>
      </c>
      <c r="C17" s="25" t="s">
        <v>1019</v>
      </c>
      <c r="F17" s="104" t="n">
        <f aca="false">1</f>
        <v>1</v>
      </c>
      <c r="G17" s="104" t="n">
        <f aca="false">F17*(1+'E1 TelukLamong Input'!G31)*G$8</f>
        <v>1</v>
      </c>
      <c r="H17" s="104" t="n">
        <f aca="false">G17*(1+'E1 TelukLamong Input'!H31)*H$8</f>
        <v>1.03</v>
      </c>
      <c r="I17" s="104" t="n">
        <f aca="false">H17*(1+'E1 TelukLamong Input'!I31)*I$8</f>
        <v>1.0609</v>
      </c>
      <c r="J17" s="104" t="n">
        <f aca="false">I17*(1+'E1 TelukLamong Input'!J31)*J$8</f>
        <v>1.092727</v>
      </c>
      <c r="K17" s="104" t="n">
        <f aca="false">J17*(1+'E1 TelukLamong Input'!K31)*K$8</f>
        <v>1.12550881</v>
      </c>
      <c r="L17" s="104" t="n">
        <f aca="false">K17*(1+'E1 TelukLamong Input'!L31)*L$8</f>
        <v>1.1592740743</v>
      </c>
      <c r="M17" s="104" t="n">
        <f aca="false">L17*(1+'E1 TelukLamong Input'!M31)*M$8</f>
        <v>1.194052296529</v>
      </c>
      <c r="N17" s="104" t="n">
        <f aca="false">M17*(1+'E1 TelukLamong Input'!N31)*N$8</f>
        <v>1.22987386542487</v>
      </c>
      <c r="O17" s="104" t="n">
        <f aca="false">N17*(1+'E1 TelukLamong Input'!O31)*O$8</f>
        <v>1.26677008138762</v>
      </c>
      <c r="P17" s="104" t="n">
        <f aca="false">O17*(1+'E1 TelukLamong Input'!P31)*P$8</f>
        <v>1.30477318382925</v>
      </c>
      <c r="Q17" s="104" t="n">
        <f aca="false">P17*(1+'E1 TelukLamong Input'!Q31)*Q$8</f>
        <v>1.34391637934412</v>
      </c>
      <c r="R17" s="104" t="n">
        <f aca="false">Q17*(1+'E1 TelukLamong Input'!R31)*R$8</f>
        <v>1.38423387072445</v>
      </c>
      <c r="S17" s="104" t="n">
        <f aca="false">R17*(1+'E1 TelukLamong Input'!S31)*S$8</f>
        <v>1.42576088684618</v>
      </c>
    </row>
    <row r="18" customFormat="false" ht="15" hidden="false" customHeight="false" outlineLevel="0" collapsed="false">
      <c r="B18" s="24" t="s">
        <v>1023</v>
      </c>
      <c r="C18" s="25" t="s">
        <v>900</v>
      </c>
      <c r="E18" s="31" t="n">
        <f aca="false">SUM(F18:S18)</f>
        <v>25028602.4388691</v>
      </c>
      <c r="F18" s="31" t="n">
        <f aca="false">'E1 TelukLamong Input'!$E$30*F17*F$8</f>
        <v>0</v>
      </c>
      <c r="G18" s="31" t="n">
        <f aca="false">'E1 TelukLamong Input'!$E$30*G17*G$8</f>
        <v>1602570</v>
      </c>
      <c r="H18" s="31" t="n">
        <f aca="false">'E1 TelukLamong Input'!$E$30*H17*H$8</f>
        <v>1650647.1</v>
      </c>
      <c r="I18" s="31" t="n">
        <f aca="false">'E1 TelukLamong Input'!$E$30*I17*I$8</f>
        <v>1700166.513</v>
      </c>
      <c r="J18" s="31" t="n">
        <f aca="false">'E1 TelukLamong Input'!$E$30*J17*J$8</f>
        <v>1751171.50839</v>
      </c>
      <c r="K18" s="31" t="n">
        <f aca="false">'E1 TelukLamong Input'!$E$30*K17*K$8</f>
        <v>1803706.6536417</v>
      </c>
      <c r="L18" s="31" t="n">
        <f aca="false">'E1 TelukLamong Input'!$E$30*L17*L$8</f>
        <v>1857817.85325095</v>
      </c>
      <c r="M18" s="31" t="n">
        <f aca="false">'E1 TelukLamong Input'!$E$30*M17*M$8</f>
        <v>1913552.38884848</v>
      </c>
      <c r="N18" s="31" t="n">
        <f aca="false">'E1 TelukLamong Input'!$E$30*N17*N$8</f>
        <v>1970958.96051393</v>
      </c>
      <c r="O18" s="31" t="n">
        <f aca="false">'E1 TelukLamong Input'!$E$30*O17*O$8</f>
        <v>2030087.72932935</v>
      </c>
      <c r="P18" s="31" t="n">
        <f aca="false">'E1 TelukLamong Input'!$E$30*P17*P$8</f>
        <v>2090990.36120923</v>
      </c>
      <c r="Q18" s="31" t="n">
        <f aca="false">'E1 TelukLamong Input'!$E$30*Q17*Q$8</f>
        <v>2153720.07204551</v>
      </c>
      <c r="R18" s="31" t="n">
        <f aca="false">'E1 TelukLamong Input'!$E$30*R17*R$8</f>
        <v>2218331.67420688</v>
      </c>
      <c r="S18" s="31" t="n">
        <f aca="false">'E1 TelukLamong Input'!$E$30*S17*S$8</f>
        <v>2284881.62443308</v>
      </c>
    </row>
    <row r="19" customFormat="false" ht="15" hidden="false" customHeight="false" outlineLevel="0" collapsed="false">
      <c r="B19" s="24" t="s">
        <v>1024</v>
      </c>
      <c r="C19" s="25" t="s">
        <v>170</v>
      </c>
      <c r="E19" s="47" t="n">
        <f aca="false">SUM(F19:S19)</f>
        <v>1096.34753622849</v>
      </c>
      <c r="F19" s="47" t="n">
        <f aca="false">F18*'E1 TelukLamong Input'!F32/10^9</f>
        <v>0</v>
      </c>
      <c r="G19" s="47" t="n">
        <f aca="false">G18*'E1 TelukLamong Input'!G32/10^9</f>
        <v>67.948968</v>
      </c>
      <c r="H19" s="47" t="n">
        <f aca="false">H18*'E1 TelukLamong Input'!H32/10^9</f>
        <v>69.98743704</v>
      </c>
      <c r="I19" s="47" t="n">
        <f aca="false">I18*'E1 TelukLamong Input'!I32/10^9</f>
        <v>72.0870601512</v>
      </c>
      <c r="J19" s="47" t="n">
        <f aca="false">J18*'E1 TelukLamong Input'!J32/10^9</f>
        <v>74.249671955736</v>
      </c>
      <c r="K19" s="47" t="n">
        <f aca="false">K18*'E1 TelukLamong Input'!K32/10^9</f>
        <v>76.4771621144081</v>
      </c>
      <c r="L19" s="47" t="n">
        <f aca="false">L18*'E1 TelukLamong Input'!L32/10^9</f>
        <v>81.1346212871755</v>
      </c>
      <c r="M19" s="47" t="n">
        <f aca="false">M18*'E1 TelukLamong Input'!M32/10^9</f>
        <v>83.5686599257908</v>
      </c>
      <c r="N19" s="47" t="n">
        <f aca="false">N18*'E1 TelukLamong Input'!N32/10^9</f>
        <v>86.0757197235645</v>
      </c>
      <c r="O19" s="47" t="n">
        <f aca="false">O18*'E1 TelukLamong Input'!O32/10^9</f>
        <v>91.3177310547296</v>
      </c>
      <c r="P19" s="47" t="n">
        <f aca="false">P18*'E1 TelukLamong Input'!P32/10^9</f>
        <v>94.0572629863715</v>
      </c>
      <c r="Q19" s="47" t="n">
        <f aca="false">Q18*'E1 TelukLamong Input'!Q32/10^9</f>
        <v>96.8789808759627</v>
      </c>
      <c r="R19" s="47" t="n">
        <f aca="false">R18*'E1 TelukLamong Input'!R32/10^9</f>
        <v>99.7853503022415</v>
      </c>
      <c r="S19" s="47" t="n">
        <f aca="false">S18*'E1 TelukLamong Input'!S32/10^9</f>
        <v>102.778910811309</v>
      </c>
    </row>
    <row r="20" customFormat="false" ht="15" hidden="false" customHeight="false" outlineLevel="0" collapsed="false">
      <c r="B20" s="24" t="s">
        <v>1025</v>
      </c>
      <c r="C20" s="25" t="s">
        <v>900</v>
      </c>
      <c r="E20" s="31" t="n">
        <f aca="false">SUM(F20:S20)</f>
        <v>0</v>
      </c>
      <c r="F20" s="31" t="n">
        <f aca="false">'E1 TelukLamong Input'!F34*'E1 TelukLamong Input'!$E$33*F$8</f>
        <v>0</v>
      </c>
      <c r="G20" s="31" t="n">
        <f aca="false">'E1 TelukLamong Input'!G34*'E1 TelukLamong Input'!$E$33*G$8</f>
        <v>0</v>
      </c>
      <c r="H20" s="31" t="n">
        <f aca="false">'E1 TelukLamong Input'!H34*'E1 TelukLamong Input'!$E$33*H$8</f>
        <v>0</v>
      </c>
      <c r="I20" s="31" t="n">
        <f aca="false">'E1 TelukLamong Input'!I34*'E1 TelukLamong Input'!$E$33*I$8</f>
        <v>0</v>
      </c>
      <c r="J20" s="31" t="n">
        <f aca="false">'E1 TelukLamong Input'!J34*'E1 TelukLamong Input'!$E$33*J$8</f>
        <v>0</v>
      </c>
      <c r="K20" s="31" t="n">
        <f aca="false">'E1 TelukLamong Input'!K34*'E1 TelukLamong Input'!$E$33*K$8</f>
        <v>0</v>
      </c>
      <c r="L20" s="31" t="n">
        <f aca="false">'E1 TelukLamong Input'!L34*'E1 TelukLamong Input'!$E$33*L$8</f>
        <v>0</v>
      </c>
      <c r="M20" s="31" t="n">
        <f aca="false">'E1 TelukLamong Input'!M34*'E1 TelukLamong Input'!$E$33*M$8</f>
        <v>0</v>
      </c>
      <c r="N20" s="31" t="n">
        <f aca="false">'E1 TelukLamong Input'!N34*'E1 TelukLamong Input'!$E$33*N$8</f>
        <v>0</v>
      </c>
      <c r="O20" s="31" t="n">
        <f aca="false">'E1 TelukLamong Input'!O34*'E1 TelukLamong Input'!$E$33*O$8</f>
        <v>0</v>
      </c>
      <c r="P20" s="31" t="n">
        <f aca="false">'E1 TelukLamong Input'!P34*'E1 TelukLamong Input'!$E$33*P$8</f>
        <v>0</v>
      </c>
      <c r="Q20" s="31" t="n">
        <f aca="false">'E1 TelukLamong Input'!Q34*'E1 TelukLamong Input'!$E$33*Q$8</f>
        <v>0</v>
      </c>
      <c r="R20" s="31" t="n">
        <f aca="false">'E1 TelukLamong Input'!R34*'E1 TelukLamong Input'!$E$33*R$8</f>
        <v>0</v>
      </c>
      <c r="S20" s="31" t="n">
        <f aca="false">'E1 TelukLamong Input'!S34*'E1 TelukLamong Input'!$E$33*S$8</f>
        <v>0</v>
      </c>
    </row>
    <row r="21" customFormat="false" ht="15" hidden="false" customHeight="false" outlineLevel="0" collapsed="false">
      <c r="B21" s="24" t="s">
        <v>1026</v>
      </c>
      <c r="C21" s="25" t="s">
        <v>170</v>
      </c>
      <c r="E21" s="47" t="n">
        <f aca="false">SUM(F21:S21)</f>
        <v>0</v>
      </c>
      <c r="F21" s="47" t="n">
        <f aca="false">F20*'E1 TelukLamong Input'!F32/10^9</f>
        <v>0</v>
      </c>
      <c r="G21" s="47" t="n">
        <f aca="false">G20*'E1 TelukLamong Input'!G32/10^9</f>
        <v>0</v>
      </c>
      <c r="H21" s="47" t="n">
        <f aca="false">H20*'E1 TelukLamong Input'!H32/10^9</f>
        <v>0</v>
      </c>
      <c r="I21" s="47" t="n">
        <f aca="false">I20*'E1 TelukLamong Input'!I32/10^9</f>
        <v>0</v>
      </c>
      <c r="J21" s="47" t="n">
        <f aca="false">J20*'E1 TelukLamong Input'!J32/10^9</f>
        <v>0</v>
      </c>
      <c r="K21" s="47" t="n">
        <f aca="false">K20*'E1 TelukLamong Input'!K32/10^9</f>
        <v>0</v>
      </c>
      <c r="L21" s="47" t="n">
        <f aca="false">L20*'E1 TelukLamong Input'!L32/10^9</f>
        <v>0</v>
      </c>
      <c r="M21" s="47" t="n">
        <f aca="false">M20*'E1 TelukLamong Input'!M32/10^9</f>
        <v>0</v>
      </c>
      <c r="N21" s="47" t="n">
        <f aca="false">N20*'E1 TelukLamong Input'!N32/10^9</f>
        <v>0</v>
      </c>
      <c r="O21" s="47" t="n">
        <f aca="false">O20*'E1 TelukLamong Input'!O32/10^9</f>
        <v>0</v>
      </c>
      <c r="P21" s="47" t="n">
        <f aca="false">P20*'E1 TelukLamong Input'!P32/10^9</f>
        <v>0</v>
      </c>
      <c r="Q21" s="47" t="n">
        <f aca="false">Q20*'E1 TelukLamong Input'!Q32/10^9</f>
        <v>0</v>
      </c>
      <c r="R21" s="47" t="n">
        <f aca="false">R20*'E1 TelukLamong Input'!R32/10^9</f>
        <v>0</v>
      </c>
      <c r="S21" s="47" t="n">
        <f aca="false">S20*'E1 TelukLamong Input'!S32/10^9</f>
        <v>0</v>
      </c>
    </row>
    <row r="22" customFormat="false" ht="15" hidden="false" customHeight="false" outlineLevel="0" collapsed="false">
      <c r="B22" s="69" t="s">
        <v>1027</v>
      </c>
      <c r="C22" s="25" t="s">
        <v>900</v>
      </c>
      <c r="E22" s="105" t="n">
        <f aca="false">SUM(F22:S22)</f>
        <v>57258255.6976798</v>
      </c>
      <c r="F22" s="106" t="n">
        <f aca="false">F15+F18+F20</f>
        <v>0</v>
      </c>
      <c r="G22" s="106" t="n">
        <f aca="false">G15+G18+G20</f>
        <v>3666220</v>
      </c>
      <c r="H22" s="106" t="n">
        <f aca="false">H15+H18+H20</f>
        <v>3776206.6</v>
      </c>
      <c r="I22" s="106" t="n">
        <f aca="false">I15+I18+I20</f>
        <v>3889492.798</v>
      </c>
      <c r="J22" s="106" t="n">
        <f aca="false">J15+J18+J20</f>
        <v>4006177.58194</v>
      </c>
      <c r="K22" s="106" t="n">
        <f aca="false">K15+K18+K20</f>
        <v>4126362.9093982</v>
      </c>
      <c r="L22" s="106" t="n">
        <f aca="false">L15+L18+L20</f>
        <v>4250153.79668015</v>
      </c>
      <c r="M22" s="106" t="n">
        <f aca="false">M15+M18+M20</f>
        <v>4377658.41058055</v>
      </c>
      <c r="N22" s="106" t="n">
        <f aca="false">N15+N18+N20</f>
        <v>4508988.16289797</v>
      </c>
      <c r="O22" s="106" t="n">
        <f aca="false">O15+O18+O20</f>
        <v>4644257.80778491</v>
      </c>
      <c r="P22" s="106" t="n">
        <f aca="false">P15+P18+P20</f>
        <v>4783585.54201845</v>
      </c>
      <c r="Q22" s="106" t="n">
        <f aca="false">Q15+Q18+Q20</f>
        <v>4927093.10827901</v>
      </c>
      <c r="R22" s="106" t="n">
        <f aca="false">R15+R18+R20</f>
        <v>5074905.90152738</v>
      </c>
      <c r="S22" s="106" t="n">
        <f aca="false">S15+S18+S20</f>
        <v>5227153.0785732</v>
      </c>
    </row>
    <row r="23" customFormat="false" ht="15" hidden="false" customHeight="false" outlineLevel="0" collapsed="false">
      <c r="B23" s="69" t="s">
        <v>1028</v>
      </c>
      <c r="C23" s="25" t="s">
        <v>170</v>
      </c>
      <c r="E23" s="70" t="n">
        <f aca="false">SUM(F23:S23)</f>
        <v>2524.11078340178</v>
      </c>
      <c r="F23" s="68" t="n">
        <f aca="false">F16+F19+F21</f>
        <v>0</v>
      </c>
      <c r="G23" s="68" t="n">
        <f aca="false">G16+G19+G21</f>
        <v>156.43828</v>
      </c>
      <c r="H23" s="68" t="n">
        <f aca="false">H16+H19+H21</f>
        <v>161.1314284</v>
      </c>
      <c r="I23" s="68" t="n">
        <f aca="false">I16+I19+I21</f>
        <v>165.965371252</v>
      </c>
      <c r="J23" s="68" t="n">
        <f aca="false">J16+J19+J21</f>
        <v>170.94433238956</v>
      </c>
      <c r="K23" s="68" t="n">
        <f aca="false">K16+K19+K21</f>
        <v>176.072662361247</v>
      </c>
      <c r="L23" s="68" t="n">
        <f aca="false">L16+L19+L21</f>
        <v>186.795487499047</v>
      </c>
      <c r="M23" s="68" t="n">
        <f aca="false">M16+M19+M21</f>
        <v>192.399352124018</v>
      </c>
      <c r="N23" s="68" t="n">
        <f aca="false">N16+N19+N21</f>
        <v>198.171332687739</v>
      </c>
      <c r="O23" s="68" t="n">
        <f aca="false">O16+O19+O21</f>
        <v>210.239966848422</v>
      </c>
      <c r="P23" s="68" t="n">
        <f aca="false">P16+P19+P21</f>
        <v>216.547165853875</v>
      </c>
      <c r="Q23" s="68" t="n">
        <f aca="false">Q16+Q19+Q21</f>
        <v>223.043580829491</v>
      </c>
      <c r="R23" s="68" t="n">
        <f aca="false">R16+R19+R21</f>
        <v>229.734888254376</v>
      </c>
      <c r="S23" s="68" t="n">
        <f aca="false">S16+S19+S21</f>
        <v>236.626934902007</v>
      </c>
    </row>
    <row r="25" customFormat="false" ht="15" hidden="false" customHeight="false" outlineLevel="0" collapsed="false">
      <c r="B25" s="22" t="s">
        <v>1029</v>
      </c>
      <c r="C25" s="23"/>
      <c r="D25" s="23"/>
      <c r="E25" s="23"/>
      <c r="F25" s="23"/>
      <c r="G25" s="23"/>
      <c r="H25" s="23"/>
      <c r="I25" s="23"/>
      <c r="J25" s="23"/>
      <c r="K25" s="23"/>
      <c r="L25" s="23"/>
      <c r="M25" s="23"/>
      <c r="N25" s="23"/>
      <c r="O25" s="23"/>
      <c r="P25" s="23"/>
      <c r="Q25" s="23"/>
      <c r="R25" s="23"/>
      <c r="S25" s="23"/>
    </row>
    <row r="26" customFormat="false" ht="15" hidden="false" customHeight="false" outlineLevel="0" collapsed="false">
      <c r="B26" s="24" t="s">
        <v>1030</v>
      </c>
      <c r="C26" s="25" t="s">
        <v>1019</v>
      </c>
      <c r="F26" s="104" t="n">
        <f aca="false">1</f>
        <v>1</v>
      </c>
      <c r="G26" s="104" t="n">
        <f aca="false">F26*(1+'E1 TelukLamong Input'!G37)*G$8</f>
        <v>1.035</v>
      </c>
      <c r="H26" s="104" t="n">
        <f aca="false">G26*(1+'E1 TelukLamong Input'!H37)*H$8</f>
        <v>1.071225</v>
      </c>
      <c r="I26" s="104" t="n">
        <f aca="false">H26*(1+'E1 TelukLamong Input'!I37)*I$8</f>
        <v>1.108717875</v>
      </c>
      <c r="J26" s="104" t="n">
        <f aca="false">I26*(1+'E1 TelukLamong Input'!J37)*J$8</f>
        <v>1.147523000625</v>
      </c>
      <c r="K26" s="104" t="n">
        <f aca="false">J26*(1+'E1 TelukLamong Input'!K37)*K$8</f>
        <v>1.18768630564687</v>
      </c>
      <c r="L26" s="104" t="n">
        <f aca="false">K26*(1+'E1 TelukLamong Input'!L37)*L$8</f>
        <v>1.22925532634452</v>
      </c>
      <c r="M26" s="104" t="n">
        <f aca="false">L26*(1+'E1 TelukLamong Input'!M37)*M$8</f>
        <v>1.27227926276657</v>
      </c>
      <c r="N26" s="104" t="n">
        <f aca="false">M26*(1+'E1 TelukLamong Input'!N37)*N$8</f>
        <v>1.3168090369634</v>
      </c>
      <c r="O26" s="104" t="n">
        <f aca="false">N26*(1+'E1 TelukLamong Input'!O37)*O$8</f>
        <v>1.36289735325712</v>
      </c>
      <c r="P26" s="104" t="n">
        <f aca="false">O26*(1+'E1 TelukLamong Input'!P37)*P$8</f>
        <v>1.41059876062112</v>
      </c>
      <c r="Q26" s="104" t="n">
        <f aca="false">P26*(1+'E1 TelukLamong Input'!Q37)*Q$8</f>
        <v>1.45996971724286</v>
      </c>
      <c r="R26" s="104" t="n">
        <f aca="false">Q26*(1+'E1 TelukLamong Input'!R37)*R$8</f>
        <v>1.51106865734636</v>
      </c>
      <c r="S26" s="104" t="n">
        <f aca="false">R26*(1+'E1 TelukLamong Input'!S37)*S$8</f>
        <v>1.56395606035348</v>
      </c>
    </row>
    <row r="27" customFormat="false" ht="15" hidden="false" customHeight="false" outlineLevel="0" collapsed="false">
      <c r="B27" s="24" t="s">
        <v>1031</v>
      </c>
      <c r="C27" s="25" t="s">
        <v>170</v>
      </c>
      <c r="E27" s="47" t="n">
        <f aca="false">SUM(F27:S27)</f>
        <v>214.621068327589</v>
      </c>
      <c r="F27" s="47" t="n">
        <f aca="false">'E1 TelukLamong Input'!$E$36*F26*F$8</f>
        <v>0</v>
      </c>
      <c r="G27" s="47" t="n">
        <f aca="false">'E1 TelukLamong Input'!$E$36*G26*G$8</f>
        <v>13.3197210200336</v>
      </c>
      <c r="H27" s="47" t="n">
        <f aca="false">'E1 TelukLamong Input'!$E$36*H26*H$8</f>
        <v>13.7859112557347</v>
      </c>
      <c r="I27" s="47" t="n">
        <f aca="false">'E1 TelukLamong Input'!$E$36*I26*I$8</f>
        <v>14.2684181496854</v>
      </c>
      <c r="J27" s="47" t="n">
        <f aca="false">'E1 TelukLamong Input'!$E$36*J26*J$8</f>
        <v>14.7678127849244</v>
      </c>
      <c r="K27" s="47" t="n">
        <f aca="false">'E1 TelukLamong Input'!$E$36*K26*K$8</f>
        <v>15.2846862323968</v>
      </c>
      <c r="L27" s="47" t="n">
        <f aca="false">'E1 TelukLamong Input'!$E$36*L26*L$8</f>
        <v>15.8196502505307</v>
      </c>
      <c r="M27" s="47" t="n">
        <f aca="false">'E1 TelukLamong Input'!$E$36*M26*M$8</f>
        <v>16.3733380092992</v>
      </c>
      <c r="N27" s="47" t="n">
        <f aca="false">'E1 TelukLamong Input'!$E$36*N26*N$8</f>
        <v>16.9464048396247</v>
      </c>
      <c r="O27" s="47" t="n">
        <f aca="false">'E1 TelukLamong Input'!$E$36*O26*O$8</f>
        <v>17.5395290090116</v>
      </c>
      <c r="P27" s="47" t="n">
        <f aca="false">'E1 TelukLamong Input'!$E$36*P26*P$8</f>
        <v>18.153412524327</v>
      </c>
      <c r="Q27" s="47" t="n">
        <f aca="false">'E1 TelukLamong Input'!$E$36*Q26*Q$8</f>
        <v>18.7887819626784</v>
      </c>
      <c r="R27" s="47" t="n">
        <f aca="false">'E1 TelukLamong Input'!$E$36*R26*R$8</f>
        <v>19.4463893313722</v>
      </c>
      <c r="S27" s="47" t="n">
        <f aca="false">'E1 TelukLamong Input'!$E$36*S26*S$8</f>
        <v>20.1270129579702</v>
      </c>
    </row>
    <row r="28" customFormat="false" ht="15" hidden="false" customHeight="false" outlineLevel="0" collapsed="false">
      <c r="B28" s="24" t="s">
        <v>1032</v>
      </c>
      <c r="C28" s="25" t="s">
        <v>905</v>
      </c>
      <c r="F28" s="31" t="n">
        <f aca="false">'E1 TelukLamong Input'!$E$40/'E1 TelukLamong Input'!$E$38*10^9*'E1 TelukLamong Input'!$E$39</f>
        <v>1452.8478394619</v>
      </c>
      <c r="G28" s="31" t="n">
        <f aca="false">'E1 TelukLamong Input'!$E$40/'E1 TelukLamong Input'!$E$38*10^9*'E1 TelukLamong Input'!$E$39</f>
        <v>1452.8478394619</v>
      </c>
      <c r="H28" s="31" t="n">
        <f aca="false">'E1 TelukLamong Input'!$E$40/'E1 TelukLamong Input'!$E$38*10^9*'E1 TelukLamong Input'!$E$39</f>
        <v>1452.8478394619</v>
      </c>
      <c r="I28" s="31" t="n">
        <f aca="false">'E1 TelukLamong Input'!$E$40/'E1 TelukLamong Input'!$E$38*10^9*'E1 TelukLamong Input'!$E$39</f>
        <v>1452.8478394619</v>
      </c>
      <c r="J28" s="31" t="n">
        <f aca="false">'E1 TelukLamong Input'!$E$40/'E1 TelukLamong Input'!$E$38*10^9*'E1 TelukLamong Input'!$E$39</f>
        <v>1452.8478394619</v>
      </c>
      <c r="K28" s="31" t="n">
        <f aca="false">'E1 TelukLamong Input'!$E$40/'E1 TelukLamong Input'!$E$38*10^9*'E1 TelukLamong Input'!$E$39</f>
        <v>1452.8478394619</v>
      </c>
      <c r="L28" s="31" t="n">
        <f aca="false">'E1 TelukLamong Input'!$E$40/'E1 TelukLamong Input'!$E$38*10^9*'E1 TelukLamong Input'!$E$39</f>
        <v>1452.8478394619</v>
      </c>
      <c r="M28" s="31" t="n">
        <f aca="false">'E1 TelukLamong Input'!$E$40/'E1 TelukLamong Input'!$E$38*10^9*'E1 TelukLamong Input'!$E$39</f>
        <v>1452.8478394619</v>
      </c>
      <c r="N28" s="31" t="n">
        <f aca="false">'E1 TelukLamong Input'!$E$40/'E1 TelukLamong Input'!$E$38*10^9*'E1 TelukLamong Input'!$E$39</f>
        <v>1452.8478394619</v>
      </c>
      <c r="O28" s="31" t="n">
        <f aca="false">'E1 TelukLamong Input'!$E$40/'E1 TelukLamong Input'!$E$38*10^9*'E1 TelukLamong Input'!$E$39</f>
        <v>1452.8478394619</v>
      </c>
      <c r="P28" s="31" t="n">
        <f aca="false">'E1 TelukLamong Input'!$E$40/'E1 TelukLamong Input'!$E$38*10^9*'E1 TelukLamong Input'!$E$39</f>
        <v>1452.8478394619</v>
      </c>
      <c r="Q28" s="31" t="n">
        <f aca="false">'E1 TelukLamong Input'!$E$40/'E1 TelukLamong Input'!$E$38*10^9*'E1 TelukLamong Input'!$E$39</f>
        <v>1452.8478394619</v>
      </c>
      <c r="R28" s="31" t="n">
        <f aca="false">'E1 TelukLamong Input'!$E$40/'E1 TelukLamong Input'!$E$38*10^9*'E1 TelukLamong Input'!$E$39</f>
        <v>1452.8478394619</v>
      </c>
      <c r="S28" s="31" t="n">
        <f aca="false">'E1 TelukLamong Input'!$E$40/'E1 TelukLamong Input'!$E$38*10^9*'E1 TelukLamong Input'!$E$39</f>
        <v>1452.8478394619</v>
      </c>
    </row>
    <row r="29" customFormat="false" ht="15" hidden="false" customHeight="false" outlineLevel="0" collapsed="false">
      <c r="B29" s="24" t="s">
        <v>1033</v>
      </c>
      <c r="C29" s="25" t="s">
        <v>1019</v>
      </c>
      <c r="F29" s="104" t="n">
        <f aca="false">1</f>
        <v>1</v>
      </c>
      <c r="G29" s="104" t="n">
        <f aca="false">F29*(1+'E1 TelukLamong Input'!G41)*G$8</f>
        <v>1.03</v>
      </c>
      <c r="H29" s="104" t="n">
        <f aca="false">G29*(1+'E1 TelukLamong Input'!H41)*H$8</f>
        <v>1.0609</v>
      </c>
      <c r="I29" s="104" t="n">
        <f aca="false">H29*(1+'E1 TelukLamong Input'!I41)*I$8</f>
        <v>1.092727</v>
      </c>
      <c r="J29" s="104" t="n">
        <f aca="false">I29*(1+'E1 TelukLamong Input'!J41)*J$8</f>
        <v>1.12550881</v>
      </c>
      <c r="K29" s="104" t="n">
        <f aca="false">J29*(1+'E1 TelukLamong Input'!K41)*K$8</f>
        <v>1.1592740743</v>
      </c>
      <c r="L29" s="104" t="n">
        <f aca="false">K29*(1+'E1 TelukLamong Input'!L41)*L$8</f>
        <v>1.194052296529</v>
      </c>
      <c r="M29" s="104" t="n">
        <f aca="false">L29*(1+'E1 TelukLamong Input'!M41)*M$8</f>
        <v>1.22987386542487</v>
      </c>
      <c r="N29" s="104" t="n">
        <f aca="false">M29*(1+'E1 TelukLamong Input'!N41)*N$8</f>
        <v>1.26677008138762</v>
      </c>
      <c r="O29" s="104" t="n">
        <f aca="false">N29*(1+'E1 TelukLamong Input'!O41)*O$8</f>
        <v>1.30477318382925</v>
      </c>
      <c r="P29" s="104" t="n">
        <f aca="false">O29*(1+'E1 TelukLamong Input'!P41)*P$8</f>
        <v>1.34391637934412</v>
      </c>
      <c r="Q29" s="104" t="n">
        <f aca="false">P29*(1+'E1 TelukLamong Input'!Q41)*Q$8</f>
        <v>1.38423387072445</v>
      </c>
      <c r="R29" s="104" t="n">
        <f aca="false">Q29*(1+'E1 TelukLamong Input'!R41)*R$8</f>
        <v>1.42576088684618</v>
      </c>
      <c r="S29" s="104" t="n">
        <f aca="false">R29*(1+'E1 TelukLamong Input'!S41)*S$8</f>
        <v>1.46853371345156</v>
      </c>
    </row>
    <row r="30" customFormat="false" ht="15" hidden="false" customHeight="false" outlineLevel="0" collapsed="false">
      <c r="B30" s="24" t="s">
        <v>1034</v>
      </c>
      <c r="C30" s="25" t="s">
        <v>905</v>
      </c>
      <c r="F30" s="31" t="n">
        <f aca="false">F28*F29</f>
        <v>1452.8478394619</v>
      </c>
      <c r="G30" s="31" t="n">
        <f aca="false">G28*G29</f>
        <v>1496.43327464575</v>
      </c>
      <c r="H30" s="31" t="n">
        <f aca="false">H28*H29</f>
        <v>1541.32627288512</v>
      </c>
      <c r="I30" s="31" t="n">
        <f aca="false">I28*I29</f>
        <v>1587.56606107168</v>
      </c>
      <c r="J30" s="31" t="n">
        <f aca="false">J28*J29</f>
        <v>1635.19304290383</v>
      </c>
      <c r="K30" s="31" t="n">
        <f aca="false">K28*K29</f>
        <v>1684.24883419094</v>
      </c>
      <c r="L30" s="31" t="n">
        <f aca="false">L28*L29</f>
        <v>1734.77629921667</v>
      </c>
      <c r="M30" s="31" t="n">
        <f aca="false">M28*M29</f>
        <v>1786.81958819317</v>
      </c>
      <c r="N30" s="31" t="n">
        <f aca="false">N28*N29</f>
        <v>1840.42417583897</v>
      </c>
      <c r="O30" s="31" t="n">
        <f aca="false">O28*O29</f>
        <v>1895.63690111414</v>
      </c>
      <c r="P30" s="31" t="n">
        <f aca="false">P28*P29</f>
        <v>1952.50600814756</v>
      </c>
      <c r="Q30" s="31" t="n">
        <f aca="false">Q28*Q29</f>
        <v>2011.08118839199</v>
      </c>
      <c r="R30" s="31" t="n">
        <f aca="false">R28*R29</f>
        <v>2071.41362404375</v>
      </c>
      <c r="S30" s="31" t="n">
        <f aca="false">S28*S29</f>
        <v>2133.55603276506</v>
      </c>
    </row>
    <row r="31" customFormat="false" ht="15" hidden="false" customHeight="false" outlineLevel="0" collapsed="false">
      <c r="B31" s="24" t="s">
        <v>1035</v>
      </c>
      <c r="C31" s="25" t="s">
        <v>170</v>
      </c>
      <c r="E31" s="47" t="n">
        <f aca="false">SUM(F31:S31)</f>
        <v>104.192988595888</v>
      </c>
      <c r="F31" s="47" t="n">
        <f aca="false">F30*F22/10^9</f>
        <v>0</v>
      </c>
      <c r="G31" s="47" t="n">
        <f aca="false">G30*G22/10^9</f>
        <v>5.48625360017175</v>
      </c>
      <c r="H31" s="47" t="n">
        <f aca="false">H30*H22/10^9</f>
        <v>5.82036644442221</v>
      </c>
      <c r="I31" s="47" t="n">
        <f aca="false">I30*I22/10^9</f>
        <v>6.17482676088752</v>
      </c>
      <c r="J31" s="47" t="n">
        <f aca="false">J30*J22/10^9</f>
        <v>6.55087371062557</v>
      </c>
      <c r="K31" s="47" t="n">
        <f aca="false">K30*K22/10^9</f>
        <v>6.94982191960267</v>
      </c>
      <c r="L31" s="47" t="n">
        <f aca="false">L30*L22/10^9</f>
        <v>7.37306607450647</v>
      </c>
      <c r="M31" s="47" t="n">
        <f aca="false">M30*M22/10^9</f>
        <v>7.82208579844392</v>
      </c>
      <c r="N31" s="47" t="n">
        <f aca="false">N30*N22/10^9</f>
        <v>8.29845082356915</v>
      </c>
      <c r="O31" s="47" t="n">
        <f aca="false">O30*O22/10^9</f>
        <v>8.80382647872451</v>
      </c>
      <c r="P31" s="47" t="n">
        <f aca="false">P30*P22/10^9</f>
        <v>9.33997951127884</v>
      </c>
      <c r="Q31" s="47" t="n">
        <f aca="false">Q30*Q22/10^9</f>
        <v>9.90878426351572</v>
      </c>
      <c r="R31" s="47" t="n">
        <f aca="false">R30*R22/10^9</f>
        <v>10.5122292251638</v>
      </c>
      <c r="S31" s="47" t="n">
        <f aca="false">S30*S22/10^9</f>
        <v>11.1524239849763</v>
      </c>
    </row>
    <row r="32" customFormat="false" ht="15" hidden="false" customHeight="false" outlineLevel="0" collapsed="false">
      <c r="B32" s="24" t="s">
        <v>1036</v>
      </c>
      <c r="C32" s="25" t="s">
        <v>905</v>
      </c>
      <c r="F32" s="31" t="n">
        <f aca="false">'E1 TelukLamong Input'!$E$42/'E1 TelukLamong Input'!$E$38*10^9*'E1 TelukLamong Input'!$E$39</f>
        <v>856.404038640308</v>
      </c>
      <c r="G32" s="31" t="n">
        <f aca="false">'E1 TelukLamong Input'!$E$42/'E1 TelukLamong Input'!$E$38*10^9*'E1 TelukLamong Input'!$E$39</f>
        <v>856.404038640308</v>
      </c>
      <c r="H32" s="31" t="n">
        <f aca="false">'E1 TelukLamong Input'!$E$42/'E1 TelukLamong Input'!$E$38*10^9*'E1 TelukLamong Input'!$E$39</f>
        <v>856.404038640308</v>
      </c>
      <c r="I32" s="31" t="n">
        <f aca="false">'E1 TelukLamong Input'!$E$42/'E1 TelukLamong Input'!$E$38*10^9*'E1 TelukLamong Input'!$E$39</f>
        <v>856.404038640308</v>
      </c>
      <c r="J32" s="31" t="n">
        <f aca="false">'E1 TelukLamong Input'!$E$42/'E1 TelukLamong Input'!$E$38*10^9*'E1 TelukLamong Input'!$E$39</f>
        <v>856.404038640308</v>
      </c>
      <c r="K32" s="31" t="n">
        <f aca="false">'E1 TelukLamong Input'!$E$42/'E1 TelukLamong Input'!$E$38*10^9*'E1 TelukLamong Input'!$E$39</f>
        <v>856.404038640308</v>
      </c>
      <c r="L32" s="31" t="n">
        <f aca="false">'E1 TelukLamong Input'!$E$42/'E1 TelukLamong Input'!$E$38*10^9*'E1 TelukLamong Input'!$E$39</f>
        <v>856.404038640308</v>
      </c>
      <c r="M32" s="31" t="n">
        <f aca="false">'E1 TelukLamong Input'!$E$42/'E1 TelukLamong Input'!$E$38*10^9*'E1 TelukLamong Input'!$E$39</f>
        <v>856.404038640308</v>
      </c>
      <c r="N32" s="31" t="n">
        <f aca="false">'E1 TelukLamong Input'!$E$42/'E1 TelukLamong Input'!$E$38*10^9*'E1 TelukLamong Input'!$E$39</f>
        <v>856.404038640308</v>
      </c>
      <c r="O32" s="31" t="n">
        <f aca="false">'E1 TelukLamong Input'!$E$42/'E1 TelukLamong Input'!$E$38*10^9*'E1 TelukLamong Input'!$E$39</f>
        <v>856.404038640308</v>
      </c>
      <c r="P32" s="31" t="n">
        <f aca="false">'E1 TelukLamong Input'!$E$42/'E1 TelukLamong Input'!$E$38*10^9*'E1 TelukLamong Input'!$E$39</f>
        <v>856.404038640308</v>
      </c>
      <c r="Q32" s="31" t="n">
        <f aca="false">'E1 TelukLamong Input'!$E$42/'E1 TelukLamong Input'!$E$38*10^9*'E1 TelukLamong Input'!$E$39</f>
        <v>856.404038640308</v>
      </c>
      <c r="R32" s="31" t="n">
        <f aca="false">'E1 TelukLamong Input'!$E$42/'E1 TelukLamong Input'!$E$38*10^9*'E1 TelukLamong Input'!$E$39</f>
        <v>856.404038640308</v>
      </c>
      <c r="S32" s="31" t="n">
        <f aca="false">'E1 TelukLamong Input'!$E$42/'E1 TelukLamong Input'!$E$38*10^9*'E1 TelukLamong Input'!$E$39</f>
        <v>856.404038640308</v>
      </c>
    </row>
    <row r="33" customFormat="false" ht="15" hidden="false" customHeight="false" outlineLevel="0" collapsed="false">
      <c r="B33" s="24" t="s">
        <v>1037</v>
      </c>
      <c r="C33" s="25" t="s">
        <v>1019</v>
      </c>
      <c r="F33" s="104" t="n">
        <f aca="false">1</f>
        <v>1</v>
      </c>
      <c r="G33" s="104" t="n">
        <f aca="false">F33*(1+'E1 TelukLamong Input'!G43)*G$8</f>
        <v>1.03</v>
      </c>
      <c r="H33" s="104" t="n">
        <f aca="false">G33*(1+'E1 TelukLamong Input'!H43)*H$8</f>
        <v>1.0609</v>
      </c>
      <c r="I33" s="104" t="n">
        <f aca="false">H33*(1+'E1 TelukLamong Input'!I43)*I$8</f>
        <v>1.092727</v>
      </c>
      <c r="J33" s="104" t="n">
        <f aca="false">I33*(1+'E1 TelukLamong Input'!J43)*J$8</f>
        <v>1.12550881</v>
      </c>
      <c r="K33" s="104" t="n">
        <f aca="false">J33*(1+'E1 TelukLamong Input'!K43)*K$8</f>
        <v>1.1592740743</v>
      </c>
      <c r="L33" s="104" t="n">
        <f aca="false">K33*(1+'E1 TelukLamong Input'!L43)*L$8</f>
        <v>1.194052296529</v>
      </c>
      <c r="M33" s="104" t="n">
        <f aca="false">L33*(1+'E1 TelukLamong Input'!M43)*M$8</f>
        <v>1.22987386542487</v>
      </c>
      <c r="N33" s="104" t="n">
        <f aca="false">M33*(1+'E1 TelukLamong Input'!N43)*N$8</f>
        <v>1.26677008138762</v>
      </c>
      <c r="O33" s="104" t="n">
        <f aca="false">N33*(1+'E1 TelukLamong Input'!O43)*O$8</f>
        <v>1.30477318382925</v>
      </c>
      <c r="P33" s="104" t="n">
        <f aca="false">O33*(1+'E1 TelukLamong Input'!P43)*P$8</f>
        <v>1.34391637934412</v>
      </c>
      <c r="Q33" s="104" t="n">
        <f aca="false">P33*(1+'E1 TelukLamong Input'!Q43)*Q$8</f>
        <v>1.38423387072445</v>
      </c>
      <c r="R33" s="104" t="n">
        <f aca="false">Q33*(1+'E1 TelukLamong Input'!R43)*R$8</f>
        <v>1.42576088684618</v>
      </c>
      <c r="S33" s="104" t="n">
        <f aca="false">R33*(1+'E1 TelukLamong Input'!S43)*S$8</f>
        <v>1.46853371345156</v>
      </c>
    </row>
    <row r="34" customFormat="false" ht="15" hidden="false" customHeight="false" outlineLevel="0" collapsed="false">
      <c r="B34" s="24" t="s">
        <v>1038</v>
      </c>
      <c r="C34" s="25" t="s">
        <v>905</v>
      </c>
      <c r="F34" s="31" t="n">
        <f aca="false">F32*F33</f>
        <v>856.404038640308</v>
      </c>
      <c r="G34" s="31" t="n">
        <f aca="false">G32*G33</f>
        <v>882.096159799517</v>
      </c>
      <c r="H34" s="31" t="n">
        <f aca="false">H32*H33</f>
        <v>908.559044593503</v>
      </c>
      <c r="I34" s="31" t="n">
        <f aca="false">I32*I33</f>
        <v>935.815815931308</v>
      </c>
      <c r="J34" s="31" t="n">
        <f aca="false">J32*J33</f>
        <v>963.890290409247</v>
      </c>
      <c r="K34" s="31" t="n">
        <f aca="false">K32*K33</f>
        <v>992.806999121525</v>
      </c>
      <c r="L34" s="31" t="n">
        <f aca="false">L32*L33</f>
        <v>1022.59120909517</v>
      </c>
      <c r="M34" s="31" t="n">
        <f aca="false">M32*M33</f>
        <v>1053.26894536803</v>
      </c>
      <c r="N34" s="31" t="n">
        <f aca="false">N32*N33</f>
        <v>1084.86701372907</v>
      </c>
      <c r="O34" s="31" t="n">
        <f aca="false">O32*O33</f>
        <v>1117.41302414094</v>
      </c>
      <c r="P34" s="31" t="n">
        <f aca="false">P32*P33</f>
        <v>1150.93541486517</v>
      </c>
      <c r="Q34" s="31" t="n">
        <f aca="false">Q32*Q33</f>
        <v>1185.46347731112</v>
      </c>
      <c r="R34" s="31" t="n">
        <f aca="false">R32*R33</f>
        <v>1221.02738163046</v>
      </c>
      <c r="S34" s="31" t="n">
        <f aca="false">S32*S33</f>
        <v>1257.65820307937</v>
      </c>
    </row>
    <row r="35" customFormat="false" ht="15" hidden="false" customHeight="false" outlineLevel="0" collapsed="false">
      <c r="B35" s="24" t="s">
        <v>1039</v>
      </c>
      <c r="C35" s="25" t="s">
        <v>170</v>
      </c>
      <c r="E35" s="47" t="n">
        <f aca="false">SUM(F35:S35)</f>
        <v>61.4181979749317</v>
      </c>
      <c r="F35" s="47" t="n">
        <f aca="false">F34*F22/10^9</f>
        <v>0</v>
      </c>
      <c r="G35" s="47" t="n">
        <f aca="false">G34*G22/10^9</f>
        <v>3.23395858298019</v>
      </c>
      <c r="H35" s="47" t="n">
        <f aca="false">H34*H22/10^9</f>
        <v>3.43090666068368</v>
      </c>
      <c r="I35" s="47" t="n">
        <f aca="false">I34*I22/10^9</f>
        <v>3.63984887631932</v>
      </c>
      <c r="J35" s="47" t="n">
        <f aca="false">J34*J22/10^9</f>
        <v>3.86151567288716</v>
      </c>
      <c r="K35" s="47" t="n">
        <f aca="false">K34*K22/10^9</f>
        <v>4.09668197736599</v>
      </c>
      <c r="L35" s="47" t="n">
        <f aca="false">L34*L22/10^9</f>
        <v>4.34616990978758</v>
      </c>
      <c r="M35" s="47" t="n">
        <f aca="false">M34*M22/10^9</f>
        <v>4.61085165729365</v>
      </c>
      <c r="N35" s="47" t="n">
        <f aca="false">N34*N22/10^9</f>
        <v>4.89165252322283</v>
      </c>
      <c r="O35" s="47" t="n">
        <f aca="false">O34*O22/10^9</f>
        <v>5.1895541618871</v>
      </c>
      <c r="P35" s="47" t="n">
        <f aca="false">P34*P22/10^9</f>
        <v>5.50559801034602</v>
      </c>
      <c r="Q35" s="47" t="n">
        <f aca="false">Q34*Q22/10^9</f>
        <v>5.8408889291761</v>
      </c>
      <c r="R35" s="47" t="n">
        <f aca="false">R34*R22/10^9</f>
        <v>6.19659906496292</v>
      </c>
      <c r="S35" s="47" t="n">
        <f aca="false">S34*S22/10^9</f>
        <v>6.57397194801916</v>
      </c>
    </row>
    <row r="36" customFormat="false" ht="15" hidden="false" customHeight="false" outlineLevel="0" collapsed="false">
      <c r="B36" s="24" t="s">
        <v>1040</v>
      </c>
      <c r="C36" s="25" t="s">
        <v>1019</v>
      </c>
      <c r="F36" s="104" t="n">
        <f aca="false">1</f>
        <v>1</v>
      </c>
      <c r="G36" s="104" t="n">
        <f aca="false">F36*(1+'E1 TelukLamong Input'!G45)*G$8</f>
        <v>1.035</v>
      </c>
      <c r="H36" s="104" t="n">
        <f aca="false">G36*(1+'E1 TelukLamong Input'!H45)*H$8</f>
        <v>1.071225</v>
      </c>
      <c r="I36" s="104" t="n">
        <f aca="false">H36*(1+'E1 TelukLamong Input'!I45)*I$8</f>
        <v>1.108717875</v>
      </c>
      <c r="J36" s="104" t="n">
        <f aca="false">I36*(1+'E1 TelukLamong Input'!J45)*J$8</f>
        <v>1.147523000625</v>
      </c>
      <c r="K36" s="104" t="n">
        <f aca="false">J36*(1+'E1 TelukLamong Input'!K45)*K$8</f>
        <v>1.18768630564687</v>
      </c>
      <c r="L36" s="104" t="n">
        <f aca="false">K36*(1+'E1 TelukLamong Input'!L45)*L$8</f>
        <v>1.22925532634452</v>
      </c>
      <c r="M36" s="104" t="n">
        <f aca="false">L36*(1+'E1 TelukLamong Input'!M45)*M$8</f>
        <v>1.27227926276657</v>
      </c>
      <c r="N36" s="104" t="n">
        <f aca="false">M36*(1+'E1 TelukLamong Input'!N45)*N$8</f>
        <v>1.3168090369634</v>
      </c>
      <c r="O36" s="104" t="n">
        <f aca="false">N36*(1+'E1 TelukLamong Input'!O45)*O$8</f>
        <v>1.36289735325712</v>
      </c>
      <c r="P36" s="104" t="n">
        <f aca="false">O36*(1+'E1 TelukLamong Input'!P45)*P$8</f>
        <v>1.41059876062112</v>
      </c>
      <c r="Q36" s="104" t="n">
        <f aca="false">P36*(1+'E1 TelukLamong Input'!Q45)*Q$8</f>
        <v>1.45996971724286</v>
      </c>
      <c r="R36" s="104" t="n">
        <f aca="false">Q36*(1+'E1 TelukLamong Input'!R45)*R$8</f>
        <v>1.51106865734636</v>
      </c>
      <c r="S36" s="104" t="n">
        <f aca="false">R36*(1+'E1 TelukLamong Input'!S45)*S$8</f>
        <v>1.56395606035348</v>
      </c>
    </row>
    <row r="37" customFormat="false" ht="15" hidden="false" customHeight="false" outlineLevel="0" collapsed="false">
      <c r="B37" s="24" t="s">
        <v>1041</v>
      </c>
      <c r="C37" s="25" t="s">
        <v>170</v>
      </c>
      <c r="E37" s="47" t="n">
        <f aca="false">SUM(F37:S37)</f>
        <v>34.888829945928</v>
      </c>
      <c r="F37" s="47" t="n">
        <f aca="false">'E1 TelukLamong Input'!$E$44*F36*F$8</f>
        <v>0</v>
      </c>
      <c r="G37" s="47" t="n">
        <f aca="false">'E1 TelukLamong Input'!$E$44*G36*G$8</f>
        <v>2.16525565368</v>
      </c>
      <c r="H37" s="47" t="n">
        <f aca="false">'E1 TelukLamong Input'!$E$44*H36*H$8</f>
        <v>2.2410396015588</v>
      </c>
      <c r="I37" s="47" t="n">
        <f aca="false">'E1 TelukLamong Input'!$E$44*I36*I$8</f>
        <v>2.31947598761336</v>
      </c>
      <c r="J37" s="47" t="n">
        <f aca="false">'E1 TelukLamong Input'!$E$44*J36*J$8</f>
        <v>2.40065764717983</v>
      </c>
      <c r="K37" s="47" t="n">
        <f aca="false">'E1 TelukLamong Input'!$E$44*K36*K$8</f>
        <v>2.48468066483112</v>
      </c>
      <c r="L37" s="47" t="n">
        <f aca="false">'E1 TelukLamong Input'!$E$44*L36*L$8</f>
        <v>2.57164448810021</v>
      </c>
      <c r="M37" s="47" t="n">
        <f aca="false">'E1 TelukLamong Input'!$E$44*M36*M$8</f>
        <v>2.66165204518371</v>
      </c>
      <c r="N37" s="47" t="n">
        <f aca="false">'E1 TelukLamong Input'!$E$44*N36*N$8</f>
        <v>2.75480986676514</v>
      </c>
      <c r="O37" s="47" t="n">
        <f aca="false">'E1 TelukLamong Input'!$E$44*O36*O$8</f>
        <v>2.85122821210192</v>
      </c>
      <c r="P37" s="47" t="n">
        <f aca="false">'E1 TelukLamong Input'!$E$44*P36*P$8</f>
        <v>2.95102119952549</v>
      </c>
      <c r="Q37" s="47" t="n">
        <f aca="false">'E1 TelukLamong Input'!$E$44*Q36*Q$8</f>
        <v>3.05430694150888</v>
      </c>
      <c r="R37" s="47" t="n">
        <f aca="false">'E1 TelukLamong Input'!$E$44*R36*R$8</f>
        <v>3.16120768446169</v>
      </c>
      <c r="S37" s="47" t="n">
        <f aca="false">'E1 TelukLamong Input'!$E$44*S36*S$8</f>
        <v>3.27184995341785</v>
      </c>
    </row>
    <row r="38" customFormat="false" ht="15" hidden="false" customHeight="false" outlineLevel="0" collapsed="false">
      <c r="B38" s="24" t="s">
        <v>1042</v>
      </c>
      <c r="C38" s="25" t="s">
        <v>905</v>
      </c>
      <c r="F38" s="31" t="n">
        <f aca="false">'E1 TelukLamong Input'!$E$46/'E1 TelukLamong Input'!$E$38*10^9*'E1 TelukLamong Input'!$E$39</f>
        <v>685.45175892786</v>
      </c>
      <c r="G38" s="31" t="n">
        <f aca="false">'E1 TelukLamong Input'!$E$46/'E1 TelukLamong Input'!$E$38*10^9*'E1 TelukLamong Input'!$E$39</f>
        <v>685.45175892786</v>
      </c>
      <c r="H38" s="31" t="n">
        <f aca="false">'E1 TelukLamong Input'!$E$46/'E1 TelukLamong Input'!$E$38*10^9*'E1 TelukLamong Input'!$E$39</f>
        <v>685.45175892786</v>
      </c>
      <c r="I38" s="31" t="n">
        <f aca="false">'E1 TelukLamong Input'!$E$46/'E1 TelukLamong Input'!$E$38*10^9*'E1 TelukLamong Input'!$E$39</f>
        <v>685.45175892786</v>
      </c>
      <c r="J38" s="31" t="n">
        <f aca="false">'E1 TelukLamong Input'!$E$46/'E1 TelukLamong Input'!$E$38*10^9*'E1 TelukLamong Input'!$E$39</f>
        <v>685.45175892786</v>
      </c>
      <c r="K38" s="31" t="n">
        <f aca="false">'E1 TelukLamong Input'!$E$46/'E1 TelukLamong Input'!$E$38*10^9*'E1 TelukLamong Input'!$E$39</f>
        <v>685.45175892786</v>
      </c>
      <c r="L38" s="31" t="n">
        <f aca="false">'E1 TelukLamong Input'!$E$46/'E1 TelukLamong Input'!$E$38*10^9*'E1 TelukLamong Input'!$E$39</f>
        <v>685.45175892786</v>
      </c>
      <c r="M38" s="31" t="n">
        <f aca="false">'E1 TelukLamong Input'!$E$46/'E1 TelukLamong Input'!$E$38*10^9*'E1 TelukLamong Input'!$E$39</f>
        <v>685.45175892786</v>
      </c>
      <c r="N38" s="31" t="n">
        <f aca="false">'E1 TelukLamong Input'!$E$46/'E1 TelukLamong Input'!$E$38*10^9*'E1 TelukLamong Input'!$E$39</f>
        <v>685.45175892786</v>
      </c>
      <c r="O38" s="31" t="n">
        <f aca="false">'E1 TelukLamong Input'!$E$46/'E1 TelukLamong Input'!$E$38*10^9*'E1 TelukLamong Input'!$E$39</f>
        <v>685.45175892786</v>
      </c>
      <c r="P38" s="31" t="n">
        <f aca="false">'E1 TelukLamong Input'!$E$46/'E1 TelukLamong Input'!$E$38*10^9*'E1 TelukLamong Input'!$E$39</f>
        <v>685.45175892786</v>
      </c>
      <c r="Q38" s="31" t="n">
        <f aca="false">'E1 TelukLamong Input'!$E$46/'E1 TelukLamong Input'!$E$38*10^9*'E1 TelukLamong Input'!$E$39</f>
        <v>685.45175892786</v>
      </c>
      <c r="R38" s="31" t="n">
        <f aca="false">'E1 TelukLamong Input'!$E$46/'E1 TelukLamong Input'!$E$38*10^9*'E1 TelukLamong Input'!$E$39</f>
        <v>685.45175892786</v>
      </c>
      <c r="S38" s="31" t="n">
        <f aca="false">'E1 TelukLamong Input'!$E$46/'E1 TelukLamong Input'!$E$38*10^9*'E1 TelukLamong Input'!$E$39</f>
        <v>685.45175892786</v>
      </c>
    </row>
    <row r="39" customFormat="false" ht="15" hidden="false" customHeight="false" outlineLevel="0" collapsed="false">
      <c r="B39" s="24" t="s">
        <v>1043</v>
      </c>
      <c r="C39" s="25" t="s">
        <v>1019</v>
      </c>
      <c r="F39" s="104" t="n">
        <f aca="false">1</f>
        <v>1</v>
      </c>
      <c r="G39" s="104" t="n">
        <f aca="false">F39*(1+'E1 TelukLamong Input'!G47)*G$8</f>
        <v>1.03</v>
      </c>
      <c r="H39" s="104" t="n">
        <f aca="false">G39*(1+'E1 TelukLamong Input'!H47)*H$8</f>
        <v>1.0609</v>
      </c>
      <c r="I39" s="104" t="n">
        <f aca="false">H39*(1+'E1 TelukLamong Input'!I47)*I$8</f>
        <v>1.092727</v>
      </c>
      <c r="J39" s="104" t="n">
        <f aca="false">I39*(1+'E1 TelukLamong Input'!J47)*J$8</f>
        <v>1.12550881</v>
      </c>
      <c r="K39" s="104" t="n">
        <f aca="false">J39*(1+'E1 TelukLamong Input'!K47)*K$8</f>
        <v>1.1592740743</v>
      </c>
      <c r="L39" s="104" t="n">
        <f aca="false">K39*(1+'E1 TelukLamong Input'!L47)*L$8</f>
        <v>1.194052296529</v>
      </c>
      <c r="M39" s="104" t="n">
        <f aca="false">L39*(1+'E1 TelukLamong Input'!M47)*M$8</f>
        <v>1.22987386542487</v>
      </c>
      <c r="N39" s="104" t="n">
        <f aca="false">M39*(1+'E1 TelukLamong Input'!N47)*N$8</f>
        <v>1.26677008138762</v>
      </c>
      <c r="O39" s="104" t="n">
        <f aca="false">N39*(1+'E1 TelukLamong Input'!O47)*O$8</f>
        <v>1.30477318382925</v>
      </c>
      <c r="P39" s="104" t="n">
        <f aca="false">O39*(1+'E1 TelukLamong Input'!P47)*P$8</f>
        <v>1.34391637934412</v>
      </c>
      <c r="Q39" s="104" t="n">
        <f aca="false">P39*(1+'E1 TelukLamong Input'!Q47)*Q$8</f>
        <v>1.38423387072445</v>
      </c>
      <c r="R39" s="104" t="n">
        <f aca="false">Q39*(1+'E1 TelukLamong Input'!R47)*R$8</f>
        <v>1.42576088684618</v>
      </c>
      <c r="S39" s="104" t="n">
        <f aca="false">R39*(1+'E1 TelukLamong Input'!S47)*S$8</f>
        <v>1.46853371345156</v>
      </c>
    </row>
    <row r="40" customFormat="false" ht="15" hidden="false" customHeight="false" outlineLevel="0" collapsed="false">
      <c r="B40" s="24" t="s">
        <v>1044</v>
      </c>
      <c r="C40" s="25" t="s">
        <v>905</v>
      </c>
      <c r="F40" s="31" t="n">
        <f aca="false">F38*F39</f>
        <v>685.45175892786</v>
      </c>
      <c r="G40" s="31" t="n">
        <f aca="false">G38*G39</f>
        <v>706.015311695696</v>
      </c>
      <c r="H40" s="31" t="n">
        <f aca="false">H38*H39</f>
        <v>727.195771046567</v>
      </c>
      <c r="I40" s="31" t="n">
        <f aca="false">I38*I39</f>
        <v>749.011644177964</v>
      </c>
      <c r="J40" s="31" t="n">
        <f aca="false">J38*J39</f>
        <v>771.481993503303</v>
      </c>
      <c r="K40" s="31" t="n">
        <f aca="false">K38*K39</f>
        <v>794.626453308402</v>
      </c>
      <c r="L40" s="31" t="n">
        <f aca="false">L38*L39</f>
        <v>818.465246907654</v>
      </c>
      <c r="M40" s="31" t="n">
        <f aca="false">M38*M39</f>
        <v>843.019204314884</v>
      </c>
      <c r="N40" s="31" t="n">
        <f aca="false">N38*N39</f>
        <v>868.30978044433</v>
      </c>
      <c r="O40" s="31" t="n">
        <f aca="false">O38*O39</f>
        <v>894.35907385766</v>
      </c>
      <c r="P40" s="31" t="n">
        <f aca="false">P38*P39</f>
        <v>921.18984607339</v>
      </c>
      <c r="Q40" s="31" t="n">
        <f aca="false">Q38*Q39</f>
        <v>948.825541455592</v>
      </c>
      <c r="R40" s="31" t="n">
        <f aca="false">R38*R39</f>
        <v>977.29030769926</v>
      </c>
      <c r="S40" s="31" t="n">
        <f aca="false">S38*S39</f>
        <v>1006.60901693024</v>
      </c>
    </row>
    <row r="41" customFormat="false" ht="15" hidden="false" customHeight="false" outlineLevel="0" collapsed="false">
      <c r="B41" s="24" t="s">
        <v>1045</v>
      </c>
      <c r="C41" s="25" t="s">
        <v>170</v>
      </c>
      <c r="E41" s="47" t="n">
        <f aca="false">SUM(F41:S41)</f>
        <v>49.158119220148</v>
      </c>
      <c r="F41" s="47" t="n">
        <f aca="false">F40*F22/10^9</f>
        <v>0</v>
      </c>
      <c r="G41" s="47" t="n">
        <f aca="false">G40*G22/10^9</f>
        <v>2.588407456045</v>
      </c>
      <c r="H41" s="47" t="n">
        <f aca="false">H40*H22/10^9</f>
        <v>2.74604147011814</v>
      </c>
      <c r="I41" s="47" t="n">
        <f aca="false">I40*I22/10^9</f>
        <v>2.91327539564833</v>
      </c>
      <c r="J41" s="47" t="n">
        <f aca="false">J40*J22/10^9</f>
        <v>3.09069386724331</v>
      </c>
      <c r="K41" s="47" t="n">
        <f aca="false">K40*K22/10^9</f>
        <v>3.27891712375843</v>
      </c>
      <c r="L41" s="47" t="n">
        <f aca="false">L40*L22/10^9</f>
        <v>3.47860317659532</v>
      </c>
      <c r="M41" s="47" t="n">
        <f aca="false">M40*M22/10^9</f>
        <v>3.69045011004998</v>
      </c>
      <c r="N41" s="47" t="n">
        <f aca="false">N40*N22/10^9</f>
        <v>3.91519852175202</v>
      </c>
      <c r="O41" s="47" t="n">
        <f aca="false">O40*O22/10^9</f>
        <v>4.15363411172672</v>
      </c>
      <c r="P41" s="47" t="n">
        <f aca="false">P40*P22/10^9</f>
        <v>4.40659042913087</v>
      </c>
      <c r="Q41" s="47" t="n">
        <f aca="false">Q40*Q22/10^9</f>
        <v>4.67495178626495</v>
      </c>
      <c r="R41" s="47" t="n">
        <f aca="false">R40*R22/10^9</f>
        <v>4.95965635004848</v>
      </c>
      <c r="S41" s="47" t="n">
        <f aca="false">S40*S22/10^9</f>
        <v>5.26169942176643</v>
      </c>
    </row>
    <row r="42" customFormat="false" ht="15" hidden="false" customHeight="false" outlineLevel="0" collapsed="false">
      <c r="B42" s="24" t="s">
        <v>1046</v>
      </c>
      <c r="C42" s="25" t="s">
        <v>905</v>
      </c>
      <c r="F42" s="31" t="n">
        <f aca="false">'E1 TelukLamong Input'!$E$48/'E1 TelukLamong Input'!$E$38*10^9</f>
        <v>348.142681938766</v>
      </c>
      <c r="G42" s="31" t="n">
        <f aca="false">'E1 TelukLamong Input'!$E$48/'E1 TelukLamong Input'!$E$38*10^9</f>
        <v>348.142681938766</v>
      </c>
      <c r="H42" s="31" t="n">
        <f aca="false">'E1 TelukLamong Input'!$E$48/'E1 TelukLamong Input'!$E$38*10^9</f>
        <v>348.142681938766</v>
      </c>
      <c r="I42" s="31" t="n">
        <f aca="false">'E1 TelukLamong Input'!$E$48/'E1 TelukLamong Input'!$E$38*10^9</f>
        <v>348.142681938766</v>
      </c>
      <c r="J42" s="31" t="n">
        <f aca="false">'E1 TelukLamong Input'!$E$48/'E1 TelukLamong Input'!$E$38*10^9</f>
        <v>348.142681938766</v>
      </c>
      <c r="K42" s="31" t="n">
        <f aca="false">'E1 TelukLamong Input'!$E$48/'E1 TelukLamong Input'!$E$38*10^9</f>
        <v>348.142681938766</v>
      </c>
      <c r="L42" s="31" t="n">
        <f aca="false">'E1 TelukLamong Input'!$E$48/'E1 TelukLamong Input'!$E$38*10^9</f>
        <v>348.142681938766</v>
      </c>
      <c r="M42" s="31" t="n">
        <f aca="false">'E1 TelukLamong Input'!$E$48/'E1 TelukLamong Input'!$E$38*10^9</f>
        <v>348.142681938766</v>
      </c>
      <c r="N42" s="31" t="n">
        <f aca="false">'E1 TelukLamong Input'!$E$48/'E1 TelukLamong Input'!$E$38*10^9</f>
        <v>348.142681938766</v>
      </c>
      <c r="O42" s="31" t="n">
        <f aca="false">'E1 TelukLamong Input'!$E$48/'E1 TelukLamong Input'!$E$38*10^9</f>
        <v>348.142681938766</v>
      </c>
      <c r="P42" s="31" t="n">
        <f aca="false">'E1 TelukLamong Input'!$E$48/'E1 TelukLamong Input'!$E$38*10^9</f>
        <v>348.142681938766</v>
      </c>
      <c r="Q42" s="31" t="n">
        <f aca="false">'E1 TelukLamong Input'!$E$48/'E1 TelukLamong Input'!$E$38*10^9</f>
        <v>348.142681938766</v>
      </c>
      <c r="R42" s="31" t="n">
        <f aca="false">'E1 TelukLamong Input'!$E$48/'E1 TelukLamong Input'!$E$38*10^9</f>
        <v>348.142681938766</v>
      </c>
      <c r="S42" s="31" t="n">
        <f aca="false">'E1 TelukLamong Input'!$E$48/'E1 TelukLamong Input'!$E$38*10^9</f>
        <v>348.142681938766</v>
      </c>
    </row>
    <row r="43" customFormat="false" ht="15" hidden="false" customHeight="false" outlineLevel="0" collapsed="false">
      <c r="B43" s="24" t="s">
        <v>1047</v>
      </c>
      <c r="C43" s="25" t="s">
        <v>1019</v>
      </c>
      <c r="F43" s="104" t="n">
        <f aca="false">1</f>
        <v>1</v>
      </c>
      <c r="G43" s="104" t="n">
        <f aca="false">F43*(1+'E1 TelukLamong Input'!G49)*G$8</f>
        <v>1.035</v>
      </c>
      <c r="H43" s="104" t="n">
        <f aca="false">G43*(1+'E1 TelukLamong Input'!H49)*H$8</f>
        <v>1.071225</v>
      </c>
      <c r="I43" s="104" t="n">
        <f aca="false">H43*(1+'E1 TelukLamong Input'!I49)*I$8</f>
        <v>1.108717875</v>
      </c>
      <c r="J43" s="104" t="n">
        <f aca="false">I43*(1+'E1 TelukLamong Input'!J49)*J$8</f>
        <v>1.147523000625</v>
      </c>
      <c r="K43" s="104" t="n">
        <f aca="false">J43*(1+'E1 TelukLamong Input'!K49)*K$8</f>
        <v>1.18768630564687</v>
      </c>
      <c r="L43" s="104" t="n">
        <f aca="false">K43*(1+'E1 TelukLamong Input'!L49)*L$8</f>
        <v>1.22925532634452</v>
      </c>
      <c r="M43" s="104" t="n">
        <f aca="false">L43*(1+'E1 TelukLamong Input'!M49)*M$8</f>
        <v>1.27227926276657</v>
      </c>
      <c r="N43" s="104" t="n">
        <f aca="false">M43*(1+'E1 TelukLamong Input'!N49)*N$8</f>
        <v>1.3168090369634</v>
      </c>
      <c r="O43" s="104" t="n">
        <f aca="false">N43*(1+'E1 TelukLamong Input'!O49)*O$8</f>
        <v>1.36289735325712</v>
      </c>
      <c r="P43" s="104" t="n">
        <f aca="false">O43*(1+'E1 TelukLamong Input'!P49)*P$8</f>
        <v>1.41059876062112</v>
      </c>
      <c r="Q43" s="104" t="n">
        <f aca="false">P43*(1+'E1 TelukLamong Input'!Q49)*Q$8</f>
        <v>1.45996971724286</v>
      </c>
      <c r="R43" s="104" t="n">
        <f aca="false">Q43*(1+'E1 TelukLamong Input'!R49)*R$8</f>
        <v>1.51106865734636</v>
      </c>
      <c r="S43" s="104" t="n">
        <f aca="false">R43*(1+'E1 TelukLamong Input'!S49)*S$8</f>
        <v>1.56395606035348</v>
      </c>
    </row>
    <row r="44" customFormat="false" ht="15" hidden="false" customHeight="false" outlineLevel="0" collapsed="false">
      <c r="B44" s="24" t="s">
        <v>1048</v>
      </c>
      <c r="C44" s="25" t="s">
        <v>905</v>
      </c>
      <c r="F44" s="31" t="n">
        <f aca="false">F42*F43</f>
        <v>348.142681938766</v>
      </c>
      <c r="G44" s="31" t="n">
        <f aca="false">G42*G43</f>
        <v>360.327675806623</v>
      </c>
      <c r="H44" s="31" t="n">
        <f aca="false">H42*H43</f>
        <v>372.939144459855</v>
      </c>
      <c r="I44" s="31" t="n">
        <f aca="false">I42*I43</f>
        <v>385.992014515949</v>
      </c>
      <c r="J44" s="31" t="n">
        <f aca="false">J42*J43</f>
        <v>399.501735024008</v>
      </c>
      <c r="K44" s="31" t="n">
        <f aca="false">K42*K43</f>
        <v>413.484295749848</v>
      </c>
      <c r="L44" s="31" t="n">
        <f aca="false">L42*L43</f>
        <v>427.956246101092</v>
      </c>
      <c r="M44" s="31" t="n">
        <f aca="false">M42*M43</f>
        <v>442.934714714631</v>
      </c>
      <c r="N44" s="31" t="n">
        <f aca="false">N42*N43</f>
        <v>458.437429729643</v>
      </c>
      <c r="O44" s="31" t="n">
        <f aca="false">O42*O43</f>
        <v>474.48273977018</v>
      </c>
      <c r="P44" s="31" t="n">
        <f aca="false">P42*P43</f>
        <v>491.089635662136</v>
      </c>
      <c r="Q44" s="31" t="n">
        <f aca="false">Q42*Q43</f>
        <v>508.277772910311</v>
      </c>
      <c r="R44" s="31" t="n">
        <f aca="false">R42*R43</f>
        <v>526.067494962172</v>
      </c>
      <c r="S44" s="31" t="n">
        <f aca="false">S42*S43</f>
        <v>544.479857285848</v>
      </c>
    </row>
    <row r="45" customFormat="false" ht="15" hidden="false" customHeight="false" outlineLevel="0" collapsed="false">
      <c r="B45" s="24" t="s">
        <v>1049</v>
      </c>
      <c r="C45" s="25" t="s">
        <v>170</v>
      </c>
      <c r="E45" s="47" t="n">
        <f aca="false">SUM(F45:S45)</f>
        <v>25.9352397535585</v>
      </c>
      <c r="F45" s="47" t="n">
        <f aca="false">F44*F22/10^9</f>
        <v>0</v>
      </c>
      <c r="G45" s="47" t="n">
        <f aca="false">G44*G22/10^9</f>
        <v>1.32104053159576</v>
      </c>
      <c r="H45" s="47" t="n">
        <f aca="false">H44*H22/10^9</f>
        <v>1.40829525870766</v>
      </c>
      <c r="I45" s="47" t="n">
        <f aca="false">I44*I22/10^9</f>
        <v>1.5013131605453</v>
      </c>
      <c r="J45" s="47" t="n">
        <f aca="false">J44*J22/10^9</f>
        <v>1.60047489479931</v>
      </c>
      <c r="K45" s="47" t="n">
        <f aca="false">K44*K22/10^9</f>
        <v>1.70618626160081</v>
      </c>
      <c r="L45" s="47" t="n">
        <f aca="false">L44*L22/10^9</f>
        <v>1.81887986417954</v>
      </c>
      <c r="M45" s="47" t="n">
        <f aca="false">M44*M22/10^9</f>
        <v>1.9390168792086</v>
      </c>
      <c r="N45" s="47" t="n">
        <f aca="false">N44*N22/10^9</f>
        <v>2.06708894408033</v>
      </c>
      <c r="O45" s="47" t="n">
        <f aca="false">O44*O22/10^9</f>
        <v>2.20362016883683</v>
      </c>
      <c r="P45" s="47" t="n">
        <f aca="false">P44*P22/10^9</f>
        <v>2.34916928098851</v>
      </c>
      <c r="Q45" s="47" t="n">
        <f aca="false">Q44*Q22/10^9</f>
        <v>2.5043319119978</v>
      </c>
      <c r="R45" s="47" t="n">
        <f aca="false">R44*R22/10^9</f>
        <v>2.66974303478525</v>
      </c>
      <c r="S45" s="47" t="n">
        <f aca="false">S44*S22/10^9</f>
        <v>2.84607956223282</v>
      </c>
    </row>
    <row r="46" customFormat="false" ht="15" hidden="false" customHeight="false" outlineLevel="0" collapsed="false">
      <c r="B46" s="24" t="s">
        <v>1050</v>
      </c>
      <c r="C46" s="25" t="s">
        <v>170</v>
      </c>
      <c r="E46" s="47" t="n">
        <f aca="false">SUM(F46:S46)</f>
        <v>11.9947283220256</v>
      </c>
      <c r="F46" s="47" t="n">
        <f aca="false">'E1 TelukLamong Input'!F50*F83</f>
        <v>0</v>
      </c>
      <c r="G46" s="47" t="n">
        <f aca="false">'E1 TelukLamong Input'!G50*G83</f>
        <v>0.883344086309665</v>
      </c>
      <c r="H46" s="47" t="n">
        <f aca="false">'E1 TelukLamong Input'!H50*H83</f>
        <v>0.883344086309665</v>
      </c>
      <c r="I46" s="47" t="n">
        <f aca="false">'E1 TelukLamong Input'!I50*I83</f>
        <v>0.904646386309665</v>
      </c>
      <c r="J46" s="47" t="n">
        <f aca="false">'E1 TelukLamong Input'!J50*J83</f>
        <v>0.904646386309665</v>
      </c>
      <c r="K46" s="47" t="n">
        <f aca="false">'E1 TelukLamong Input'!K50*K83</f>
        <v>0.904646386309665</v>
      </c>
      <c r="L46" s="47" t="n">
        <f aca="false">'E1 TelukLamong Input'!L50*L83</f>
        <v>0.925948686309665</v>
      </c>
      <c r="M46" s="47" t="n">
        <f aca="false">'E1 TelukLamong Input'!M50*M83</f>
        <v>0.925948686309665</v>
      </c>
      <c r="N46" s="47" t="n">
        <f aca="false">'E1 TelukLamong Input'!N50*N83</f>
        <v>0.925948686309665</v>
      </c>
      <c r="O46" s="47" t="n">
        <f aca="false">'E1 TelukLamong Input'!O50*O83</f>
        <v>0.947250986309665</v>
      </c>
      <c r="P46" s="47" t="n">
        <f aca="false">'E1 TelukLamong Input'!P50*P83</f>
        <v>0.947250986309665</v>
      </c>
      <c r="Q46" s="47" t="n">
        <f aca="false">'E1 TelukLamong Input'!Q50*Q83</f>
        <v>0.947250986309665</v>
      </c>
      <c r="R46" s="47" t="n">
        <f aca="false">'E1 TelukLamong Input'!R50*R83</f>
        <v>0.947250986309665</v>
      </c>
      <c r="S46" s="47" t="n">
        <f aca="false">'E1 TelukLamong Input'!S50*S83</f>
        <v>0.947250986309665</v>
      </c>
    </row>
    <row r="47" customFormat="false" ht="15" hidden="false" customHeight="false" outlineLevel="0" collapsed="false">
      <c r="B47" s="24" t="s">
        <v>1051</v>
      </c>
      <c r="C47" s="25" t="s">
        <v>905</v>
      </c>
      <c r="F47" s="31" t="n">
        <f aca="false">'E1 TelukLamong Input'!$E$51/'E1 TelukLamong Input'!$E$38*10^9</f>
        <v>180.191109675241</v>
      </c>
      <c r="G47" s="31" t="n">
        <f aca="false">'E1 TelukLamong Input'!$E$51/'E1 TelukLamong Input'!$E$38*10^9</f>
        <v>180.191109675241</v>
      </c>
      <c r="H47" s="31" t="n">
        <f aca="false">'E1 TelukLamong Input'!$E$51/'E1 TelukLamong Input'!$E$38*10^9</f>
        <v>180.191109675241</v>
      </c>
      <c r="I47" s="31" t="n">
        <f aca="false">'E1 TelukLamong Input'!$E$51/'E1 TelukLamong Input'!$E$38*10^9</f>
        <v>180.191109675241</v>
      </c>
      <c r="J47" s="31" t="n">
        <f aca="false">'E1 TelukLamong Input'!$E$51/'E1 TelukLamong Input'!$E$38*10^9</f>
        <v>180.191109675241</v>
      </c>
      <c r="K47" s="31" t="n">
        <f aca="false">'E1 TelukLamong Input'!$E$51/'E1 TelukLamong Input'!$E$38*10^9</f>
        <v>180.191109675241</v>
      </c>
      <c r="L47" s="31" t="n">
        <f aca="false">'E1 TelukLamong Input'!$E$51/'E1 TelukLamong Input'!$E$38*10^9</f>
        <v>180.191109675241</v>
      </c>
      <c r="M47" s="31" t="n">
        <f aca="false">'E1 TelukLamong Input'!$E$51/'E1 TelukLamong Input'!$E$38*10^9</f>
        <v>180.191109675241</v>
      </c>
      <c r="N47" s="31" t="n">
        <f aca="false">'E1 TelukLamong Input'!$E$51/'E1 TelukLamong Input'!$E$38*10^9</f>
        <v>180.191109675241</v>
      </c>
      <c r="O47" s="31" t="n">
        <f aca="false">'E1 TelukLamong Input'!$E$51/'E1 TelukLamong Input'!$E$38*10^9</f>
        <v>180.191109675241</v>
      </c>
      <c r="P47" s="31" t="n">
        <f aca="false">'E1 TelukLamong Input'!$E$51/'E1 TelukLamong Input'!$E$38*10^9</f>
        <v>180.191109675241</v>
      </c>
      <c r="Q47" s="31" t="n">
        <f aca="false">'E1 TelukLamong Input'!$E$51/'E1 TelukLamong Input'!$E$38*10^9</f>
        <v>180.191109675241</v>
      </c>
      <c r="R47" s="31" t="n">
        <f aca="false">'E1 TelukLamong Input'!$E$51/'E1 TelukLamong Input'!$E$38*10^9</f>
        <v>180.191109675241</v>
      </c>
      <c r="S47" s="31" t="n">
        <f aca="false">'E1 TelukLamong Input'!$E$51/'E1 TelukLamong Input'!$E$38*10^9</f>
        <v>180.191109675241</v>
      </c>
    </row>
    <row r="48" customFormat="false" ht="15" hidden="false" customHeight="false" outlineLevel="0" collapsed="false">
      <c r="B48" s="24" t="s">
        <v>1052</v>
      </c>
      <c r="C48" s="25" t="s">
        <v>1019</v>
      </c>
      <c r="F48" s="104" t="n">
        <f aca="false">1</f>
        <v>1</v>
      </c>
      <c r="G48" s="104" t="n">
        <f aca="false">F48*(1+'E1 TelukLamong Input'!G52)*G$8</f>
        <v>1.035</v>
      </c>
      <c r="H48" s="104" t="n">
        <f aca="false">G48*(1+'E1 TelukLamong Input'!H52)*H$8</f>
        <v>1.071225</v>
      </c>
      <c r="I48" s="104" t="n">
        <f aca="false">H48*(1+'E1 TelukLamong Input'!I52)*I$8</f>
        <v>1.108717875</v>
      </c>
      <c r="J48" s="104" t="n">
        <f aca="false">I48*(1+'E1 TelukLamong Input'!J52)*J$8</f>
        <v>1.147523000625</v>
      </c>
      <c r="K48" s="104" t="n">
        <f aca="false">J48*(1+'E1 TelukLamong Input'!K52)*K$8</f>
        <v>1.18768630564687</v>
      </c>
      <c r="L48" s="104" t="n">
        <f aca="false">K48*(1+'E1 TelukLamong Input'!L52)*L$8</f>
        <v>1.22925532634452</v>
      </c>
      <c r="M48" s="104" t="n">
        <f aca="false">L48*(1+'E1 TelukLamong Input'!M52)*M$8</f>
        <v>1.27227926276657</v>
      </c>
      <c r="N48" s="104" t="n">
        <f aca="false">M48*(1+'E1 TelukLamong Input'!N52)*N$8</f>
        <v>1.3168090369634</v>
      </c>
      <c r="O48" s="104" t="n">
        <f aca="false">N48*(1+'E1 TelukLamong Input'!O52)*O$8</f>
        <v>1.36289735325712</v>
      </c>
      <c r="P48" s="104" t="n">
        <f aca="false">O48*(1+'E1 TelukLamong Input'!P52)*P$8</f>
        <v>1.41059876062112</v>
      </c>
      <c r="Q48" s="104" t="n">
        <f aca="false">P48*(1+'E1 TelukLamong Input'!Q52)*Q$8</f>
        <v>1.45996971724286</v>
      </c>
      <c r="R48" s="104" t="n">
        <f aca="false">Q48*(1+'E1 TelukLamong Input'!R52)*R$8</f>
        <v>1.51106865734636</v>
      </c>
      <c r="S48" s="104" t="n">
        <f aca="false">R48*(1+'E1 TelukLamong Input'!S52)*S$8</f>
        <v>1.56395606035348</v>
      </c>
    </row>
    <row r="49" customFormat="false" ht="15" hidden="false" customHeight="false" outlineLevel="0" collapsed="false">
      <c r="B49" s="24" t="s">
        <v>1053</v>
      </c>
      <c r="C49" s="25" t="s">
        <v>905</v>
      </c>
      <c r="F49" s="31" t="n">
        <f aca="false">F47*F48</f>
        <v>180.191109675241</v>
      </c>
      <c r="G49" s="31" t="n">
        <f aca="false">G47*G48</f>
        <v>186.497798513874</v>
      </c>
      <c r="H49" s="31" t="n">
        <f aca="false">H47*H48</f>
        <v>193.02522146186</v>
      </c>
      <c r="I49" s="31" t="n">
        <f aca="false">I47*I48</f>
        <v>199.781104213025</v>
      </c>
      <c r="J49" s="31" t="n">
        <f aca="false">J47*J48</f>
        <v>206.773442860481</v>
      </c>
      <c r="K49" s="31" t="n">
        <f aca="false">K47*K48</f>
        <v>214.010513360598</v>
      </c>
      <c r="L49" s="31" t="n">
        <f aca="false">L47*L48</f>
        <v>221.500881328219</v>
      </c>
      <c r="M49" s="31" t="n">
        <f aca="false">M47*M48</f>
        <v>229.253412174706</v>
      </c>
      <c r="N49" s="31" t="n">
        <f aca="false">N47*N48</f>
        <v>237.277281600821</v>
      </c>
      <c r="O49" s="31" t="n">
        <f aca="false">O47*O48</f>
        <v>245.58198645685</v>
      </c>
      <c r="P49" s="31" t="n">
        <f aca="false">P47*P48</f>
        <v>254.177355982839</v>
      </c>
      <c r="Q49" s="31" t="n">
        <f aca="false">Q47*Q48</f>
        <v>263.073563442239</v>
      </c>
      <c r="R49" s="31" t="n">
        <f aca="false">R47*R48</f>
        <v>272.281138162717</v>
      </c>
      <c r="S49" s="31" t="n">
        <f aca="false">S47*S48</f>
        <v>281.810977998412</v>
      </c>
    </row>
    <row r="50" customFormat="false" ht="15" hidden="false" customHeight="false" outlineLevel="0" collapsed="false">
      <c r="B50" s="24" t="s">
        <v>1054</v>
      </c>
      <c r="C50" s="25" t="s">
        <v>170</v>
      </c>
      <c r="E50" s="47" t="n">
        <f aca="false">SUM(F50:S50)</f>
        <v>13.4235182105856</v>
      </c>
      <c r="F50" s="47" t="n">
        <f aca="false">F49*F22/10^9</f>
        <v>0</v>
      </c>
      <c r="G50" s="47" t="n">
        <f aca="false">G49*G22/10^9</f>
        <v>0.683741958867537</v>
      </c>
      <c r="H50" s="47" t="n">
        <f aca="false">H49*H22/10^9</f>
        <v>0.728903115250738</v>
      </c>
      <c r="I50" s="47" t="n">
        <f aca="false">I49*I22/10^9</f>
        <v>0.777047166013049</v>
      </c>
      <c r="J50" s="47" t="n">
        <f aca="false">J49*J22/10^9</f>
        <v>0.828371131328211</v>
      </c>
      <c r="K50" s="47" t="n">
        <f aca="false">K49*K22/10^9</f>
        <v>0.883085044552439</v>
      </c>
      <c r="L50" s="47" t="n">
        <f aca="false">L49*L22/10^9</f>
        <v>0.941412811745127</v>
      </c>
      <c r="M50" s="47" t="n">
        <f aca="false">M49*M22/10^9</f>
        <v>1.00359312796089</v>
      </c>
      <c r="N50" s="47" t="n">
        <f aca="false">N49*N22/10^9</f>
        <v>1.06988045406271</v>
      </c>
      <c r="O50" s="47" t="n">
        <f aca="false">O49*O22/10^9</f>
        <v>1.14054605805355</v>
      </c>
      <c r="P50" s="47" t="n">
        <f aca="false">P49*P22/10^9</f>
        <v>1.21587912518799</v>
      </c>
      <c r="Q50" s="47" t="n">
        <f aca="false">Q49*Q22/10^9</f>
        <v>1.29618794140666</v>
      </c>
      <c r="R50" s="47" t="n">
        <f aca="false">R49*R22/10^9</f>
        <v>1.38180115493657</v>
      </c>
      <c r="S50" s="47" t="n">
        <f aca="false">S49*S22/10^9</f>
        <v>1.47306912122012</v>
      </c>
    </row>
    <row r="51" customFormat="false" ht="15" hidden="false" customHeight="false" outlineLevel="0" collapsed="false">
      <c r="B51" s="24" t="s">
        <v>1055</v>
      </c>
      <c r="C51" s="25" t="s">
        <v>905</v>
      </c>
      <c r="F51" s="31" t="n">
        <f aca="false">'E1 TelukLamong Input'!$E$53/'E1 TelukLamong Input'!$E$38*10^9</f>
        <v>66.7502379147532</v>
      </c>
      <c r="G51" s="31" t="n">
        <f aca="false">'E1 TelukLamong Input'!$E$53/'E1 TelukLamong Input'!$E$38*10^9</f>
        <v>66.7502379147532</v>
      </c>
      <c r="H51" s="31" t="n">
        <f aca="false">'E1 TelukLamong Input'!$E$53/'E1 TelukLamong Input'!$E$38*10^9</f>
        <v>66.7502379147532</v>
      </c>
      <c r="I51" s="31" t="n">
        <f aca="false">'E1 TelukLamong Input'!$E$53/'E1 TelukLamong Input'!$E$38*10^9</f>
        <v>66.7502379147532</v>
      </c>
      <c r="J51" s="31" t="n">
        <f aca="false">'E1 TelukLamong Input'!$E$53/'E1 TelukLamong Input'!$E$38*10^9</f>
        <v>66.7502379147532</v>
      </c>
      <c r="K51" s="31" t="n">
        <f aca="false">'E1 TelukLamong Input'!$E$53/'E1 TelukLamong Input'!$E$38*10^9</f>
        <v>66.7502379147532</v>
      </c>
      <c r="L51" s="31" t="n">
        <f aca="false">'E1 TelukLamong Input'!$E$53/'E1 TelukLamong Input'!$E$38*10^9</f>
        <v>66.7502379147532</v>
      </c>
      <c r="M51" s="31" t="n">
        <f aca="false">'E1 TelukLamong Input'!$E$53/'E1 TelukLamong Input'!$E$38*10^9</f>
        <v>66.7502379147532</v>
      </c>
      <c r="N51" s="31" t="n">
        <f aca="false">'E1 TelukLamong Input'!$E$53/'E1 TelukLamong Input'!$E$38*10^9</f>
        <v>66.7502379147532</v>
      </c>
      <c r="O51" s="31" t="n">
        <f aca="false">'E1 TelukLamong Input'!$E$53/'E1 TelukLamong Input'!$E$38*10^9</f>
        <v>66.7502379147532</v>
      </c>
      <c r="P51" s="31" t="n">
        <f aca="false">'E1 TelukLamong Input'!$E$53/'E1 TelukLamong Input'!$E$38*10^9</f>
        <v>66.7502379147532</v>
      </c>
      <c r="Q51" s="31" t="n">
        <f aca="false">'E1 TelukLamong Input'!$E$53/'E1 TelukLamong Input'!$E$38*10^9</f>
        <v>66.7502379147532</v>
      </c>
      <c r="R51" s="31" t="n">
        <f aca="false">'E1 TelukLamong Input'!$E$53/'E1 TelukLamong Input'!$E$38*10^9</f>
        <v>66.7502379147532</v>
      </c>
      <c r="S51" s="31" t="n">
        <f aca="false">'E1 TelukLamong Input'!$E$53/'E1 TelukLamong Input'!$E$38*10^9</f>
        <v>66.7502379147532</v>
      </c>
    </row>
    <row r="52" customFormat="false" ht="15" hidden="false" customHeight="false" outlineLevel="0" collapsed="false">
      <c r="B52" s="24" t="s">
        <v>1056</v>
      </c>
      <c r="C52" s="25" t="s">
        <v>1019</v>
      </c>
      <c r="F52" s="104" t="n">
        <f aca="false">1</f>
        <v>1</v>
      </c>
      <c r="G52" s="104" t="n">
        <f aca="false">F52*(1+'E1 TelukLamong Input'!G54)*G$8</f>
        <v>1.03</v>
      </c>
      <c r="H52" s="104" t="n">
        <f aca="false">G52*(1+'E1 TelukLamong Input'!H54)*H$8</f>
        <v>1.0609</v>
      </c>
      <c r="I52" s="104" t="n">
        <f aca="false">H52*(1+'E1 TelukLamong Input'!I54)*I$8</f>
        <v>1.092727</v>
      </c>
      <c r="J52" s="104" t="n">
        <f aca="false">I52*(1+'E1 TelukLamong Input'!J54)*J$8</f>
        <v>1.12550881</v>
      </c>
      <c r="K52" s="104" t="n">
        <f aca="false">J52*(1+'E1 TelukLamong Input'!K54)*K$8</f>
        <v>1.1592740743</v>
      </c>
      <c r="L52" s="104" t="n">
        <f aca="false">K52*(1+'E1 TelukLamong Input'!L54)*L$8</f>
        <v>1.194052296529</v>
      </c>
      <c r="M52" s="104" t="n">
        <f aca="false">L52*(1+'E1 TelukLamong Input'!M54)*M$8</f>
        <v>1.22987386542487</v>
      </c>
      <c r="N52" s="104" t="n">
        <f aca="false">M52*(1+'E1 TelukLamong Input'!N54)*N$8</f>
        <v>1.26677008138762</v>
      </c>
      <c r="O52" s="104" t="n">
        <f aca="false">N52*(1+'E1 TelukLamong Input'!O54)*O$8</f>
        <v>1.30477318382925</v>
      </c>
      <c r="P52" s="104" t="n">
        <f aca="false">O52*(1+'E1 TelukLamong Input'!P54)*P$8</f>
        <v>1.34391637934412</v>
      </c>
      <c r="Q52" s="104" t="n">
        <f aca="false">P52*(1+'E1 TelukLamong Input'!Q54)*Q$8</f>
        <v>1.38423387072445</v>
      </c>
      <c r="R52" s="104" t="n">
        <f aca="false">Q52*(1+'E1 TelukLamong Input'!R54)*R$8</f>
        <v>1.42576088684618</v>
      </c>
      <c r="S52" s="104" t="n">
        <f aca="false">R52*(1+'E1 TelukLamong Input'!S54)*S$8</f>
        <v>1.46853371345156</v>
      </c>
    </row>
    <row r="53" customFormat="false" ht="15" hidden="false" customHeight="false" outlineLevel="0" collapsed="false">
      <c r="B53" s="24" t="s">
        <v>1057</v>
      </c>
      <c r="C53" s="25" t="s">
        <v>905</v>
      </c>
      <c r="F53" s="31" t="n">
        <f aca="false">F51*F52</f>
        <v>66.7502379147532</v>
      </c>
      <c r="G53" s="31" t="n">
        <f aca="false">G51*G52</f>
        <v>68.7527450521958</v>
      </c>
      <c r="H53" s="31" t="n">
        <f aca="false">H51*H52</f>
        <v>70.8153274037616</v>
      </c>
      <c r="I53" s="31" t="n">
        <f aca="false">I51*I52</f>
        <v>72.9397872258745</v>
      </c>
      <c r="J53" s="31" t="n">
        <f aca="false">J51*J52</f>
        <v>75.1279808426507</v>
      </c>
      <c r="K53" s="31" t="n">
        <f aca="false">K51*K52</f>
        <v>77.3818202679302</v>
      </c>
      <c r="L53" s="31" t="n">
        <f aca="false">L51*L52</f>
        <v>79.7032748759682</v>
      </c>
      <c r="M53" s="31" t="n">
        <f aca="false">M51*M52</f>
        <v>82.0943731222472</v>
      </c>
      <c r="N53" s="31" t="n">
        <f aca="false">N51*N52</f>
        <v>84.5572043159146</v>
      </c>
      <c r="O53" s="31" t="n">
        <f aca="false">O51*O52</f>
        <v>87.0939204453921</v>
      </c>
      <c r="P53" s="31" t="n">
        <f aca="false">P51*P52</f>
        <v>89.7067380587538</v>
      </c>
      <c r="Q53" s="31" t="n">
        <f aca="false">Q51*Q52</f>
        <v>92.3979402005164</v>
      </c>
      <c r="R53" s="31" t="n">
        <f aca="false">R51*R52</f>
        <v>95.1698784065319</v>
      </c>
      <c r="S53" s="31" t="n">
        <f aca="false">S51*S52</f>
        <v>98.0249747587279</v>
      </c>
    </row>
    <row r="54" customFormat="false" ht="15" hidden="false" customHeight="false" outlineLevel="0" collapsed="false">
      <c r="B54" s="24" t="s">
        <v>1058</v>
      </c>
      <c r="C54" s="25" t="s">
        <v>170</v>
      </c>
      <c r="E54" s="47" t="n">
        <f aca="false">SUM(F54:S54)</f>
        <v>4.78708546684467</v>
      </c>
      <c r="F54" s="47" t="n">
        <f aca="false">F53*F22/10^9</f>
        <v>0</v>
      </c>
      <c r="G54" s="47" t="n">
        <f aca="false">G53*G22/10^9</f>
        <v>0.252062688965261</v>
      </c>
      <c r="H54" s="47" t="n">
        <f aca="false">H53*H22/10^9</f>
        <v>0.267413306723246</v>
      </c>
      <c r="I54" s="47" t="n">
        <f aca="false">I53*I22/10^9</f>
        <v>0.283698777102691</v>
      </c>
      <c r="J54" s="47" t="n">
        <f aca="false">J53*J22/10^9</f>
        <v>0.300976032628245</v>
      </c>
      <c r="K54" s="47" t="n">
        <f aca="false">K53*K22/10^9</f>
        <v>0.319305473015305</v>
      </c>
      <c r="L54" s="47" t="n">
        <f aca="false">L53*L22/10^9</f>
        <v>0.338751176321937</v>
      </c>
      <c r="M54" s="47" t="n">
        <f aca="false">M53*M22/10^9</f>
        <v>0.359381122959943</v>
      </c>
      <c r="N54" s="47" t="n">
        <f aca="false">N53*N22/10^9</f>
        <v>0.381267433348204</v>
      </c>
      <c r="O54" s="47" t="n">
        <f aca="false">O53*O22/10^9</f>
        <v>0.40448662003911</v>
      </c>
      <c r="P54" s="47" t="n">
        <f aca="false">P53*P22/10^9</f>
        <v>0.429119855199491</v>
      </c>
      <c r="Q54" s="47" t="n">
        <f aca="false">Q53*Q22/10^9</f>
        <v>0.45525325438114</v>
      </c>
      <c r="R54" s="47" t="n">
        <f aca="false">R53*R22/10^9</f>
        <v>0.482978177572952</v>
      </c>
      <c r="S54" s="47" t="n">
        <f aca="false">S53*S22/10^9</f>
        <v>0.512391548587145</v>
      </c>
    </row>
    <row r="55" customFormat="false" ht="15" hidden="false" customHeight="false" outlineLevel="0" collapsed="false">
      <c r="B55" s="69" t="s">
        <v>1059</v>
      </c>
      <c r="C55" s="25" t="s">
        <v>170</v>
      </c>
      <c r="E55" s="70" t="n">
        <f aca="false">SUM(F55:S55)</f>
        <v>520.419775817499</v>
      </c>
      <c r="F55" s="68" t="n">
        <f aca="false">F27+F31+F35+F37+F41+F45+F46+F50+F54</f>
        <v>0</v>
      </c>
      <c r="G55" s="68" t="n">
        <f aca="false">G27+G31+G35+G37+G41+G45+G46+G50+G54</f>
        <v>29.9337855786487</v>
      </c>
      <c r="H55" s="68" t="n">
        <f aca="false">H27+H31+H35+H37+H41+H45+H46+H50+H54</f>
        <v>31.3122211995089</v>
      </c>
      <c r="I55" s="68" t="n">
        <f aca="false">I27+I31+I35+I37+I41+I45+I46+I50+I54</f>
        <v>32.7825506601247</v>
      </c>
      <c r="J55" s="68" t="n">
        <f aca="false">J27+J31+J35+J37+J41+J45+J46+J50+J54</f>
        <v>34.3060221279257</v>
      </c>
      <c r="K55" s="68" t="n">
        <f aca="false">K27+K31+K35+K37+K41+K45+K46+K50+K54</f>
        <v>35.9080110834332</v>
      </c>
      <c r="L55" s="68" t="n">
        <f aca="false">L27+L31+L35+L37+L41+L45+L46+L50+L54</f>
        <v>37.6141264380765</v>
      </c>
      <c r="M55" s="68" t="n">
        <f aca="false">M27+M31+M35+M37+M41+M45+M46+M50+M54</f>
        <v>39.3863174367096</v>
      </c>
      <c r="N55" s="68" t="n">
        <f aca="false">N27+N31+N35+N37+N41+N45+N46+N50+N54</f>
        <v>41.2507020927348</v>
      </c>
      <c r="O55" s="68" t="n">
        <f aca="false">O27+O31+O35+O37+O41+O45+O46+O50+O54</f>
        <v>43.233675806691</v>
      </c>
      <c r="P55" s="68" t="n">
        <f aca="false">P27+P31+P35+P37+P41+P45+P46+P50+P54</f>
        <v>45.2980209222938</v>
      </c>
      <c r="Q55" s="68" t="n">
        <f aca="false">Q27+Q31+Q35+Q37+Q41+Q45+Q46+Q50+Q54</f>
        <v>47.4707379772393</v>
      </c>
      <c r="R55" s="68" t="n">
        <f aca="false">R27+R31+R35+R37+R41+R45+R46+R50+R54</f>
        <v>49.7578550096135</v>
      </c>
      <c r="S55" s="68" t="n">
        <f aca="false">S27+S31+S35+S37+S41+S45+S46+S50+S54</f>
        <v>52.1657494844997</v>
      </c>
    </row>
    <row r="57" customFormat="false" ht="15" hidden="false" customHeight="false" outlineLevel="0" collapsed="false">
      <c r="B57" s="22" t="s">
        <v>1060</v>
      </c>
      <c r="C57" s="23"/>
      <c r="D57" s="23"/>
      <c r="E57" s="23"/>
      <c r="F57" s="23"/>
      <c r="G57" s="23"/>
      <c r="H57" s="23"/>
      <c r="I57" s="23"/>
      <c r="J57" s="23"/>
      <c r="K57" s="23"/>
      <c r="L57" s="23"/>
      <c r="M57" s="23"/>
      <c r="N57" s="23"/>
      <c r="O57" s="23"/>
      <c r="P57" s="23"/>
      <c r="Q57" s="23"/>
      <c r="R57" s="23"/>
      <c r="S57" s="23"/>
    </row>
    <row r="58" customFormat="false" ht="15" hidden="false" customHeight="false" outlineLevel="0" collapsed="false">
      <c r="B58" s="24" t="s">
        <v>1061</v>
      </c>
      <c r="C58" s="25" t="s">
        <v>1019</v>
      </c>
      <c r="F58" s="104" t="n">
        <f aca="false">1</f>
        <v>1</v>
      </c>
      <c r="G58" s="104" t="n">
        <f aca="false">F58*(1+'E1 TelukLamong Input'!G62)*G$8</f>
        <v>1.03</v>
      </c>
      <c r="H58" s="104" t="n">
        <f aca="false">G58*(1+'E1 TelukLamong Input'!H62)*H$8</f>
        <v>1.0609</v>
      </c>
      <c r="I58" s="104" t="n">
        <f aca="false">H58*(1+'E1 TelukLamong Input'!I62)*I$8</f>
        <v>1.092727</v>
      </c>
      <c r="J58" s="104" t="n">
        <f aca="false">I58*(1+'E1 TelukLamong Input'!J62)*J$8</f>
        <v>1.12550881</v>
      </c>
      <c r="K58" s="104" t="n">
        <f aca="false">J58*(1+'E1 TelukLamong Input'!K62)*K$8</f>
        <v>1.1592740743</v>
      </c>
      <c r="L58" s="104" t="n">
        <f aca="false">K58*(1+'E1 TelukLamong Input'!L62)*L$8</f>
        <v>1.194052296529</v>
      </c>
      <c r="M58" s="104" t="n">
        <f aca="false">L58*(1+'E1 TelukLamong Input'!M62)*M$8</f>
        <v>1.22987386542487</v>
      </c>
      <c r="N58" s="104" t="n">
        <f aca="false">M58*(1+'E1 TelukLamong Input'!N62)*N$8</f>
        <v>1.26677008138762</v>
      </c>
      <c r="O58" s="104" t="n">
        <f aca="false">N58*(1+'E1 TelukLamong Input'!O62)*O$8</f>
        <v>1.30477318382925</v>
      </c>
      <c r="P58" s="104" t="n">
        <f aca="false">O58*(1+'E1 TelukLamong Input'!P62)*P$8</f>
        <v>1.34391637934412</v>
      </c>
      <c r="Q58" s="104" t="n">
        <f aca="false">P58*(1+'E1 TelukLamong Input'!Q62)*Q$8</f>
        <v>1.38423387072445</v>
      </c>
      <c r="R58" s="104" t="n">
        <f aca="false">Q58*(1+'E1 TelukLamong Input'!R62)*R$8</f>
        <v>1.42576088684618</v>
      </c>
      <c r="S58" s="104" t="n">
        <f aca="false">R58*(1+'E1 TelukLamong Input'!S62)*S$8</f>
        <v>1.46853371345156</v>
      </c>
    </row>
    <row r="59" customFormat="false" ht="15" hidden="false" customHeight="false" outlineLevel="0" collapsed="false">
      <c r="B59" s="24" t="s">
        <v>1062</v>
      </c>
      <c r="C59" s="25" t="s">
        <v>170</v>
      </c>
      <c r="E59" s="47" t="n">
        <f aca="false">SUM(F59:S59)</f>
        <v>106.925796703731</v>
      </c>
      <c r="F59" s="47" t="n">
        <f aca="false">'E1 TelukLamong Input'!$E$61*F58*F$8</f>
        <v>0</v>
      </c>
      <c r="G59" s="47" t="n">
        <f aca="false">'E1 TelukLamong Input'!$E$61*G58*G$8</f>
        <v>6.84641</v>
      </c>
      <c r="H59" s="47" t="n">
        <f aca="false">'E1 TelukLamong Input'!$E$61*H58*H$8</f>
        <v>7.0518023</v>
      </c>
      <c r="I59" s="47" t="n">
        <f aca="false">'E1 TelukLamong Input'!$E$61*I58*I$8</f>
        <v>7.263356369</v>
      </c>
      <c r="J59" s="47" t="n">
        <f aca="false">'E1 TelukLamong Input'!$E$61*J58*J$8</f>
        <v>7.48125706007</v>
      </c>
      <c r="K59" s="47" t="n">
        <f aca="false">'E1 TelukLamong Input'!$E$61*K58*K$8</f>
        <v>7.7056947718721</v>
      </c>
      <c r="L59" s="47" t="n">
        <f aca="false">'E1 TelukLamong Input'!$E$61*L58*L$8</f>
        <v>7.93686561502826</v>
      </c>
      <c r="M59" s="47" t="n">
        <f aca="false">'E1 TelukLamong Input'!$E$61*M58*M$8</f>
        <v>8.17497158347911</v>
      </c>
      <c r="N59" s="47" t="n">
        <f aca="false">'E1 TelukLamong Input'!$E$61*N58*N$8</f>
        <v>8.42022073098349</v>
      </c>
      <c r="O59" s="47" t="n">
        <f aca="false">'E1 TelukLamong Input'!$E$61*O58*O$8</f>
        <v>8.67282735291299</v>
      </c>
      <c r="P59" s="47" t="n">
        <f aca="false">'E1 TelukLamong Input'!$E$61*P58*P$8</f>
        <v>8.93301217350038</v>
      </c>
      <c r="Q59" s="47" t="n">
        <f aca="false">'E1 TelukLamong Input'!$E$61*Q58*Q$8</f>
        <v>9.20100253870539</v>
      </c>
      <c r="R59" s="47" t="n">
        <f aca="false">'E1 TelukLamong Input'!$E$61*R58*R$8</f>
        <v>9.47703261486655</v>
      </c>
      <c r="S59" s="47" t="n">
        <f aca="false">'E1 TelukLamong Input'!$E$61*S58*S$8</f>
        <v>9.76134359331255</v>
      </c>
    </row>
    <row r="60" customFormat="false" ht="15" hidden="false" customHeight="false" outlineLevel="0" collapsed="false">
      <c r="B60" s="24" t="s">
        <v>1063</v>
      </c>
      <c r="C60" s="25" t="s">
        <v>1019</v>
      </c>
      <c r="F60" s="104" t="n">
        <f aca="false">1</f>
        <v>1</v>
      </c>
      <c r="G60" s="104" t="n">
        <f aca="false">F60*(1+'E1 TelukLamong Input'!G64)*G$8</f>
        <v>1.03</v>
      </c>
      <c r="H60" s="104" t="n">
        <f aca="false">G60*(1+'E1 TelukLamong Input'!H64)*H$8</f>
        <v>1.0609</v>
      </c>
      <c r="I60" s="104" t="n">
        <f aca="false">H60*(1+'E1 TelukLamong Input'!I64)*I$8</f>
        <v>1.092727</v>
      </c>
      <c r="J60" s="104" t="n">
        <f aca="false">I60*(1+'E1 TelukLamong Input'!J64)*J$8</f>
        <v>1.12550881</v>
      </c>
      <c r="K60" s="104" t="n">
        <f aca="false">J60*(1+'E1 TelukLamong Input'!K64)*K$8</f>
        <v>1.1592740743</v>
      </c>
      <c r="L60" s="104" t="n">
        <f aca="false">K60*(1+'E1 TelukLamong Input'!L64)*L$8</f>
        <v>1.194052296529</v>
      </c>
      <c r="M60" s="104" t="n">
        <f aca="false">L60*(1+'E1 TelukLamong Input'!M64)*M$8</f>
        <v>1.22987386542487</v>
      </c>
      <c r="N60" s="104" t="n">
        <f aca="false">M60*(1+'E1 TelukLamong Input'!N64)*N$8</f>
        <v>1.26677008138762</v>
      </c>
      <c r="O60" s="104" t="n">
        <f aca="false">N60*(1+'E1 TelukLamong Input'!O64)*O$8</f>
        <v>1.30477318382925</v>
      </c>
      <c r="P60" s="104" t="n">
        <f aca="false">O60*(1+'E1 TelukLamong Input'!P64)*P$8</f>
        <v>1.34391637934412</v>
      </c>
      <c r="Q60" s="104" t="n">
        <f aca="false">P60*(1+'E1 TelukLamong Input'!Q64)*Q$8</f>
        <v>1.38423387072445</v>
      </c>
      <c r="R60" s="104" t="n">
        <f aca="false">Q60*(1+'E1 TelukLamong Input'!R64)*R$8</f>
        <v>1.42576088684618</v>
      </c>
      <c r="S60" s="104" t="n">
        <f aca="false">R60*(1+'E1 TelukLamong Input'!S64)*S$8</f>
        <v>1.46853371345156</v>
      </c>
    </row>
    <row r="61" customFormat="false" ht="15" hidden="false" customHeight="false" outlineLevel="0" collapsed="false">
      <c r="B61" s="24" t="s">
        <v>1064</v>
      </c>
      <c r="C61" s="25" t="s">
        <v>170</v>
      </c>
      <c r="E61" s="47" t="n">
        <f aca="false">SUM(F61:S61)</f>
        <v>41.1373959158243</v>
      </c>
      <c r="F61" s="47" t="n">
        <f aca="false">'E1 TelukLamong Input'!$E$63*F60*F$8</f>
        <v>0</v>
      </c>
      <c r="G61" s="47" t="n">
        <f aca="false">'E1 TelukLamong Input'!$E$63*G60*G$8</f>
        <v>2.6340087</v>
      </c>
      <c r="H61" s="47" t="n">
        <f aca="false">'E1 TelukLamong Input'!$E$63*H60*H$8</f>
        <v>2.713028961</v>
      </c>
      <c r="I61" s="47" t="n">
        <f aca="false">'E1 TelukLamong Input'!$E$63*I60*I$8</f>
        <v>2.79441982983</v>
      </c>
      <c r="J61" s="47" t="n">
        <f aca="false">'E1 TelukLamong Input'!$E$63*J60*J$8</f>
        <v>2.8782524247249</v>
      </c>
      <c r="K61" s="47" t="n">
        <f aca="false">'E1 TelukLamong Input'!$E$63*K60*K$8</f>
        <v>2.96459999746665</v>
      </c>
      <c r="L61" s="47" t="n">
        <f aca="false">'E1 TelukLamong Input'!$E$63*L60*L$8</f>
        <v>3.05353799739065</v>
      </c>
      <c r="M61" s="47" t="n">
        <f aca="false">'E1 TelukLamong Input'!$E$63*M60*M$8</f>
        <v>3.14514413731237</v>
      </c>
      <c r="N61" s="47" t="n">
        <f aca="false">'E1 TelukLamong Input'!$E$63*N60*N$8</f>
        <v>3.23949846143174</v>
      </c>
      <c r="O61" s="47" t="n">
        <f aca="false">'E1 TelukLamong Input'!$E$63*O60*O$8</f>
        <v>3.33668341527469</v>
      </c>
      <c r="P61" s="47" t="n">
        <f aca="false">'E1 TelukLamong Input'!$E$63*P60*P$8</f>
        <v>3.43678391773293</v>
      </c>
      <c r="Q61" s="47" t="n">
        <f aca="false">'E1 TelukLamong Input'!$E$63*Q60*Q$8</f>
        <v>3.53988743526492</v>
      </c>
      <c r="R61" s="47" t="n">
        <f aca="false">'E1 TelukLamong Input'!$E$63*R60*R$8</f>
        <v>3.64608405832287</v>
      </c>
      <c r="S61" s="47" t="n">
        <f aca="false">'E1 TelukLamong Input'!$E$63*S60*S$8</f>
        <v>3.75546658007255</v>
      </c>
    </row>
    <row r="62" customFormat="false" ht="15" hidden="false" customHeight="false" outlineLevel="0" collapsed="false">
      <c r="B62" s="24" t="s">
        <v>1065</v>
      </c>
      <c r="C62" s="25" t="s">
        <v>1019</v>
      </c>
      <c r="F62" s="104" t="n">
        <f aca="false">1</f>
        <v>1</v>
      </c>
      <c r="G62" s="104" t="n">
        <f aca="false">F62*(1+'E1 TelukLamong Input'!G66)*G$8</f>
        <v>1.03</v>
      </c>
      <c r="H62" s="104" t="n">
        <f aca="false">G62*(1+'E1 TelukLamong Input'!H66)*H$8</f>
        <v>1.0609</v>
      </c>
      <c r="I62" s="104" t="n">
        <f aca="false">H62*(1+'E1 TelukLamong Input'!I66)*I$8</f>
        <v>1.092727</v>
      </c>
      <c r="J62" s="104" t="n">
        <f aca="false">I62*(1+'E1 TelukLamong Input'!J66)*J$8</f>
        <v>1.12550881</v>
      </c>
      <c r="K62" s="104" t="n">
        <f aca="false">J62*(1+'E1 TelukLamong Input'!K66)*K$8</f>
        <v>1.1592740743</v>
      </c>
      <c r="L62" s="104" t="n">
        <f aca="false">K62*(1+'E1 TelukLamong Input'!L66)*L$8</f>
        <v>1.194052296529</v>
      </c>
      <c r="M62" s="104" t="n">
        <f aca="false">L62*(1+'E1 TelukLamong Input'!M66)*M$8</f>
        <v>1.22987386542487</v>
      </c>
      <c r="N62" s="104" t="n">
        <f aca="false">M62*(1+'E1 TelukLamong Input'!N66)*N$8</f>
        <v>1.26677008138762</v>
      </c>
      <c r="O62" s="104" t="n">
        <f aca="false">N62*(1+'E1 TelukLamong Input'!O66)*O$8</f>
        <v>1.30477318382925</v>
      </c>
      <c r="P62" s="104" t="n">
        <f aca="false">O62*(1+'E1 TelukLamong Input'!P66)*P$8</f>
        <v>1.34391637934412</v>
      </c>
      <c r="Q62" s="104" t="n">
        <f aca="false">P62*(1+'E1 TelukLamong Input'!Q66)*Q$8</f>
        <v>1.38423387072445</v>
      </c>
      <c r="R62" s="104" t="n">
        <f aca="false">Q62*(1+'E1 TelukLamong Input'!R66)*R$8</f>
        <v>1.42576088684618</v>
      </c>
      <c r="S62" s="104" t="n">
        <f aca="false">R62*(1+'E1 TelukLamong Input'!S66)*S$8</f>
        <v>1.46853371345156</v>
      </c>
    </row>
    <row r="63" customFormat="false" ht="15" hidden="false" customHeight="false" outlineLevel="0" collapsed="false">
      <c r="B63" s="24" t="s">
        <v>1066</v>
      </c>
      <c r="C63" s="25" t="s">
        <v>170</v>
      </c>
      <c r="E63" s="47" t="n">
        <f aca="false">SUM(F63:S63)</f>
        <v>16.8761626781832</v>
      </c>
      <c r="F63" s="47" t="n">
        <f aca="false">'E1 TelukLamong Input'!$E$65*F62*F$8</f>
        <v>0</v>
      </c>
      <c r="G63" s="47" t="n">
        <f aca="false">'E1 TelukLamong Input'!$E$65*G62*G$8</f>
        <v>1.080573</v>
      </c>
      <c r="H63" s="47" t="n">
        <f aca="false">'E1 TelukLamong Input'!$E$65*H62*H$8</f>
        <v>1.11299019</v>
      </c>
      <c r="I63" s="47" t="n">
        <f aca="false">'E1 TelukLamong Input'!$E$65*I62*I$8</f>
        <v>1.1463798957</v>
      </c>
      <c r="J63" s="47" t="n">
        <f aca="false">'E1 TelukLamong Input'!$E$65*J62*J$8</f>
        <v>1.180771292571</v>
      </c>
      <c r="K63" s="47" t="n">
        <f aca="false">'E1 TelukLamong Input'!$E$65*K62*K$8</f>
        <v>1.21619443134813</v>
      </c>
      <c r="L63" s="47" t="n">
        <f aca="false">'E1 TelukLamong Input'!$E$65*L62*L$8</f>
        <v>1.25268026428857</v>
      </c>
      <c r="M63" s="47" t="n">
        <f aca="false">'E1 TelukLamong Input'!$E$65*M62*M$8</f>
        <v>1.29026067221723</v>
      </c>
      <c r="N63" s="47" t="n">
        <f aca="false">'E1 TelukLamong Input'!$E$65*N62*N$8</f>
        <v>1.32896849238375</v>
      </c>
      <c r="O63" s="47" t="n">
        <f aca="false">'E1 TelukLamong Input'!$E$65*O62*O$8</f>
        <v>1.36883754715526</v>
      </c>
      <c r="P63" s="47" t="n">
        <f aca="false">'E1 TelukLamong Input'!$E$65*P62*P$8</f>
        <v>1.40990267356992</v>
      </c>
      <c r="Q63" s="47" t="n">
        <f aca="false">'E1 TelukLamong Input'!$E$65*Q62*Q$8</f>
        <v>1.45219975377702</v>
      </c>
      <c r="R63" s="47" t="n">
        <f aca="false">'E1 TelukLamong Input'!$E$65*R62*R$8</f>
        <v>1.49576574639033</v>
      </c>
      <c r="S63" s="47" t="n">
        <f aca="false">'E1 TelukLamong Input'!$E$65*S62*S$8</f>
        <v>1.54063871878204</v>
      </c>
    </row>
    <row r="64" customFormat="false" ht="15" hidden="false" customHeight="false" outlineLevel="0" collapsed="false">
      <c r="B64" s="24" t="s">
        <v>1067</v>
      </c>
      <c r="C64" s="25" t="s">
        <v>1019</v>
      </c>
      <c r="F64" s="104" t="n">
        <f aca="false">1</f>
        <v>1</v>
      </c>
      <c r="G64" s="104" t="n">
        <f aca="false">F64*(1+'E1 TelukLamong Input'!G68)*G$8</f>
        <v>1.03</v>
      </c>
      <c r="H64" s="104" t="n">
        <f aca="false">G64*(1+'E1 TelukLamong Input'!H68)*H$8</f>
        <v>1.0609</v>
      </c>
      <c r="I64" s="104" t="n">
        <f aca="false">H64*(1+'E1 TelukLamong Input'!I68)*I$8</f>
        <v>1.092727</v>
      </c>
      <c r="J64" s="104" t="n">
        <f aca="false">I64*(1+'E1 TelukLamong Input'!J68)*J$8</f>
        <v>1.12550881</v>
      </c>
      <c r="K64" s="104" t="n">
        <f aca="false">J64*(1+'E1 TelukLamong Input'!K68)*K$8</f>
        <v>1.1592740743</v>
      </c>
      <c r="L64" s="104" t="n">
        <f aca="false">K64*(1+'E1 TelukLamong Input'!L68)*L$8</f>
        <v>1.194052296529</v>
      </c>
      <c r="M64" s="104" t="n">
        <f aca="false">L64*(1+'E1 TelukLamong Input'!M68)*M$8</f>
        <v>1.22987386542487</v>
      </c>
      <c r="N64" s="104" t="n">
        <f aca="false">M64*(1+'E1 TelukLamong Input'!N68)*N$8</f>
        <v>1.26677008138762</v>
      </c>
      <c r="O64" s="104" t="n">
        <f aca="false">N64*(1+'E1 TelukLamong Input'!O68)*O$8</f>
        <v>1.30477318382925</v>
      </c>
      <c r="P64" s="104" t="n">
        <f aca="false">O64*(1+'E1 TelukLamong Input'!P68)*P$8</f>
        <v>1.34391637934412</v>
      </c>
      <c r="Q64" s="104" t="n">
        <f aca="false">P64*(1+'E1 TelukLamong Input'!Q68)*Q$8</f>
        <v>1.38423387072445</v>
      </c>
      <c r="R64" s="104" t="n">
        <f aca="false">Q64*(1+'E1 TelukLamong Input'!R68)*R$8</f>
        <v>1.42576088684618</v>
      </c>
      <c r="S64" s="104" t="n">
        <f aca="false">R64*(1+'E1 TelukLamong Input'!S68)*S$8</f>
        <v>1.46853371345156</v>
      </c>
    </row>
    <row r="65" customFormat="false" ht="15" hidden="false" customHeight="false" outlineLevel="0" collapsed="false">
      <c r="B65" s="24" t="s">
        <v>1068</v>
      </c>
      <c r="C65" s="25" t="s">
        <v>170</v>
      </c>
      <c r="E65" s="47" t="n">
        <f aca="false">SUM(F65:S65)</f>
        <v>15.9977206883536</v>
      </c>
      <c r="F65" s="47" t="n">
        <f aca="false">'E1 TelukLamong Input'!$E$67*F64*F$8</f>
        <v>0</v>
      </c>
      <c r="G65" s="47" t="n">
        <f aca="false">'E1 TelukLamong Input'!$E$67*G64*G$8</f>
        <v>1.02432676</v>
      </c>
      <c r="H65" s="47" t="n">
        <f aca="false">'E1 TelukLamong Input'!$E$67*H64*H$8</f>
        <v>1.0550565628</v>
      </c>
      <c r="I65" s="47" t="n">
        <f aca="false">'E1 TelukLamong Input'!$E$67*I64*I$8</f>
        <v>1.086708259684</v>
      </c>
      <c r="J65" s="47" t="n">
        <f aca="false">'E1 TelukLamong Input'!$E$67*J64*J$8</f>
        <v>1.11930950747452</v>
      </c>
      <c r="K65" s="47" t="n">
        <f aca="false">'E1 TelukLamong Input'!$E$67*K64*K$8</f>
        <v>1.15288879269876</v>
      </c>
      <c r="L65" s="47" t="n">
        <f aca="false">'E1 TelukLamong Input'!$E$67*L64*L$8</f>
        <v>1.18747545647972</v>
      </c>
      <c r="M65" s="47" t="n">
        <f aca="false">'E1 TelukLamong Input'!$E$67*M64*M$8</f>
        <v>1.22309972017411</v>
      </c>
      <c r="N65" s="47" t="n">
        <f aca="false">'E1 TelukLamong Input'!$E$67*N64*N$8</f>
        <v>1.25979271177933</v>
      </c>
      <c r="O65" s="47" t="n">
        <f aca="false">'E1 TelukLamong Input'!$E$67*O64*O$8</f>
        <v>1.29758649313271</v>
      </c>
      <c r="P65" s="47" t="n">
        <f aca="false">'E1 TelukLamong Input'!$E$67*P64*P$8</f>
        <v>1.33651408792669</v>
      </c>
      <c r="Q65" s="47" t="n">
        <f aca="false">'E1 TelukLamong Input'!$E$67*Q64*Q$8</f>
        <v>1.3766095105645</v>
      </c>
      <c r="R65" s="47" t="n">
        <f aca="false">'E1 TelukLamong Input'!$E$67*R64*R$8</f>
        <v>1.41790779588143</v>
      </c>
      <c r="S65" s="47" t="n">
        <f aca="false">'E1 TelukLamong Input'!$E$67*S64*S$8</f>
        <v>1.46044502975787</v>
      </c>
    </row>
    <row r="66" customFormat="false" ht="15" hidden="false" customHeight="false" outlineLevel="0" collapsed="false">
      <c r="B66" s="24" t="s">
        <v>1069</v>
      </c>
      <c r="C66" s="25" t="s">
        <v>1019</v>
      </c>
      <c r="F66" s="104" t="n">
        <f aca="false">1</f>
        <v>1</v>
      </c>
      <c r="G66" s="104" t="n">
        <f aca="false">F66*(1+'E1 TelukLamong Input'!G70)*G$8</f>
        <v>1.02</v>
      </c>
      <c r="H66" s="104" t="n">
        <f aca="false">G66*(1+'E1 TelukLamong Input'!H70)*H$8</f>
        <v>1.0404</v>
      </c>
      <c r="I66" s="104" t="n">
        <f aca="false">H66*(1+'E1 TelukLamong Input'!I70)*I$8</f>
        <v>1.061208</v>
      </c>
      <c r="J66" s="104" t="n">
        <f aca="false">I66*(1+'E1 TelukLamong Input'!J70)*J$8</f>
        <v>1.08243216</v>
      </c>
      <c r="K66" s="104" t="n">
        <f aca="false">J66*(1+'E1 TelukLamong Input'!K70)*K$8</f>
        <v>1.1040808032</v>
      </c>
      <c r="L66" s="104" t="n">
        <f aca="false">K66*(1+'E1 TelukLamong Input'!L70)*L$8</f>
        <v>1.126162419264</v>
      </c>
      <c r="M66" s="104" t="n">
        <f aca="false">L66*(1+'E1 TelukLamong Input'!M70)*M$8</f>
        <v>1.14868566764928</v>
      </c>
      <c r="N66" s="104" t="n">
        <f aca="false">M66*(1+'E1 TelukLamong Input'!N70)*N$8</f>
        <v>1.17165938100227</v>
      </c>
      <c r="O66" s="104" t="n">
        <f aca="false">N66*(1+'E1 TelukLamong Input'!O70)*O$8</f>
        <v>1.19509256862231</v>
      </c>
      <c r="P66" s="104" t="n">
        <f aca="false">O66*(1+'E1 TelukLamong Input'!P70)*P$8</f>
        <v>1.21899441999476</v>
      </c>
      <c r="Q66" s="104" t="n">
        <f aca="false">P66*(1+'E1 TelukLamong Input'!Q70)*Q$8</f>
        <v>1.24337430839465</v>
      </c>
      <c r="R66" s="104" t="n">
        <f aca="false">Q66*(1+'E1 TelukLamong Input'!R70)*R$8</f>
        <v>1.26824179456255</v>
      </c>
      <c r="S66" s="104" t="n">
        <f aca="false">R66*(1+'E1 TelukLamong Input'!S70)*S$8</f>
        <v>1.2936066304538</v>
      </c>
    </row>
    <row r="67" customFormat="false" ht="15" hidden="false" customHeight="false" outlineLevel="0" collapsed="false">
      <c r="B67" s="24" t="s">
        <v>1070</v>
      </c>
      <c r="C67" s="25" t="s">
        <v>170</v>
      </c>
      <c r="E67" s="47" t="n">
        <f aca="false">SUM(F67:S67)</f>
        <v>11.7689613526592</v>
      </c>
      <c r="F67" s="47" t="n">
        <f aca="false">'E1 TelukLamong Input'!$E$69*F66*F$8</f>
        <v>0</v>
      </c>
      <c r="G67" s="47" t="n">
        <f aca="false">'E1 TelukLamong Input'!$E$69*G66*G$8</f>
        <v>0.80168226</v>
      </c>
      <c r="H67" s="47" t="n">
        <f aca="false">'E1 TelukLamong Input'!$E$69*H66*H$8</f>
        <v>0.8177159052</v>
      </c>
      <c r="I67" s="47" t="n">
        <f aca="false">'E1 TelukLamong Input'!$E$69*I66*I$8</f>
        <v>0.834070223304</v>
      </c>
      <c r="J67" s="47" t="n">
        <f aca="false">'E1 TelukLamong Input'!$E$69*J66*J$8</f>
        <v>0.85075162777008</v>
      </c>
      <c r="K67" s="47" t="n">
        <f aca="false">'E1 TelukLamong Input'!$E$69*K66*K$8</f>
        <v>0.867766660325482</v>
      </c>
      <c r="L67" s="47" t="n">
        <f aca="false">'E1 TelukLamong Input'!$E$69*L66*L$8</f>
        <v>0.885121993531991</v>
      </c>
      <c r="M67" s="47" t="n">
        <f aca="false">'E1 TelukLamong Input'!$E$69*M66*M$8</f>
        <v>0.902824433402631</v>
      </c>
      <c r="N67" s="47" t="n">
        <f aca="false">'E1 TelukLamong Input'!$E$69*N66*N$8</f>
        <v>0.920880922070684</v>
      </c>
      <c r="O67" s="47" t="n">
        <f aca="false">'E1 TelukLamong Input'!$E$69*O66*O$8</f>
        <v>0.939298540512097</v>
      </c>
      <c r="P67" s="47" t="n">
        <f aca="false">'E1 TelukLamong Input'!$E$69*P66*P$8</f>
        <v>0.958084511322339</v>
      </c>
      <c r="Q67" s="47" t="n">
        <f aca="false">'E1 TelukLamong Input'!$E$69*Q66*Q$8</f>
        <v>0.977246201548786</v>
      </c>
      <c r="R67" s="47" t="n">
        <f aca="false">'E1 TelukLamong Input'!$E$69*R66*R$8</f>
        <v>0.996791125579762</v>
      </c>
      <c r="S67" s="47" t="n">
        <f aca="false">'E1 TelukLamong Input'!$E$69*S66*S$8</f>
        <v>1.01672694809136</v>
      </c>
    </row>
    <row r="68" customFormat="false" ht="15" hidden="false" customHeight="false" outlineLevel="0" collapsed="false">
      <c r="B68" s="24" t="s">
        <v>1071</v>
      </c>
      <c r="C68" s="25" t="s">
        <v>1019</v>
      </c>
      <c r="F68" s="104" t="n">
        <f aca="false">1</f>
        <v>1</v>
      </c>
      <c r="G68" s="104" t="n">
        <f aca="false">F68*(1+'E1 TelukLamong Input'!G72)*G$8</f>
        <v>1.03</v>
      </c>
      <c r="H68" s="104" t="n">
        <f aca="false">G68*(1+'E1 TelukLamong Input'!H72)*H$8</f>
        <v>1.0609</v>
      </c>
      <c r="I68" s="104" t="n">
        <f aca="false">H68*(1+'E1 TelukLamong Input'!I72)*I$8</f>
        <v>1.092727</v>
      </c>
      <c r="J68" s="104" t="n">
        <f aca="false">I68*(1+'E1 TelukLamong Input'!J72)*J$8</f>
        <v>1.12550881</v>
      </c>
      <c r="K68" s="104" t="n">
        <f aca="false">J68*(1+'E1 TelukLamong Input'!K72)*K$8</f>
        <v>1.1592740743</v>
      </c>
      <c r="L68" s="104" t="n">
        <f aca="false">K68*(1+'E1 TelukLamong Input'!L72)*L$8</f>
        <v>1.194052296529</v>
      </c>
      <c r="M68" s="104" t="n">
        <f aca="false">L68*(1+'E1 TelukLamong Input'!M72)*M$8</f>
        <v>1.22987386542487</v>
      </c>
      <c r="N68" s="104" t="n">
        <f aca="false">M68*(1+'E1 TelukLamong Input'!N72)*N$8</f>
        <v>1.26677008138762</v>
      </c>
      <c r="O68" s="104" t="n">
        <f aca="false">N68*(1+'E1 TelukLamong Input'!O72)*O$8</f>
        <v>1.30477318382925</v>
      </c>
      <c r="P68" s="104" t="n">
        <f aca="false">O68*(1+'E1 TelukLamong Input'!P72)*P$8</f>
        <v>1.34391637934412</v>
      </c>
      <c r="Q68" s="104" t="n">
        <f aca="false">P68*(1+'E1 TelukLamong Input'!Q72)*Q$8</f>
        <v>1.38423387072445</v>
      </c>
      <c r="R68" s="104" t="n">
        <f aca="false">Q68*(1+'E1 TelukLamong Input'!R72)*R$8</f>
        <v>1.42576088684618</v>
      </c>
      <c r="S68" s="104" t="n">
        <f aca="false">R68*(1+'E1 TelukLamong Input'!S72)*S$8</f>
        <v>1.46853371345156</v>
      </c>
    </row>
    <row r="69" customFormat="false" ht="15" hidden="false" customHeight="false" outlineLevel="0" collapsed="false">
      <c r="B69" s="24" t="s">
        <v>1072</v>
      </c>
      <c r="C69" s="25" t="s">
        <v>170</v>
      </c>
      <c r="E69" s="47" t="n">
        <f aca="false">SUM(F69:S69)</f>
        <v>10.5903349940004</v>
      </c>
      <c r="F69" s="47" t="n">
        <f aca="false">'E1 TelukLamong Input'!$E$71*F68*F$8</f>
        <v>0</v>
      </c>
      <c r="G69" s="47" t="n">
        <f aca="false">'E1 TelukLamong Input'!$E$71*G68*G$8</f>
        <v>0.67809432</v>
      </c>
      <c r="H69" s="47" t="n">
        <f aca="false">'E1 TelukLamong Input'!$E$71*H68*H$8</f>
        <v>0.6984371496</v>
      </c>
      <c r="I69" s="47" t="n">
        <f aca="false">'E1 TelukLamong Input'!$E$71*I68*I$8</f>
        <v>0.719390264088</v>
      </c>
      <c r="J69" s="47" t="n">
        <f aca="false">'E1 TelukLamong Input'!$E$71*J68*J$8</f>
        <v>0.74097197201064</v>
      </c>
      <c r="K69" s="47" t="n">
        <f aca="false">'E1 TelukLamong Input'!$E$71*K68*K$8</f>
        <v>0.763201131170959</v>
      </c>
      <c r="L69" s="47" t="n">
        <f aca="false">'E1 TelukLamong Input'!$E$71*L68*L$8</f>
        <v>0.786097165106088</v>
      </c>
      <c r="M69" s="47" t="n">
        <f aca="false">'E1 TelukLamong Input'!$E$71*M68*M$8</f>
        <v>0.809680080059271</v>
      </c>
      <c r="N69" s="47" t="n">
        <f aca="false">'E1 TelukLamong Input'!$E$71*N68*N$8</f>
        <v>0.833970482461049</v>
      </c>
      <c r="O69" s="47" t="n">
        <f aca="false">'E1 TelukLamong Input'!$E$71*O68*O$8</f>
        <v>0.85898959693488</v>
      </c>
      <c r="P69" s="47" t="n">
        <f aca="false">'E1 TelukLamong Input'!$E$71*P68*P$8</f>
        <v>0.884759284842927</v>
      </c>
      <c r="Q69" s="47" t="n">
        <f aca="false">'E1 TelukLamong Input'!$E$71*Q68*Q$8</f>
        <v>0.911302063388215</v>
      </c>
      <c r="R69" s="47" t="n">
        <f aca="false">'E1 TelukLamong Input'!$E$71*R68*R$8</f>
        <v>0.938641125289861</v>
      </c>
      <c r="S69" s="47" t="n">
        <f aca="false">'E1 TelukLamong Input'!$E$71*S68*S$8</f>
        <v>0.966800359048557</v>
      </c>
    </row>
    <row r="70" customFormat="false" ht="15" hidden="false" customHeight="false" outlineLevel="0" collapsed="false">
      <c r="B70" s="24" t="s">
        <v>1073</v>
      </c>
      <c r="C70" s="25" t="s">
        <v>1019</v>
      </c>
      <c r="F70" s="104" t="n">
        <f aca="false">1</f>
        <v>1</v>
      </c>
      <c r="G70" s="104" t="n">
        <f aca="false">F70*(1+'E1 TelukLamong Input'!G74)*G$8</f>
        <v>1.02</v>
      </c>
      <c r="H70" s="104" t="n">
        <f aca="false">G70*(1+'E1 TelukLamong Input'!H74)*H$8</f>
        <v>1.0404</v>
      </c>
      <c r="I70" s="104" t="n">
        <f aca="false">H70*(1+'E1 TelukLamong Input'!I74)*I$8</f>
        <v>1.061208</v>
      </c>
      <c r="J70" s="104" t="n">
        <f aca="false">I70*(1+'E1 TelukLamong Input'!J74)*J$8</f>
        <v>1.08243216</v>
      </c>
      <c r="K70" s="104" t="n">
        <f aca="false">J70*(1+'E1 TelukLamong Input'!K74)*K$8</f>
        <v>1.1040808032</v>
      </c>
      <c r="L70" s="104" t="n">
        <f aca="false">K70*(1+'E1 TelukLamong Input'!L74)*L$8</f>
        <v>1.126162419264</v>
      </c>
      <c r="M70" s="104" t="n">
        <f aca="false">L70*(1+'E1 TelukLamong Input'!M74)*M$8</f>
        <v>1.14868566764928</v>
      </c>
      <c r="N70" s="104" t="n">
        <f aca="false">M70*(1+'E1 TelukLamong Input'!N74)*N$8</f>
        <v>1.17165938100227</v>
      </c>
      <c r="O70" s="104" t="n">
        <f aca="false">N70*(1+'E1 TelukLamong Input'!O74)*O$8</f>
        <v>1.19509256862231</v>
      </c>
      <c r="P70" s="104" t="n">
        <f aca="false">O70*(1+'E1 TelukLamong Input'!P74)*P$8</f>
        <v>1.21899441999476</v>
      </c>
      <c r="Q70" s="104" t="n">
        <f aca="false">P70*(1+'E1 TelukLamong Input'!Q74)*Q$8</f>
        <v>1.24337430839465</v>
      </c>
      <c r="R70" s="104" t="n">
        <f aca="false">Q70*(1+'E1 TelukLamong Input'!R74)*R$8</f>
        <v>1.26824179456255</v>
      </c>
      <c r="S70" s="104" t="n">
        <f aca="false">R70*(1+'E1 TelukLamong Input'!S74)*S$8</f>
        <v>1.2936066304538</v>
      </c>
    </row>
    <row r="71" customFormat="false" ht="15" hidden="false" customHeight="false" outlineLevel="0" collapsed="false">
      <c r="B71" s="24" t="s">
        <v>1074</v>
      </c>
      <c r="C71" s="25" t="s">
        <v>170</v>
      </c>
      <c r="E71" s="47" t="n">
        <f aca="false">SUM(F71:S71)</f>
        <v>4.10411686476621</v>
      </c>
      <c r="F71" s="47" t="n">
        <f aca="false">'E1 TelukLamong Input'!$E$73*F70*F$8</f>
        <v>0</v>
      </c>
      <c r="G71" s="47" t="n">
        <f aca="false">'E1 TelukLamong Input'!$E$73*G70*G$8</f>
        <v>0.27956568</v>
      </c>
      <c r="H71" s="47" t="n">
        <f aca="false">'E1 TelukLamong Input'!$E$73*H70*H$8</f>
        <v>0.2851569936</v>
      </c>
      <c r="I71" s="47" t="n">
        <f aca="false">'E1 TelukLamong Input'!$E$73*I70*I$8</f>
        <v>0.290860133472</v>
      </c>
      <c r="J71" s="47" t="n">
        <f aca="false">'E1 TelukLamong Input'!$E$73*J70*J$8</f>
        <v>0.29667733614144</v>
      </c>
      <c r="K71" s="47" t="n">
        <f aca="false">'E1 TelukLamong Input'!$E$73*K70*K$8</f>
        <v>0.302610882864269</v>
      </c>
      <c r="L71" s="47" t="n">
        <f aca="false">'E1 TelukLamong Input'!$E$73*L70*L$8</f>
        <v>0.308663100521554</v>
      </c>
      <c r="M71" s="47" t="n">
        <f aca="false">'E1 TelukLamong Input'!$E$73*M70*M$8</f>
        <v>0.314836362531985</v>
      </c>
      <c r="N71" s="47" t="n">
        <f aca="false">'E1 TelukLamong Input'!$E$73*N70*N$8</f>
        <v>0.321133089782625</v>
      </c>
      <c r="O71" s="47" t="n">
        <f aca="false">'E1 TelukLamong Input'!$E$73*O70*O$8</f>
        <v>0.327555751578278</v>
      </c>
      <c r="P71" s="47" t="n">
        <f aca="false">'E1 TelukLamong Input'!$E$73*P70*P$8</f>
        <v>0.334106866609843</v>
      </c>
      <c r="Q71" s="47" t="n">
        <f aca="false">'E1 TelukLamong Input'!$E$73*Q70*Q$8</f>
        <v>0.34078900394204</v>
      </c>
      <c r="R71" s="47" t="n">
        <f aca="false">'E1 TelukLamong Input'!$E$73*R70*R$8</f>
        <v>0.347604784020881</v>
      </c>
      <c r="S71" s="47" t="n">
        <f aca="false">'E1 TelukLamong Input'!$E$73*S70*S$8</f>
        <v>0.354556879701298</v>
      </c>
    </row>
    <row r="72" customFormat="false" ht="15" hidden="false" customHeight="false" outlineLevel="0" collapsed="false">
      <c r="B72" s="24" t="s">
        <v>1075</v>
      </c>
      <c r="C72" s="25" t="s">
        <v>1019</v>
      </c>
      <c r="F72" s="104" t="n">
        <f aca="false">1</f>
        <v>1</v>
      </c>
      <c r="G72" s="104" t="n">
        <f aca="false">F72*(1+'E1 TelukLamong Input'!G76)*G$8</f>
        <v>1.02</v>
      </c>
      <c r="H72" s="104" t="n">
        <f aca="false">G72*(1+'E1 TelukLamong Input'!H76)*H$8</f>
        <v>1.0404</v>
      </c>
      <c r="I72" s="104" t="n">
        <f aca="false">H72*(1+'E1 TelukLamong Input'!I76)*I$8</f>
        <v>1.061208</v>
      </c>
      <c r="J72" s="104" t="n">
        <f aca="false">I72*(1+'E1 TelukLamong Input'!J76)*J$8</f>
        <v>1.08243216</v>
      </c>
      <c r="K72" s="104" t="n">
        <f aca="false">J72*(1+'E1 TelukLamong Input'!K76)*K$8</f>
        <v>1.1040808032</v>
      </c>
      <c r="L72" s="104" t="n">
        <f aca="false">K72*(1+'E1 TelukLamong Input'!L76)*L$8</f>
        <v>1.126162419264</v>
      </c>
      <c r="M72" s="104" t="n">
        <f aca="false">L72*(1+'E1 TelukLamong Input'!M76)*M$8</f>
        <v>1.14868566764928</v>
      </c>
      <c r="N72" s="104" t="n">
        <f aca="false">M72*(1+'E1 TelukLamong Input'!N76)*N$8</f>
        <v>1.17165938100227</v>
      </c>
      <c r="O72" s="104" t="n">
        <f aca="false">N72*(1+'E1 TelukLamong Input'!O76)*O$8</f>
        <v>1.19509256862231</v>
      </c>
      <c r="P72" s="104" t="n">
        <f aca="false">O72*(1+'E1 TelukLamong Input'!P76)*P$8</f>
        <v>1.21899441999476</v>
      </c>
      <c r="Q72" s="104" t="n">
        <f aca="false">P72*(1+'E1 TelukLamong Input'!Q76)*Q$8</f>
        <v>1.24337430839465</v>
      </c>
      <c r="R72" s="104" t="n">
        <f aca="false">Q72*(1+'E1 TelukLamong Input'!R76)*R$8</f>
        <v>1.26824179456255</v>
      </c>
      <c r="S72" s="104" t="n">
        <f aca="false">R72*(1+'E1 TelukLamong Input'!S76)*S$8</f>
        <v>1.2936066304538</v>
      </c>
    </row>
    <row r="73" customFormat="false" ht="15" hidden="false" customHeight="false" outlineLevel="0" collapsed="false">
      <c r="B73" s="24" t="s">
        <v>1076</v>
      </c>
      <c r="C73" s="25" t="s">
        <v>170</v>
      </c>
      <c r="E73" s="47" t="n">
        <f aca="false">SUM(F73:S73)</f>
        <v>3.37331381320204</v>
      </c>
      <c r="F73" s="47" t="n">
        <f aca="false">'E1 TelukLamong Input'!$E$75*F72*F$8</f>
        <v>0</v>
      </c>
      <c r="G73" s="47" t="n">
        <f aca="false">'E1 TelukLamong Input'!$E$75*G72*G$8</f>
        <v>0.22978458</v>
      </c>
      <c r="H73" s="47" t="n">
        <f aca="false">'E1 TelukLamong Input'!$E$75*H72*H$8</f>
        <v>0.2343802716</v>
      </c>
      <c r="I73" s="47" t="n">
        <f aca="false">'E1 TelukLamong Input'!$E$75*I72*I$8</f>
        <v>0.239067877032</v>
      </c>
      <c r="J73" s="47" t="n">
        <f aca="false">'E1 TelukLamong Input'!$E$75*J72*J$8</f>
        <v>0.24384923457264</v>
      </c>
      <c r="K73" s="47" t="n">
        <f aca="false">'E1 TelukLamong Input'!$E$75*K72*K$8</f>
        <v>0.248726219264093</v>
      </c>
      <c r="L73" s="47" t="n">
        <f aca="false">'E1 TelukLamong Input'!$E$75*L72*L$8</f>
        <v>0.253700743649375</v>
      </c>
      <c r="M73" s="47" t="n">
        <f aca="false">'E1 TelukLamong Input'!$E$75*M72*M$8</f>
        <v>0.258774758522362</v>
      </c>
      <c r="N73" s="47" t="n">
        <f aca="false">'E1 TelukLamong Input'!$E$75*N72*N$8</f>
        <v>0.263950253692809</v>
      </c>
      <c r="O73" s="47" t="n">
        <f aca="false">'E1 TelukLamong Input'!$E$75*O72*O$8</f>
        <v>0.269229258766666</v>
      </c>
      <c r="P73" s="47" t="n">
        <f aca="false">'E1 TelukLamong Input'!$E$75*P72*P$8</f>
        <v>0.274613843941999</v>
      </c>
      <c r="Q73" s="47" t="n">
        <f aca="false">'E1 TelukLamong Input'!$E$75*Q72*Q$8</f>
        <v>0.280106120820839</v>
      </c>
      <c r="R73" s="47" t="n">
        <f aca="false">'E1 TelukLamong Input'!$E$75*R72*R$8</f>
        <v>0.285708243237256</v>
      </c>
      <c r="S73" s="47" t="n">
        <f aca="false">'E1 TelukLamong Input'!$E$75*S72*S$8</f>
        <v>0.291422408102001</v>
      </c>
    </row>
    <row r="74" customFormat="false" ht="15" hidden="false" customHeight="false" outlineLevel="0" collapsed="false">
      <c r="B74" s="24" t="s">
        <v>1077</v>
      </c>
      <c r="C74" s="25" t="s">
        <v>1019</v>
      </c>
      <c r="F74" s="104" t="n">
        <f aca="false">1</f>
        <v>1</v>
      </c>
      <c r="G74" s="104" t="n">
        <f aca="false">F74*(1+'E1 TelukLamong Input'!G78)*G$8</f>
        <v>1.03</v>
      </c>
      <c r="H74" s="104" t="n">
        <f aca="false">G74*(1+'E1 TelukLamong Input'!H78)*H$8</f>
        <v>1.0609</v>
      </c>
      <c r="I74" s="104" t="n">
        <f aca="false">H74*(1+'E1 TelukLamong Input'!I78)*I$8</f>
        <v>1.092727</v>
      </c>
      <c r="J74" s="104" t="n">
        <f aca="false">I74*(1+'E1 TelukLamong Input'!J78)*J$8</f>
        <v>1.12550881</v>
      </c>
      <c r="K74" s="104" t="n">
        <f aca="false">J74*(1+'E1 TelukLamong Input'!K78)*K$8</f>
        <v>1.1592740743</v>
      </c>
      <c r="L74" s="104" t="n">
        <f aca="false">K74*(1+'E1 TelukLamong Input'!L78)*L$8</f>
        <v>1.194052296529</v>
      </c>
      <c r="M74" s="104" t="n">
        <f aca="false">L74*(1+'E1 TelukLamong Input'!M78)*M$8</f>
        <v>1.22987386542487</v>
      </c>
      <c r="N74" s="104" t="n">
        <f aca="false">M74*(1+'E1 TelukLamong Input'!N78)*N$8</f>
        <v>1.26677008138762</v>
      </c>
      <c r="O74" s="104" t="n">
        <f aca="false">N74*(1+'E1 TelukLamong Input'!O78)*O$8</f>
        <v>1.30477318382925</v>
      </c>
      <c r="P74" s="104" t="n">
        <f aca="false">O74*(1+'E1 TelukLamong Input'!P78)*P$8</f>
        <v>1.34391637934412</v>
      </c>
      <c r="Q74" s="104" t="n">
        <f aca="false">P74*(1+'E1 TelukLamong Input'!Q78)*Q$8</f>
        <v>1.38423387072445</v>
      </c>
      <c r="R74" s="104" t="n">
        <f aca="false">Q74*(1+'E1 TelukLamong Input'!R78)*R$8</f>
        <v>1.42576088684618</v>
      </c>
      <c r="S74" s="104" t="n">
        <f aca="false">R74*(1+'E1 TelukLamong Input'!S78)*S$8</f>
        <v>1.46853371345156</v>
      </c>
    </row>
    <row r="75" customFormat="false" ht="15" hidden="false" customHeight="false" outlineLevel="0" collapsed="false">
      <c r="B75" s="24" t="s">
        <v>1078</v>
      </c>
      <c r="C75" s="25" t="s">
        <v>170</v>
      </c>
      <c r="E75" s="47" t="n">
        <f aca="false">SUM(F75:S75)</f>
        <v>3.42355585341881</v>
      </c>
      <c r="F75" s="47" t="n">
        <f aca="false">'E1 TelukLamong Input'!$E$77*F74*F$8</f>
        <v>0</v>
      </c>
      <c r="G75" s="47" t="n">
        <f aca="false">'E1 TelukLamong Input'!$E$77*G74*G$8</f>
        <v>0.21920872</v>
      </c>
      <c r="H75" s="47" t="n">
        <f aca="false">'E1 TelukLamong Input'!$E$77*H74*H$8</f>
        <v>0.2257849816</v>
      </c>
      <c r="I75" s="47" t="n">
        <f aca="false">'E1 TelukLamong Input'!$E$77*I74*I$8</f>
        <v>0.232558531048</v>
      </c>
      <c r="J75" s="47" t="n">
        <f aca="false">'E1 TelukLamong Input'!$E$77*J74*J$8</f>
        <v>0.23953528697944</v>
      </c>
      <c r="K75" s="47" t="n">
        <f aca="false">'E1 TelukLamong Input'!$E$77*K74*K$8</f>
        <v>0.246721345588823</v>
      </c>
      <c r="L75" s="47" t="n">
        <f aca="false">'E1 TelukLamong Input'!$E$77*L74*L$8</f>
        <v>0.254122985956488</v>
      </c>
      <c r="M75" s="47" t="n">
        <f aca="false">'E1 TelukLamong Input'!$E$77*M74*M$8</f>
        <v>0.261746675535183</v>
      </c>
      <c r="N75" s="47" t="n">
        <f aca="false">'E1 TelukLamong Input'!$E$77*N74*N$8</f>
        <v>0.269599075801238</v>
      </c>
      <c r="O75" s="47" t="n">
        <f aca="false">'E1 TelukLamong Input'!$E$77*O74*O$8</f>
        <v>0.277687048075275</v>
      </c>
      <c r="P75" s="47" t="n">
        <f aca="false">'E1 TelukLamong Input'!$E$77*P74*P$8</f>
        <v>0.286017659517534</v>
      </c>
      <c r="Q75" s="47" t="n">
        <f aca="false">'E1 TelukLamong Input'!$E$77*Q74*Q$8</f>
        <v>0.29459818930306</v>
      </c>
      <c r="R75" s="47" t="n">
        <f aca="false">'E1 TelukLamong Input'!$E$77*R74*R$8</f>
        <v>0.303436134982151</v>
      </c>
      <c r="S75" s="47" t="n">
        <f aca="false">'E1 TelukLamong Input'!$E$77*S74*S$8</f>
        <v>0.312539219031616</v>
      </c>
    </row>
    <row r="76" customFormat="false" ht="15" hidden="false" customHeight="false" outlineLevel="0" collapsed="false">
      <c r="B76" s="24" t="s">
        <v>1079</v>
      </c>
      <c r="C76" s="25" t="s">
        <v>1019</v>
      </c>
      <c r="F76" s="104" t="n">
        <f aca="false">1</f>
        <v>1</v>
      </c>
      <c r="G76" s="104" t="n">
        <f aca="false">F76*(1+'E1 TelukLamong Input'!G80)*G$8</f>
        <v>1.03</v>
      </c>
      <c r="H76" s="104" t="n">
        <f aca="false">G76*(1+'E1 TelukLamong Input'!H80)*H$8</f>
        <v>1.0609</v>
      </c>
      <c r="I76" s="104" t="n">
        <f aca="false">H76*(1+'E1 TelukLamong Input'!I80)*I$8</f>
        <v>1.092727</v>
      </c>
      <c r="J76" s="104" t="n">
        <f aca="false">I76*(1+'E1 TelukLamong Input'!J80)*J$8</f>
        <v>1.12550881</v>
      </c>
      <c r="K76" s="104" t="n">
        <f aca="false">J76*(1+'E1 TelukLamong Input'!K80)*K$8</f>
        <v>1.1592740743</v>
      </c>
      <c r="L76" s="104" t="n">
        <f aca="false">K76*(1+'E1 TelukLamong Input'!L80)*L$8</f>
        <v>1.194052296529</v>
      </c>
      <c r="M76" s="104" t="n">
        <f aca="false">L76*(1+'E1 TelukLamong Input'!M80)*M$8</f>
        <v>1.22987386542487</v>
      </c>
      <c r="N76" s="104" t="n">
        <f aca="false">M76*(1+'E1 TelukLamong Input'!N80)*N$8</f>
        <v>1.26677008138762</v>
      </c>
      <c r="O76" s="104" t="n">
        <f aca="false">N76*(1+'E1 TelukLamong Input'!O80)*O$8</f>
        <v>1.30477318382925</v>
      </c>
      <c r="P76" s="104" t="n">
        <f aca="false">O76*(1+'E1 TelukLamong Input'!P80)*P$8</f>
        <v>1.34391637934412</v>
      </c>
      <c r="Q76" s="104" t="n">
        <f aca="false">P76*(1+'E1 TelukLamong Input'!Q80)*Q$8</f>
        <v>1.38423387072445</v>
      </c>
      <c r="R76" s="104" t="n">
        <f aca="false">Q76*(1+'E1 TelukLamong Input'!R80)*R$8</f>
        <v>1.42576088684618</v>
      </c>
      <c r="S76" s="104" t="n">
        <f aca="false">R76*(1+'E1 TelukLamong Input'!S80)*S$8</f>
        <v>1.46853371345156</v>
      </c>
    </row>
    <row r="77" customFormat="false" ht="15" hidden="false" customHeight="false" outlineLevel="0" collapsed="false">
      <c r="B77" s="24" t="s">
        <v>1080</v>
      </c>
      <c r="C77" s="25" t="s">
        <v>170</v>
      </c>
      <c r="E77" s="47" t="n">
        <f aca="false">SUM(F77:S77)</f>
        <v>3.09389881237028</v>
      </c>
      <c r="F77" s="47" t="n">
        <f aca="false">'E1 TelukLamong Input'!$E$79*F76*F$8</f>
        <v>0</v>
      </c>
      <c r="G77" s="47" t="n">
        <f aca="false">'E1 TelukLamong Input'!$E$79*G76*G$8</f>
        <v>0.19810093</v>
      </c>
      <c r="H77" s="47" t="n">
        <f aca="false">'E1 TelukLamong Input'!$E$79*H76*H$8</f>
        <v>0.2040439579</v>
      </c>
      <c r="I77" s="47" t="n">
        <f aca="false">'E1 TelukLamong Input'!$E$79*I76*I$8</f>
        <v>0.210165276637</v>
      </c>
      <c r="J77" s="47" t="n">
        <f aca="false">'E1 TelukLamong Input'!$E$79*J76*J$8</f>
        <v>0.21647023493611</v>
      </c>
      <c r="K77" s="47" t="n">
        <f aca="false">'E1 TelukLamong Input'!$E$79*K76*K$8</f>
        <v>0.222964341984193</v>
      </c>
      <c r="L77" s="47" t="n">
        <f aca="false">'E1 TelukLamong Input'!$E$79*L76*L$8</f>
        <v>0.229653272243719</v>
      </c>
      <c r="M77" s="47" t="n">
        <f aca="false">'E1 TelukLamong Input'!$E$79*M76*M$8</f>
        <v>0.236542870411031</v>
      </c>
      <c r="N77" s="47" t="n">
        <f aca="false">'E1 TelukLamong Input'!$E$79*N76*N$8</f>
        <v>0.243639156523362</v>
      </c>
      <c r="O77" s="47" t="n">
        <f aca="false">'E1 TelukLamong Input'!$E$79*O76*O$8</f>
        <v>0.250948331219063</v>
      </c>
      <c r="P77" s="47" t="n">
        <f aca="false">'E1 TelukLamong Input'!$E$79*P76*P$8</f>
        <v>0.258476781155634</v>
      </c>
      <c r="Q77" s="47" t="n">
        <f aca="false">'E1 TelukLamong Input'!$E$79*Q76*Q$8</f>
        <v>0.266231084590303</v>
      </c>
      <c r="R77" s="47" t="n">
        <f aca="false">'E1 TelukLamong Input'!$E$79*R76*R$8</f>
        <v>0.274218017128013</v>
      </c>
      <c r="S77" s="47" t="n">
        <f aca="false">'E1 TelukLamong Input'!$E$79*S76*S$8</f>
        <v>0.282444557641853</v>
      </c>
    </row>
    <row r="78" customFormat="false" ht="15" hidden="false" customHeight="false" outlineLevel="0" collapsed="false">
      <c r="B78" s="24" t="s">
        <v>1081</v>
      </c>
      <c r="C78" s="25" t="s">
        <v>1019</v>
      </c>
      <c r="F78" s="104" t="n">
        <f aca="false">1</f>
        <v>1</v>
      </c>
      <c r="G78" s="104" t="n">
        <f aca="false">F78*(1+'E1 TelukLamong Input'!G82)*G$8</f>
        <v>1.02</v>
      </c>
      <c r="H78" s="104" t="n">
        <f aca="false">G78*(1+'E1 TelukLamong Input'!H82)*H$8</f>
        <v>1.0404</v>
      </c>
      <c r="I78" s="104" t="n">
        <f aca="false">H78*(1+'E1 TelukLamong Input'!I82)*I$8</f>
        <v>1.061208</v>
      </c>
      <c r="J78" s="104" t="n">
        <f aca="false">I78*(1+'E1 TelukLamong Input'!J82)*J$8</f>
        <v>1.08243216</v>
      </c>
      <c r="K78" s="104" t="n">
        <f aca="false">J78*(1+'E1 TelukLamong Input'!K82)*K$8</f>
        <v>1.1040808032</v>
      </c>
      <c r="L78" s="104" t="n">
        <f aca="false">K78*(1+'E1 TelukLamong Input'!L82)*L$8</f>
        <v>1.126162419264</v>
      </c>
      <c r="M78" s="104" t="n">
        <f aca="false">L78*(1+'E1 TelukLamong Input'!M82)*M$8</f>
        <v>1.14868566764928</v>
      </c>
      <c r="N78" s="104" t="n">
        <f aca="false">M78*(1+'E1 TelukLamong Input'!N82)*N$8</f>
        <v>1.17165938100227</v>
      </c>
      <c r="O78" s="104" t="n">
        <f aca="false">N78*(1+'E1 TelukLamong Input'!O82)*O$8</f>
        <v>1.19509256862231</v>
      </c>
      <c r="P78" s="104" t="n">
        <f aca="false">O78*(1+'E1 TelukLamong Input'!P82)*P$8</f>
        <v>1.21899441999476</v>
      </c>
      <c r="Q78" s="104" t="n">
        <f aca="false">P78*(1+'E1 TelukLamong Input'!Q82)*Q$8</f>
        <v>1.24337430839465</v>
      </c>
      <c r="R78" s="104" t="n">
        <f aca="false">Q78*(1+'E1 TelukLamong Input'!R82)*R$8</f>
        <v>1.26824179456255</v>
      </c>
      <c r="S78" s="104" t="n">
        <f aca="false">R78*(1+'E1 TelukLamong Input'!S82)*S$8</f>
        <v>1.2936066304538</v>
      </c>
    </row>
    <row r="79" customFormat="false" ht="15" hidden="false" customHeight="false" outlineLevel="0" collapsed="false">
      <c r="B79" s="24" t="s">
        <v>1082</v>
      </c>
      <c r="C79" s="25" t="s">
        <v>170</v>
      </c>
      <c r="E79" s="47" t="n">
        <f aca="false">SUM(F79:S79)</f>
        <v>0.0314633885867669</v>
      </c>
      <c r="F79" s="47" t="n">
        <f aca="false">'E1 TelukLamong Input'!$E$81*F78*F$8</f>
        <v>0</v>
      </c>
      <c r="G79" s="47" t="n">
        <f aca="false">'E1 TelukLamong Input'!$E$81*G78*G$8</f>
        <v>0.0021432342</v>
      </c>
      <c r="H79" s="47" t="n">
        <f aca="false">'E1 TelukLamong Input'!$E$81*H78*H$8</f>
        <v>0.002186098884</v>
      </c>
      <c r="I79" s="47" t="n">
        <f aca="false">'E1 TelukLamong Input'!$E$81*I78*I$8</f>
        <v>0.00222982086168</v>
      </c>
      <c r="J79" s="47" t="n">
        <f aca="false">'E1 TelukLamong Input'!$E$81*J78*J$8</f>
        <v>0.0022744172789136</v>
      </c>
      <c r="K79" s="47" t="n">
        <f aca="false">'E1 TelukLamong Input'!$E$81*K78*K$8</f>
        <v>0.00231990562449187</v>
      </c>
      <c r="L79" s="47" t="n">
        <f aca="false">'E1 TelukLamong Input'!$E$81*L78*L$8</f>
        <v>0.00236630373698171</v>
      </c>
      <c r="M79" s="47" t="n">
        <f aca="false">'E1 TelukLamong Input'!$E$81*M78*M$8</f>
        <v>0.00241362981172134</v>
      </c>
      <c r="N79" s="47" t="n">
        <f aca="false">'E1 TelukLamong Input'!$E$81*N78*N$8</f>
        <v>0.00246190240795577</v>
      </c>
      <c r="O79" s="47" t="n">
        <f aca="false">'E1 TelukLamong Input'!$E$81*O78*O$8</f>
        <v>0.00251114045611489</v>
      </c>
      <c r="P79" s="47" t="n">
        <f aca="false">'E1 TelukLamong Input'!$E$81*P78*P$8</f>
        <v>0.00256136326523718</v>
      </c>
      <c r="Q79" s="47" t="n">
        <f aca="false">'E1 TelukLamong Input'!$E$81*Q78*Q$8</f>
        <v>0.00261259053054193</v>
      </c>
      <c r="R79" s="47" t="n">
        <f aca="false">'E1 TelukLamong Input'!$E$81*R78*R$8</f>
        <v>0.00266484234115277</v>
      </c>
      <c r="S79" s="47" t="n">
        <f aca="false">'E1 TelukLamong Input'!$E$81*S78*S$8</f>
        <v>0.00271813918797582</v>
      </c>
    </row>
    <row r="80" customFormat="false" ht="15" hidden="false" customHeight="false" outlineLevel="0" collapsed="false">
      <c r="B80" s="69" t="s">
        <v>1083</v>
      </c>
      <c r="C80" s="25" t="s">
        <v>170</v>
      </c>
      <c r="E80" s="70" t="n">
        <f aca="false">SUM(F80:S80)</f>
        <v>217.322721065096</v>
      </c>
      <c r="F80" s="68" t="n">
        <f aca="false">F59+F61+F63+F65+F67+F69+F71+F73+F75+F77+F79</f>
        <v>0</v>
      </c>
      <c r="G80" s="68" t="n">
        <f aca="false">G59+G61+G63+G65+G67+G69+G71+G73+G75+G77+G79</f>
        <v>13.9938981842</v>
      </c>
      <c r="H80" s="68" t="n">
        <f aca="false">H59+H61+H63+H65+H67+H69+H71+H73+H75+H77+H79</f>
        <v>14.400583372184</v>
      </c>
      <c r="I80" s="68" t="n">
        <f aca="false">I59+I61+I63+I65+I67+I69+I71+I73+I75+I77+I79</f>
        <v>14.8192064806567</v>
      </c>
      <c r="J80" s="68" t="n">
        <f aca="false">J59+J61+J63+J65+J67+J69+J71+J73+J75+J77+J79</f>
        <v>15.2501203945297</v>
      </c>
      <c r="K80" s="68" t="n">
        <f aca="false">K59+K61+K63+K65+K67+K69+K71+K73+K75+K77+K79</f>
        <v>15.6936884802079</v>
      </c>
      <c r="L80" s="68" t="n">
        <f aca="false">L59+L61+L63+L65+L67+L69+L71+L73+L75+L77+L79</f>
        <v>16.1502848979334</v>
      </c>
      <c r="M80" s="68" t="n">
        <f aca="false">M59+M61+M63+M65+M67+M69+M71+M73+M75+M77+M79</f>
        <v>16.620294923457</v>
      </c>
      <c r="N80" s="68" t="n">
        <f aca="false">N59+N61+N63+N65+N67+N69+N71+N73+N75+N77+N79</f>
        <v>17.104115279318</v>
      </c>
      <c r="O80" s="68" t="n">
        <f aca="false">O59+O61+O63+O65+O67+O69+O71+O73+O75+O77+O79</f>
        <v>17.602154476018</v>
      </c>
      <c r="P80" s="68" t="n">
        <f aca="false">P59+P61+P63+P65+P67+P69+P71+P73+P75+P77+P79</f>
        <v>18.1148331633854</v>
      </c>
      <c r="Q80" s="68" t="n">
        <f aca="false">Q59+Q61+Q63+Q65+Q67+Q69+Q71+Q73+Q75+Q77+Q79</f>
        <v>18.6425844924356</v>
      </c>
      <c r="R80" s="68" t="n">
        <f aca="false">R59+R61+R63+R65+R67+R69+R71+R73+R75+R77+R79</f>
        <v>19.1858544880403</v>
      </c>
      <c r="S80" s="68" t="n">
        <f aca="false">S59+S61+S63+S65+S67+S69+S71+S73+S75+S77+S79</f>
        <v>19.7451024327297</v>
      </c>
    </row>
    <row r="82" customFormat="false" ht="15" hidden="false" customHeight="false" outlineLevel="0" collapsed="false">
      <c r="B82" s="22" t="s">
        <v>1084</v>
      </c>
      <c r="C82" s="23"/>
      <c r="D82" s="23"/>
      <c r="E82" s="23"/>
      <c r="F82" s="23"/>
      <c r="G82" s="23"/>
      <c r="H82" s="23"/>
      <c r="I82" s="23"/>
      <c r="J82" s="23"/>
      <c r="K82" s="23"/>
      <c r="L82" s="23"/>
      <c r="M82" s="23"/>
      <c r="N82" s="23"/>
      <c r="O82" s="23"/>
      <c r="P82" s="23"/>
      <c r="Q82" s="23"/>
      <c r="R82" s="23"/>
      <c r="S82" s="23"/>
    </row>
    <row r="83" customFormat="false" ht="15" hidden="false" customHeight="false" outlineLevel="0" collapsed="false">
      <c r="B83" s="24" t="s">
        <v>1085</v>
      </c>
      <c r="C83" s="25" t="s">
        <v>170</v>
      </c>
      <c r="E83" s="47" t="n">
        <f aca="false">SUM(F83:S83)</f>
        <v>563.07198387149</v>
      </c>
      <c r="F83" s="47" t="n">
        <f aca="false">'E1 TelukLamong Input'!$E$56*F$8+'E1 TelukLamong Input'!F57</f>
        <v>0</v>
      </c>
      <c r="G83" s="47" t="n">
        <f aca="false">'E1 TelukLamong Input'!$E$56*G$8+'E1 TelukLamong Input'!G57</f>
        <v>41.4670756824223</v>
      </c>
      <c r="H83" s="47" t="n">
        <f aca="false">'E1 TelukLamong Input'!$E$56*H$8+'E1 TelukLamong Input'!H57</f>
        <v>41.4670756824223</v>
      </c>
      <c r="I83" s="47" t="n">
        <f aca="false">'E1 TelukLamong Input'!$E$56*I$8+'E1 TelukLamong Input'!I57</f>
        <v>42.4670756824223</v>
      </c>
      <c r="J83" s="47" t="n">
        <f aca="false">'E1 TelukLamong Input'!$E$56*J$8+'E1 TelukLamong Input'!J57</f>
        <v>42.4670756824223</v>
      </c>
      <c r="K83" s="47" t="n">
        <f aca="false">'E1 TelukLamong Input'!$E$56*K$8+'E1 TelukLamong Input'!K57</f>
        <v>42.4670756824223</v>
      </c>
      <c r="L83" s="47" t="n">
        <f aca="false">'E1 TelukLamong Input'!$E$56*L$8+'E1 TelukLamong Input'!L57</f>
        <v>43.4670756824223</v>
      </c>
      <c r="M83" s="47" t="n">
        <f aca="false">'E1 TelukLamong Input'!$E$56*M$8+'E1 TelukLamong Input'!M57</f>
        <v>43.4670756824223</v>
      </c>
      <c r="N83" s="47" t="n">
        <f aca="false">'E1 TelukLamong Input'!$E$56*N$8+'E1 TelukLamong Input'!N57</f>
        <v>43.4670756824223</v>
      </c>
      <c r="O83" s="47" t="n">
        <f aca="false">'E1 TelukLamong Input'!$E$56*O$8+'E1 TelukLamong Input'!O57</f>
        <v>44.4670756824223</v>
      </c>
      <c r="P83" s="47" t="n">
        <f aca="false">'E1 TelukLamong Input'!$E$56*P$8+'E1 TelukLamong Input'!P57</f>
        <v>44.4670756824223</v>
      </c>
      <c r="Q83" s="47" t="n">
        <f aca="false">'E1 TelukLamong Input'!$E$56*Q$8+'E1 TelukLamong Input'!Q57</f>
        <v>44.4670756824223</v>
      </c>
      <c r="R83" s="47" t="n">
        <f aca="false">'E1 TelukLamong Input'!$E$56*R$8+'E1 TelukLamong Input'!R57</f>
        <v>44.4670756824223</v>
      </c>
      <c r="S83" s="47" t="n">
        <f aca="false">'E1 TelukLamong Input'!$E$56*S$8+'E1 TelukLamong Input'!S57</f>
        <v>44.4670756824223</v>
      </c>
    </row>
    <row r="84" customFormat="false" ht="15" hidden="false" customHeight="false" outlineLevel="0" collapsed="false">
      <c r="B84" s="24" t="s">
        <v>1086</v>
      </c>
      <c r="C84" s="25" t="s">
        <v>1019</v>
      </c>
      <c r="F84" s="104" t="n">
        <f aca="false">1</f>
        <v>1</v>
      </c>
      <c r="G84" s="104" t="n">
        <f aca="false">F84*(1+'E1 TelukLamong Input'!G59)*G$8</f>
        <v>1.02</v>
      </c>
      <c r="H84" s="104" t="n">
        <f aca="false">G84*(1+'E1 TelukLamong Input'!H59)*H$8</f>
        <v>1.0404</v>
      </c>
      <c r="I84" s="104" t="n">
        <f aca="false">H84*(1+'E1 TelukLamong Input'!I59)*I$8</f>
        <v>1.061208</v>
      </c>
      <c r="J84" s="104" t="n">
        <f aca="false">I84*(1+'E1 TelukLamong Input'!J59)*J$8</f>
        <v>1.08243216</v>
      </c>
      <c r="K84" s="104" t="n">
        <f aca="false">J84*(1+'E1 TelukLamong Input'!K59)*K$8</f>
        <v>1.1040808032</v>
      </c>
      <c r="L84" s="104" t="n">
        <f aca="false">K84*(1+'E1 TelukLamong Input'!L59)*L$8</f>
        <v>1.126162419264</v>
      </c>
      <c r="M84" s="104" t="n">
        <f aca="false">L84*(1+'E1 TelukLamong Input'!M59)*M$8</f>
        <v>1.14868566764928</v>
      </c>
      <c r="N84" s="104" t="n">
        <f aca="false">M84*(1+'E1 TelukLamong Input'!N59)*N$8</f>
        <v>1.17165938100227</v>
      </c>
      <c r="O84" s="104" t="n">
        <f aca="false">N84*(1+'E1 TelukLamong Input'!O59)*O$8</f>
        <v>1.19509256862231</v>
      </c>
      <c r="P84" s="104" t="n">
        <f aca="false">O84*(1+'E1 TelukLamong Input'!P59)*P$8</f>
        <v>1.21899441999476</v>
      </c>
      <c r="Q84" s="104" t="n">
        <f aca="false">P84*(1+'E1 TelukLamong Input'!Q59)*Q$8</f>
        <v>1.24337430839465</v>
      </c>
      <c r="R84" s="104" t="n">
        <f aca="false">Q84*(1+'E1 TelukLamong Input'!R59)*R$8</f>
        <v>1.26824179456255</v>
      </c>
      <c r="S84" s="104" t="n">
        <f aca="false">R84*(1+'E1 TelukLamong Input'!S59)*S$8</f>
        <v>1.2936066304538</v>
      </c>
    </row>
    <row r="85" customFormat="false" ht="15" hidden="false" customHeight="false" outlineLevel="0" collapsed="false">
      <c r="B85" s="24" t="s">
        <v>1087</v>
      </c>
      <c r="C85" s="25" t="s">
        <v>170</v>
      </c>
      <c r="E85" s="47" t="n">
        <f aca="false">SUM(F85:S85)</f>
        <v>4.01810656401456</v>
      </c>
      <c r="F85" s="47" t="n">
        <f aca="false">'E1 TelukLamong Input'!$E$58*F84*F$8</f>
        <v>0</v>
      </c>
      <c r="G85" s="47" t="n">
        <f aca="false">'E1 TelukLamong Input'!$E$58*G84*G$8</f>
        <v>0.2737068</v>
      </c>
      <c r="H85" s="47" t="n">
        <f aca="false">'E1 TelukLamong Input'!$E$58*H84*H$8</f>
        <v>0.279180936</v>
      </c>
      <c r="I85" s="47" t="n">
        <f aca="false">'E1 TelukLamong Input'!$E$58*I84*I$8</f>
        <v>0.28476455472</v>
      </c>
      <c r="J85" s="47" t="n">
        <f aca="false">'E1 TelukLamong Input'!$E$58*J84*J$8</f>
        <v>0.2904598458144</v>
      </c>
      <c r="K85" s="47" t="n">
        <f aca="false">'E1 TelukLamong Input'!$E$58*K84*K$8</f>
        <v>0.296269042730688</v>
      </c>
      <c r="L85" s="47" t="n">
        <f aca="false">'E1 TelukLamong Input'!$E$58*L84*L$8</f>
        <v>0.302194423585302</v>
      </c>
      <c r="M85" s="47" t="n">
        <f aca="false">'E1 TelukLamong Input'!$E$58*M84*M$8</f>
        <v>0.308238312057008</v>
      </c>
      <c r="N85" s="47" t="n">
        <f aca="false">'E1 TelukLamong Input'!$E$58*N84*N$8</f>
        <v>0.314403078298148</v>
      </c>
      <c r="O85" s="47" t="n">
        <f aca="false">'E1 TelukLamong Input'!$E$58*O84*O$8</f>
        <v>0.320691139864111</v>
      </c>
      <c r="P85" s="47" t="n">
        <f aca="false">'E1 TelukLamong Input'!$E$58*P84*P$8</f>
        <v>0.327104962661393</v>
      </c>
      <c r="Q85" s="47" t="n">
        <f aca="false">'E1 TelukLamong Input'!$E$58*Q84*Q$8</f>
        <v>0.333647061914621</v>
      </c>
      <c r="R85" s="47" t="n">
        <f aca="false">'E1 TelukLamong Input'!$E$58*R84*R$8</f>
        <v>0.340320003152914</v>
      </c>
      <c r="S85" s="47" t="n">
        <f aca="false">'E1 TelukLamong Input'!$E$58*S84*S$8</f>
        <v>0.347126403215972</v>
      </c>
    </row>
    <row r="86" customFormat="false" ht="15" hidden="false" customHeight="false" outlineLevel="0" collapsed="false">
      <c r="B86" s="69" t="s">
        <v>1088</v>
      </c>
      <c r="C86" s="25" t="s">
        <v>170</v>
      </c>
      <c r="E86" s="70" t="n">
        <f aca="false">SUM(F86:S86)</f>
        <v>567.090090435504</v>
      </c>
      <c r="F86" s="68" t="n">
        <f aca="false">F83+F85</f>
        <v>0</v>
      </c>
      <c r="G86" s="68" t="n">
        <f aca="false">G83+G85</f>
        <v>41.7407824824223</v>
      </c>
      <c r="H86" s="68" t="n">
        <f aca="false">H83+H85</f>
        <v>41.7462566184223</v>
      </c>
      <c r="I86" s="68" t="n">
        <f aca="false">I83+I85</f>
        <v>42.7518402371423</v>
      </c>
      <c r="J86" s="68" t="n">
        <f aca="false">J83+J85</f>
        <v>42.7575355282367</v>
      </c>
      <c r="K86" s="68" t="n">
        <f aca="false">K83+K85</f>
        <v>42.763344725153</v>
      </c>
      <c r="L86" s="68" t="n">
        <f aca="false">L83+L85</f>
        <v>43.7692701060076</v>
      </c>
      <c r="M86" s="68" t="n">
        <f aca="false">M83+M85</f>
        <v>43.7753139944793</v>
      </c>
      <c r="N86" s="68" t="n">
        <f aca="false">N83+N85</f>
        <v>43.7814787607205</v>
      </c>
      <c r="O86" s="68" t="n">
        <f aca="false">O83+O85</f>
        <v>44.7877668222864</v>
      </c>
      <c r="P86" s="68" t="n">
        <f aca="false">P83+P85</f>
        <v>44.7941806450837</v>
      </c>
      <c r="Q86" s="68" t="n">
        <f aca="false">Q83+Q85</f>
        <v>44.8007227443369</v>
      </c>
      <c r="R86" s="68" t="n">
        <f aca="false">R83+R85</f>
        <v>44.8073956855752</v>
      </c>
      <c r="S86" s="68" t="n">
        <f aca="false">S83+S85</f>
        <v>44.8142020856383</v>
      </c>
    </row>
    <row r="88" customFormat="false" ht="15" hidden="false" customHeight="false" outlineLevel="0" collapsed="false">
      <c r="B88" s="22" t="s">
        <v>1089</v>
      </c>
      <c r="C88" s="23"/>
      <c r="D88" s="23"/>
      <c r="E88" s="23"/>
      <c r="F88" s="23"/>
      <c r="G88" s="23"/>
      <c r="H88" s="23"/>
      <c r="I88" s="23"/>
      <c r="J88" s="23"/>
      <c r="K88" s="23"/>
      <c r="L88" s="23"/>
      <c r="M88" s="23"/>
      <c r="N88" s="23"/>
      <c r="O88" s="23"/>
      <c r="P88" s="23"/>
      <c r="Q88" s="23"/>
      <c r="R88" s="23"/>
      <c r="S88" s="23"/>
    </row>
    <row r="89" customFormat="false" ht="15" hidden="false" customHeight="false" outlineLevel="0" collapsed="false">
      <c r="B89" s="24" t="s">
        <v>1090</v>
      </c>
      <c r="C89" s="25" t="s">
        <v>240</v>
      </c>
      <c r="F89" s="44" t="n">
        <f aca="false">0</f>
        <v>0</v>
      </c>
      <c r="G89" s="44" t="n">
        <f aca="false">0</f>
        <v>0</v>
      </c>
      <c r="H89" s="44" t="n">
        <f aca="false">0</f>
        <v>0</v>
      </c>
      <c r="I89" s="44" t="n">
        <f aca="false">0</f>
        <v>0</v>
      </c>
      <c r="J89" s="44" t="n">
        <f aca="false">0</f>
        <v>0</v>
      </c>
      <c r="K89" s="44" t="n">
        <f aca="false">0</f>
        <v>0</v>
      </c>
      <c r="L89" s="44" t="n">
        <f aca="false">0</f>
        <v>0</v>
      </c>
      <c r="M89" s="44" t="n">
        <f aca="false">0</f>
        <v>0</v>
      </c>
      <c r="N89" s="44" t="n">
        <f aca="false">0</f>
        <v>0</v>
      </c>
      <c r="O89" s="44" t="n">
        <f aca="false">0</f>
        <v>0</v>
      </c>
      <c r="P89" s="44" t="n">
        <f aca="false">0</f>
        <v>0</v>
      </c>
      <c r="Q89" s="44" t="n">
        <f aca="false">0</f>
        <v>0</v>
      </c>
      <c r="R89" s="44" t="n">
        <f aca="false">0</f>
        <v>0</v>
      </c>
      <c r="S89" s="44" t="n">
        <f aca="false">0</f>
        <v>0</v>
      </c>
    </row>
    <row r="90" customFormat="false" ht="15" hidden="false" customHeight="false" outlineLevel="0" collapsed="false">
      <c r="B90" s="24" t="s">
        <v>1091</v>
      </c>
      <c r="C90" s="25" t="s">
        <v>170</v>
      </c>
      <c r="F90" s="47" t="n">
        <f aca="false">0</f>
        <v>0</v>
      </c>
      <c r="G90" s="47" t="n">
        <f aca="false">0</f>
        <v>0</v>
      </c>
      <c r="H90" s="47" t="n">
        <f aca="false">0</f>
        <v>0</v>
      </c>
      <c r="I90" s="47" t="n">
        <f aca="false">0</f>
        <v>0</v>
      </c>
      <c r="J90" s="47" t="n">
        <f aca="false">0</f>
        <v>0</v>
      </c>
      <c r="K90" s="47" t="n">
        <f aca="false">0</f>
        <v>0</v>
      </c>
      <c r="L90" s="47" t="n">
        <f aca="false">0</f>
        <v>0</v>
      </c>
      <c r="M90" s="47" t="n">
        <f aca="false">0</f>
        <v>0</v>
      </c>
      <c r="N90" s="47" t="n">
        <f aca="false">0</f>
        <v>0</v>
      </c>
      <c r="O90" s="47" t="n">
        <f aca="false">0</f>
        <v>0</v>
      </c>
      <c r="P90" s="47" t="n">
        <f aca="false">0</f>
        <v>0</v>
      </c>
      <c r="Q90" s="47" t="n">
        <f aca="false">0</f>
        <v>0</v>
      </c>
      <c r="R90" s="47" t="n">
        <f aca="false">0</f>
        <v>0</v>
      </c>
      <c r="S90" s="47" t="n">
        <f aca="false">0</f>
        <v>0</v>
      </c>
    </row>
    <row r="91" customFormat="false" ht="15" hidden="false" customHeight="false" outlineLevel="0" collapsed="false">
      <c r="B91" s="24" t="s">
        <v>1092</v>
      </c>
      <c r="C91" s="25" t="s">
        <v>170</v>
      </c>
      <c r="F91" s="47" t="n">
        <f aca="false">0</f>
        <v>0</v>
      </c>
      <c r="G91" s="47" t="n">
        <f aca="false">0</f>
        <v>0</v>
      </c>
      <c r="H91" s="47" t="n">
        <f aca="false">0</f>
        <v>0</v>
      </c>
      <c r="I91" s="47" t="n">
        <f aca="false">0</f>
        <v>0</v>
      </c>
      <c r="J91" s="47" t="n">
        <f aca="false">0</f>
        <v>0</v>
      </c>
      <c r="K91" s="47" t="n">
        <f aca="false">0</f>
        <v>0</v>
      </c>
      <c r="L91" s="47" t="n">
        <f aca="false">0</f>
        <v>0</v>
      </c>
      <c r="M91" s="47" t="n">
        <f aca="false">0</f>
        <v>0</v>
      </c>
      <c r="N91" s="47" t="n">
        <f aca="false">0</f>
        <v>0</v>
      </c>
      <c r="O91" s="47" t="n">
        <f aca="false">0</f>
        <v>0</v>
      </c>
      <c r="P91" s="47" t="n">
        <f aca="false">0</f>
        <v>0</v>
      </c>
      <c r="Q91" s="47" t="n">
        <f aca="false">0</f>
        <v>0</v>
      </c>
      <c r="R91" s="47" t="n">
        <f aca="false">0</f>
        <v>0</v>
      </c>
      <c r="S91" s="47" t="n">
        <f aca="false">0</f>
        <v>0</v>
      </c>
    </row>
    <row r="92" customFormat="false" ht="15" hidden="false" customHeight="false" outlineLevel="0" collapsed="false">
      <c r="B92" s="24" t="s">
        <v>1093</v>
      </c>
      <c r="C92" s="25" t="s">
        <v>170</v>
      </c>
      <c r="F92" s="47" t="n">
        <f aca="false">0</f>
        <v>0</v>
      </c>
      <c r="G92" s="47" t="n">
        <f aca="false">0</f>
        <v>0</v>
      </c>
      <c r="H92" s="47" t="n">
        <f aca="false">0</f>
        <v>0</v>
      </c>
      <c r="I92" s="47" t="n">
        <f aca="false">0</f>
        <v>0</v>
      </c>
      <c r="J92" s="47" t="n">
        <f aca="false">0</f>
        <v>0</v>
      </c>
      <c r="K92" s="47" t="n">
        <f aca="false">0</f>
        <v>0</v>
      </c>
      <c r="L92" s="47" t="n">
        <f aca="false">0</f>
        <v>0</v>
      </c>
      <c r="M92" s="47" t="n">
        <f aca="false">0</f>
        <v>0</v>
      </c>
      <c r="N92" s="47" t="n">
        <f aca="false">0</f>
        <v>0</v>
      </c>
      <c r="O92" s="47" t="n">
        <f aca="false">0</f>
        <v>0</v>
      </c>
      <c r="P92" s="47" t="n">
        <f aca="false">0</f>
        <v>0</v>
      </c>
      <c r="Q92" s="47" t="n">
        <f aca="false">0</f>
        <v>0</v>
      </c>
      <c r="R92" s="47" t="n">
        <f aca="false">0</f>
        <v>0</v>
      </c>
      <c r="S92" s="47" t="n">
        <f aca="false">0</f>
        <v>0</v>
      </c>
    </row>
    <row r="93" customFormat="false" ht="15" hidden="false" customHeight="false" outlineLevel="0" collapsed="false">
      <c r="B93" s="69" t="s">
        <v>1094</v>
      </c>
      <c r="C93" s="25" t="s">
        <v>170</v>
      </c>
      <c r="E93" s="70" t="n">
        <f aca="false">SUM(F93:S93)</f>
        <v>567.090090435504</v>
      </c>
      <c r="F93" s="68" t="n">
        <f aca="false">F91+F86</f>
        <v>0</v>
      </c>
      <c r="G93" s="68" t="n">
        <f aca="false">G91+G86</f>
        <v>41.7407824824223</v>
      </c>
      <c r="H93" s="68" t="n">
        <f aca="false">H91+H86</f>
        <v>41.7462566184223</v>
      </c>
      <c r="I93" s="68" t="n">
        <f aca="false">I91+I86</f>
        <v>42.7518402371423</v>
      </c>
      <c r="J93" s="68" t="n">
        <f aca="false">J91+J86</f>
        <v>42.7575355282367</v>
      </c>
      <c r="K93" s="68" t="n">
        <f aca="false">K91+K86</f>
        <v>42.763344725153</v>
      </c>
      <c r="L93" s="68" t="n">
        <f aca="false">L91+L86</f>
        <v>43.7692701060076</v>
      </c>
      <c r="M93" s="68" t="n">
        <f aca="false">M91+M86</f>
        <v>43.7753139944793</v>
      </c>
      <c r="N93" s="68" t="n">
        <f aca="false">N91+N86</f>
        <v>43.7814787607205</v>
      </c>
      <c r="O93" s="68" t="n">
        <f aca="false">O91+O86</f>
        <v>44.7877668222864</v>
      </c>
      <c r="P93" s="68" t="n">
        <f aca="false">P91+P86</f>
        <v>44.7941806450837</v>
      </c>
      <c r="Q93" s="68" t="n">
        <f aca="false">Q91+Q86</f>
        <v>44.8007227443369</v>
      </c>
      <c r="R93" s="68" t="n">
        <f aca="false">R91+R86</f>
        <v>44.8073956855752</v>
      </c>
      <c r="S93" s="68" t="n">
        <f aca="false">S91+S86</f>
        <v>44.8142020856383</v>
      </c>
    </row>
    <row r="95" customFormat="false" ht="15" hidden="false" customHeight="false" outlineLevel="0" collapsed="false">
      <c r="B95" s="22" t="s">
        <v>1095</v>
      </c>
      <c r="C95" s="23"/>
      <c r="D95" s="23"/>
      <c r="E95" s="23"/>
      <c r="F95" s="23"/>
      <c r="G95" s="23"/>
      <c r="H95" s="23"/>
      <c r="I95" s="23"/>
      <c r="J95" s="23"/>
      <c r="K95" s="23"/>
      <c r="L95" s="23"/>
      <c r="M95" s="23"/>
      <c r="N95" s="23"/>
      <c r="O95" s="23"/>
      <c r="P95" s="23"/>
      <c r="Q95" s="23"/>
      <c r="R95" s="23"/>
      <c r="S95" s="23"/>
    </row>
    <row r="96" customFormat="false" ht="15" hidden="false" customHeight="false" outlineLevel="0" collapsed="false">
      <c r="B96" s="24" t="s">
        <v>1096</v>
      </c>
      <c r="C96" s="25" t="s">
        <v>170</v>
      </c>
      <c r="F96" s="47" t="n">
        <f aca="false">'Global Inputs'!$E$60*$G$23/('Global Inputs'!$E$106)</f>
        <v>23.0592525460196</v>
      </c>
      <c r="G96" s="47" t="n">
        <f aca="false">G23*'Global Inputs'!$E$28/G$7</f>
        <v>19.2342147540984</v>
      </c>
      <c r="H96" s="47" t="n">
        <f aca="false">H23*'Global Inputs'!$E$28/H$7</f>
        <v>19.865518569863</v>
      </c>
      <c r="I96" s="47" t="n">
        <f aca="false">I23*'Global Inputs'!$E$28/I$7</f>
        <v>20.4614841269589</v>
      </c>
      <c r="J96" s="47" t="n">
        <f aca="false">J23*'Global Inputs'!$E$28/J$7</f>
        <v>21.0753286507677</v>
      </c>
      <c r="K96" s="47" t="n">
        <f aca="false">K23*'Global Inputs'!$E$28/K$7</f>
        <v>21.6482781591697</v>
      </c>
      <c r="L96" s="47" t="n">
        <f aca="false">L23*'Global Inputs'!$E$28/L$7</f>
        <v>23.0295806505674</v>
      </c>
      <c r="M96" s="47" t="n">
        <f aca="false">M23*'Global Inputs'!$E$28/M$7</f>
        <v>23.7204680700844</v>
      </c>
      <c r="N96" s="47" t="n">
        <f aca="false">N23*'Global Inputs'!$E$28/N$7</f>
        <v>24.432082112187</v>
      </c>
      <c r="O96" s="47" t="n">
        <f aca="false">O23*'Global Inputs'!$E$28/O$7</f>
        <v>25.8491762518552</v>
      </c>
      <c r="P96" s="47" t="n">
        <f aca="false">P23*'Global Inputs'!$E$28/P$7</f>
        <v>26.6975957902037</v>
      </c>
      <c r="Q96" s="47" t="n">
        <f aca="false">Q23*'Global Inputs'!$E$28/Q$7</f>
        <v>27.4985236639098</v>
      </c>
      <c r="R96" s="47" t="n">
        <f aca="false">R23*'Global Inputs'!$E$28/R$7</f>
        <v>28.3234793738271</v>
      </c>
      <c r="S96" s="47" t="n">
        <f aca="false">S23*'Global Inputs'!$E$28/S$7</f>
        <v>29.0934756027058</v>
      </c>
      <c r="U96" s="5" t="s">
        <v>1097</v>
      </c>
    </row>
    <row r="97" customFormat="false" ht="15" hidden="false" customHeight="false" outlineLevel="0" collapsed="false">
      <c r="B97" s="24" t="s">
        <v>1098</v>
      </c>
      <c r="C97" s="25" t="s">
        <v>170</v>
      </c>
      <c r="F97" s="47" t="n">
        <f aca="false">'Global Inputs'!$E$63*$G$55/('Global Inputs'!$E$107)</f>
        <v>3.58394966961942</v>
      </c>
      <c r="G97" s="47" t="n">
        <f aca="false">G55*'Global Inputs'!$E$29/G$7</f>
        <v>2.45358898185645</v>
      </c>
      <c r="H97" s="47" t="n">
        <f aca="false">H55*'Global Inputs'!$E$29/H$7</f>
        <v>2.57360722187744</v>
      </c>
      <c r="I97" s="47" t="n">
        <f aca="false">I55*'Global Inputs'!$E$29/I$7</f>
        <v>2.69445621864038</v>
      </c>
      <c r="J97" s="47" t="n">
        <f aca="false">J55*'Global Inputs'!$E$29/J$7</f>
        <v>2.81967305161033</v>
      </c>
      <c r="K97" s="47" t="n">
        <f aca="false">K55*'Global Inputs'!$E$29/K$7</f>
        <v>2.94327959700272</v>
      </c>
      <c r="L97" s="47" t="n">
        <f aca="false">L55*'Global Inputs'!$E$29/L$7</f>
        <v>3.09157203600629</v>
      </c>
      <c r="M97" s="47" t="n">
        <f aca="false">M55*'Global Inputs'!$E$29/M$7</f>
        <v>3.23723157014051</v>
      </c>
      <c r="N97" s="47" t="n">
        <f aca="false">N55*'Global Inputs'!$E$29/N$7</f>
        <v>3.39046866515628</v>
      </c>
      <c r="O97" s="47" t="n">
        <f aca="false">O55*'Global Inputs'!$E$29/O$7</f>
        <v>3.54374391858123</v>
      </c>
      <c r="P97" s="47" t="n">
        <f aca="false">P55*'Global Inputs'!$E$29/P$7</f>
        <v>3.72312500731182</v>
      </c>
      <c r="Q97" s="47" t="n">
        <f aca="false">Q55*'Global Inputs'!$E$29/Q$7</f>
        <v>3.90170449127994</v>
      </c>
      <c r="R97" s="47" t="n">
        <f aca="false">R55*'Global Inputs'!$E$29/R$7</f>
        <v>4.08968671311892</v>
      </c>
      <c r="S97" s="47" t="n">
        <f aca="false">S55*'Global Inputs'!$E$29/S$7</f>
        <v>4.27588110528686</v>
      </c>
    </row>
    <row r="98" customFormat="false" ht="15" hidden="false" customHeight="false" outlineLevel="0" collapsed="false">
      <c r="B98" s="24" t="s">
        <v>1099</v>
      </c>
      <c r="C98" s="25" t="s">
        <v>170</v>
      </c>
      <c r="F98" s="47" t="n">
        <f aca="false">F96-F97</f>
        <v>19.4753028764002</v>
      </c>
      <c r="G98" s="47" t="n">
        <f aca="false">G96-G97</f>
        <v>16.7806257722419</v>
      </c>
      <c r="H98" s="47" t="n">
        <f aca="false">H96-H97</f>
        <v>17.2919113479856</v>
      </c>
      <c r="I98" s="47" t="n">
        <f aca="false">I96-I97</f>
        <v>17.7670279083185</v>
      </c>
      <c r="J98" s="47" t="n">
        <f aca="false">J96-J97</f>
        <v>18.2556555991573</v>
      </c>
      <c r="K98" s="47" t="n">
        <f aca="false">K96-K97</f>
        <v>18.704998562167</v>
      </c>
      <c r="L98" s="47" t="n">
        <f aca="false">L96-L97</f>
        <v>19.9380086145611</v>
      </c>
      <c r="M98" s="47" t="n">
        <f aca="false">M96-M97</f>
        <v>20.4832364999439</v>
      </c>
      <c r="N98" s="47" t="n">
        <f aca="false">N96-N97</f>
        <v>21.0416134470307</v>
      </c>
      <c r="O98" s="47" t="n">
        <f aca="false">O96-O97</f>
        <v>22.3054323332739</v>
      </c>
      <c r="P98" s="47" t="n">
        <f aca="false">P96-P97</f>
        <v>22.9744707828919</v>
      </c>
      <c r="Q98" s="47" t="n">
        <f aca="false">Q96-Q97</f>
        <v>23.5968191726299</v>
      </c>
      <c r="R98" s="47" t="n">
        <f aca="false">R96-R97</f>
        <v>24.2337926607082</v>
      </c>
      <c r="S98" s="47" t="n">
        <f aca="false">S96-S97</f>
        <v>24.8175944974189</v>
      </c>
    </row>
    <row r="99" customFormat="false" ht="15" hidden="false" customHeight="false" outlineLevel="0" collapsed="false">
      <c r="B99" s="24" t="s">
        <v>1100</v>
      </c>
      <c r="C99" s="25" t="s">
        <v>170</v>
      </c>
      <c r="E99" s="47" t="n">
        <f aca="false">SUM(F99:S99)</f>
        <v>5.34229162101871</v>
      </c>
      <c r="F99" s="47" t="n">
        <f aca="false">0</f>
        <v>0</v>
      </c>
      <c r="G99" s="47" t="n">
        <f aca="false">G98-F98</f>
        <v>-2.69467710415828</v>
      </c>
      <c r="H99" s="47" t="n">
        <f aca="false">H98-G98</f>
        <v>0.511285575743667</v>
      </c>
      <c r="I99" s="47" t="n">
        <f aca="false">I98-H98</f>
        <v>0.475116560332946</v>
      </c>
      <c r="J99" s="47" t="n">
        <f aca="false">J98-I98</f>
        <v>0.488627690838815</v>
      </c>
      <c r="K99" s="47" t="n">
        <f aca="false">K98-J98</f>
        <v>0.449342963009634</v>
      </c>
      <c r="L99" s="47" t="n">
        <f aca="false">L98-K98</f>
        <v>1.23301005239415</v>
      </c>
      <c r="M99" s="47" t="n">
        <f aca="false">M98-L98</f>
        <v>0.545227885382797</v>
      </c>
      <c r="N99" s="47" t="n">
        <f aca="false">N98-M98</f>
        <v>0.558376947086764</v>
      </c>
      <c r="O99" s="47" t="n">
        <f aca="false">O98-N98</f>
        <v>1.26381888624326</v>
      </c>
      <c r="P99" s="47" t="n">
        <f aca="false">P98-O98</f>
        <v>0.669038449617968</v>
      </c>
      <c r="Q99" s="47" t="n">
        <f aca="false">Q98-P98</f>
        <v>0.62234838973799</v>
      </c>
      <c r="R99" s="47" t="n">
        <f aca="false">R98-Q98</f>
        <v>0.636973488078322</v>
      </c>
      <c r="S99" s="47" t="n">
        <f aca="false">S98-R98</f>
        <v>0.583801836710688</v>
      </c>
    </row>
  </sheetData>
  <hyperlinks>
    <hyperlink ref="C3" r:id="rId1" location="'E1%20TelukLamong%20Input'!A1" display="Input"/>
    <hyperlink ref="D3" r:id="rId2" location="'E1%20TelukLamong%20Calc'!A1" display="Calc"/>
    <hyperlink ref="E3" r:id="rId3" location="'E1%20TelukLamong%20Output'!A1" display="Output"/>
    <hyperlink ref="F3" r:id="rId4" location="'Navigation'!A1" display="Navigation"/>
    <hyperlink ref="G3" r:id="rId5" location="'Global%20Inputs'!A1" display="Global Inputs"/>
    <hyperlink ref="H3" r:id="rId6" location="'Project%20Summary'!A1" display="Project Summary"/>
    <hyperlink ref="I3" r:id="rId7" location="'Funding%20Requirement'!A1" display="Funding"/>
    <hyperlink ref="J3" r:id="rId8" location="'FSL%20Financials%20—%20Without%20BUMN'!A1" display="FSL w/o BUMN"/>
    <hyperlink ref="K3" r:id="rId9" location="'FSL%20Financials%20—%20With%20BUMN'!A1" display="FSL w/ BUMN"/>
    <hyperlink ref="L3" r:id="rId10" location="'Valuation%20—%20Without%20BUMN'!A1" display="Val w/o BUMN"/>
    <hyperlink ref="M3" r:id="rId11" location="'Valuation%20—%20With%20BUMN'!A1" display="Val w/ BUMN"/>
    <hyperlink ref="N3" r:id="rId12" location="'Checks'!A1" display="Checks"/>
    <hyperlink ref="O3" r:id="rId13" location="'Model%20Flow'!A1" display="Model Flow"/>
  </hyperlink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9D08E"/>
    <pageSetUpPr fitToPage="true"/>
  </sheetPr>
  <dimension ref="B1:U6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5" ySplit="9" topLeftCell="F10" activePane="bottomRight" state="frozen"/>
      <selection pane="topLeft" activeCell="A1" activeCellId="0" sqref="A1"/>
      <selection pane="topRight" activeCell="F1" activeCellId="0" sqref="F1"/>
      <selection pane="bottomLeft" activeCell="A10" activeCellId="0" sqref="A10"/>
      <selection pane="bottomRigh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66"/>
    <col collapsed="false" customWidth="true" hidden="false" outlineLevel="0" max="3" min="3" style="0" width="11"/>
    <col collapsed="false" customWidth="true" hidden="false" outlineLevel="0" max="4" min="4" style="0" width="12"/>
    <col collapsed="false" customWidth="true" hidden="false" outlineLevel="0" max="5" min="5" style="0" width="13"/>
    <col collapsed="false" customWidth="true" hidden="false" outlineLevel="0" max="19" min="6" style="0" width="11.5"/>
    <col collapsed="false" customWidth="true" hidden="false" outlineLevel="0" max="20" min="20" style="0" width="40"/>
    <col collapsed="false" customWidth="true" hidden="false" outlineLevel="0" max="21" min="21" style="0" width="48"/>
  </cols>
  <sheetData>
    <row r="1" customFormat="false" ht="21.75" hidden="false" customHeight="true" outlineLevel="0" collapsed="false">
      <c r="B1" s="1" t="s">
        <v>1101</v>
      </c>
    </row>
    <row r="2" customFormat="false" ht="15" hidden="false" customHeight="false" outlineLevel="0" collapsed="false">
      <c r="B2" s="2" t="s">
        <v>1102</v>
      </c>
    </row>
    <row r="3" customFormat="false" ht="15" hidden="false" customHeight="false" outlineLevel="0" collapsed="false">
      <c r="B3" s="5" t="s">
        <v>112</v>
      </c>
      <c r="C3" s="17" t="s">
        <v>27</v>
      </c>
      <c r="D3" s="17" t="s">
        <v>28</v>
      </c>
      <c r="E3" s="17" t="s">
        <v>29</v>
      </c>
      <c r="F3" s="17" t="s">
        <v>113</v>
      </c>
      <c r="G3" s="17" t="s">
        <v>5</v>
      </c>
      <c r="H3" s="17" t="s">
        <v>7</v>
      </c>
      <c r="I3" s="17" t="s">
        <v>114</v>
      </c>
      <c r="J3" s="17" t="s">
        <v>115</v>
      </c>
      <c r="K3" s="17" t="s">
        <v>116</v>
      </c>
      <c r="L3" s="17" t="s">
        <v>117</v>
      </c>
      <c r="M3" s="17" t="s">
        <v>118</v>
      </c>
      <c r="N3" s="17" t="s">
        <v>21</v>
      </c>
      <c r="O3" s="17" t="s">
        <v>3</v>
      </c>
    </row>
    <row r="5" customFormat="false" ht="15" hidden="false" customHeight="false" outlineLevel="0" collapsed="false">
      <c r="B5" s="6" t="s">
        <v>119</v>
      </c>
      <c r="C5" s="6" t="s">
        <v>120</v>
      </c>
      <c r="D5" s="6" t="s">
        <v>121</v>
      </c>
      <c r="E5" s="6" t="s">
        <v>122</v>
      </c>
      <c r="F5" s="18" t="n">
        <f aca="false">'Global Inputs'!F$5</f>
        <v>2023</v>
      </c>
      <c r="G5" s="18" t="n">
        <f aca="false">'Global Inputs'!G$5</f>
        <v>2024</v>
      </c>
      <c r="H5" s="18" t="n">
        <f aca="false">'Global Inputs'!H$5</f>
        <v>2025</v>
      </c>
      <c r="I5" s="18" t="n">
        <f aca="false">'Global Inputs'!I$5</f>
        <v>2026</v>
      </c>
      <c r="J5" s="18" t="n">
        <f aca="false">'Global Inputs'!J$5</f>
        <v>2027</v>
      </c>
      <c r="K5" s="18" t="n">
        <f aca="false">'Global Inputs'!K$5</f>
        <v>2028</v>
      </c>
      <c r="L5" s="18" t="n">
        <f aca="false">'Global Inputs'!L$5</f>
        <v>2029</v>
      </c>
      <c r="M5" s="18" t="n">
        <f aca="false">'Global Inputs'!M$5</f>
        <v>2030</v>
      </c>
      <c r="N5" s="18" t="n">
        <f aca="false">'Global Inputs'!N$5</f>
        <v>2031</v>
      </c>
      <c r="O5" s="18" t="n">
        <f aca="false">'Global Inputs'!O$5</f>
        <v>2032</v>
      </c>
      <c r="P5" s="18" t="n">
        <f aca="false">'Global Inputs'!P$5</f>
        <v>2033</v>
      </c>
      <c r="Q5" s="18" t="n">
        <f aca="false">'Global Inputs'!Q$5</f>
        <v>2034</v>
      </c>
      <c r="R5" s="18" t="n">
        <f aca="false">'Global Inputs'!R$5</f>
        <v>2035</v>
      </c>
      <c r="S5" s="18" t="n">
        <f aca="false">'Global Inputs'!S$5</f>
        <v>2036</v>
      </c>
      <c r="T5" s="6" t="s">
        <v>123</v>
      </c>
      <c r="U5" s="6" t="s">
        <v>124</v>
      </c>
    </row>
    <row r="6" customFormat="false" ht="15" hidden="false" customHeight="false" outlineLevel="0" collapsed="false">
      <c r="B6" s="19" t="s">
        <v>125</v>
      </c>
      <c r="F6" s="20" t="n">
        <f aca="false">'Global Inputs'!F$6</f>
        <v>45291</v>
      </c>
      <c r="G6" s="20" t="n">
        <f aca="false">'Global Inputs'!G$6</f>
        <v>45657</v>
      </c>
      <c r="H6" s="20" t="n">
        <f aca="false">'Global Inputs'!H$6</f>
        <v>46022</v>
      </c>
      <c r="I6" s="20" t="n">
        <f aca="false">'Global Inputs'!I$6</f>
        <v>46387</v>
      </c>
      <c r="J6" s="20" t="n">
        <f aca="false">'Global Inputs'!J$6</f>
        <v>46752</v>
      </c>
      <c r="K6" s="20" t="n">
        <f aca="false">'Global Inputs'!K$6</f>
        <v>47118</v>
      </c>
      <c r="L6" s="20" t="n">
        <f aca="false">'Global Inputs'!L$6</f>
        <v>47483</v>
      </c>
      <c r="M6" s="20" t="n">
        <f aca="false">'Global Inputs'!M$6</f>
        <v>47848</v>
      </c>
      <c r="N6" s="20" t="n">
        <f aca="false">'Global Inputs'!N$6</f>
        <v>48213</v>
      </c>
      <c r="O6" s="20" t="n">
        <f aca="false">'Global Inputs'!O$6</f>
        <v>48579</v>
      </c>
      <c r="P6" s="20" t="n">
        <f aca="false">'Global Inputs'!P$6</f>
        <v>48944</v>
      </c>
      <c r="Q6" s="20" t="n">
        <f aca="false">'Global Inputs'!Q$6</f>
        <v>49309</v>
      </c>
      <c r="R6" s="20" t="n">
        <f aca="false">'Global Inputs'!R$6</f>
        <v>49674</v>
      </c>
      <c r="S6" s="20" t="n">
        <f aca="false">'Global Inputs'!S$6</f>
        <v>50040</v>
      </c>
    </row>
    <row r="7" customFormat="false" ht="15" hidden="false" customHeight="false" outlineLevel="0" collapsed="false">
      <c r="B7" s="19" t="s">
        <v>126</v>
      </c>
      <c r="F7" s="21" t="n">
        <f aca="false">'Global Inputs'!F$7</f>
        <v>365</v>
      </c>
      <c r="G7" s="21" t="n">
        <f aca="false">'Global Inputs'!G$7</f>
        <v>366</v>
      </c>
      <c r="H7" s="21" t="n">
        <f aca="false">'Global Inputs'!H$7</f>
        <v>365</v>
      </c>
      <c r="I7" s="21" t="n">
        <f aca="false">'Global Inputs'!I$7</f>
        <v>365</v>
      </c>
      <c r="J7" s="21" t="n">
        <f aca="false">'Global Inputs'!J$7</f>
        <v>365</v>
      </c>
      <c r="K7" s="21" t="n">
        <f aca="false">'Global Inputs'!K$7</f>
        <v>366</v>
      </c>
      <c r="L7" s="21" t="n">
        <f aca="false">'Global Inputs'!L$7</f>
        <v>365</v>
      </c>
      <c r="M7" s="21" t="n">
        <f aca="false">'Global Inputs'!M$7</f>
        <v>365</v>
      </c>
      <c r="N7" s="21" t="n">
        <f aca="false">'Global Inputs'!N$7</f>
        <v>365</v>
      </c>
      <c r="O7" s="21" t="n">
        <f aca="false">'Global Inputs'!O$7</f>
        <v>366</v>
      </c>
      <c r="P7" s="21" t="n">
        <f aca="false">'Global Inputs'!P$7</f>
        <v>365</v>
      </c>
      <c r="Q7" s="21" t="n">
        <f aca="false">'Global Inputs'!Q$7</f>
        <v>365</v>
      </c>
      <c r="R7" s="21" t="n">
        <f aca="false">'Global Inputs'!R$7</f>
        <v>365</v>
      </c>
      <c r="S7" s="21" t="n">
        <f aca="false">'Global Inputs'!S$7</f>
        <v>366</v>
      </c>
    </row>
    <row r="8" customFormat="false" ht="15" hidden="false" customHeight="false" outlineLevel="0" collapsed="false">
      <c r="B8" s="19" t="s">
        <v>127</v>
      </c>
      <c r="F8" s="21" t="n">
        <f aca="false">'Global Inputs'!F$8</f>
        <v>0</v>
      </c>
      <c r="G8" s="21" t="n">
        <f aca="false">'Global Inputs'!G$8</f>
        <v>1</v>
      </c>
      <c r="H8" s="21" t="n">
        <f aca="false">'Global Inputs'!H$8</f>
        <v>1</v>
      </c>
      <c r="I8" s="21" t="n">
        <f aca="false">'Global Inputs'!I$8</f>
        <v>1</v>
      </c>
      <c r="J8" s="21" t="n">
        <f aca="false">'Global Inputs'!J$8</f>
        <v>1</v>
      </c>
      <c r="K8" s="21" t="n">
        <f aca="false">'Global Inputs'!K$8</f>
        <v>1</v>
      </c>
      <c r="L8" s="21" t="n">
        <f aca="false">'Global Inputs'!L$8</f>
        <v>1</v>
      </c>
      <c r="M8" s="21" t="n">
        <f aca="false">'Global Inputs'!M$8</f>
        <v>1</v>
      </c>
      <c r="N8" s="21" t="n">
        <f aca="false">'Global Inputs'!N$8</f>
        <v>1</v>
      </c>
      <c r="O8" s="21" t="n">
        <f aca="false">'Global Inputs'!O$8</f>
        <v>1</v>
      </c>
      <c r="P8" s="21" t="n">
        <f aca="false">'Global Inputs'!P$8</f>
        <v>1</v>
      </c>
      <c r="Q8" s="21" t="n">
        <f aca="false">'Global Inputs'!Q$8</f>
        <v>1</v>
      </c>
      <c r="R8" s="21" t="n">
        <f aca="false">'Global Inputs'!R$8</f>
        <v>1</v>
      </c>
      <c r="S8" s="21" t="n">
        <f aca="false">'Global Inputs'!S$8</f>
        <v>1</v>
      </c>
    </row>
    <row r="10" customFormat="false" ht="15" hidden="false" customHeight="false" outlineLevel="0" collapsed="false">
      <c r="B10" s="22" t="s">
        <v>1103</v>
      </c>
      <c r="C10" s="23"/>
      <c r="D10" s="23"/>
      <c r="E10" s="23"/>
      <c r="F10" s="23"/>
      <c r="G10" s="23"/>
      <c r="H10" s="23"/>
      <c r="I10" s="23"/>
      <c r="J10" s="23"/>
      <c r="K10" s="23"/>
      <c r="L10" s="23"/>
      <c r="M10" s="23"/>
      <c r="N10" s="23"/>
      <c r="O10" s="23"/>
      <c r="P10" s="23"/>
      <c r="Q10" s="23"/>
      <c r="R10" s="23"/>
      <c r="S10" s="23"/>
    </row>
    <row r="11" customFormat="false" ht="15" hidden="false" customHeight="false" outlineLevel="0" collapsed="false">
      <c r="B11" s="24" t="s">
        <v>345</v>
      </c>
      <c r="C11" s="25" t="s">
        <v>170</v>
      </c>
      <c r="E11" s="47" t="n">
        <f aca="false">SUM(F11:S11)</f>
        <v>2524.11078340178</v>
      </c>
      <c r="F11" s="47" t="n">
        <f aca="false">'E1 TelukLamong Calc'!F23</f>
        <v>0</v>
      </c>
      <c r="G11" s="47" t="n">
        <f aca="false">'E1 TelukLamong Calc'!G23</f>
        <v>156.43828</v>
      </c>
      <c r="H11" s="47" t="n">
        <f aca="false">'E1 TelukLamong Calc'!H23</f>
        <v>161.1314284</v>
      </c>
      <c r="I11" s="47" t="n">
        <f aca="false">'E1 TelukLamong Calc'!I23</f>
        <v>165.965371252</v>
      </c>
      <c r="J11" s="47" t="n">
        <f aca="false">'E1 TelukLamong Calc'!J23</f>
        <v>170.94433238956</v>
      </c>
      <c r="K11" s="47" t="n">
        <f aca="false">'E1 TelukLamong Calc'!K23</f>
        <v>176.072662361247</v>
      </c>
      <c r="L11" s="47" t="n">
        <f aca="false">'E1 TelukLamong Calc'!L23</f>
        <v>186.795487499047</v>
      </c>
      <c r="M11" s="47" t="n">
        <f aca="false">'E1 TelukLamong Calc'!M23</f>
        <v>192.399352124018</v>
      </c>
      <c r="N11" s="47" t="n">
        <f aca="false">'E1 TelukLamong Calc'!N23</f>
        <v>198.171332687739</v>
      </c>
      <c r="O11" s="47" t="n">
        <f aca="false">'E1 TelukLamong Calc'!O23</f>
        <v>210.239966848422</v>
      </c>
      <c r="P11" s="47" t="n">
        <f aca="false">'E1 TelukLamong Calc'!P23</f>
        <v>216.547165853875</v>
      </c>
      <c r="Q11" s="47" t="n">
        <f aca="false">'E1 TelukLamong Calc'!Q23</f>
        <v>223.043580829491</v>
      </c>
      <c r="R11" s="47" t="n">
        <f aca="false">'E1 TelukLamong Calc'!R23</f>
        <v>229.734888254376</v>
      </c>
      <c r="S11" s="47" t="n">
        <f aca="false">'E1 TelukLamong Calc'!S23</f>
        <v>236.626934902007</v>
      </c>
    </row>
    <row r="12" customFormat="false" ht="15" hidden="false" customHeight="false" outlineLevel="0" collapsed="false">
      <c r="B12" s="24" t="s">
        <v>391</v>
      </c>
      <c r="C12" s="25" t="s">
        <v>170</v>
      </c>
      <c r="E12" s="47" t="n">
        <f aca="false">SUM(F12:S12)</f>
        <v>-520.419775817499</v>
      </c>
      <c r="F12" s="47" t="n">
        <f aca="false">-'E1 TelukLamong Calc'!F55</f>
        <v>-0</v>
      </c>
      <c r="G12" s="47" t="n">
        <f aca="false">-'E1 TelukLamong Calc'!G55</f>
        <v>-29.9337855786487</v>
      </c>
      <c r="H12" s="47" t="n">
        <f aca="false">-'E1 TelukLamong Calc'!H55</f>
        <v>-31.3122211995089</v>
      </c>
      <c r="I12" s="47" t="n">
        <f aca="false">-'E1 TelukLamong Calc'!I55</f>
        <v>-32.7825506601247</v>
      </c>
      <c r="J12" s="47" t="n">
        <f aca="false">-'E1 TelukLamong Calc'!J55</f>
        <v>-34.3060221279257</v>
      </c>
      <c r="K12" s="47" t="n">
        <f aca="false">-'E1 TelukLamong Calc'!K55</f>
        <v>-35.9080110834332</v>
      </c>
      <c r="L12" s="47" t="n">
        <f aca="false">-'E1 TelukLamong Calc'!L55</f>
        <v>-37.6141264380765</v>
      </c>
      <c r="M12" s="47" t="n">
        <f aca="false">-'E1 TelukLamong Calc'!M55</f>
        <v>-39.3863174367096</v>
      </c>
      <c r="N12" s="47" t="n">
        <f aca="false">-'E1 TelukLamong Calc'!N55</f>
        <v>-41.2507020927348</v>
      </c>
      <c r="O12" s="47" t="n">
        <f aca="false">-'E1 TelukLamong Calc'!O55</f>
        <v>-43.233675806691</v>
      </c>
      <c r="P12" s="47" t="n">
        <f aca="false">-'E1 TelukLamong Calc'!P55</f>
        <v>-45.2980209222938</v>
      </c>
      <c r="Q12" s="47" t="n">
        <f aca="false">-'E1 TelukLamong Calc'!Q55</f>
        <v>-47.4707379772393</v>
      </c>
      <c r="R12" s="47" t="n">
        <f aca="false">-'E1 TelukLamong Calc'!R55</f>
        <v>-49.7578550096135</v>
      </c>
      <c r="S12" s="47" t="n">
        <f aca="false">-'E1 TelukLamong Calc'!S55</f>
        <v>-52.1657494844997</v>
      </c>
    </row>
    <row r="13" customFormat="false" ht="15" hidden="false" customHeight="false" outlineLevel="0" collapsed="false">
      <c r="B13" s="69" t="s">
        <v>392</v>
      </c>
      <c r="C13" s="25" t="s">
        <v>170</v>
      </c>
      <c r="E13" s="70" t="n">
        <f aca="false">SUM(F13:S13)</f>
        <v>2003.69100758428</v>
      </c>
      <c r="F13" s="68" t="n">
        <f aca="false">F11+F12</f>
        <v>0</v>
      </c>
      <c r="G13" s="68" t="n">
        <f aca="false">G11+G12</f>
        <v>126.504494421351</v>
      </c>
      <c r="H13" s="68" t="n">
        <f aca="false">H11+H12</f>
        <v>129.819207200491</v>
      </c>
      <c r="I13" s="68" t="n">
        <f aca="false">I11+I12</f>
        <v>133.182820591875</v>
      </c>
      <c r="J13" s="68" t="n">
        <f aca="false">J11+J12</f>
        <v>136.638310261634</v>
      </c>
      <c r="K13" s="68" t="n">
        <f aca="false">K11+K12</f>
        <v>140.164651277814</v>
      </c>
      <c r="L13" s="68" t="n">
        <f aca="false">L11+L12</f>
        <v>149.18136106097</v>
      </c>
      <c r="M13" s="68" t="n">
        <f aca="false">M11+M12</f>
        <v>153.013034687309</v>
      </c>
      <c r="N13" s="68" t="n">
        <f aca="false">N11+N12</f>
        <v>156.920630595004</v>
      </c>
      <c r="O13" s="68" t="n">
        <f aca="false">O11+O12</f>
        <v>167.006291041731</v>
      </c>
      <c r="P13" s="68" t="n">
        <f aca="false">P11+P12</f>
        <v>171.249144931581</v>
      </c>
      <c r="Q13" s="68" t="n">
        <f aca="false">Q11+Q12</f>
        <v>175.572842852252</v>
      </c>
      <c r="R13" s="68" t="n">
        <f aca="false">R11+R12</f>
        <v>179.977033244762</v>
      </c>
      <c r="S13" s="68" t="n">
        <f aca="false">S11+S12</f>
        <v>184.461185417507</v>
      </c>
    </row>
    <row r="14" customFormat="false" ht="15" hidden="false" customHeight="false" outlineLevel="0" collapsed="false">
      <c r="B14" s="24" t="s">
        <v>393</v>
      </c>
      <c r="C14" s="25" t="s">
        <v>170</v>
      </c>
      <c r="E14" s="47" t="n">
        <f aca="false">SUM(F14:S14)</f>
        <v>-217.322721065096</v>
      </c>
      <c r="F14" s="47" t="n">
        <f aca="false">-'E1 TelukLamong Calc'!F80</f>
        <v>-0</v>
      </c>
      <c r="G14" s="47" t="n">
        <f aca="false">-'E1 TelukLamong Calc'!G80</f>
        <v>-13.9938981842</v>
      </c>
      <c r="H14" s="47" t="n">
        <f aca="false">-'E1 TelukLamong Calc'!H80</f>
        <v>-14.400583372184</v>
      </c>
      <c r="I14" s="47" t="n">
        <f aca="false">-'E1 TelukLamong Calc'!I80</f>
        <v>-14.8192064806567</v>
      </c>
      <c r="J14" s="47" t="n">
        <f aca="false">-'E1 TelukLamong Calc'!J80</f>
        <v>-15.2501203945297</v>
      </c>
      <c r="K14" s="47" t="n">
        <f aca="false">-'E1 TelukLamong Calc'!K80</f>
        <v>-15.6936884802079</v>
      </c>
      <c r="L14" s="47" t="n">
        <f aca="false">-'E1 TelukLamong Calc'!L80</f>
        <v>-16.1502848979334</v>
      </c>
      <c r="M14" s="47" t="n">
        <f aca="false">-'E1 TelukLamong Calc'!M80</f>
        <v>-16.620294923457</v>
      </c>
      <c r="N14" s="47" t="n">
        <f aca="false">-'E1 TelukLamong Calc'!N80</f>
        <v>-17.104115279318</v>
      </c>
      <c r="O14" s="47" t="n">
        <f aca="false">-'E1 TelukLamong Calc'!O80</f>
        <v>-17.602154476018</v>
      </c>
      <c r="P14" s="47" t="n">
        <f aca="false">-'E1 TelukLamong Calc'!P80</f>
        <v>-18.1148331633854</v>
      </c>
      <c r="Q14" s="47" t="n">
        <f aca="false">-'E1 TelukLamong Calc'!Q80</f>
        <v>-18.6425844924356</v>
      </c>
      <c r="R14" s="47" t="n">
        <f aca="false">-'E1 TelukLamong Calc'!R80</f>
        <v>-19.1858544880403</v>
      </c>
      <c r="S14" s="47" t="n">
        <f aca="false">-'E1 TelukLamong Calc'!S80</f>
        <v>-19.7451024327297</v>
      </c>
    </row>
    <row r="15" customFormat="false" ht="15" hidden="false" customHeight="false" outlineLevel="0" collapsed="false">
      <c r="B15" s="69" t="s">
        <v>346</v>
      </c>
      <c r="C15" s="25" t="s">
        <v>170</v>
      </c>
      <c r="E15" s="70" t="n">
        <f aca="false">SUM(F15:S15)</f>
        <v>1786.36828651919</v>
      </c>
      <c r="F15" s="68" t="n">
        <f aca="false">F13+F14</f>
        <v>0</v>
      </c>
      <c r="G15" s="68" t="n">
        <f aca="false">G13+G14</f>
        <v>112.510596237151</v>
      </c>
      <c r="H15" s="68" t="n">
        <f aca="false">H13+H14</f>
        <v>115.418623828307</v>
      </c>
      <c r="I15" s="68" t="n">
        <f aca="false">I13+I14</f>
        <v>118.363614111219</v>
      </c>
      <c r="J15" s="68" t="n">
        <f aca="false">J13+J14</f>
        <v>121.388189867105</v>
      </c>
      <c r="K15" s="68" t="n">
        <f aca="false">K13+K14</f>
        <v>124.470962797606</v>
      </c>
      <c r="L15" s="68" t="n">
        <f aca="false">L13+L14</f>
        <v>133.031076163037</v>
      </c>
      <c r="M15" s="68" t="n">
        <f aca="false">M13+M14</f>
        <v>136.392739763852</v>
      </c>
      <c r="N15" s="68" t="n">
        <f aca="false">N13+N14</f>
        <v>139.816515315686</v>
      </c>
      <c r="O15" s="68" t="n">
        <f aca="false">O13+O14</f>
        <v>149.404136565713</v>
      </c>
      <c r="P15" s="68" t="n">
        <f aca="false">P13+P14</f>
        <v>153.134311768195</v>
      </c>
      <c r="Q15" s="68" t="n">
        <f aca="false">Q13+Q14</f>
        <v>156.930258359816</v>
      </c>
      <c r="R15" s="68" t="n">
        <f aca="false">R13+R14</f>
        <v>160.791178756722</v>
      </c>
      <c r="S15" s="68" t="n">
        <f aca="false">S13+S14</f>
        <v>164.716082984778</v>
      </c>
    </row>
    <row r="16" customFormat="false" ht="15" hidden="false" customHeight="false" outlineLevel="0" collapsed="false">
      <c r="B16" s="24" t="s">
        <v>349</v>
      </c>
      <c r="C16" s="25" t="s">
        <v>170</v>
      </c>
      <c r="E16" s="47" t="n">
        <f aca="false">SUM(F16:S16)</f>
        <v>-567.090090435504</v>
      </c>
      <c r="F16" s="47" t="n">
        <f aca="false">-'E1 TelukLamong Calc'!F93</f>
        <v>-0</v>
      </c>
      <c r="G16" s="47" t="n">
        <f aca="false">-'E1 TelukLamong Calc'!G93</f>
        <v>-41.7407824824223</v>
      </c>
      <c r="H16" s="47" t="n">
        <f aca="false">-'E1 TelukLamong Calc'!H93</f>
        <v>-41.7462566184223</v>
      </c>
      <c r="I16" s="47" t="n">
        <f aca="false">-'E1 TelukLamong Calc'!I93</f>
        <v>-42.7518402371423</v>
      </c>
      <c r="J16" s="47" t="n">
        <f aca="false">-'E1 TelukLamong Calc'!J93</f>
        <v>-42.7575355282367</v>
      </c>
      <c r="K16" s="47" t="n">
        <f aca="false">-'E1 TelukLamong Calc'!K93</f>
        <v>-42.763344725153</v>
      </c>
      <c r="L16" s="47" t="n">
        <f aca="false">-'E1 TelukLamong Calc'!L93</f>
        <v>-43.7692701060076</v>
      </c>
      <c r="M16" s="47" t="n">
        <f aca="false">-'E1 TelukLamong Calc'!M93</f>
        <v>-43.7753139944793</v>
      </c>
      <c r="N16" s="47" t="n">
        <f aca="false">-'E1 TelukLamong Calc'!N93</f>
        <v>-43.7814787607205</v>
      </c>
      <c r="O16" s="47" t="n">
        <f aca="false">-'E1 TelukLamong Calc'!O93</f>
        <v>-44.7877668222864</v>
      </c>
      <c r="P16" s="47" t="n">
        <f aca="false">-'E1 TelukLamong Calc'!P93</f>
        <v>-44.7941806450837</v>
      </c>
      <c r="Q16" s="47" t="n">
        <f aca="false">-'E1 TelukLamong Calc'!Q93</f>
        <v>-44.8007227443369</v>
      </c>
      <c r="R16" s="47" t="n">
        <f aca="false">-'E1 TelukLamong Calc'!R93</f>
        <v>-44.8073956855752</v>
      </c>
      <c r="S16" s="47" t="n">
        <f aca="false">-'E1 TelukLamong Calc'!S93</f>
        <v>-44.8142020856383</v>
      </c>
    </row>
    <row r="17" customFormat="false" ht="15" hidden="false" customHeight="false" outlineLevel="0" collapsed="false">
      <c r="B17" s="69" t="s">
        <v>347</v>
      </c>
      <c r="C17" s="25" t="s">
        <v>170</v>
      </c>
      <c r="E17" s="70" t="n">
        <f aca="false">SUM(F17:S17)</f>
        <v>1219.27819608368</v>
      </c>
      <c r="F17" s="68" t="n">
        <f aca="false">F15+F16</f>
        <v>0</v>
      </c>
      <c r="G17" s="68" t="n">
        <f aca="false">G15+G16</f>
        <v>70.769813754729</v>
      </c>
      <c r="H17" s="68" t="n">
        <f aca="false">H15+H16</f>
        <v>73.6723672098848</v>
      </c>
      <c r="I17" s="68" t="n">
        <f aca="false">I15+I16</f>
        <v>75.6117738740764</v>
      </c>
      <c r="J17" s="68" t="n">
        <f aca="false">J15+J16</f>
        <v>78.6306543388679</v>
      </c>
      <c r="K17" s="68" t="n">
        <f aca="false">K15+K16</f>
        <v>81.7076180724527</v>
      </c>
      <c r="L17" s="68" t="n">
        <f aca="false">L15+L16</f>
        <v>89.2618060570292</v>
      </c>
      <c r="M17" s="68" t="n">
        <f aca="false">M15+M16</f>
        <v>92.6174257693723</v>
      </c>
      <c r="N17" s="68" t="n">
        <f aca="false">N15+N16</f>
        <v>96.0350365549655</v>
      </c>
      <c r="O17" s="68" t="n">
        <f aca="false">O15+O16</f>
        <v>104.616369743427</v>
      </c>
      <c r="P17" s="68" t="n">
        <f aca="false">P15+P16</f>
        <v>108.340131123112</v>
      </c>
      <c r="Q17" s="68" t="n">
        <f aca="false">Q15+Q16</f>
        <v>112.129535615479</v>
      </c>
      <c r="R17" s="68" t="n">
        <f aca="false">R15+R16</f>
        <v>115.983783071147</v>
      </c>
      <c r="S17" s="68" t="n">
        <f aca="false">S15+S16</f>
        <v>119.901880899139</v>
      </c>
    </row>
    <row r="18" customFormat="false" ht="15" hidden="false" customHeight="false" outlineLevel="0" collapsed="false">
      <c r="B18" s="24" t="s">
        <v>1104</v>
      </c>
      <c r="C18" s="25" t="s">
        <v>170</v>
      </c>
      <c r="E18" s="47" t="n">
        <f aca="false">SUM(F18:S18)</f>
        <v>-268.24120313841</v>
      </c>
      <c r="F18" s="47" t="n">
        <f aca="false">-MAX(0,F17)*'Global Inputs'!$E$27</f>
        <v>-0</v>
      </c>
      <c r="G18" s="47" t="n">
        <f aca="false">-MAX(0,G17)*'Global Inputs'!$E$27</f>
        <v>-15.5693590260404</v>
      </c>
      <c r="H18" s="47" t="n">
        <f aca="false">-MAX(0,H17)*'Global Inputs'!$E$27</f>
        <v>-16.2079207861747</v>
      </c>
      <c r="I18" s="47" t="n">
        <f aca="false">-MAX(0,I17)*'Global Inputs'!$E$27</f>
        <v>-16.6345902522968</v>
      </c>
      <c r="J18" s="47" t="n">
        <f aca="false">-MAX(0,J17)*'Global Inputs'!$E$27</f>
        <v>-17.2987439545509</v>
      </c>
      <c r="K18" s="47" t="n">
        <f aca="false">-MAX(0,K17)*'Global Inputs'!$E$27</f>
        <v>-17.9756759759396</v>
      </c>
      <c r="L18" s="47" t="n">
        <f aca="false">-MAX(0,L17)*'Global Inputs'!$E$27</f>
        <v>-19.6375973325464</v>
      </c>
      <c r="M18" s="47" t="n">
        <f aca="false">-MAX(0,M17)*'Global Inputs'!$E$27</f>
        <v>-20.3758336692619</v>
      </c>
      <c r="N18" s="47" t="n">
        <f aca="false">-MAX(0,N17)*'Global Inputs'!$E$27</f>
        <v>-21.1277080420924</v>
      </c>
      <c r="O18" s="47" t="n">
        <f aca="false">-MAX(0,O17)*'Global Inputs'!$E$27</f>
        <v>-23.0156013435538</v>
      </c>
      <c r="P18" s="47" t="n">
        <f aca="false">-MAX(0,P17)*'Global Inputs'!$E$27</f>
        <v>-23.8348288470846</v>
      </c>
      <c r="Q18" s="47" t="n">
        <f aca="false">-MAX(0,Q17)*'Global Inputs'!$E$27</f>
        <v>-24.6684978354054</v>
      </c>
      <c r="R18" s="47" t="n">
        <f aca="false">-MAX(0,R17)*'Global Inputs'!$E$27</f>
        <v>-25.5164322756523</v>
      </c>
      <c r="S18" s="47" t="n">
        <f aca="false">-MAX(0,S17)*'Global Inputs'!$E$27</f>
        <v>-26.3784137978106</v>
      </c>
    </row>
    <row r="19" customFormat="false" ht="15" hidden="false" customHeight="false" outlineLevel="0" collapsed="false">
      <c r="B19" s="69" t="s">
        <v>1105</v>
      </c>
      <c r="C19" s="25" t="s">
        <v>170</v>
      </c>
      <c r="E19" s="70" t="n">
        <f aca="false">SUM(F19:S19)</f>
        <v>951.036992945271</v>
      </c>
      <c r="F19" s="68" t="n">
        <f aca="false">F17+F18</f>
        <v>0</v>
      </c>
      <c r="G19" s="68" t="n">
        <f aca="false">G17+G18</f>
        <v>55.2004547286886</v>
      </c>
      <c r="H19" s="68" t="n">
        <f aca="false">H17+H18</f>
        <v>57.4644464237102</v>
      </c>
      <c r="I19" s="68" t="n">
        <f aca="false">I17+I18</f>
        <v>58.9771836217796</v>
      </c>
      <c r="J19" s="68" t="n">
        <f aca="false">J17+J18</f>
        <v>61.3319103843169</v>
      </c>
      <c r="K19" s="68" t="n">
        <f aca="false">K17+K18</f>
        <v>63.7319420965131</v>
      </c>
      <c r="L19" s="68" t="n">
        <f aca="false">L17+L18</f>
        <v>69.6242087244828</v>
      </c>
      <c r="M19" s="68" t="n">
        <f aca="false">M17+M18</f>
        <v>72.2415921001104</v>
      </c>
      <c r="N19" s="68" t="n">
        <f aca="false">N17+N18</f>
        <v>74.9073285128731</v>
      </c>
      <c r="O19" s="68" t="n">
        <f aca="false">O17+O18</f>
        <v>81.6007683998727</v>
      </c>
      <c r="P19" s="68" t="n">
        <f aca="false">P17+P18</f>
        <v>84.5053022760271</v>
      </c>
      <c r="Q19" s="68" t="n">
        <f aca="false">Q17+Q18</f>
        <v>87.4610377800737</v>
      </c>
      <c r="R19" s="68" t="n">
        <f aca="false">R17+R18</f>
        <v>90.4673507954944</v>
      </c>
      <c r="S19" s="68" t="n">
        <f aca="false">S17+S18</f>
        <v>93.5234671013286</v>
      </c>
    </row>
    <row r="20" customFormat="false" ht="15" hidden="false" customHeight="false" outlineLevel="0" collapsed="false">
      <c r="B20" s="24" t="s">
        <v>402</v>
      </c>
      <c r="C20" s="25" t="s">
        <v>160</v>
      </c>
      <c r="F20" s="49" t="n">
        <f aca="false">IF(F11=0,0,F15/F11)</f>
        <v>0</v>
      </c>
      <c r="G20" s="49" t="n">
        <f aca="false">IF(G11=0,0,G15/G11)</f>
        <v>0.719201184244363</v>
      </c>
      <c r="H20" s="49" t="n">
        <f aca="false">IF(H11=0,0,H15/H11)</f>
        <v>0.716301127436087</v>
      </c>
      <c r="I20" s="49" t="n">
        <f aca="false">IF(I11=0,0,I15/I11)</f>
        <v>0.713182594768499</v>
      </c>
      <c r="J20" s="49" t="n">
        <f aca="false">IF(J11=0,0,J15/J11)</f>
        <v>0.710103623619861</v>
      </c>
      <c r="K20" s="49" t="n">
        <f aca="false">IF(K11=0,0,K15/K11)</f>
        <v>0.706929520621604</v>
      </c>
      <c r="L20" s="49" t="n">
        <f aca="false">IF(L11=0,0,L15/L11)</f>
        <v>0.712174999215202</v>
      </c>
      <c r="M20" s="49" t="n">
        <f aca="false">IF(M11=0,0,M15/M11)</f>
        <v>0.70890436094574</v>
      </c>
      <c r="N20" s="49" t="n">
        <f aca="false">IF(N11=0,0,N15/N11)</f>
        <v>0.705533506887178</v>
      </c>
      <c r="O20" s="49" t="n">
        <f aca="false">IF(O11=0,0,O15/O11)</f>
        <v>0.710636225858187</v>
      </c>
      <c r="P20" s="49" t="n">
        <f aca="false">IF(P11=0,0,P15/P11)</f>
        <v>0.707163777297044</v>
      </c>
      <c r="Q20" s="49" t="n">
        <f aca="false">IF(Q11=0,0,Q15/Q11)</f>
        <v>0.703585630109587</v>
      </c>
      <c r="R20" s="49" t="n">
        <f aca="false">IF(R11=0,0,R15/R11)</f>
        <v>0.699898826767159</v>
      </c>
      <c r="S20" s="49" t="n">
        <f aca="false">IF(S11=0,0,S15/S11)</f>
        <v>0.69610031103598</v>
      </c>
    </row>
    <row r="21" customFormat="false" ht="15" hidden="false" customHeight="false" outlineLevel="0" collapsed="false">
      <c r="B21" s="24" t="s">
        <v>1106</v>
      </c>
      <c r="C21" s="25" t="s">
        <v>160</v>
      </c>
      <c r="F21" s="49" t="n">
        <f aca="false">IF(F11=0,0,F17/F11)</f>
        <v>0</v>
      </c>
      <c r="G21" s="49" t="n">
        <f aca="false">IF(G11=0,0,G17/G11)</f>
        <v>0.452381691710808</v>
      </c>
      <c r="H21" s="49" t="n">
        <f aca="false">IF(H11=0,0,H17/H11)</f>
        <v>0.457219103321031</v>
      </c>
      <c r="I21" s="49" t="n">
        <f aca="false">IF(I11=0,0,I17/I11)</f>
        <v>0.455587652434244</v>
      </c>
      <c r="J21" s="49" t="n">
        <f aca="false">IF(J11=0,0,J17/J11)</f>
        <v>0.459978129954486</v>
      </c>
      <c r="K21" s="49" t="n">
        <f aca="false">IF(K11=0,0,K17/K11)</f>
        <v>0.464056242330305</v>
      </c>
      <c r="L21" s="49" t="n">
        <f aca="false">IF(L11=0,0,L17/L11)</f>
        <v>0.477858471059076</v>
      </c>
      <c r="M21" s="49" t="n">
        <f aca="false">IF(M11=0,0,M17/M11)</f>
        <v>0.481381172789357</v>
      </c>
      <c r="N21" s="49" t="n">
        <f aca="false">IF(N11=0,0,N17/N11)</f>
        <v>0.484606099441685</v>
      </c>
      <c r="O21" s="49" t="n">
        <f aca="false">IF(O11=0,0,O17/O11)</f>
        <v>0.497604576863601</v>
      </c>
      <c r="P21" s="49" t="n">
        <f aca="false">IF(P11=0,0,P17/P11)</f>
        <v>0.50030731501801</v>
      </c>
      <c r="Q21" s="49" t="n">
        <f aca="false">IF(Q11=0,0,Q17/Q11)</f>
        <v>0.502724782298031</v>
      </c>
      <c r="R21" s="49" t="n">
        <f aca="false">IF(R11=0,0,R17/R11)</f>
        <v>0.504859248642822</v>
      </c>
      <c r="S21" s="49" t="n">
        <f aca="false">IF(S11=0,0,S17/S11)</f>
        <v>0.50671273305718</v>
      </c>
    </row>
    <row r="23" customFormat="false" ht="15" hidden="false" customHeight="false" outlineLevel="0" collapsed="false">
      <c r="B23" s="22" t="s">
        <v>1107</v>
      </c>
      <c r="C23" s="23"/>
      <c r="D23" s="23"/>
      <c r="E23" s="23"/>
      <c r="F23" s="23"/>
      <c r="G23" s="23"/>
      <c r="H23" s="23"/>
      <c r="I23" s="23"/>
      <c r="J23" s="23"/>
      <c r="K23" s="23"/>
      <c r="L23" s="23"/>
      <c r="M23" s="23"/>
      <c r="N23" s="23"/>
      <c r="O23" s="23"/>
      <c r="P23" s="23"/>
      <c r="Q23" s="23"/>
      <c r="R23" s="23"/>
      <c r="S23" s="23"/>
    </row>
    <row r="24" customFormat="false" ht="15" hidden="false" customHeight="false" outlineLevel="0" collapsed="false">
      <c r="B24" s="24" t="s">
        <v>456</v>
      </c>
      <c r="C24" s="25" t="s">
        <v>170</v>
      </c>
      <c r="E24" s="47" t="n">
        <f aca="false">SUM(F24:S24)</f>
        <v>951.036992945271</v>
      </c>
      <c r="F24" s="47" t="n">
        <f aca="false">F19</f>
        <v>0</v>
      </c>
      <c r="G24" s="47" t="n">
        <f aca="false">G19</f>
        <v>55.2004547286886</v>
      </c>
      <c r="H24" s="47" t="n">
        <f aca="false">H19</f>
        <v>57.4644464237102</v>
      </c>
      <c r="I24" s="47" t="n">
        <f aca="false">I19</f>
        <v>58.9771836217796</v>
      </c>
      <c r="J24" s="47" t="n">
        <f aca="false">J19</f>
        <v>61.3319103843169</v>
      </c>
      <c r="K24" s="47" t="n">
        <f aca="false">K19</f>
        <v>63.7319420965131</v>
      </c>
      <c r="L24" s="47" t="n">
        <f aca="false">L19</f>
        <v>69.6242087244828</v>
      </c>
      <c r="M24" s="47" t="n">
        <f aca="false">M19</f>
        <v>72.2415921001104</v>
      </c>
      <c r="N24" s="47" t="n">
        <f aca="false">N19</f>
        <v>74.9073285128731</v>
      </c>
      <c r="O24" s="47" t="n">
        <f aca="false">O19</f>
        <v>81.6007683998727</v>
      </c>
      <c r="P24" s="47" t="n">
        <f aca="false">P19</f>
        <v>84.5053022760271</v>
      </c>
      <c r="Q24" s="47" t="n">
        <f aca="false">Q19</f>
        <v>87.4610377800737</v>
      </c>
      <c r="R24" s="47" t="n">
        <f aca="false">R19</f>
        <v>90.4673507954944</v>
      </c>
      <c r="S24" s="47" t="n">
        <f aca="false">S19</f>
        <v>93.5234671013286</v>
      </c>
    </row>
    <row r="25" customFormat="false" ht="15" hidden="false" customHeight="false" outlineLevel="0" collapsed="false">
      <c r="B25" s="24" t="s">
        <v>419</v>
      </c>
      <c r="C25" s="25" t="s">
        <v>170</v>
      </c>
      <c r="E25" s="47" t="n">
        <f aca="false">SUM(F25:S25)</f>
        <v>567.090090435504</v>
      </c>
      <c r="F25" s="47" t="n">
        <f aca="false">-F16</f>
        <v>0</v>
      </c>
      <c r="G25" s="47" t="n">
        <f aca="false">-G16</f>
        <v>41.7407824824223</v>
      </c>
      <c r="H25" s="47" t="n">
        <f aca="false">-H16</f>
        <v>41.7462566184223</v>
      </c>
      <c r="I25" s="47" t="n">
        <f aca="false">-I16</f>
        <v>42.7518402371423</v>
      </c>
      <c r="J25" s="47" t="n">
        <f aca="false">-J16</f>
        <v>42.7575355282367</v>
      </c>
      <c r="K25" s="47" t="n">
        <f aca="false">-K16</f>
        <v>42.763344725153</v>
      </c>
      <c r="L25" s="47" t="n">
        <f aca="false">-L16</f>
        <v>43.7692701060076</v>
      </c>
      <c r="M25" s="47" t="n">
        <f aca="false">-M16</f>
        <v>43.7753139944793</v>
      </c>
      <c r="N25" s="47" t="n">
        <f aca="false">-N16</f>
        <v>43.7814787607205</v>
      </c>
      <c r="O25" s="47" t="n">
        <f aca="false">-O16</f>
        <v>44.7877668222864</v>
      </c>
      <c r="P25" s="47" t="n">
        <f aca="false">-P16</f>
        <v>44.7941806450837</v>
      </c>
      <c r="Q25" s="47" t="n">
        <f aca="false">-Q16</f>
        <v>44.8007227443369</v>
      </c>
      <c r="R25" s="47" t="n">
        <f aca="false">-R16</f>
        <v>44.8073956855752</v>
      </c>
      <c r="S25" s="47" t="n">
        <f aca="false">-S16</f>
        <v>44.8142020856383</v>
      </c>
    </row>
    <row r="26" customFormat="false" ht="15" hidden="false" customHeight="false" outlineLevel="0" collapsed="false">
      <c r="B26" s="24" t="s">
        <v>1108</v>
      </c>
      <c r="C26" s="25" t="s">
        <v>170</v>
      </c>
      <c r="E26" s="47" t="n">
        <f aca="false">SUM(F26:S26)</f>
        <v>0</v>
      </c>
      <c r="F26" s="47" t="n">
        <f aca="false">-'E1 TelukLamong Calc'!F90</f>
        <v>-0</v>
      </c>
      <c r="G26" s="47" t="n">
        <f aca="false">-'E1 TelukLamong Calc'!G90</f>
        <v>-0</v>
      </c>
      <c r="H26" s="47" t="n">
        <f aca="false">-'E1 TelukLamong Calc'!H90</f>
        <v>-0</v>
      </c>
      <c r="I26" s="47" t="n">
        <f aca="false">-'E1 TelukLamong Calc'!I90</f>
        <v>-0</v>
      </c>
      <c r="J26" s="47" t="n">
        <f aca="false">-'E1 TelukLamong Calc'!J90</f>
        <v>-0</v>
      </c>
      <c r="K26" s="47" t="n">
        <f aca="false">-'E1 TelukLamong Calc'!K90</f>
        <v>-0</v>
      </c>
      <c r="L26" s="47" t="n">
        <f aca="false">-'E1 TelukLamong Calc'!L90</f>
        <v>-0</v>
      </c>
      <c r="M26" s="47" t="n">
        <f aca="false">-'E1 TelukLamong Calc'!M90</f>
        <v>-0</v>
      </c>
      <c r="N26" s="47" t="n">
        <f aca="false">-'E1 TelukLamong Calc'!N90</f>
        <v>-0</v>
      </c>
      <c r="O26" s="47" t="n">
        <f aca="false">-'E1 TelukLamong Calc'!O90</f>
        <v>-0</v>
      </c>
      <c r="P26" s="47" t="n">
        <f aca="false">-'E1 TelukLamong Calc'!P90</f>
        <v>-0</v>
      </c>
      <c r="Q26" s="47" t="n">
        <f aca="false">-'E1 TelukLamong Calc'!Q90</f>
        <v>-0</v>
      </c>
      <c r="R26" s="47" t="n">
        <f aca="false">-'E1 TelukLamong Calc'!R90</f>
        <v>-0</v>
      </c>
      <c r="S26" s="47" t="n">
        <f aca="false">-'E1 TelukLamong Calc'!S90</f>
        <v>-0</v>
      </c>
    </row>
    <row r="27" customFormat="false" ht="15" hidden="false" customHeight="false" outlineLevel="0" collapsed="false">
      <c r="B27" s="24" t="s">
        <v>651</v>
      </c>
      <c r="C27" s="25" t="s">
        <v>170</v>
      </c>
      <c r="E27" s="47" t="n">
        <f aca="false">SUM(F27:S27)</f>
        <v>-5.34229162101871</v>
      </c>
      <c r="F27" s="47" t="n">
        <f aca="false">-'E1 TelukLamong Calc'!F99</f>
        <v>-0</v>
      </c>
      <c r="G27" s="47" t="n">
        <f aca="false">-'E1 TelukLamong Calc'!G99</f>
        <v>2.69467710415828</v>
      </c>
      <c r="H27" s="47" t="n">
        <f aca="false">-'E1 TelukLamong Calc'!H99</f>
        <v>-0.511285575743667</v>
      </c>
      <c r="I27" s="47" t="n">
        <f aca="false">-'E1 TelukLamong Calc'!I99</f>
        <v>-0.475116560332946</v>
      </c>
      <c r="J27" s="47" t="n">
        <f aca="false">-'E1 TelukLamong Calc'!J99</f>
        <v>-0.488627690838815</v>
      </c>
      <c r="K27" s="47" t="n">
        <f aca="false">-'E1 TelukLamong Calc'!K99</f>
        <v>-0.449342963009634</v>
      </c>
      <c r="L27" s="47" t="n">
        <f aca="false">-'E1 TelukLamong Calc'!L99</f>
        <v>-1.23301005239415</v>
      </c>
      <c r="M27" s="47" t="n">
        <f aca="false">-'E1 TelukLamong Calc'!M99</f>
        <v>-0.545227885382797</v>
      </c>
      <c r="N27" s="47" t="n">
        <f aca="false">-'E1 TelukLamong Calc'!N99</f>
        <v>-0.558376947086764</v>
      </c>
      <c r="O27" s="47" t="n">
        <f aca="false">-'E1 TelukLamong Calc'!O99</f>
        <v>-1.26381888624326</v>
      </c>
      <c r="P27" s="47" t="n">
        <f aca="false">-'E1 TelukLamong Calc'!P99</f>
        <v>-0.669038449617968</v>
      </c>
      <c r="Q27" s="47" t="n">
        <f aca="false">-'E1 TelukLamong Calc'!Q99</f>
        <v>-0.62234838973799</v>
      </c>
      <c r="R27" s="47" t="n">
        <f aca="false">-'E1 TelukLamong Calc'!R99</f>
        <v>-0.636973488078322</v>
      </c>
      <c r="S27" s="47" t="n">
        <f aca="false">-'E1 TelukLamong Calc'!S99</f>
        <v>-0.583801836710688</v>
      </c>
    </row>
    <row r="28" customFormat="false" ht="15" hidden="false" customHeight="false" outlineLevel="0" collapsed="false">
      <c r="B28" s="69" t="s">
        <v>1109</v>
      </c>
      <c r="C28" s="25" t="s">
        <v>170</v>
      </c>
      <c r="E28" s="70" t="n">
        <f aca="false">SUM(F28:S28)</f>
        <v>1512.78479175976</v>
      </c>
      <c r="F28" s="68" t="n">
        <f aca="false">F24+F25+F26+F27</f>
        <v>0</v>
      </c>
      <c r="G28" s="68" t="n">
        <f aca="false">G24+G25+G26+G27</f>
        <v>99.6359143152692</v>
      </c>
      <c r="H28" s="68" t="n">
        <f aca="false">H24+H25+H26+H27</f>
        <v>98.6994174663888</v>
      </c>
      <c r="I28" s="68" t="n">
        <f aca="false">I24+I25+I26+I27</f>
        <v>101.253907298589</v>
      </c>
      <c r="J28" s="68" t="n">
        <f aca="false">J24+J25+J26+J27</f>
        <v>103.600818221715</v>
      </c>
      <c r="K28" s="68" t="n">
        <f aca="false">K24+K25+K26+K27</f>
        <v>106.045943858656</v>
      </c>
      <c r="L28" s="68" t="n">
        <f aca="false">L24+L25+L26+L27</f>
        <v>112.160468778096</v>
      </c>
      <c r="M28" s="68" t="n">
        <f aca="false">M24+M25+M26+M27</f>
        <v>115.471678209207</v>
      </c>
      <c r="N28" s="68" t="n">
        <f aca="false">N24+N25+N26+N27</f>
        <v>118.130430326507</v>
      </c>
      <c r="O28" s="68" t="n">
        <f aca="false">O24+O25+O26+O27</f>
        <v>125.124716335916</v>
      </c>
      <c r="P28" s="68" t="n">
        <f aca="false">P24+P25+P26+P27</f>
        <v>128.630444471493</v>
      </c>
      <c r="Q28" s="68" t="n">
        <f aca="false">Q24+Q25+Q26+Q27</f>
        <v>131.639412134673</v>
      </c>
      <c r="R28" s="68" t="n">
        <f aca="false">R24+R25+R26+R27</f>
        <v>134.637772992991</v>
      </c>
      <c r="S28" s="68" t="n">
        <f aca="false">S24+S25+S26+S27</f>
        <v>137.753867350256</v>
      </c>
    </row>
    <row r="29" customFormat="false" ht="15" hidden="false" customHeight="false" outlineLevel="0" collapsed="false">
      <c r="B29" s="24" t="s">
        <v>354</v>
      </c>
      <c r="C29" s="25" t="s">
        <v>170</v>
      </c>
      <c r="F29" s="47" t="n">
        <f aca="false">SUM($F$28:F28)</f>
        <v>0</v>
      </c>
      <c r="G29" s="47" t="n">
        <f aca="false">SUM($F$28:G28)</f>
        <v>99.6359143152692</v>
      </c>
      <c r="H29" s="47" t="n">
        <f aca="false">SUM($F$28:H28)</f>
        <v>198.335331781658</v>
      </c>
      <c r="I29" s="47" t="n">
        <f aca="false">SUM($F$28:I28)</f>
        <v>299.589239080247</v>
      </c>
      <c r="J29" s="47" t="n">
        <f aca="false">SUM($F$28:J28)</f>
        <v>403.190057301962</v>
      </c>
      <c r="K29" s="47" t="n">
        <f aca="false">SUM($F$28:K28)</f>
        <v>509.236001160618</v>
      </c>
      <c r="L29" s="47" t="n">
        <f aca="false">SUM($F$28:L28)</f>
        <v>621.396469938715</v>
      </c>
      <c r="M29" s="47" t="n">
        <f aca="false">SUM($F$28:M28)</f>
        <v>736.868148147921</v>
      </c>
      <c r="N29" s="47" t="n">
        <f aca="false">SUM($F$28:N28)</f>
        <v>854.998578474428</v>
      </c>
      <c r="O29" s="47" t="n">
        <f aca="false">SUM($F$28:O28)</f>
        <v>980.123294810344</v>
      </c>
      <c r="P29" s="47" t="n">
        <f aca="false">SUM($F$28:P28)</f>
        <v>1108.75373928184</v>
      </c>
      <c r="Q29" s="47" t="n">
        <f aca="false">SUM($F$28:Q28)</f>
        <v>1240.39315141651</v>
      </c>
      <c r="R29" s="47" t="n">
        <f aca="false">SUM($F$28:R28)</f>
        <v>1375.0309244095</v>
      </c>
      <c r="S29" s="47" t="n">
        <f aca="false">SUM($F$28:S28)</f>
        <v>1512.78479175976</v>
      </c>
    </row>
    <row r="30" customFormat="false" ht="15" hidden="false" customHeight="false" outlineLevel="0" collapsed="false">
      <c r="B30" s="24" t="s">
        <v>1110</v>
      </c>
      <c r="C30" s="25" t="s">
        <v>170</v>
      </c>
      <c r="E30" s="47" t="n">
        <f aca="false">SUM(F30:S30)</f>
        <v>1213.19555267951</v>
      </c>
      <c r="F30" s="47" t="n">
        <f aca="false">F28*'Global Inputs'!F16</f>
        <v>0</v>
      </c>
      <c r="G30" s="47" t="n">
        <f aca="false">G28*'Global Inputs'!G16</f>
        <v>0</v>
      </c>
      <c r="H30" s="47" t="n">
        <f aca="false">H28*'Global Inputs'!H16</f>
        <v>0</v>
      </c>
      <c r="I30" s="47" t="n">
        <f aca="false">I28*'Global Inputs'!I16</f>
        <v>0</v>
      </c>
      <c r="J30" s="47" t="n">
        <f aca="false">J28*'Global Inputs'!J16</f>
        <v>103.600818221715</v>
      </c>
      <c r="K30" s="47" t="n">
        <f aca="false">K28*'Global Inputs'!K16</f>
        <v>106.045943858656</v>
      </c>
      <c r="L30" s="47" t="n">
        <f aca="false">L28*'Global Inputs'!L16</f>
        <v>112.160468778096</v>
      </c>
      <c r="M30" s="47" t="n">
        <f aca="false">M28*'Global Inputs'!M16</f>
        <v>115.471678209207</v>
      </c>
      <c r="N30" s="47" t="n">
        <f aca="false">N28*'Global Inputs'!N16</f>
        <v>118.130430326507</v>
      </c>
      <c r="O30" s="47" t="n">
        <f aca="false">O28*'Global Inputs'!O16</f>
        <v>125.124716335916</v>
      </c>
      <c r="P30" s="47" t="n">
        <f aca="false">P28*'Global Inputs'!P16</f>
        <v>128.630444471493</v>
      </c>
      <c r="Q30" s="47" t="n">
        <f aca="false">Q28*'Global Inputs'!Q16</f>
        <v>131.639412134673</v>
      </c>
      <c r="R30" s="47" t="n">
        <f aca="false">R28*'Global Inputs'!R16</f>
        <v>134.637772992991</v>
      </c>
      <c r="S30" s="47" t="n">
        <f aca="false">S28*'Global Inputs'!S16</f>
        <v>137.753867350256</v>
      </c>
    </row>
    <row r="31" customFormat="false" ht="15" hidden="false" customHeight="false" outlineLevel="0" collapsed="false">
      <c r="B31" s="24" t="s">
        <v>1111</v>
      </c>
      <c r="C31" s="25" t="s">
        <v>170</v>
      </c>
      <c r="E31" s="47" t="n">
        <f aca="false">SUM(F31:S31)</f>
        <v>0</v>
      </c>
      <c r="F31" s="47" t="n">
        <f aca="false">MAX(0,-F28)</f>
        <v>-0</v>
      </c>
      <c r="G31" s="47" t="n">
        <f aca="false">MAX(0,-G28)</f>
        <v>0</v>
      </c>
      <c r="H31" s="47" t="n">
        <f aca="false">MAX(0,-H28)</f>
        <v>0</v>
      </c>
      <c r="I31" s="47" t="n">
        <f aca="false">MAX(0,-I28)</f>
        <v>0</v>
      </c>
      <c r="J31" s="47" t="n">
        <f aca="false">MAX(0,-J28)</f>
        <v>0</v>
      </c>
      <c r="K31" s="47" t="n">
        <f aca="false">MAX(0,-K28)</f>
        <v>0</v>
      </c>
      <c r="L31" s="47" t="n">
        <f aca="false">MAX(0,-L28)</f>
        <v>0</v>
      </c>
      <c r="M31" s="47" t="n">
        <f aca="false">MAX(0,-M28)</f>
        <v>0</v>
      </c>
      <c r="N31" s="47" t="n">
        <f aca="false">MAX(0,-N28)</f>
        <v>0</v>
      </c>
      <c r="O31" s="47" t="n">
        <f aca="false">MAX(0,-O28)</f>
        <v>0</v>
      </c>
      <c r="P31" s="47" t="n">
        <f aca="false">MAX(0,-P28)</f>
        <v>0</v>
      </c>
      <c r="Q31" s="47" t="n">
        <f aca="false">MAX(0,-Q28)</f>
        <v>0</v>
      </c>
      <c r="R31" s="47" t="n">
        <f aca="false">MAX(0,-R28)</f>
        <v>0</v>
      </c>
      <c r="S31" s="47" t="n">
        <f aca="false">MAX(0,-S28)</f>
        <v>0</v>
      </c>
    </row>
    <row r="33" customFormat="false" ht="15" hidden="false" customHeight="false" outlineLevel="0" collapsed="false">
      <c r="B33" s="22" t="s">
        <v>1112</v>
      </c>
      <c r="C33" s="23"/>
      <c r="D33" s="23"/>
      <c r="E33" s="23"/>
      <c r="F33" s="23"/>
      <c r="G33" s="23"/>
      <c r="H33" s="23"/>
      <c r="I33" s="23"/>
      <c r="J33" s="23"/>
      <c r="K33" s="23"/>
      <c r="L33" s="23"/>
      <c r="M33" s="23"/>
      <c r="N33" s="23"/>
      <c r="O33" s="23"/>
      <c r="P33" s="23"/>
      <c r="Q33" s="23"/>
      <c r="R33" s="23"/>
      <c r="S33" s="23"/>
    </row>
    <row r="34" customFormat="false" ht="15" hidden="false" customHeight="false" outlineLevel="0" collapsed="false">
      <c r="B34" s="24" t="s">
        <v>1113</v>
      </c>
      <c r="C34" s="25" t="s">
        <v>240</v>
      </c>
      <c r="E34" s="44" t="n">
        <f aca="false">SUM(F34:S34)</f>
        <v>0</v>
      </c>
      <c r="F34" s="44" t="n">
        <f aca="false">'E1 TelukLamong Calc'!F89</f>
        <v>0</v>
      </c>
      <c r="G34" s="44" t="n">
        <f aca="false">'E1 TelukLamong Calc'!G89</f>
        <v>0</v>
      </c>
      <c r="H34" s="44" t="n">
        <f aca="false">'E1 TelukLamong Calc'!H89</f>
        <v>0</v>
      </c>
      <c r="I34" s="44" t="n">
        <f aca="false">'E1 TelukLamong Calc'!I89</f>
        <v>0</v>
      </c>
      <c r="J34" s="44" t="n">
        <f aca="false">'E1 TelukLamong Calc'!J89</f>
        <v>0</v>
      </c>
      <c r="K34" s="44" t="n">
        <f aca="false">'E1 TelukLamong Calc'!K89</f>
        <v>0</v>
      </c>
      <c r="L34" s="44" t="n">
        <f aca="false">'E1 TelukLamong Calc'!L89</f>
        <v>0</v>
      </c>
      <c r="M34" s="44" t="n">
        <f aca="false">'E1 TelukLamong Calc'!M89</f>
        <v>0</v>
      </c>
      <c r="N34" s="44" t="n">
        <f aca="false">'E1 TelukLamong Calc'!N89</f>
        <v>0</v>
      </c>
      <c r="O34" s="44" t="n">
        <f aca="false">'E1 TelukLamong Calc'!O89</f>
        <v>0</v>
      </c>
      <c r="P34" s="44" t="n">
        <f aca="false">'E1 TelukLamong Calc'!P89</f>
        <v>0</v>
      </c>
      <c r="Q34" s="44" t="n">
        <f aca="false">'E1 TelukLamong Calc'!Q89</f>
        <v>0</v>
      </c>
      <c r="R34" s="44" t="n">
        <f aca="false">'E1 TelukLamong Calc'!R89</f>
        <v>0</v>
      </c>
      <c r="S34" s="44" t="n">
        <f aca="false">'E1 TelukLamong Calc'!S89</f>
        <v>0</v>
      </c>
    </row>
    <row r="35" customFormat="false" ht="15" hidden="false" customHeight="false" outlineLevel="0" collapsed="false">
      <c r="B35" s="24" t="s">
        <v>1114</v>
      </c>
      <c r="C35" s="25" t="s">
        <v>170</v>
      </c>
      <c r="E35" s="47" t="n">
        <f aca="false">SUM(F35:S35)</f>
        <v>0</v>
      </c>
      <c r="F35" s="47" t="n">
        <f aca="false">'E1 TelukLamong Calc'!F90</f>
        <v>0</v>
      </c>
      <c r="G35" s="47" t="n">
        <f aca="false">'E1 TelukLamong Calc'!G90</f>
        <v>0</v>
      </c>
      <c r="H35" s="47" t="n">
        <f aca="false">'E1 TelukLamong Calc'!H90</f>
        <v>0</v>
      </c>
      <c r="I35" s="47" t="n">
        <f aca="false">'E1 TelukLamong Calc'!I90</f>
        <v>0</v>
      </c>
      <c r="J35" s="47" t="n">
        <f aca="false">'E1 TelukLamong Calc'!J90</f>
        <v>0</v>
      </c>
      <c r="K35" s="47" t="n">
        <f aca="false">'E1 TelukLamong Calc'!K90</f>
        <v>0</v>
      </c>
      <c r="L35" s="47" t="n">
        <f aca="false">'E1 TelukLamong Calc'!L90</f>
        <v>0</v>
      </c>
      <c r="M35" s="47" t="n">
        <f aca="false">'E1 TelukLamong Calc'!M90</f>
        <v>0</v>
      </c>
      <c r="N35" s="47" t="n">
        <f aca="false">'E1 TelukLamong Calc'!N90</f>
        <v>0</v>
      </c>
      <c r="O35" s="47" t="n">
        <f aca="false">'E1 TelukLamong Calc'!O90</f>
        <v>0</v>
      </c>
      <c r="P35" s="47" t="n">
        <f aca="false">'E1 TelukLamong Calc'!P90</f>
        <v>0</v>
      </c>
      <c r="Q35" s="47" t="n">
        <f aca="false">'E1 TelukLamong Calc'!Q90</f>
        <v>0</v>
      </c>
      <c r="R35" s="47" t="n">
        <f aca="false">'E1 TelukLamong Calc'!R90</f>
        <v>0</v>
      </c>
      <c r="S35" s="47" t="n">
        <f aca="false">'E1 TelukLamong Calc'!S90</f>
        <v>0</v>
      </c>
    </row>
    <row r="36" customFormat="false" ht="15" hidden="false" customHeight="false" outlineLevel="0" collapsed="false">
      <c r="B36" s="24" t="s">
        <v>1115</v>
      </c>
      <c r="C36" s="25" t="s">
        <v>170</v>
      </c>
      <c r="F36" s="47" t="n">
        <f aca="false">'E1 TelukLamong Calc'!F92</f>
        <v>0</v>
      </c>
      <c r="G36" s="47" t="n">
        <f aca="false">'E1 TelukLamong Calc'!G92</f>
        <v>0</v>
      </c>
      <c r="H36" s="47" t="n">
        <f aca="false">'E1 TelukLamong Calc'!H92</f>
        <v>0</v>
      </c>
      <c r="I36" s="47" t="n">
        <f aca="false">'E1 TelukLamong Calc'!I92</f>
        <v>0</v>
      </c>
      <c r="J36" s="47" t="n">
        <f aca="false">'E1 TelukLamong Calc'!J92</f>
        <v>0</v>
      </c>
      <c r="K36" s="47" t="n">
        <f aca="false">'E1 TelukLamong Calc'!K92</f>
        <v>0</v>
      </c>
      <c r="L36" s="47" t="n">
        <f aca="false">'E1 TelukLamong Calc'!L92</f>
        <v>0</v>
      </c>
      <c r="M36" s="47" t="n">
        <f aca="false">'E1 TelukLamong Calc'!M92</f>
        <v>0</v>
      </c>
      <c r="N36" s="47" t="n">
        <f aca="false">'E1 TelukLamong Calc'!N92</f>
        <v>0</v>
      </c>
      <c r="O36" s="47" t="n">
        <f aca="false">'E1 TelukLamong Calc'!O92</f>
        <v>0</v>
      </c>
      <c r="P36" s="47" t="n">
        <f aca="false">'E1 TelukLamong Calc'!P92</f>
        <v>0</v>
      </c>
      <c r="Q36" s="47" t="n">
        <f aca="false">'E1 TelukLamong Calc'!Q92</f>
        <v>0</v>
      </c>
      <c r="R36" s="47" t="n">
        <f aca="false">'E1 TelukLamong Calc'!R92</f>
        <v>0</v>
      </c>
      <c r="S36" s="47" t="n">
        <f aca="false">'E1 TelukLamong Calc'!S92</f>
        <v>0</v>
      </c>
    </row>
    <row r="37" customFormat="false" ht="15" hidden="false" customHeight="false" outlineLevel="0" collapsed="false">
      <c r="B37" s="24" t="s">
        <v>463</v>
      </c>
      <c r="C37" s="25" t="s">
        <v>170</v>
      </c>
      <c r="F37" s="47" t="n">
        <f aca="false">'E1 TelukLamong Calc'!F96</f>
        <v>23.0592525460196</v>
      </c>
      <c r="G37" s="47" t="n">
        <f aca="false">'E1 TelukLamong Calc'!G96</f>
        <v>19.2342147540984</v>
      </c>
      <c r="H37" s="47" t="n">
        <f aca="false">'E1 TelukLamong Calc'!H96</f>
        <v>19.865518569863</v>
      </c>
      <c r="I37" s="47" t="n">
        <f aca="false">'E1 TelukLamong Calc'!I96</f>
        <v>20.4614841269589</v>
      </c>
      <c r="J37" s="47" t="n">
        <f aca="false">'E1 TelukLamong Calc'!J96</f>
        <v>21.0753286507677</v>
      </c>
      <c r="K37" s="47" t="n">
        <f aca="false">'E1 TelukLamong Calc'!K96</f>
        <v>21.6482781591697</v>
      </c>
      <c r="L37" s="47" t="n">
        <f aca="false">'E1 TelukLamong Calc'!L96</f>
        <v>23.0295806505674</v>
      </c>
      <c r="M37" s="47" t="n">
        <f aca="false">'E1 TelukLamong Calc'!M96</f>
        <v>23.7204680700844</v>
      </c>
      <c r="N37" s="47" t="n">
        <f aca="false">'E1 TelukLamong Calc'!N96</f>
        <v>24.432082112187</v>
      </c>
      <c r="O37" s="47" t="n">
        <f aca="false">'E1 TelukLamong Calc'!O96</f>
        <v>25.8491762518552</v>
      </c>
      <c r="P37" s="47" t="n">
        <f aca="false">'E1 TelukLamong Calc'!P96</f>
        <v>26.6975957902037</v>
      </c>
      <c r="Q37" s="47" t="n">
        <f aca="false">'E1 TelukLamong Calc'!Q96</f>
        <v>27.4985236639098</v>
      </c>
      <c r="R37" s="47" t="n">
        <f aca="false">'E1 TelukLamong Calc'!R96</f>
        <v>28.3234793738271</v>
      </c>
      <c r="S37" s="47" t="n">
        <f aca="false">'E1 TelukLamong Calc'!S96</f>
        <v>29.0934756027058</v>
      </c>
    </row>
    <row r="38" customFormat="false" ht="15" hidden="false" customHeight="false" outlineLevel="0" collapsed="false">
      <c r="B38" s="24" t="s">
        <v>1116</v>
      </c>
      <c r="C38" s="25" t="s">
        <v>170</v>
      </c>
      <c r="F38" s="47" t="n">
        <f aca="false">-'E1 TelukLamong Calc'!F97</f>
        <v>-3.58394966961942</v>
      </c>
      <c r="G38" s="47" t="n">
        <f aca="false">-'E1 TelukLamong Calc'!G97</f>
        <v>-2.45358898185645</v>
      </c>
      <c r="H38" s="47" t="n">
        <f aca="false">-'E1 TelukLamong Calc'!H97</f>
        <v>-2.57360722187744</v>
      </c>
      <c r="I38" s="47" t="n">
        <f aca="false">-'E1 TelukLamong Calc'!I97</f>
        <v>-2.69445621864038</v>
      </c>
      <c r="J38" s="47" t="n">
        <f aca="false">-'E1 TelukLamong Calc'!J97</f>
        <v>-2.81967305161033</v>
      </c>
      <c r="K38" s="47" t="n">
        <f aca="false">-'E1 TelukLamong Calc'!K97</f>
        <v>-2.94327959700272</v>
      </c>
      <c r="L38" s="47" t="n">
        <f aca="false">-'E1 TelukLamong Calc'!L97</f>
        <v>-3.09157203600629</v>
      </c>
      <c r="M38" s="47" t="n">
        <f aca="false">-'E1 TelukLamong Calc'!M97</f>
        <v>-3.23723157014051</v>
      </c>
      <c r="N38" s="47" t="n">
        <f aca="false">-'E1 TelukLamong Calc'!N97</f>
        <v>-3.39046866515628</v>
      </c>
      <c r="O38" s="47" t="n">
        <f aca="false">-'E1 TelukLamong Calc'!O97</f>
        <v>-3.54374391858123</v>
      </c>
      <c r="P38" s="47" t="n">
        <f aca="false">-'E1 TelukLamong Calc'!P97</f>
        <v>-3.72312500731182</v>
      </c>
      <c r="Q38" s="47" t="n">
        <f aca="false">-'E1 TelukLamong Calc'!Q97</f>
        <v>-3.90170449127994</v>
      </c>
      <c r="R38" s="47" t="n">
        <f aca="false">-'E1 TelukLamong Calc'!R97</f>
        <v>-4.08968671311892</v>
      </c>
      <c r="S38" s="47" t="n">
        <f aca="false">-'E1 TelukLamong Calc'!S97</f>
        <v>-4.27588110528686</v>
      </c>
    </row>
    <row r="39" customFormat="false" ht="15" hidden="false" customHeight="false" outlineLevel="0" collapsed="false">
      <c r="B39" s="69" t="s">
        <v>1117</v>
      </c>
      <c r="C39" s="25" t="s">
        <v>170</v>
      </c>
      <c r="F39" s="68" t="n">
        <f aca="false">F36+F37+F38</f>
        <v>19.4753028764002</v>
      </c>
      <c r="G39" s="68" t="n">
        <f aca="false">G36+G37+G38</f>
        <v>16.7806257722419</v>
      </c>
      <c r="H39" s="68" t="n">
        <f aca="false">H36+H37+H38</f>
        <v>17.2919113479856</v>
      </c>
      <c r="I39" s="68" t="n">
        <f aca="false">I36+I37+I38</f>
        <v>17.7670279083185</v>
      </c>
      <c r="J39" s="68" t="n">
        <f aca="false">J36+J37+J38</f>
        <v>18.2556555991573</v>
      </c>
      <c r="K39" s="68" t="n">
        <f aca="false">K36+K37+K38</f>
        <v>18.704998562167</v>
      </c>
      <c r="L39" s="68" t="n">
        <f aca="false">L36+L37+L38</f>
        <v>19.9380086145611</v>
      </c>
      <c r="M39" s="68" t="n">
        <f aca="false">M36+M37+M38</f>
        <v>20.4832364999439</v>
      </c>
      <c r="N39" s="68" t="n">
        <f aca="false">N36+N37+N38</f>
        <v>21.0416134470307</v>
      </c>
      <c r="O39" s="68" t="n">
        <f aca="false">O36+O37+O38</f>
        <v>22.3054323332739</v>
      </c>
      <c r="P39" s="68" t="n">
        <f aca="false">P36+P37+P38</f>
        <v>22.9744707828919</v>
      </c>
      <c r="Q39" s="68" t="n">
        <f aca="false">Q36+Q37+Q38</f>
        <v>23.5968191726299</v>
      </c>
      <c r="R39" s="68" t="n">
        <f aca="false">R36+R37+R38</f>
        <v>24.2337926607082</v>
      </c>
      <c r="S39" s="68" t="n">
        <f aca="false">S36+S37+S38</f>
        <v>24.8175944974189</v>
      </c>
    </row>
    <row r="40" customFormat="false" ht="15" hidden="false" customHeight="false" outlineLevel="0" collapsed="false">
      <c r="B40" s="5" t="s">
        <v>1118</v>
      </c>
    </row>
    <row r="42" customFormat="false" ht="15" hidden="false" customHeight="false" outlineLevel="0" collapsed="false">
      <c r="B42" s="22" t="s">
        <v>1119</v>
      </c>
      <c r="C42" s="23"/>
      <c r="D42" s="23"/>
      <c r="E42" s="23"/>
      <c r="F42" s="23"/>
      <c r="G42" s="23"/>
      <c r="H42" s="23"/>
      <c r="I42" s="23"/>
      <c r="J42" s="23"/>
      <c r="K42" s="23"/>
      <c r="L42" s="23"/>
      <c r="M42" s="23"/>
      <c r="N42" s="23"/>
      <c r="O42" s="23"/>
      <c r="P42" s="23"/>
      <c r="Q42" s="23"/>
      <c r="R42" s="23"/>
      <c r="S42" s="23"/>
    </row>
    <row r="43" customFormat="false" ht="15" hidden="false" customHeight="false" outlineLevel="0" collapsed="false">
      <c r="B43" s="24" t="s">
        <v>1120</v>
      </c>
      <c r="C43" s="25" t="s">
        <v>143</v>
      </c>
      <c r="F43" s="30" t="n">
        <f aca="false">0</f>
        <v>0</v>
      </c>
      <c r="G43" s="30" t="n">
        <f aca="false">MIN(1,F43+F44)</f>
        <v>0</v>
      </c>
      <c r="H43" s="30" t="n">
        <f aca="false">MIN(1,G43+G44)</f>
        <v>0</v>
      </c>
      <c r="I43" s="30" t="n">
        <f aca="false">MIN(1,H43+H44)</f>
        <v>0</v>
      </c>
      <c r="J43" s="30" t="n">
        <f aca="false">MIN(1,I43+I44)</f>
        <v>0</v>
      </c>
      <c r="K43" s="30" t="n">
        <f aca="false">MIN(1,J43+J44)</f>
        <v>0</v>
      </c>
      <c r="L43" s="30" t="n">
        <f aca="false">MIN(1,K43+K44)</f>
        <v>0</v>
      </c>
      <c r="M43" s="30" t="n">
        <f aca="false">MIN(1,L43+L44)</f>
        <v>0</v>
      </c>
      <c r="N43" s="30" t="n">
        <f aca="false">MIN(1,M43+M44)</f>
        <v>0</v>
      </c>
      <c r="O43" s="30" t="n">
        <f aca="false">MIN(1,N43+N44)</f>
        <v>0</v>
      </c>
      <c r="P43" s="30" t="n">
        <f aca="false">MIN(1,O43+O44)</f>
        <v>0</v>
      </c>
      <c r="Q43" s="30" t="n">
        <f aca="false">MIN(1,P43+P44)</f>
        <v>0</v>
      </c>
      <c r="R43" s="30" t="n">
        <f aca="false">MIN(1,Q43+Q44)</f>
        <v>0</v>
      </c>
      <c r="S43" s="30" t="n">
        <f aca="false">MIN(1,R43+R44)</f>
        <v>0</v>
      </c>
    </row>
    <row r="44" customFormat="false" ht="15" hidden="false" customHeight="false" outlineLevel="0" collapsed="false">
      <c r="B44" s="24" t="s">
        <v>1121</v>
      </c>
      <c r="C44" s="25" t="s">
        <v>143</v>
      </c>
      <c r="F44" s="30" t="n">
        <f aca="false">0</f>
        <v>0</v>
      </c>
      <c r="G44" s="30" t="n">
        <f aca="false">IF(AND(G29&gt;=0,F29&lt;0,G43=0),1,0)</f>
        <v>0</v>
      </c>
      <c r="H44" s="30" t="n">
        <f aca="false">IF(AND(H29&gt;=0,G29&lt;0,H43=0),1,0)</f>
        <v>0</v>
      </c>
      <c r="I44" s="30" t="n">
        <f aca="false">IF(AND(I29&gt;=0,H29&lt;0,I43=0),1,0)</f>
        <v>0</v>
      </c>
      <c r="J44" s="30" t="n">
        <f aca="false">IF(AND(J29&gt;=0,I29&lt;0,J43=0),1,0)</f>
        <v>0</v>
      </c>
      <c r="K44" s="30" t="n">
        <f aca="false">IF(AND(K29&gt;=0,J29&lt;0,K43=0),1,0)</f>
        <v>0</v>
      </c>
      <c r="L44" s="30" t="n">
        <f aca="false">IF(AND(L29&gt;=0,K29&lt;0,L43=0),1,0)</f>
        <v>0</v>
      </c>
      <c r="M44" s="30" t="n">
        <f aca="false">IF(AND(M29&gt;=0,L29&lt;0,M43=0),1,0)</f>
        <v>0</v>
      </c>
      <c r="N44" s="30" t="n">
        <f aca="false">IF(AND(N29&gt;=0,M29&lt;0,N43=0),1,0)</f>
        <v>0</v>
      </c>
      <c r="O44" s="30" t="n">
        <f aca="false">IF(AND(O29&gt;=0,N29&lt;0,O43=0),1,0)</f>
        <v>0</v>
      </c>
      <c r="P44" s="30" t="n">
        <f aca="false">IF(AND(P29&gt;=0,O29&lt;0,P43=0),1,0)</f>
        <v>0</v>
      </c>
      <c r="Q44" s="30" t="n">
        <f aca="false">IF(AND(Q29&gt;=0,P29&lt;0,Q43=0),1,0)</f>
        <v>0</v>
      </c>
      <c r="R44" s="30" t="n">
        <f aca="false">IF(AND(R29&gt;=0,Q29&lt;0,R43=0),1,0)</f>
        <v>0</v>
      </c>
      <c r="S44" s="30" t="n">
        <f aca="false">IF(AND(S29&gt;=0,R29&lt;0,S43=0),1,0)</f>
        <v>0</v>
      </c>
    </row>
    <row r="45" customFormat="false" ht="15" hidden="false" customHeight="false" outlineLevel="0" collapsed="false">
      <c r="B45" s="24" t="s">
        <v>1122</v>
      </c>
      <c r="C45" s="25" t="s">
        <v>170</v>
      </c>
      <c r="F45" s="47" t="n">
        <f aca="false">IF(F$5='Global Inputs'!$E$14,F28*(1+'Global Inputs'!$E$54)/('Global Inputs'!$E$53-'Global Inputs'!$E$54),0)</f>
        <v>0</v>
      </c>
      <c r="G45" s="47" t="n">
        <f aca="false">IF(G$5='Global Inputs'!$E$14,G28*(1+'Global Inputs'!$E$54)/('Global Inputs'!$E$53-'Global Inputs'!$E$54),0)</f>
        <v>0</v>
      </c>
      <c r="H45" s="47" t="n">
        <f aca="false">IF(H$5='Global Inputs'!$E$14,H28*(1+'Global Inputs'!$E$54)/('Global Inputs'!$E$53-'Global Inputs'!$E$54),0)</f>
        <v>0</v>
      </c>
      <c r="I45" s="47" t="n">
        <f aca="false">IF(I$5='Global Inputs'!$E$14,I28*(1+'Global Inputs'!$E$54)/('Global Inputs'!$E$53-'Global Inputs'!$E$54),0)</f>
        <v>0</v>
      </c>
      <c r="J45" s="47" t="n">
        <f aca="false">IF(J$5='Global Inputs'!$E$14,J28*(1+'Global Inputs'!$E$54)/('Global Inputs'!$E$53-'Global Inputs'!$E$54),0)</f>
        <v>0</v>
      </c>
      <c r="K45" s="47" t="n">
        <f aca="false">IF(K$5='Global Inputs'!$E$14,K28*(1+'Global Inputs'!$E$54)/('Global Inputs'!$E$53-'Global Inputs'!$E$54),0)</f>
        <v>0</v>
      </c>
      <c r="L45" s="47" t="n">
        <f aca="false">IF(L$5='Global Inputs'!$E$14,L28*(1+'Global Inputs'!$E$54)/('Global Inputs'!$E$53-'Global Inputs'!$E$54),0)</f>
        <v>0</v>
      </c>
      <c r="M45" s="47" t="n">
        <f aca="false">IF(M$5='Global Inputs'!$E$14,M28*(1+'Global Inputs'!$E$54)/('Global Inputs'!$E$53-'Global Inputs'!$E$54),0)</f>
        <v>0</v>
      </c>
      <c r="N45" s="47" t="n">
        <f aca="false">IF(N$5='Global Inputs'!$E$14,N28*(1+'Global Inputs'!$E$54)/('Global Inputs'!$E$53-'Global Inputs'!$E$54),0)</f>
        <v>0</v>
      </c>
      <c r="O45" s="47" t="n">
        <f aca="false">IF(O$5='Global Inputs'!$E$14,O28*(1+'Global Inputs'!$E$54)/('Global Inputs'!$E$53-'Global Inputs'!$E$54),0)</f>
        <v>0</v>
      </c>
      <c r="P45" s="47" t="n">
        <f aca="false">IF(P$5='Global Inputs'!$E$14,P28*(1+'Global Inputs'!$E$54)/('Global Inputs'!$E$53-'Global Inputs'!$E$54),0)</f>
        <v>0</v>
      </c>
      <c r="Q45" s="47" t="n">
        <f aca="false">IF(Q$5='Global Inputs'!$E$14,Q28*(1+'Global Inputs'!$E$54)/('Global Inputs'!$E$53-'Global Inputs'!$E$54),0)</f>
        <v>0</v>
      </c>
      <c r="R45" s="47" t="n">
        <f aca="false">IF(R$5='Global Inputs'!$E$14,R28*(1+'Global Inputs'!$E$54)/('Global Inputs'!$E$53-'Global Inputs'!$E$54),0)</f>
        <v>0</v>
      </c>
      <c r="S45" s="47" t="n">
        <f aca="false">IF(S$5='Global Inputs'!$E$14,S28*(1+'Global Inputs'!$E$54)/('Global Inputs'!$E$53-'Global Inputs'!$E$54),0)</f>
        <v>1600.2514108227</v>
      </c>
    </row>
    <row r="46" customFormat="false" ht="15" hidden="false" customHeight="false" outlineLevel="0" collapsed="false">
      <c r="B46" s="24" t="s">
        <v>1123</v>
      </c>
      <c r="C46" s="25" t="s">
        <v>170</v>
      </c>
      <c r="F46" s="47" t="n">
        <f aca="false">F28+F45</f>
        <v>0</v>
      </c>
      <c r="G46" s="47" t="n">
        <f aca="false">G28+G45</f>
        <v>99.6359143152692</v>
      </c>
      <c r="H46" s="47" t="n">
        <f aca="false">H28+H45</f>
        <v>98.6994174663888</v>
      </c>
      <c r="I46" s="47" t="n">
        <f aca="false">I28+I45</f>
        <v>101.253907298589</v>
      </c>
      <c r="J46" s="47" t="n">
        <f aca="false">J28+J45</f>
        <v>103.600818221715</v>
      </c>
      <c r="K46" s="47" t="n">
        <f aca="false">K28+K45</f>
        <v>106.045943858656</v>
      </c>
      <c r="L46" s="47" t="n">
        <f aca="false">L28+L45</f>
        <v>112.160468778096</v>
      </c>
      <c r="M46" s="47" t="n">
        <f aca="false">M28+M45</f>
        <v>115.471678209207</v>
      </c>
      <c r="N46" s="47" t="n">
        <f aca="false">N28+N45</f>
        <v>118.130430326507</v>
      </c>
      <c r="O46" s="47" t="n">
        <f aca="false">O28+O45</f>
        <v>125.124716335916</v>
      </c>
      <c r="P46" s="47" t="n">
        <f aca="false">P28+P45</f>
        <v>128.630444471493</v>
      </c>
      <c r="Q46" s="47" t="n">
        <f aca="false">Q28+Q45</f>
        <v>131.639412134673</v>
      </c>
      <c r="R46" s="47" t="n">
        <f aca="false">R28+R45</f>
        <v>134.637772992991</v>
      </c>
      <c r="S46" s="47" t="n">
        <f aca="false">S28+S45</f>
        <v>1738.00527817296</v>
      </c>
    </row>
    <row r="47" customFormat="false" ht="15" hidden="false" customHeight="false" outlineLevel="0" collapsed="false">
      <c r="B47" s="24" t="s">
        <v>1124</v>
      </c>
      <c r="C47" s="25" t="s">
        <v>170</v>
      </c>
      <c r="E47" s="47" t="n">
        <f aca="false">SUM(F47:S47)</f>
        <v>1190.21626244184</v>
      </c>
      <c r="F47" s="47" t="n">
        <f aca="false">F46*'Global Inputs'!F18</f>
        <v>0</v>
      </c>
      <c r="G47" s="47" t="n">
        <f aca="false">G46*'Global Inputs'!G18</f>
        <v>0</v>
      </c>
      <c r="H47" s="47" t="n">
        <f aca="false">H46*'Global Inputs'!H18</f>
        <v>0</v>
      </c>
      <c r="I47" s="47" t="n">
        <f aca="false">I46*'Global Inputs'!I18</f>
        <v>0</v>
      </c>
      <c r="J47" s="47" t="n">
        <f aca="false">J46*'Global Inputs'!J18</f>
        <v>92.6111097677872</v>
      </c>
      <c r="K47" s="47" t="n">
        <f aca="false">K46*'Global Inputs'!K18</f>
        <v>84.7410552706192</v>
      </c>
      <c r="L47" s="47" t="n">
        <f aca="false">L46*'Global Inputs'!L18</f>
        <v>80.1197388104414</v>
      </c>
      <c r="M47" s="47" t="n">
        <f aca="false">M46*'Global Inputs'!M18</f>
        <v>73.7352385721781</v>
      </c>
      <c r="N47" s="47" t="n">
        <f aca="false">N46*'Global Inputs'!N18</f>
        <v>67.4312640776229</v>
      </c>
      <c r="O47" s="47" t="n">
        <f aca="false">O46*'Global Inputs'!O18</f>
        <v>63.8472981858816</v>
      </c>
      <c r="P47" s="47" t="n">
        <f aca="false">P46*'Global Inputs'!P18</f>
        <v>58.6736480503403</v>
      </c>
      <c r="Q47" s="47" t="n">
        <f aca="false">Q46*'Global Inputs'!Q18</f>
        <v>53.6766197156247</v>
      </c>
      <c r="R47" s="47" t="n">
        <f aca="false">R46*'Global Inputs'!R18</f>
        <v>49.07564843663</v>
      </c>
      <c r="S47" s="47" t="n">
        <f aca="false">S46*'Global Inputs'!S18</f>
        <v>566.30464155471</v>
      </c>
    </row>
    <row r="48" customFormat="false" ht="15" hidden="false" customHeight="false" outlineLevel="0" collapsed="false">
      <c r="B48" s="24" t="s">
        <v>1125</v>
      </c>
      <c r="C48" s="25" t="s">
        <v>170</v>
      </c>
      <c r="E48" s="47" t="n">
        <f aca="false">SUM($F$47:$S$47)</f>
        <v>1190.21626244184</v>
      </c>
    </row>
    <row r="49" customFormat="false" ht="15" hidden="false" customHeight="false" outlineLevel="0" collapsed="false">
      <c r="B49" s="24" t="s">
        <v>1126</v>
      </c>
      <c r="C49" s="25" t="s">
        <v>170</v>
      </c>
      <c r="E49" s="47" t="n">
        <f aca="false">SUMPRODUCT($F$28:$S$28,'Global Inputs'!$F$18:$S$18)</f>
        <v>668.796786342186</v>
      </c>
    </row>
    <row r="50" customFormat="false" ht="15" hidden="false" customHeight="false" outlineLevel="0" collapsed="false">
      <c r="B50" s="24" t="s">
        <v>360</v>
      </c>
      <c r="C50" s="25" t="s">
        <v>160</v>
      </c>
      <c r="E50" s="49" t="str">
        <f aca="false">"n/a — existing business (no entry cost / original investment data)"</f>
        <v>n/a — existing business (no entry cost / original investment data)</v>
      </c>
    </row>
    <row r="51" customFormat="false" ht="15" hidden="false" customHeight="false" outlineLevel="0" collapsed="false">
      <c r="B51" s="24" t="s">
        <v>1127</v>
      </c>
      <c r="C51" s="25" t="s">
        <v>160</v>
      </c>
      <c r="E51" s="49" t="str">
        <f aca="false">"n/a — existing business"</f>
        <v>n/a — existing business</v>
      </c>
    </row>
    <row r="52" customFormat="false" ht="15" hidden="false" customHeight="false" outlineLevel="0" collapsed="false">
      <c r="B52" s="24" t="s">
        <v>1128</v>
      </c>
      <c r="C52" s="25" t="s">
        <v>160</v>
      </c>
      <c r="E52" s="49" t="str">
        <f aca="false">"n/a — existing business"</f>
        <v>n/a — existing business</v>
      </c>
    </row>
    <row r="53" customFormat="false" ht="15" hidden="false" customHeight="false" outlineLevel="0" collapsed="false">
      <c r="B53" s="24" t="s">
        <v>1129</v>
      </c>
      <c r="C53" s="25" t="s">
        <v>135</v>
      </c>
      <c r="E53" s="29" t="str">
        <f aca="false">IF(SUM($F$44:$S$44)=0,"not within horizon",SUMPRODUCT($F$44:$S$44,'Global Inputs'!$F$15:$S$15))</f>
        <v>not within horizon</v>
      </c>
    </row>
    <row r="54" customFormat="false" ht="15" hidden="false" customHeight="false" outlineLevel="0" collapsed="false">
      <c r="B54" s="24" t="s">
        <v>1130</v>
      </c>
      <c r="C54" s="25" t="s">
        <v>135</v>
      </c>
      <c r="E54" s="29" t="str">
        <f aca="false">"n/a"</f>
        <v>n/a</v>
      </c>
    </row>
    <row r="55" customFormat="false" ht="15" hidden="false" customHeight="false" outlineLevel="0" collapsed="false">
      <c r="B55" s="24" t="s">
        <v>1131</v>
      </c>
      <c r="C55" s="25" t="s">
        <v>240</v>
      </c>
      <c r="E55" s="44" t="n">
        <f aca="false">0</f>
        <v>0</v>
      </c>
    </row>
    <row r="56" customFormat="false" ht="15" hidden="false" customHeight="false" outlineLevel="0" collapsed="false">
      <c r="B56" s="24" t="s">
        <v>1132</v>
      </c>
      <c r="C56" s="25" t="s">
        <v>240</v>
      </c>
      <c r="E56" s="44" t="n">
        <f aca="false">0</f>
        <v>0</v>
      </c>
    </row>
    <row r="58" customFormat="false" ht="15" hidden="false" customHeight="false" outlineLevel="0" collapsed="false">
      <c r="B58" s="22" t="s">
        <v>1133</v>
      </c>
      <c r="C58" s="23"/>
      <c r="D58" s="23"/>
      <c r="E58" s="23"/>
      <c r="F58" s="23"/>
      <c r="G58" s="23"/>
      <c r="H58" s="23"/>
      <c r="I58" s="23"/>
      <c r="J58" s="23"/>
      <c r="K58" s="23"/>
      <c r="L58" s="23"/>
      <c r="M58" s="23"/>
      <c r="N58" s="23"/>
      <c r="O58" s="23"/>
      <c r="P58" s="23"/>
      <c r="Q58" s="23"/>
      <c r="R58" s="23"/>
      <c r="S58" s="23"/>
    </row>
    <row r="59" customFormat="false" ht="15" hidden="false" customHeight="false" outlineLevel="0" collapsed="false">
      <c r="B59" s="24" t="s">
        <v>1134</v>
      </c>
      <c r="C59" s="25" t="s">
        <v>180</v>
      </c>
      <c r="E59" s="29" t="n">
        <f aca="false">'E1 TelukLamong Input'!$E$22*IF('E1 TelukLamong Input'!$E$23=1,1,0)</f>
        <v>1</v>
      </c>
    </row>
    <row r="60" customFormat="false" ht="15" hidden="false" customHeight="false" outlineLevel="0" collapsed="false">
      <c r="B60" s="24" t="s">
        <v>1135</v>
      </c>
      <c r="C60" s="25" t="s">
        <v>180</v>
      </c>
      <c r="E60" s="29" t="n">
        <f aca="false">'E1 TelukLamong Input'!$E$22</f>
        <v>1</v>
      </c>
    </row>
    <row r="61" customFormat="false" ht="15" hidden="false" customHeight="false" outlineLevel="0" collapsed="false">
      <c r="B61" s="24" t="s">
        <v>897</v>
      </c>
      <c r="C61" s="25" t="s">
        <v>160</v>
      </c>
      <c r="E61" s="49" t="n">
        <f aca="false">'E1 TelukLamong Input'!$E$24</f>
        <v>0.65</v>
      </c>
    </row>
  </sheetData>
  <hyperlinks>
    <hyperlink ref="C3" r:id="rId1" location="'E1%20TelukLamong%20Input'!A1" display="Input"/>
    <hyperlink ref="D3" r:id="rId2" location="'E1%20TelukLamong%20Calc'!A1" display="Calc"/>
    <hyperlink ref="E3" r:id="rId3" location="'E1%20TelukLamong%20Output'!A1" display="Output"/>
    <hyperlink ref="F3" r:id="rId4" location="'Navigation'!A1" display="Navigation"/>
    <hyperlink ref="G3" r:id="rId5" location="'Global%20Inputs'!A1" display="Global Inputs"/>
    <hyperlink ref="H3" r:id="rId6" location="'Project%20Summary'!A1" display="Project Summary"/>
    <hyperlink ref="I3" r:id="rId7" location="'Funding%20Requirement'!A1" display="Funding"/>
    <hyperlink ref="J3" r:id="rId8" location="'FSL%20Financials%20—%20Without%20BUMN'!A1" display="FSL w/o BUMN"/>
    <hyperlink ref="K3" r:id="rId9" location="'FSL%20Financials%20—%20With%20BUMN'!A1" display="FSL w/ BUMN"/>
    <hyperlink ref="L3" r:id="rId10" location="'Valuation%20—%20Without%20BUMN'!A1" display="Val w/o BUMN"/>
    <hyperlink ref="M3" r:id="rId11" location="'Valuation%20—%20With%20BUMN'!A1" display="Val w/ BUMN"/>
    <hyperlink ref="N3" r:id="rId12" location="'Checks'!A1" display="Checks"/>
    <hyperlink ref="O3" r:id="rId13" location="'Model%20Flow'!A1" display="Model Flow"/>
  </hyperlink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D966"/>
    <pageSetUpPr fitToPage="true"/>
  </sheetPr>
  <dimension ref="B1:U7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5" ySplit="9" topLeftCell="F10" activePane="bottomRight" state="frozen"/>
      <selection pane="topLeft" activeCell="A1" activeCellId="0" sqref="A1"/>
      <selection pane="topRight" activeCell="F1" activeCellId="0" sqref="F1"/>
      <selection pane="bottomLeft" activeCell="A10" activeCellId="0" sqref="A10"/>
      <selection pane="bottomRigh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66"/>
    <col collapsed="false" customWidth="true" hidden="false" outlineLevel="0" max="3" min="3" style="0" width="11"/>
    <col collapsed="false" customWidth="true" hidden="false" outlineLevel="0" max="4" min="4" style="0" width="12"/>
    <col collapsed="false" customWidth="true" hidden="false" outlineLevel="0" max="5" min="5" style="0" width="13"/>
    <col collapsed="false" customWidth="true" hidden="false" outlineLevel="0" max="19" min="6" style="0" width="11.5"/>
    <col collapsed="false" customWidth="true" hidden="false" outlineLevel="0" max="20" min="20" style="0" width="40"/>
    <col collapsed="false" customWidth="true" hidden="false" outlineLevel="0" max="21" min="21" style="0" width="48"/>
  </cols>
  <sheetData>
    <row r="1" customFormat="false" ht="21.75" hidden="false" customHeight="true" outlineLevel="0" collapsed="false">
      <c r="B1" s="1" t="s">
        <v>1136</v>
      </c>
    </row>
    <row r="2" customFormat="false" ht="15" hidden="false" customHeight="false" outlineLevel="0" collapsed="false">
      <c r="B2" s="2" t="s">
        <v>1137</v>
      </c>
    </row>
    <row r="3" customFormat="false" ht="15" hidden="false" customHeight="false" outlineLevel="0" collapsed="false">
      <c r="B3" s="5" t="s">
        <v>112</v>
      </c>
      <c r="C3" s="17" t="s">
        <v>27</v>
      </c>
      <c r="D3" s="17" t="s">
        <v>28</v>
      </c>
      <c r="E3" s="17" t="s">
        <v>29</v>
      </c>
      <c r="F3" s="17" t="s">
        <v>113</v>
      </c>
      <c r="G3" s="17" t="s">
        <v>5</v>
      </c>
      <c r="H3" s="17" t="s">
        <v>7</v>
      </c>
      <c r="I3" s="17" t="s">
        <v>114</v>
      </c>
      <c r="J3" s="17" t="s">
        <v>115</v>
      </c>
      <c r="K3" s="17" t="s">
        <v>116</v>
      </c>
      <c r="L3" s="17" t="s">
        <v>117</v>
      </c>
      <c r="M3" s="17" t="s">
        <v>118</v>
      </c>
      <c r="N3" s="17" t="s">
        <v>21</v>
      </c>
      <c r="O3" s="17" t="s">
        <v>3</v>
      </c>
    </row>
    <row r="5" customFormat="false" ht="15" hidden="false" customHeight="false" outlineLevel="0" collapsed="false">
      <c r="B5" s="6" t="s">
        <v>119</v>
      </c>
      <c r="C5" s="6" t="s">
        <v>120</v>
      </c>
      <c r="D5" s="6" t="s">
        <v>121</v>
      </c>
      <c r="E5" s="6" t="s">
        <v>122</v>
      </c>
      <c r="F5" s="18" t="n">
        <f aca="false">'Global Inputs'!F$5</f>
        <v>2023</v>
      </c>
      <c r="G5" s="18" t="n">
        <f aca="false">'Global Inputs'!G$5</f>
        <v>2024</v>
      </c>
      <c r="H5" s="18" t="n">
        <f aca="false">'Global Inputs'!H$5</f>
        <v>2025</v>
      </c>
      <c r="I5" s="18" t="n">
        <f aca="false">'Global Inputs'!I$5</f>
        <v>2026</v>
      </c>
      <c r="J5" s="18" t="n">
        <f aca="false">'Global Inputs'!J$5</f>
        <v>2027</v>
      </c>
      <c r="K5" s="18" t="n">
        <f aca="false">'Global Inputs'!K$5</f>
        <v>2028</v>
      </c>
      <c r="L5" s="18" t="n">
        <f aca="false">'Global Inputs'!L$5</f>
        <v>2029</v>
      </c>
      <c r="M5" s="18" t="n">
        <f aca="false">'Global Inputs'!M$5</f>
        <v>2030</v>
      </c>
      <c r="N5" s="18" t="n">
        <f aca="false">'Global Inputs'!N$5</f>
        <v>2031</v>
      </c>
      <c r="O5" s="18" t="n">
        <f aca="false">'Global Inputs'!O$5</f>
        <v>2032</v>
      </c>
      <c r="P5" s="18" t="n">
        <f aca="false">'Global Inputs'!P$5</f>
        <v>2033</v>
      </c>
      <c r="Q5" s="18" t="n">
        <f aca="false">'Global Inputs'!Q$5</f>
        <v>2034</v>
      </c>
      <c r="R5" s="18" t="n">
        <f aca="false">'Global Inputs'!R$5</f>
        <v>2035</v>
      </c>
      <c r="S5" s="18" t="n">
        <f aca="false">'Global Inputs'!S$5</f>
        <v>2036</v>
      </c>
      <c r="T5" s="6" t="s">
        <v>123</v>
      </c>
      <c r="U5" s="6" t="s">
        <v>124</v>
      </c>
    </row>
    <row r="6" customFormat="false" ht="15" hidden="false" customHeight="false" outlineLevel="0" collapsed="false">
      <c r="B6" s="19" t="s">
        <v>125</v>
      </c>
      <c r="F6" s="20" t="n">
        <f aca="false">'Global Inputs'!F$6</f>
        <v>45291</v>
      </c>
      <c r="G6" s="20" t="n">
        <f aca="false">'Global Inputs'!G$6</f>
        <v>45657</v>
      </c>
      <c r="H6" s="20" t="n">
        <f aca="false">'Global Inputs'!H$6</f>
        <v>46022</v>
      </c>
      <c r="I6" s="20" t="n">
        <f aca="false">'Global Inputs'!I$6</f>
        <v>46387</v>
      </c>
      <c r="J6" s="20" t="n">
        <f aca="false">'Global Inputs'!J$6</f>
        <v>46752</v>
      </c>
      <c r="K6" s="20" t="n">
        <f aca="false">'Global Inputs'!K$6</f>
        <v>47118</v>
      </c>
      <c r="L6" s="20" t="n">
        <f aca="false">'Global Inputs'!L$6</f>
        <v>47483</v>
      </c>
      <c r="M6" s="20" t="n">
        <f aca="false">'Global Inputs'!M$6</f>
        <v>47848</v>
      </c>
      <c r="N6" s="20" t="n">
        <f aca="false">'Global Inputs'!N$6</f>
        <v>48213</v>
      </c>
      <c r="O6" s="20" t="n">
        <f aca="false">'Global Inputs'!O$6</f>
        <v>48579</v>
      </c>
      <c r="P6" s="20" t="n">
        <f aca="false">'Global Inputs'!P$6</f>
        <v>48944</v>
      </c>
      <c r="Q6" s="20" t="n">
        <f aca="false">'Global Inputs'!Q$6</f>
        <v>49309</v>
      </c>
      <c r="R6" s="20" t="n">
        <f aca="false">'Global Inputs'!R$6</f>
        <v>49674</v>
      </c>
      <c r="S6" s="20" t="n">
        <f aca="false">'Global Inputs'!S$6</f>
        <v>50040</v>
      </c>
    </row>
    <row r="7" customFormat="false" ht="15" hidden="false" customHeight="false" outlineLevel="0" collapsed="false">
      <c r="B7" s="19" t="s">
        <v>126</v>
      </c>
      <c r="F7" s="21" t="n">
        <f aca="false">'Global Inputs'!F$7</f>
        <v>365</v>
      </c>
      <c r="G7" s="21" t="n">
        <f aca="false">'Global Inputs'!G$7</f>
        <v>366</v>
      </c>
      <c r="H7" s="21" t="n">
        <f aca="false">'Global Inputs'!H$7</f>
        <v>365</v>
      </c>
      <c r="I7" s="21" t="n">
        <f aca="false">'Global Inputs'!I$7</f>
        <v>365</v>
      </c>
      <c r="J7" s="21" t="n">
        <f aca="false">'Global Inputs'!J$7</f>
        <v>365</v>
      </c>
      <c r="K7" s="21" t="n">
        <f aca="false">'Global Inputs'!K$7</f>
        <v>366</v>
      </c>
      <c r="L7" s="21" t="n">
        <f aca="false">'Global Inputs'!L$7</f>
        <v>365</v>
      </c>
      <c r="M7" s="21" t="n">
        <f aca="false">'Global Inputs'!M$7</f>
        <v>365</v>
      </c>
      <c r="N7" s="21" t="n">
        <f aca="false">'Global Inputs'!N$7</f>
        <v>365</v>
      </c>
      <c r="O7" s="21" t="n">
        <f aca="false">'Global Inputs'!O$7</f>
        <v>366</v>
      </c>
      <c r="P7" s="21" t="n">
        <f aca="false">'Global Inputs'!P$7</f>
        <v>365</v>
      </c>
      <c r="Q7" s="21" t="n">
        <f aca="false">'Global Inputs'!Q$7</f>
        <v>365</v>
      </c>
      <c r="R7" s="21" t="n">
        <f aca="false">'Global Inputs'!R$7</f>
        <v>365</v>
      </c>
      <c r="S7" s="21" t="n">
        <f aca="false">'Global Inputs'!S$7</f>
        <v>366</v>
      </c>
    </row>
    <row r="8" customFormat="false" ht="15" hidden="false" customHeight="false" outlineLevel="0" collapsed="false">
      <c r="B8" s="19" t="s">
        <v>127</v>
      </c>
      <c r="F8" s="21" t="n">
        <f aca="false">'Global Inputs'!F$8</f>
        <v>0</v>
      </c>
      <c r="G8" s="21" t="n">
        <f aca="false">'Global Inputs'!G$8</f>
        <v>1</v>
      </c>
      <c r="H8" s="21" t="n">
        <f aca="false">'Global Inputs'!H$8</f>
        <v>1</v>
      </c>
      <c r="I8" s="21" t="n">
        <f aca="false">'Global Inputs'!I$8</f>
        <v>1</v>
      </c>
      <c r="J8" s="21" t="n">
        <f aca="false">'Global Inputs'!J$8</f>
        <v>1</v>
      </c>
      <c r="K8" s="21" t="n">
        <f aca="false">'Global Inputs'!K$8</f>
        <v>1</v>
      </c>
      <c r="L8" s="21" t="n">
        <f aca="false">'Global Inputs'!L$8</f>
        <v>1</v>
      </c>
      <c r="M8" s="21" t="n">
        <f aca="false">'Global Inputs'!M$8</f>
        <v>1</v>
      </c>
      <c r="N8" s="21" t="n">
        <f aca="false">'Global Inputs'!N$8</f>
        <v>1</v>
      </c>
      <c r="O8" s="21" t="n">
        <f aca="false">'Global Inputs'!O$8</f>
        <v>1</v>
      </c>
      <c r="P8" s="21" t="n">
        <f aca="false">'Global Inputs'!P$8</f>
        <v>1</v>
      </c>
      <c r="Q8" s="21" t="n">
        <f aca="false">'Global Inputs'!Q$8</f>
        <v>1</v>
      </c>
      <c r="R8" s="21" t="n">
        <f aca="false">'Global Inputs'!R$8</f>
        <v>1</v>
      </c>
      <c r="S8" s="21" t="n">
        <f aca="false">'Global Inputs'!S$8</f>
        <v>1</v>
      </c>
    </row>
    <row r="10" customFormat="false" ht="15" hidden="false" customHeight="false" outlineLevel="0" collapsed="false">
      <c r="B10" s="22" t="s">
        <v>878</v>
      </c>
      <c r="C10" s="23"/>
      <c r="D10" s="23"/>
      <c r="E10" s="23"/>
      <c r="F10" s="23"/>
      <c r="G10" s="23"/>
      <c r="H10" s="23"/>
      <c r="I10" s="23"/>
      <c r="J10" s="23"/>
      <c r="K10" s="23"/>
      <c r="L10" s="23"/>
      <c r="M10" s="23"/>
      <c r="N10" s="23"/>
      <c r="O10" s="23"/>
      <c r="P10" s="23"/>
      <c r="Q10" s="23"/>
      <c r="R10" s="23"/>
      <c r="S10" s="23"/>
    </row>
    <row r="11" customFormat="false" ht="15" hidden="false" customHeight="false" outlineLevel="0" collapsed="false">
      <c r="B11" s="24" t="s">
        <v>879</v>
      </c>
      <c r="E11" s="24" t="s">
        <v>1138</v>
      </c>
    </row>
    <row r="12" customFormat="false" ht="15" hidden="false" customHeight="false" outlineLevel="0" collapsed="false">
      <c r="B12" s="24" t="s">
        <v>25</v>
      </c>
      <c r="E12" s="24" t="s">
        <v>1139</v>
      </c>
    </row>
    <row r="13" customFormat="false" ht="15" hidden="false" customHeight="false" outlineLevel="0" collapsed="false">
      <c r="B13" s="24" t="s">
        <v>882</v>
      </c>
      <c r="E13" s="24" t="s">
        <v>1140</v>
      </c>
    </row>
    <row r="14" customFormat="false" ht="15" hidden="false" customHeight="false" outlineLevel="0" collapsed="false">
      <c r="B14" s="24" t="s">
        <v>275</v>
      </c>
      <c r="E14" s="24" t="s">
        <v>285</v>
      </c>
    </row>
    <row r="15" customFormat="false" ht="15" hidden="false" customHeight="false" outlineLevel="0" collapsed="false">
      <c r="B15" s="24" t="s">
        <v>386</v>
      </c>
      <c r="E15" s="24" t="s">
        <v>35</v>
      </c>
    </row>
    <row r="16" customFormat="false" ht="15" hidden="false" customHeight="false" outlineLevel="0" collapsed="false">
      <c r="B16" s="24" t="s">
        <v>884</v>
      </c>
      <c r="E16" s="24" t="s">
        <v>1141</v>
      </c>
    </row>
    <row r="17" customFormat="false" ht="15" hidden="false" customHeight="false" outlineLevel="0" collapsed="false">
      <c r="B17" s="24" t="s">
        <v>886</v>
      </c>
      <c r="E17" s="24" t="s">
        <v>1142</v>
      </c>
    </row>
    <row r="18" customFormat="false" ht="15" hidden="false" customHeight="false" outlineLevel="0" collapsed="false">
      <c r="B18" s="24" t="s">
        <v>888</v>
      </c>
      <c r="E18" s="24" t="s">
        <v>1143</v>
      </c>
    </row>
    <row r="19" customFormat="false" ht="15" hidden="false" customHeight="false" outlineLevel="0" collapsed="false">
      <c r="B19" s="24" t="s">
        <v>890</v>
      </c>
      <c r="E19" s="24" t="s">
        <v>1144</v>
      </c>
    </row>
    <row r="21" customFormat="false" ht="15" hidden="false" customHeight="false" outlineLevel="0" collapsed="false">
      <c r="B21" s="22" t="s">
        <v>892</v>
      </c>
      <c r="C21" s="23"/>
      <c r="D21" s="23"/>
      <c r="E21" s="23"/>
      <c r="F21" s="23"/>
      <c r="G21" s="23"/>
      <c r="H21" s="23"/>
      <c r="I21" s="23"/>
      <c r="J21" s="23"/>
      <c r="K21" s="23"/>
      <c r="L21" s="23"/>
      <c r="M21" s="23"/>
      <c r="N21" s="23"/>
      <c r="O21" s="23"/>
      <c r="P21" s="23"/>
      <c r="Q21" s="23"/>
      <c r="R21" s="23"/>
      <c r="S21" s="23"/>
    </row>
    <row r="22" customFormat="false" ht="15" hidden="false" customHeight="false" outlineLevel="0" collapsed="false">
      <c r="B22" s="24" t="s">
        <v>893</v>
      </c>
      <c r="C22" s="25" t="s">
        <v>180</v>
      </c>
      <c r="D22" s="25" t="s">
        <v>894</v>
      </c>
      <c r="E22" s="65" t="n">
        <f aca="false">'Global Inputs'!$E$90</f>
        <v>1</v>
      </c>
      <c r="T22" s="5" t="s">
        <v>895</v>
      </c>
    </row>
    <row r="23" customFormat="false" ht="15" hidden="false" customHeight="false" outlineLevel="0" collapsed="false">
      <c r="B23" s="24" t="s">
        <v>896</v>
      </c>
      <c r="C23" s="25" t="s">
        <v>175</v>
      </c>
      <c r="D23" s="25" t="s">
        <v>894</v>
      </c>
      <c r="E23" s="65" t="n">
        <f aca="false">'Global Inputs'!$F$90</f>
        <v>1</v>
      </c>
      <c r="T23" s="5" t="s">
        <v>895</v>
      </c>
    </row>
    <row r="24" customFormat="false" ht="15" hidden="false" customHeight="false" outlineLevel="0" collapsed="false">
      <c r="B24" s="24" t="s">
        <v>897</v>
      </c>
      <c r="C24" s="25" t="s">
        <v>160</v>
      </c>
      <c r="D24" s="25" t="s">
        <v>894</v>
      </c>
      <c r="E24" s="67" t="n">
        <f aca="false">'Global Inputs'!$G$90</f>
        <v>1</v>
      </c>
      <c r="T24" s="5" t="s">
        <v>895</v>
      </c>
    </row>
    <row r="26" customFormat="false" ht="15" hidden="false" customHeight="false" outlineLevel="0" collapsed="false">
      <c r="B26" s="22" t="s">
        <v>898</v>
      </c>
      <c r="C26" s="23"/>
      <c r="D26" s="23"/>
      <c r="E26" s="23"/>
      <c r="F26" s="23"/>
      <c r="G26" s="23"/>
      <c r="H26" s="23"/>
      <c r="I26" s="23"/>
      <c r="J26" s="23"/>
      <c r="K26" s="23"/>
      <c r="L26" s="23"/>
      <c r="M26" s="23"/>
      <c r="N26" s="23"/>
      <c r="O26" s="23"/>
      <c r="P26" s="23"/>
      <c r="Q26" s="23"/>
      <c r="R26" s="23"/>
      <c r="S26" s="23"/>
    </row>
    <row r="27" customFormat="false" ht="15" hidden="false" customHeight="false" outlineLevel="0" collapsed="false">
      <c r="B27" s="24" t="s">
        <v>1145</v>
      </c>
      <c r="C27" s="25" t="s">
        <v>900</v>
      </c>
      <c r="D27" s="28" t="s">
        <v>153</v>
      </c>
      <c r="E27" s="101" t="n">
        <v>1100000</v>
      </c>
      <c r="T27" s="5" t="s">
        <v>1146</v>
      </c>
      <c r="U27" s="5" t="s">
        <v>1147</v>
      </c>
    </row>
    <row r="28" customFormat="false" ht="15" hidden="false" customHeight="false" outlineLevel="0" collapsed="false">
      <c r="B28" s="24" t="s">
        <v>1148</v>
      </c>
      <c r="C28" s="25" t="s">
        <v>160</v>
      </c>
      <c r="D28" s="28" t="s">
        <v>153</v>
      </c>
      <c r="G28" s="35" t="n">
        <v>0</v>
      </c>
      <c r="H28" s="35" t="n">
        <v>0.03</v>
      </c>
      <c r="I28" s="35" t="n">
        <v>0.03</v>
      </c>
      <c r="J28" s="35" t="n">
        <v>0.03</v>
      </c>
      <c r="K28" s="35" t="n">
        <v>0.03</v>
      </c>
      <c r="L28" s="35" t="n">
        <v>0.03</v>
      </c>
      <c r="M28" s="35" t="n">
        <v>0.03</v>
      </c>
      <c r="N28" s="35" t="n">
        <v>0.03</v>
      </c>
      <c r="O28" s="35" t="n">
        <v>0.03</v>
      </c>
      <c r="P28" s="35" t="n">
        <v>0.03</v>
      </c>
      <c r="Q28" s="35" t="n">
        <v>0.03</v>
      </c>
      <c r="R28" s="35" t="n">
        <v>0.03</v>
      </c>
      <c r="S28" s="35" t="n">
        <v>0.03</v>
      </c>
      <c r="T28" s="5" t="s">
        <v>1149</v>
      </c>
    </row>
    <row r="29" customFormat="false" ht="15" hidden="false" customHeight="false" outlineLevel="0" collapsed="false">
      <c r="B29" s="24" t="s">
        <v>1150</v>
      </c>
      <c r="C29" s="25" t="s">
        <v>905</v>
      </c>
      <c r="D29" s="28" t="s">
        <v>153</v>
      </c>
      <c r="E29" s="101" t="n">
        <v>35143.6</v>
      </c>
      <c r="T29" s="5" t="s">
        <v>1151</v>
      </c>
      <c r="U29" s="5" t="s">
        <v>1152</v>
      </c>
    </row>
    <row r="30" customFormat="false" ht="15" hidden="false" customHeight="false" outlineLevel="0" collapsed="false">
      <c r="B30" s="22" t="s">
        <v>918</v>
      </c>
      <c r="C30" s="23"/>
      <c r="D30" s="23"/>
      <c r="E30" s="23"/>
      <c r="F30" s="23"/>
      <c r="G30" s="23"/>
      <c r="H30" s="23"/>
      <c r="I30" s="23"/>
      <c r="J30" s="23"/>
      <c r="K30" s="23"/>
      <c r="L30" s="23"/>
      <c r="M30" s="23"/>
      <c r="N30" s="23"/>
      <c r="O30" s="23"/>
      <c r="P30" s="23"/>
      <c r="Q30" s="23"/>
      <c r="R30" s="23"/>
      <c r="S30" s="23"/>
    </row>
    <row r="31" customFormat="false" ht="15" hidden="false" customHeight="false" outlineLevel="0" collapsed="false">
      <c r="B31" s="24" t="s">
        <v>919</v>
      </c>
      <c r="C31" s="25" t="s">
        <v>170</v>
      </c>
      <c r="D31" s="28" t="s">
        <v>153</v>
      </c>
      <c r="E31" s="45" t="n">
        <v>5.423</v>
      </c>
      <c r="T31" s="5" t="s">
        <v>1153</v>
      </c>
    </row>
    <row r="32" customFormat="false" ht="15" hidden="false" customHeight="false" outlineLevel="0" collapsed="false">
      <c r="B32" s="24" t="s">
        <v>921</v>
      </c>
      <c r="C32" s="25" t="s">
        <v>160</v>
      </c>
      <c r="D32" s="28" t="s">
        <v>153</v>
      </c>
      <c r="G32" s="35" t="n">
        <v>0.035</v>
      </c>
      <c r="H32" s="35" t="n">
        <v>0.035</v>
      </c>
      <c r="I32" s="35" t="n">
        <v>0.035</v>
      </c>
      <c r="J32" s="35" t="n">
        <v>0.035</v>
      </c>
      <c r="K32" s="35" t="n">
        <v>0.035</v>
      </c>
      <c r="L32" s="35" t="n">
        <v>0.035</v>
      </c>
      <c r="M32" s="35" t="n">
        <v>0.035</v>
      </c>
      <c r="N32" s="35" t="n">
        <v>0.035</v>
      </c>
      <c r="O32" s="35" t="n">
        <v>0.035</v>
      </c>
      <c r="P32" s="35" t="n">
        <v>0.035</v>
      </c>
      <c r="Q32" s="35" t="n">
        <v>0.035</v>
      </c>
      <c r="R32" s="35" t="n">
        <v>0.035</v>
      </c>
      <c r="S32" s="35" t="n">
        <v>0.035</v>
      </c>
      <c r="T32" s="5" t="s">
        <v>1154</v>
      </c>
    </row>
    <row r="33" customFormat="false" ht="15" hidden="false" customHeight="false" outlineLevel="0" collapsed="false">
      <c r="B33" s="24" t="s">
        <v>923</v>
      </c>
      <c r="C33" s="25" t="s">
        <v>900</v>
      </c>
      <c r="D33" s="28" t="s">
        <v>153</v>
      </c>
      <c r="E33" s="101" t="n">
        <v>1990024.66</v>
      </c>
      <c r="T33" s="5" t="s">
        <v>1155</v>
      </c>
    </row>
    <row r="34" customFormat="false" ht="15" hidden="false" customHeight="false" outlineLevel="0" collapsed="false">
      <c r="B34" s="24" t="s">
        <v>927</v>
      </c>
      <c r="C34" s="25" t="s">
        <v>170</v>
      </c>
      <c r="D34" s="28" t="s">
        <v>153</v>
      </c>
      <c r="E34" s="45" t="n">
        <v>3.897911782</v>
      </c>
      <c r="T34" s="5" t="s">
        <v>1156</v>
      </c>
    </row>
    <row r="35" customFormat="false" ht="15" hidden="false" customHeight="false" outlineLevel="0" collapsed="false">
      <c r="B35" s="24" t="s">
        <v>929</v>
      </c>
      <c r="C35" s="25" t="s">
        <v>160</v>
      </c>
      <c r="D35" s="28" t="s">
        <v>153</v>
      </c>
      <c r="G35" s="35" t="n">
        <v>0.03</v>
      </c>
      <c r="H35" s="35" t="n">
        <v>0.03</v>
      </c>
      <c r="I35" s="35" t="n">
        <v>0.03</v>
      </c>
      <c r="J35" s="35" t="n">
        <v>0.03</v>
      </c>
      <c r="K35" s="35" t="n">
        <v>0.03</v>
      </c>
      <c r="L35" s="35" t="n">
        <v>0.03</v>
      </c>
      <c r="M35" s="35" t="n">
        <v>0.03</v>
      </c>
      <c r="N35" s="35" t="n">
        <v>0.03</v>
      </c>
      <c r="O35" s="35" t="n">
        <v>0.03</v>
      </c>
      <c r="P35" s="35" t="n">
        <v>0.03</v>
      </c>
      <c r="Q35" s="35" t="n">
        <v>0.03</v>
      </c>
      <c r="R35" s="35" t="n">
        <v>0.03</v>
      </c>
      <c r="S35" s="35" t="n">
        <v>0.03</v>
      </c>
      <c r="T35" s="5" t="s">
        <v>1157</v>
      </c>
    </row>
    <row r="36" customFormat="false" ht="15" hidden="false" customHeight="false" outlineLevel="0" collapsed="false">
      <c r="B36" s="24" t="s">
        <v>935</v>
      </c>
      <c r="C36" s="25" t="s">
        <v>170</v>
      </c>
      <c r="D36" s="28" t="s">
        <v>153</v>
      </c>
      <c r="E36" s="45" t="n">
        <v>2.1487</v>
      </c>
      <c r="T36" s="5" t="s">
        <v>1158</v>
      </c>
    </row>
    <row r="37" customFormat="false" ht="15" hidden="false" customHeight="false" outlineLevel="0" collapsed="false">
      <c r="B37" s="24" t="s">
        <v>937</v>
      </c>
      <c r="C37" s="25" t="s">
        <v>160</v>
      </c>
      <c r="D37" s="28" t="s">
        <v>153</v>
      </c>
      <c r="G37" s="35" t="n">
        <v>0.035</v>
      </c>
      <c r="H37" s="35" t="n">
        <v>0.035</v>
      </c>
      <c r="I37" s="35" t="n">
        <v>0.035</v>
      </c>
      <c r="J37" s="35" t="n">
        <v>0.035</v>
      </c>
      <c r="K37" s="35" t="n">
        <v>0.035</v>
      </c>
      <c r="L37" s="35" t="n">
        <v>0.035</v>
      </c>
      <c r="M37" s="35" t="n">
        <v>0.035</v>
      </c>
      <c r="N37" s="35" t="n">
        <v>0.035</v>
      </c>
      <c r="O37" s="35" t="n">
        <v>0.035</v>
      </c>
      <c r="P37" s="35" t="n">
        <v>0.035</v>
      </c>
      <c r="Q37" s="35" t="n">
        <v>0.035</v>
      </c>
      <c r="R37" s="35" t="n">
        <v>0.035</v>
      </c>
      <c r="S37" s="35" t="n">
        <v>0.035</v>
      </c>
      <c r="T37" s="5" t="s">
        <v>1159</v>
      </c>
    </row>
    <row r="38" customFormat="false" ht="15" hidden="false" customHeight="false" outlineLevel="0" collapsed="false">
      <c r="B38" s="24" t="s">
        <v>939</v>
      </c>
      <c r="C38" s="25" t="s">
        <v>170</v>
      </c>
      <c r="D38" s="28" t="s">
        <v>153</v>
      </c>
      <c r="E38" s="45" t="n">
        <v>1.39158765303</v>
      </c>
      <c r="T38" s="5" t="s">
        <v>1160</v>
      </c>
    </row>
    <row r="39" customFormat="false" ht="15" hidden="false" customHeight="false" outlineLevel="0" collapsed="false">
      <c r="B39" s="24" t="s">
        <v>941</v>
      </c>
      <c r="C39" s="25" t="s">
        <v>160</v>
      </c>
      <c r="D39" s="28" t="s">
        <v>153</v>
      </c>
      <c r="G39" s="35" t="n">
        <v>0.03</v>
      </c>
      <c r="H39" s="35" t="n">
        <v>0.03</v>
      </c>
      <c r="I39" s="35" t="n">
        <v>0.03</v>
      </c>
      <c r="J39" s="35" t="n">
        <v>0.03</v>
      </c>
      <c r="K39" s="35" t="n">
        <v>0.03</v>
      </c>
      <c r="L39" s="35" t="n">
        <v>0.03</v>
      </c>
      <c r="M39" s="35" t="n">
        <v>0.03</v>
      </c>
      <c r="N39" s="35" t="n">
        <v>0.03</v>
      </c>
      <c r="O39" s="35" t="n">
        <v>0.03</v>
      </c>
      <c r="P39" s="35" t="n">
        <v>0.03</v>
      </c>
      <c r="Q39" s="35" t="n">
        <v>0.03</v>
      </c>
      <c r="R39" s="35" t="n">
        <v>0.03</v>
      </c>
      <c r="S39" s="35" t="n">
        <v>0.03</v>
      </c>
      <c r="T39" s="5" t="s">
        <v>1161</v>
      </c>
    </row>
    <row r="40" customFormat="false" ht="15" hidden="false" customHeight="false" outlineLevel="0" collapsed="false">
      <c r="B40" s="24" t="s">
        <v>947</v>
      </c>
      <c r="C40" s="25" t="s">
        <v>160</v>
      </c>
      <c r="D40" s="28" t="s">
        <v>153</v>
      </c>
      <c r="G40" s="103" t="n">
        <v>0.033167495</v>
      </c>
      <c r="H40" s="103" t="n">
        <v>0.033167495</v>
      </c>
      <c r="I40" s="103" t="n">
        <v>0.033167495</v>
      </c>
      <c r="J40" s="103" t="n">
        <v>0.033167495</v>
      </c>
      <c r="K40" s="103" t="n">
        <v>0.033167495</v>
      </c>
      <c r="L40" s="103" t="n">
        <v>0.033167495</v>
      </c>
      <c r="M40" s="103" t="n">
        <v>0.033167495</v>
      </c>
      <c r="N40" s="103" t="n">
        <v>0.033167495</v>
      </c>
      <c r="O40" s="103" t="n">
        <v>0.033167495</v>
      </c>
      <c r="P40" s="103" t="n">
        <v>0.033167495</v>
      </c>
      <c r="Q40" s="103" t="n">
        <v>0.033167495</v>
      </c>
      <c r="R40" s="103" t="n">
        <v>0.033167495</v>
      </c>
      <c r="S40" s="103" t="n">
        <v>0.033167495</v>
      </c>
      <c r="T40" s="5" t="s">
        <v>1162</v>
      </c>
    </row>
    <row r="41" customFormat="false" ht="15" hidden="false" customHeight="false" outlineLevel="0" collapsed="false">
      <c r="B41" s="24" t="s">
        <v>1163</v>
      </c>
      <c r="C41" s="25" t="s">
        <v>170</v>
      </c>
      <c r="D41" s="28" t="s">
        <v>153</v>
      </c>
      <c r="E41" s="45" t="n">
        <v>1.198458964</v>
      </c>
      <c r="T41" s="5" t="s">
        <v>1164</v>
      </c>
    </row>
    <row r="42" customFormat="false" ht="15" hidden="false" customHeight="false" outlineLevel="0" collapsed="false">
      <c r="B42" s="24" t="s">
        <v>1165</v>
      </c>
      <c r="C42" s="25" t="s">
        <v>160</v>
      </c>
      <c r="D42" s="28" t="s">
        <v>153</v>
      </c>
      <c r="G42" s="35" t="n">
        <v>0.03</v>
      </c>
      <c r="H42" s="35" t="n">
        <v>0.03</v>
      </c>
      <c r="I42" s="35" t="n">
        <v>0.03</v>
      </c>
      <c r="J42" s="35" t="n">
        <v>0.03</v>
      </c>
      <c r="K42" s="35" t="n">
        <v>0.03</v>
      </c>
      <c r="L42" s="35" t="n">
        <v>0.03</v>
      </c>
      <c r="M42" s="35" t="n">
        <v>0.03</v>
      </c>
      <c r="N42" s="35" t="n">
        <v>0.03</v>
      </c>
      <c r="O42" s="35" t="n">
        <v>0.03</v>
      </c>
      <c r="P42" s="35" t="n">
        <v>0.03</v>
      </c>
      <c r="Q42" s="35" t="n">
        <v>0.03</v>
      </c>
      <c r="R42" s="35" t="n">
        <v>0.03</v>
      </c>
      <c r="S42" s="35" t="n">
        <v>0.03</v>
      </c>
      <c r="T42" s="5" t="s">
        <v>1166</v>
      </c>
    </row>
    <row r="43" customFormat="false" ht="15" hidden="false" customHeight="false" outlineLevel="0" collapsed="false">
      <c r="B43" s="24" t="s">
        <v>953</v>
      </c>
      <c r="C43" s="25" t="s">
        <v>170</v>
      </c>
      <c r="D43" s="28" t="s">
        <v>153</v>
      </c>
      <c r="E43" s="45" t="n">
        <v>0.659907061</v>
      </c>
      <c r="T43" s="5" t="s">
        <v>1167</v>
      </c>
    </row>
    <row r="44" customFormat="false" ht="15" hidden="false" customHeight="false" outlineLevel="0" collapsed="false">
      <c r="B44" s="24" t="s">
        <v>955</v>
      </c>
      <c r="C44" s="25" t="s">
        <v>160</v>
      </c>
      <c r="D44" s="28" t="s">
        <v>153</v>
      </c>
      <c r="G44" s="35" t="n">
        <v>0.02</v>
      </c>
      <c r="H44" s="35" t="n">
        <v>0.02</v>
      </c>
      <c r="I44" s="35" t="n">
        <v>0.02</v>
      </c>
      <c r="J44" s="35" t="n">
        <v>0.02</v>
      </c>
      <c r="K44" s="35" t="n">
        <v>0.02</v>
      </c>
      <c r="L44" s="35" t="n">
        <v>0.02</v>
      </c>
      <c r="M44" s="35" t="n">
        <v>0.02</v>
      </c>
      <c r="N44" s="35" t="n">
        <v>0.02</v>
      </c>
      <c r="O44" s="35" t="n">
        <v>0.02</v>
      </c>
      <c r="P44" s="35" t="n">
        <v>0.02</v>
      </c>
      <c r="Q44" s="35" t="n">
        <v>0.02</v>
      </c>
      <c r="R44" s="35" t="n">
        <v>0.02</v>
      </c>
      <c r="S44" s="35" t="n">
        <v>0.02</v>
      </c>
      <c r="T44" s="5" t="s">
        <v>1168</v>
      </c>
    </row>
    <row r="45" customFormat="false" ht="15" hidden="false" customHeight="false" outlineLevel="0" collapsed="false">
      <c r="B45" s="24" t="s">
        <v>943</v>
      </c>
      <c r="C45" s="25" t="s">
        <v>170</v>
      </c>
      <c r="D45" s="28" t="s">
        <v>153</v>
      </c>
      <c r="E45" s="45" t="n">
        <v>0.213092265</v>
      </c>
      <c r="T45" s="5" t="s">
        <v>1169</v>
      </c>
    </row>
    <row r="46" customFormat="false" ht="15" hidden="false" customHeight="false" outlineLevel="0" collapsed="false">
      <c r="B46" s="24" t="s">
        <v>945</v>
      </c>
      <c r="C46" s="25" t="s">
        <v>160</v>
      </c>
      <c r="D46" s="28" t="s">
        <v>153</v>
      </c>
      <c r="G46" s="35" t="n">
        <v>0.035</v>
      </c>
      <c r="H46" s="35" t="n">
        <v>0.035</v>
      </c>
      <c r="I46" s="35" t="n">
        <v>0.035</v>
      </c>
      <c r="J46" s="35" t="n">
        <v>0.035</v>
      </c>
      <c r="K46" s="35" t="n">
        <v>0.035</v>
      </c>
      <c r="L46" s="35" t="n">
        <v>0.035</v>
      </c>
      <c r="M46" s="35" t="n">
        <v>0.035</v>
      </c>
      <c r="N46" s="35" t="n">
        <v>0.035</v>
      </c>
      <c r="O46" s="35" t="n">
        <v>0.035</v>
      </c>
      <c r="P46" s="35" t="n">
        <v>0.035</v>
      </c>
      <c r="Q46" s="35" t="n">
        <v>0.035</v>
      </c>
      <c r="R46" s="35" t="n">
        <v>0.035</v>
      </c>
      <c r="S46" s="35" t="n">
        <v>0.035</v>
      </c>
      <c r="T46" s="5" t="s">
        <v>1170</v>
      </c>
    </row>
    <row r="47" customFormat="false" ht="15" hidden="false" customHeight="false" outlineLevel="0" collapsed="false">
      <c r="B47" s="24" t="s">
        <v>949</v>
      </c>
      <c r="C47" s="25" t="s">
        <v>170</v>
      </c>
      <c r="D47" s="28" t="s">
        <v>153</v>
      </c>
      <c r="E47" s="45" t="n">
        <v>0.070646303</v>
      </c>
      <c r="T47" s="5" t="s">
        <v>1171</v>
      </c>
    </row>
    <row r="48" customFormat="false" ht="15" hidden="false" customHeight="false" outlineLevel="0" collapsed="false">
      <c r="B48" s="24" t="s">
        <v>951</v>
      </c>
      <c r="C48" s="25" t="s">
        <v>160</v>
      </c>
      <c r="D48" s="28" t="s">
        <v>153</v>
      </c>
      <c r="G48" s="35" t="n">
        <v>0.035</v>
      </c>
      <c r="H48" s="35" t="n">
        <v>0.035</v>
      </c>
      <c r="I48" s="35" t="n">
        <v>0.035</v>
      </c>
      <c r="J48" s="35" t="n">
        <v>0.035</v>
      </c>
      <c r="K48" s="35" t="n">
        <v>0.035</v>
      </c>
      <c r="L48" s="35" t="n">
        <v>0.035</v>
      </c>
      <c r="M48" s="35" t="n">
        <v>0.035</v>
      </c>
      <c r="N48" s="35" t="n">
        <v>0.035</v>
      </c>
      <c r="O48" s="35" t="n">
        <v>0.035</v>
      </c>
      <c r="P48" s="35" t="n">
        <v>0.035</v>
      </c>
      <c r="Q48" s="35" t="n">
        <v>0.035</v>
      </c>
      <c r="R48" s="35" t="n">
        <v>0.035</v>
      </c>
      <c r="S48" s="35" t="n">
        <v>0.035</v>
      </c>
      <c r="T48" s="5" t="s">
        <v>1172</v>
      </c>
    </row>
    <row r="49" customFormat="false" ht="15" hidden="false" customHeight="false" outlineLevel="0" collapsed="false">
      <c r="B49" s="24" t="s">
        <v>1173</v>
      </c>
      <c r="C49" s="25" t="s">
        <v>170</v>
      </c>
      <c r="D49" s="28" t="s">
        <v>153</v>
      </c>
      <c r="E49" s="45" t="n">
        <v>0.0025</v>
      </c>
      <c r="T49" s="5" t="s">
        <v>1174</v>
      </c>
    </row>
    <row r="50" customFormat="false" ht="15" hidden="false" customHeight="false" outlineLevel="0" collapsed="false">
      <c r="B50" s="24" t="s">
        <v>1175</v>
      </c>
      <c r="C50" s="25" t="s">
        <v>160</v>
      </c>
      <c r="D50" s="28" t="s">
        <v>153</v>
      </c>
      <c r="G50" s="35" t="n">
        <v>0.02</v>
      </c>
      <c r="H50" s="35" t="n">
        <v>0.02</v>
      </c>
      <c r="I50" s="35" t="n">
        <v>0.02</v>
      </c>
      <c r="J50" s="35" t="n">
        <v>0.02</v>
      </c>
      <c r="K50" s="35" t="n">
        <v>0.02</v>
      </c>
      <c r="L50" s="35" t="n">
        <v>0.02</v>
      </c>
      <c r="M50" s="35" t="n">
        <v>0.02</v>
      </c>
      <c r="N50" s="35" t="n">
        <v>0.02</v>
      </c>
      <c r="O50" s="35" t="n">
        <v>0.02</v>
      </c>
      <c r="P50" s="35" t="n">
        <v>0.02</v>
      </c>
      <c r="Q50" s="35" t="n">
        <v>0.02</v>
      </c>
      <c r="R50" s="35" t="n">
        <v>0.02</v>
      </c>
      <c r="S50" s="35" t="n">
        <v>0.02</v>
      </c>
      <c r="T50" s="5" t="s">
        <v>1176</v>
      </c>
    </row>
    <row r="51" customFormat="false" ht="15" hidden="false" customHeight="false" outlineLevel="0" collapsed="false">
      <c r="B51" s="22" t="s">
        <v>957</v>
      </c>
      <c r="C51" s="23"/>
      <c r="D51" s="23"/>
      <c r="E51" s="23"/>
      <c r="F51" s="23"/>
      <c r="G51" s="23"/>
      <c r="H51" s="23"/>
      <c r="I51" s="23"/>
      <c r="J51" s="23"/>
      <c r="K51" s="23"/>
      <c r="L51" s="23"/>
      <c r="M51" s="23"/>
      <c r="N51" s="23"/>
      <c r="O51" s="23"/>
      <c r="P51" s="23"/>
      <c r="Q51" s="23"/>
      <c r="R51" s="23"/>
      <c r="S51" s="23"/>
    </row>
    <row r="52" customFormat="false" ht="15" hidden="false" customHeight="false" outlineLevel="0" collapsed="false">
      <c r="B52" s="24" t="s">
        <v>958</v>
      </c>
      <c r="C52" s="25" t="s">
        <v>170</v>
      </c>
      <c r="D52" s="28" t="s">
        <v>153</v>
      </c>
      <c r="E52" s="45" t="n">
        <v>40.8292</v>
      </c>
      <c r="T52" s="5" t="s">
        <v>1177</v>
      </c>
      <c r="U52" s="5" t="s">
        <v>960</v>
      </c>
    </row>
    <row r="53" customFormat="false" ht="15" hidden="false" customHeight="false" outlineLevel="0" collapsed="false">
      <c r="B53" s="24" t="s">
        <v>961</v>
      </c>
      <c r="C53" s="25" t="s">
        <v>170</v>
      </c>
      <c r="D53" s="28" t="s">
        <v>153</v>
      </c>
      <c r="G53" s="45" t="n">
        <v>0</v>
      </c>
      <c r="H53" s="45" t="n">
        <v>0</v>
      </c>
      <c r="I53" s="45" t="n">
        <v>1</v>
      </c>
      <c r="J53" s="45" t="n">
        <v>1</v>
      </c>
      <c r="K53" s="45" t="n">
        <v>1</v>
      </c>
      <c r="L53" s="45" t="n">
        <v>2</v>
      </c>
      <c r="M53" s="45" t="n">
        <v>2</v>
      </c>
      <c r="N53" s="45" t="n">
        <v>2</v>
      </c>
      <c r="O53" s="45" t="n">
        <v>3</v>
      </c>
      <c r="P53" s="45" t="n">
        <v>3</v>
      </c>
      <c r="Q53" s="45" t="n">
        <v>3</v>
      </c>
      <c r="R53" s="45" t="n">
        <v>3</v>
      </c>
      <c r="S53" s="45" t="n">
        <v>3</v>
      </c>
      <c r="T53" s="5" t="s">
        <v>1178</v>
      </c>
      <c r="U53" s="5" t="s">
        <v>963</v>
      </c>
    </row>
    <row r="54" customFormat="false" ht="15" hidden="false" customHeight="false" outlineLevel="0" collapsed="false">
      <c r="B54" s="24" t="s">
        <v>964</v>
      </c>
      <c r="C54" s="25" t="s">
        <v>170</v>
      </c>
      <c r="D54" s="28" t="s">
        <v>153</v>
      </c>
      <c r="E54" s="45" t="n">
        <v>0.127107</v>
      </c>
      <c r="T54" s="5" t="s">
        <v>1179</v>
      </c>
    </row>
    <row r="55" customFormat="false" ht="15" hidden="false" customHeight="false" outlineLevel="0" collapsed="false">
      <c r="B55" s="24" t="s">
        <v>966</v>
      </c>
      <c r="C55" s="25" t="s">
        <v>160</v>
      </c>
      <c r="D55" s="28" t="s">
        <v>153</v>
      </c>
      <c r="G55" s="35" t="n">
        <v>0.02</v>
      </c>
      <c r="H55" s="35" t="n">
        <v>0.02</v>
      </c>
      <c r="I55" s="35" t="n">
        <v>0.02</v>
      </c>
      <c r="J55" s="35" t="n">
        <v>0.02</v>
      </c>
      <c r="K55" s="35" t="n">
        <v>0.02</v>
      </c>
      <c r="L55" s="35" t="n">
        <v>0.02</v>
      </c>
      <c r="M55" s="35" t="n">
        <v>0.02</v>
      </c>
      <c r="N55" s="35" t="n">
        <v>0.02</v>
      </c>
      <c r="O55" s="35" t="n">
        <v>0.02</v>
      </c>
      <c r="P55" s="35" t="n">
        <v>0.02</v>
      </c>
      <c r="Q55" s="35" t="n">
        <v>0.02</v>
      </c>
      <c r="R55" s="35" t="n">
        <v>0.02</v>
      </c>
      <c r="S55" s="35" t="n">
        <v>0.02</v>
      </c>
      <c r="T55" s="5" t="s">
        <v>1180</v>
      </c>
    </row>
    <row r="56" customFormat="false" ht="15" hidden="false" customHeight="false" outlineLevel="0" collapsed="false">
      <c r="B56" s="22" t="s">
        <v>968</v>
      </c>
      <c r="C56" s="23"/>
      <c r="D56" s="23"/>
      <c r="E56" s="23"/>
      <c r="F56" s="23"/>
      <c r="G56" s="23"/>
      <c r="H56" s="23"/>
      <c r="I56" s="23"/>
      <c r="J56" s="23"/>
      <c r="K56" s="23"/>
      <c r="L56" s="23"/>
      <c r="M56" s="23"/>
      <c r="N56" s="23"/>
      <c r="O56" s="23"/>
      <c r="P56" s="23"/>
      <c r="Q56" s="23"/>
      <c r="R56" s="23"/>
      <c r="S56" s="23"/>
    </row>
    <row r="57" customFormat="false" ht="15" hidden="false" customHeight="false" outlineLevel="0" collapsed="false">
      <c r="B57" s="24" t="s">
        <v>973</v>
      </c>
      <c r="C57" s="25" t="s">
        <v>170</v>
      </c>
      <c r="D57" s="28" t="s">
        <v>153</v>
      </c>
      <c r="E57" s="45" t="n">
        <v>4.2735</v>
      </c>
      <c r="T57" s="5" t="s">
        <v>1181</v>
      </c>
    </row>
    <row r="58" customFormat="false" ht="15" hidden="false" customHeight="false" outlineLevel="0" collapsed="false">
      <c r="B58" s="24" t="s">
        <v>975</v>
      </c>
      <c r="C58" s="25" t="s">
        <v>160</v>
      </c>
      <c r="D58" s="28" t="s">
        <v>153</v>
      </c>
      <c r="G58" s="35" t="n">
        <v>0.035</v>
      </c>
      <c r="H58" s="35" t="n">
        <v>0.035</v>
      </c>
      <c r="I58" s="35" t="n">
        <v>0.035</v>
      </c>
      <c r="J58" s="35" t="n">
        <v>0.035</v>
      </c>
      <c r="K58" s="35" t="n">
        <v>0.035</v>
      </c>
      <c r="L58" s="35" t="n">
        <v>0.035</v>
      </c>
      <c r="M58" s="35" t="n">
        <v>0.035</v>
      </c>
      <c r="N58" s="35" t="n">
        <v>0.035</v>
      </c>
      <c r="O58" s="35" t="n">
        <v>0.035</v>
      </c>
      <c r="P58" s="35" t="n">
        <v>0.035</v>
      </c>
      <c r="Q58" s="35" t="n">
        <v>0.035</v>
      </c>
      <c r="R58" s="35" t="n">
        <v>0.035</v>
      </c>
      <c r="S58" s="35" t="n">
        <v>0.035</v>
      </c>
      <c r="T58" s="5" t="s">
        <v>1182</v>
      </c>
    </row>
    <row r="59" customFormat="false" ht="15" hidden="false" customHeight="false" outlineLevel="0" collapsed="false">
      <c r="B59" s="24" t="s">
        <v>969</v>
      </c>
      <c r="C59" s="25" t="s">
        <v>170</v>
      </c>
      <c r="D59" s="28" t="s">
        <v>153</v>
      </c>
      <c r="E59" s="45" t="n">
        <v>3.07751</v>
      </c>
      <c r="T59" s="5" t="s">
        <v>1183</v>
      </c>
    </row>
    <row r="60" customFormat="false" ht="15" hidden="false" customHeight="false" outlineLevel="0" collapsed="false">
      <c r="B60" s="24" t="s">
        <v>971</v>
      </c>
      <c r="C60" s="25" t="s">
        <v>160</v>
      </c>
      <c r="D60" s="28" t="s">
        <v>153</v>
      </c>
      <c r="G60" s="35" t="n">
        <v>0.03</v>
      </c>
      <c r="H60" s="35" t="n">
        <v>0.03</v>
      </c>
      <c r="I60" s="35" t="n">
        <v>0.03</v>
      </c>
      <c r="J60" s="35" t="n">
        <v>0.03</v>
      </c>
      <c r="K60" s="35" t="n">
        <v>0.03</v>
      </c>
      <c r="L60" s="35" t="n">
        <v>0.03</v>
      </c>
      <c r="M60" s="35" t="n">
        <v>0.03</v>
      </c>
      <c r="N60" s="35" t="n">
        <v>0.03</v>
      </c>
      <c r="O60" s="35" t="n">
        <v>0.03</v>
      </c>
      <c r="P60" s="35" t="n">
        <v>0.03</v>
      </c>
      <c r="Q60" s="35" t="n">
        <v>0.03</v>
      </c>
      <c r="R60" s="35" t="n">
        <v>0.03</v>
      </c>
      <c r="S60" s="35" t="n">
        <v>0.03</v>
      </c>
      <c r="T60" s="5" t="s">
        <v>1184</v>
      </c>
    </row>
    <row r="61" customFormat="false" ht="15" hidden="false" customHeight="false" outlineLevel="0" collapsed="false">
      <c r="B61" s="24" t="s">
        <v>1001</v>
      </c>
      <c r="C61" s="25" t="s">
        <v>170</v>
      </c>
      <c r="D61" s="28" t="s">
        <v>153</v>
      </c>
      <c r="E61" s="45" t="n">
        <v>0.434634</v>
      </c>
      <c r="T61" s="5" t="s">
        <v>1185</v>
      </c>
    </row>
    <row r="62" customFormat="false" ht="15" hidden="false" customHeight="false" outlineLevel="0" collapsed="false">
      <c r="B62" s="24" t="s">
        <v>1003</v>
      </c>
      <c r="C62" s="25" t="s">
        <v>160</v>
      </c>
      <c r="D62" s="28" t="s">
        <v>153</v>
      </c>
      <c r="G62" s="35" t="n">
        <v>0.03</v>
      </c>
      <c r="H62" s="35" t="n">
        <v>0.03</v>
      </c>
      <c r="I62" s="35" t="n">
        <v>0.03</v>
      </c>
      <c r="J62" s="35" t="n">
        <v>0.03</v>
      </c>
      <c r="K62" s="35" t="n">
        <v>0.03</v>
      </c>
      <c r="L62" s="35" t="n">
        <v>0.03</v>
      </c>
      <c r="M62" s="35" t="n">
        <v>0.03</v>
      </c>
      <c r="N62" s="35" t="n">
        <v>0.03</v>
      </c>
      <c r="O62" s="35" t="n">
        <v>0.03</v>
      </c>
      <c r="P62" s="35" t="n">
        <v>0.03</v>
      </c>
      <c r="Q62" s="35" t="n">
        <v>0.03</v>
      </c>
      <c r="R62" s="35" t="n">
        <v>0.03</v>
      </c>
      <c r="S62" s="35" t="n">
        <v>0.03</v>
      </c>
      <c r="T62" s="5" t="s">
        <v>1186</v>
      </c>
    </row>
    <row r="63" customFormat="false" ht="15" hidden="false" customHeight="false" outlineLevel="0" collapsed="false">
      <c r="B63" s="24" t="s">
        <v>989</v>
      </c>
      <c r="C63" s="25" t="s">
        <v>170</v>
      </c>
      <c r="D63" s="28" t="s">
        <v>153</v>
      </c>
      <c r="E63" s="45" t="n">
        <v>0.386327</v>
      </c>
      <c r="T63" s="5" t="s">
        <v>1187</v>
      </c>
    </row>
    <row r="64" customFormat="false" ht="15" hidden="false" customHeight="false" outlineLevel="0" collapsed="false">
      <c r="B64" s="24" t="s">
        <v>991</v>
      </c>
      <c r="C64" s="25" t="s">
        <v>160</v>
      </c>
      <c r="D64" s="28" t="s">
        <v>153</v>
      </c>
      <c r="G64" s="35" t="n">
        <v>0.03</v>
      </c>
      <c r="H64" s="35" t="n">
        <v>0.03</v>
      </c>
      <c r="I64" s="35" t="n">
        <v>0.03</v>
      </c>
      <c r="J64" s="35" t="n">
        <v>0.03</v>
      </c>
      <c r="K64" s="35" t="n">
        <v>0.03</v>
      </c>
      <c r="L64" s="35" t="n">
        <v>0.03</v>
      </c>
      <c r="M64" s="35" t="n">
        <v>0.03</v>
      </c>
      <c r="N64" s="35" t="n">
        <v>0.03</v>
      </c>
      <c r="O64" s="35" t="n">
        <v>0.03</v>
      </c>
      <c r="P64" s="35" t="n">
        <v>0.03</v>
      </c>
      <c r="Q64" s="35" t="n">
        <v>0.03</v>
      </c>
      <c r="R64" s="35" t="n">
        <v>0.03</v>
      </c>
      <c r="S64" s="35" t="n">
        <v>0.03</v>
      </c>
      <c r="T64" s="5" t="s">
        <v>1188</v>
      </c>
    </row>
    <row r="65" customFormat="false" ht="15" hidden="false" customHeight="false" outlineLevel="0" collapsed="false">
      <c r="B65" s="24" t="s">
        <v>977</v>
      </c>
      <c r="C65" s="25" t="s">
        <v>170</v>
      </c>
      <c r="D65" s="28" t="s">
        <v>153</v>
      </c>
      <c r="E65" s="45" t="n">
        <v>0.35</v>
      </c>
      <c r="T65" s="5" t="s">
        <v>1189</v>
      </c>
    </row>
    <row r="66" customFormat="false" ht="15" hidden="false" customHeight="false" outlineLevel="0" collapsed="false">
      <c r="B66" s="24" t="s">
        <v>979</v>
      </c>
      <c r="C66" s="25" t="s">
        <v>160</v>
      </c>
      <c r="D66" s="28" t="s">
        <v>153</v>
      </c>
      <c r="G66" s="35" t="n">
        <v>0.03</v>
      </c>
      <c r="H66" s="35" t="n">
        <v>0.03</v>
      </c>
      <c r="I66" s="35" t="n">
        <v>0.03</v>
      </c>
      <c r="J66" s="35" t="n">
        <v>0.03</v>
      </c>
      <c r="K66" s="35" t="n">
        <v>0.03</v>
      </c>
      <c r="L66" s="35" t="n">
        <v>0.03</v>
      </c>
      <c r="M66" s="35" t="n">
        <v>0.03</v>
      </c>
      <c r="N66" s="35" t="n">
        <v>0.03</v>
      </c>
      <c r="O66" s="35" t="n">
        <v>0.03</v>
      </c>
      <c r="P66" s="35" t="n">
        <v>0.03</v>
      </c>
      <c r="Q66" s="35" t="n">
        <v>0.03</v>
      </c>
      <c r="R66" s="35" t="n">
        <v>0.03</v>
      </c>
      <c r="S66" s="35" t="n">
        <v>0.03</v>
      </c>
      <c r="T66" s="5" t="s">
        <v>1190</v>
      </c>
    </row>
    <row r="67" customFormat="false" ht="15" hidden="false" customHeight="false" outlineLevel="0" collapsed="false">
      <c r="B67" s="24" t="s">
        <v>981</v>
      </c>
      <c r="C67" s="25" t="s">
        <v>170</v>
      </c>
      <c r="D67" s="28" t="s">
        <v>153</v>
      </c>
      <c r="E67" s="45" t="n">
        <v>0.245788</v>
      </c>
      <c r="T67" s="5" t="s">
        <v>1191</v>
      </c>
    </row>
    <row r="68" customFormat="false" ht="15" hidden="false" customHeight="false" outlineLevel="0" collapsed="false">
      <c r="B68" s="24" t="s">
        <v>983</v>
      </c>
      <c r="C68" s="25" t="s">
        <v>160</v>
      </c>
      <c r="D68" s="28" t="s">
        <v>153</v>
      </c>
      <c r="G68" s="35" t="n">
        <v>0.03</v>
      </c>
      <c r="H68" s="35" t="n">
        <v>0.03</v>
      </c>
      <c r="I68" s="35" t="n">
        <v>0.03</v>
      </c>
      <c r="J68" s="35" t="n">
        <v>0.03</v>
      </c>
      <c r="K68" s="35" t="n">
        <v>0.03</v>
      </c>
      <c r="L68" s="35" t="n">
        <v>0.03</v>
      </c>
      <c r="M68" s="35" t="n">
        <v>0.03</v>
      </c>
      <c r="N68" s="35" t="n">
        <v>0.03</v>
      </c>
      <c r="O68" s="35" t="n">
        <v>0.03</v>
      </c>
      <c r="P68" s="35" t="n">
        <v>0.03</v>
      </c>
      <c r="Q68" s="35" t="n">
        <v>0.03</v>
      </c>
      <c r="R68" s="35" t="n">
        <v>0.03</v>
      </c>
      <c r="S68" s="35" t="n">
        <v>0.03</v>
      </c>
      <c r="T68" s="5" t="s">
        <v>1192</v>
      </c>
    </row>
    <row r="69" customFormat="false" ht="15" hidden="false" customHeight="false" outlineLevel="0" collapsed="false">
      <c r="B69" s="24" t="s">
        <v>1005</v>
      </c>
      <c r="C69" s="25" t="s">
        <v>170</v>
      </c>
      <c r="D69" s="28" t="s">
        <v>153</v>
      </c>
      <c r="E69" s="45" t="n">
        <v>0.0474447</v>
      </c>
      <c r="T69" s="5" t="s">
        <v>1193</v>
      </c>
    </row>
    <row r="70" customFormat="false" ht="15" hidden="false" customHeight="false" outlineLevel="0" collapsed="false">
      <c r="B70" s="24" t="s">
        <v>1007</v>
      </c>
      <c r="C70" s="25" t="s">
        <v>160</v>
      </c>
      <c r="D70" s="28" t="s">
        <v>153</v>
      </c>
      <c r="G70" s="35" t="n">
        <v>0.03</v>
      </c>
      <c r="H70" s="35" t="n">
        <v>0.03</v>
      </c>
      <c r="I70" s="35" t="n">
        <v>0.03</v>
      </c>
      <c r="J70" s="35" t="n">
        <v>0.03</v>
      </c>
      <c r="K70" s="35" t="n">
        <v>0.03</v>
      </c>
      <c r="L70" s="35" t="n">
        <v>0.03</v>
      </c>
      <c r="M70" s="35" t="n">
        <v>0.03</v>
      </c>
      <c r="N70" s="35" t="n">
        <v>0.03</v>
      </c>
      <c r="O70" s="35" t="n">
        <v>0.03</v>
      </c>
      <c r="P70" s="35" t="n">
        <v>0.03</v>
      </c>
      <c r="Q70" s="35" t="n">
        <v>0.03</v>
      </c>
      <c r="R70" s="35" t="n">
        <v>0.03</v>
      </c>
      <c r="S70" s="35" t="n">
        <v>0.03</v>
      </c>
      <c r="T70" s="5" t="s">
        <v>1194</v>
      </c>
    </row>
    <row r="71" customFormat="false" ht="15" hidden="false" customHeight="false" outlineLevel="0" collapsed="false">
      <c r="B71" s="24" t="s">
        <v>985</v>
      </c>
      <c r="C71" s="25" t="s">
        <v>170</v>
      </c>
      <c r="D71" s="28" t="s">
        <v>153</v>
      </c>
      <c r="E71" s="45" t="n">
        <v>0.0206404</v>
      </c>
      <c r="T71" s="5" t="s">
        <v>1195</v>
      </c>
    </row>
    <row r="72" customFormat="false" ht="15" hidden="false" customHeight="false" outlineLevel="0" collapsed="false">
      <c r="B72" s="24" t="s">
        <v>987</v>
      </c>
      <c r="C72" s="25" t="s">
        <v>160</v>
      </c>
      <c r="D72" s="28" t="s">
        <v>153</v>
      </c>
      <c r="G72" s="35" t="n">
        <v>0.02</v>
      </c>
      <c r="H72" s="35" t="n">
        <v>0.02</v>
      </c>
      <c r="I72" s="35" t="n">
        <v>0.02</v>
      </c>
      <c r="J72" s="35" t="n">
        <v>0.02</v>
      </c>
      <c r="K72" s="35" t="n">
        <v>0.02</v>
      </c>
      <c r="L72" s="35" t="n">
        <v>0.02</v>
      </c>
      <c r="M72" s="35" t="n">
        <v>0.02</v>
      </c>
      <c r="N72" s="35" t="n">
        <v>0.02</v>
      </c>
      <c r="O72" s="35" t="n">
        <v>0.02</v>
      </c>
      <c r="P72" s="35" t="n">
        <v>0.02</v>
      </c>
      <c r="Q72" s="35" t="n">
        <v>0.02</v>
      </c>
      <c r="R72" s="35" t="n">
        <v>0.02</v>
      </c>
      <c r="S72" s="35" t="n">
        <v>0.02</v>
      </c>
      <c r="T72" s="5" t="s">
        <v>1196</v>
      </c>
    </row>
    <row r="73" customFormat="false" ht="15" hidden="false" customHeight="false" outlineLevel="0" collapsed="false">
      <c r="B73" s="24" t="s">
        <v>997</v>
      </c>
      <c r="C73" s="25" t="s">
        <v>170</v>
      </c>
      <c r="D73" s="28" t="s">
        <v>153</v>
      </c>
      <c r="E73" s="45" t="n">
        <v>0.0170842</v>
      </c>
      <c r="T73" s="5" t="s">
        <v>1197</v>
      </c>
    </row>
    <row r="74" customFormat="false" ht="15" hidden="false" customHeight="false" outlineLevel="0" collapsed="false">
      <c r="B74" s="24" t="s">
        <v>999</v>
      </c>
      <c r="C74" s="25" t="s">
        <v>160</v>
      </c>
      <c r="D74" s="28" t="s">
        <v>153</v>
      </c>
      <c r="G74" s="35" t="n">
        <v>0.02</v>
      </c>
      <c r="H74" s="35" t="n">
        <v>0.02</v>
      </c>
      <c r="I74" s="35" t="n">
        <v>0.02</v>
      </c>
      <c r="J74" s="35" t="n">
        <v>0.02</v>
      </c>
      <c r="K74" s="35" t="n">
        <v>0.02</v>
      </c>
      <c r="L74" s="35" t="n">
        <v>0.02</v>
      </c>
      <c r="M74" s="35" t="n">
        <v>0.02</v>
      </c>
      <c r="N74" s="35" t="n">
        <v>0.02</v>
      </c>
      <c r="O74" s="35" t="n">
        <v>0.02</v>
      </c>
      <c r="P74" s="35" t="n">
        <v>0.02</v>
      </c>
      <c r="Q74" s="35" t="n">
        <v>0.02</v>
      </c>
      <c r="R74" s="35" t="n">
        <v>0.02</v>
      </c>
      <c r="S74" s="35" t="n">
        <v>0.02</v>
      </c>
      <c r="T74" s="5" t="s">
        <v>1198</v>
      </c>
    </row>
    <row r="75" customFormat="false" ht="15" hidden="false" customHeight="false" outlineLevel="0" collapsed="false">
      <c r="B75" s="24" t="s">
        <v>993</v>
      </c>
      <c r="C75" s="25" t="s">
        <v>170</v>
      </c>
      <c r="D75" s="28" t="s">
        <v>153</v>
      </c>
      <c r="E75" s="45" t="n">
        <v>0.0129</v>
      </c>
      <c r="T75" s="5" t="s">
        <v>1199</v>
      </c>
    </row>
    <row r="76" customFormat="false" ht="15" hidden="false" customHeight="false" outlineLevel="0" collapsed="false">
      <c r="B76" s="24" t="s">
        <v>995</v>
      </c>
      <c r="C76" s="25" t="s">
        <v>160</v>
      </c>
      <c r="D76" s="28" t="s">
        <v>153</v>
      </c>
      <c r="G76" s="35" t="n">
        <v>0.02</v>
      </c>
      <c r="H76" s="35" t="n">
        <v>0.02</v>
      </c>
      <c r="I76" s="35" t="n">
        <v>0.02</v>
      </c>
      <c r="J76" s="35" t="n">
        <v>0.02</v>
      </c>
      <c r="K76" s="35" t="n">
        <v>0.02</v>
      </c>
      <c r="L76" s="35" t="n">
        <v>0.02</v>
      </c>
      <c r="M76" s="35" t="n">
        <v>0.02</v>
      </c>
      <c r="N76" s="35" t="n">
        <v>0.02</v>
      </c>
      <c r="O76" s="35" t="n">
        <v>0.02</v>
      </c>
      <c r="P76" s="35" t="n">
        <v>0.02</v>
      </c>
      <c r="Q76" s="35" t="n">
        <v>0.02</v>
      </c>
      <c r="R76" s="35" t="n">
        <v>0.02</v>
      </c>
      <c r="S76" s="35" t="n">
        <v>0.02</v>
      </c>
      <c r="T76" s="5" t="s">
        <v>1200</v>
      </c>
    </row>
  </sheetData>
  <hyperlinks>
    <hyperlink ref="C3" r:id="rId1" location="'E2%20CigadingExist%20Input'!A1" display="Input"/>
    <hyperlink ref="D3" r:id="rId2" location="'E2%20CigadingExist%20Calc'!A1" display="Calc"/>
    <hyperlink ref="E3" r:id="rId3" location="'E2%20CigadingExist%20Output'!A1" display="Output"/>
    <hyperlink ref="F3" r:id="rId4" location="'Navigation'!A1" display="Navigation"/>
    <hyperlink ref="G3" r:id="rId5" location="'Global%20Inputs'!A1" display="Global Inputs"/>
    <hyperlink ref="H3" r:id="rId6" location="'Project%20Summary'!A1" display="Project Summary"/>
    <hyperlink ref="I3" r:id="rId7" location="'Funding%20Requirement'!A1" display="Funding"/>
    <hyperlink ref="J3" r:id="rId8" location="'FSL%20Financials%20—%20Without%20BUMN'!A1" display="FSL w/o BUMN"/>
    <hyperlink ref="K3" r:id="rId9" location="'FSL%20Financials%20—%20With%20BUMN'!A1" display="FSL w/ BUMN"/>
    <hyperlink ref="L3" r:id="rId10" location="'Valuation%20—%20Without%20BUMN'!A1" display="Val w/o BUMN"/>
    <hyperlink ref="M3" r:id="rId11" location="'Valuation%20—%20With%20BUMN'!A1" display="Val w/ BUMN"/>
    <hyperlink ref="N3" r:id="rId12" location="'Checks'!A1" display="Checks"/>
    <hyperlink ref="O3" r:id="rId13" location="'Model%20Flow'!A1" display="Model Flow"/>
  </hyperlink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BFBF"/>
    <pageSetUpPr fitToPage="true"/>
  </sheetPr>
  <dimension ref="B1:U9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5" ySplit="9" topLeftCell="F10" activePane="bottomRight" state="frozen"/>
      <selection pane="topLeft" activeCell="A1" activeCellId="0" sqref="A1"/>
      <selection pane="topRight" activeCell="F1" activeCellId="0" sqref="F1"/>
      <selection pane="bottomLeft" activeCell="A10" activeCellId="0" sqref="A10"/>
      <selection pane="bottomRigh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66"/>
    <col collapsed="false" customWidth="true" hidden="false" outlineLevel="0" max="3" min="3" style="0" width="11"/>
    <col collapsed="false" customWidth="true" hidden="false" outlineLevel="0" max="4" min="4" style="0" width="12"/>
    <col collapsed="false" customWidth="true" hidden="false" outlineLevel="0" max="5" min="5" style="0" width="13"/>
    <col collapsed="false" customWidth="true" hidden="false" outlineLevel="0" max="19" min="6" style="0" width="11.5"/>
    <col collapsed="false" customWidth="true" hidden="false" outlineLevel="0" max="20" min="20" style="0" width="40"/>
    <col collapsed="false" customWidth="true" hidden="false" outlineLevel="0" max="21" min="21" style="0" width="48"/>
  </cols>
  <sheetData>
    <row r="1" customFormat="false" ht="21.75" hidden="false" customHeight="true" outlineLevel="0" collapsed="false">
      <c r="B1" s="1" t="s">
        <v>1201</v>
      </c>
    </row>
    <row r="2" customFormat="false" ht="15" hidden="false" customHeight="false" outlineLevel="0" collapsed="false">
      <c r="B2" s="2" t="s">
        <v>1014</v>
      </c>
    </row>
    <row r="3" customFormat="false" ht="15" hidden="false" customHeight="false" outlineLevel="0" collapsed="false">
      <c r="B3" s="5" t="s">
        <v>112</v>
      </c>
      <c r="C3" s="17" t="s">
        <v>27</v>
      </c>
      <c r="D3" s="17" t="s">
        <v>28</v>
      </c>
      <c r="E3" s="17" t="s">
        <v>29</v>
      </c>
      <c r="F3" s="17" t="s">
        <v>113</v>
      </c>
      <c r="G3" s="17" t="s">
        <v>5</v>
      </c>
      <c r="H3" s="17" t="s">
        <v>7</v>
      </c>
      <c r="I3" s="17" t="s">
        <v>114</v>
      </c>
      <c r="J3" s="17" t="s">
        <v>115</v>
      </c>
      <c r="K3" s="17" t="s">
        <v>116</v>
      </c>
      <c r="L3" s="17" t="s">
        <v>117</v>
      </c>
      <c r="M3" s="17" t="s">
        <v>118</v>
      </c>
      <c r="N3" s="17" t="s">
        <v>21</v>
      </c>
      <c r="O3" s="17" t="s">
        <v>3</v>
      </c>
    </row>
    <row r="5" customFormat="false" ht="15" hidden="false" customHeight="false" outlineLevel="0" collapsed="false">
      <c r="B5" s="6" t="s">
        <v>119</v>
      </c>
      <c r="C5" s="6" t="s">
        <v>120</v>
      </c>
      <c r="D5" s="6" t="s">
        <v>121</v>
      </c>
      <c r="E5" s="6" t="s">
        <v>122</v>
      </c>
      <c r="F5" s="18" t="n">
        <f aca="false">'Global Inputs'!F$5</f>
        <v>2023</v>
      </c>
      <c r="G5" s="18" t="n">
        <f aca="false">'Global Inputs'!G$5</f>
        <v>2024</v>
      </c>
      <c r="H5" s="18" t="n">
        <f aca="false">'Global Inputs'!H$5</f>
        <v>2025</v>
      </c>
      <c r="I5" s="18" t="n">
        <f aca="false">'Global Inputs'!I$5</f>
        <v>2026</v>
      </c>
      <c r="J5" s="18" t="n">
        <f aca="false">'Global Inputs'!J$5</f>
        <v>2027</v>
      </c>
      <c r="K5" s="18" t="n">
        <f aca="false">'Global Inputs'!K$5</f>
        <v>2028</v>
      </c>
      <c r="L5" s="18" t="n">
        <f aca="false">'Global Inputs'!L$5</f>
        <v>2029</v>
      </c>
      <c r="M5" s="18" t="n">
        <f aca="false">'Global Inputs'!M$5</f>
        <v>2030</v>
      </c>
      <c r="N5" s="18" t="n">
        <f aca="false">'Global Inputs'!N$5</f>
        <v>2031</v>
      </c>
      <c r="O5" s="18" t="n">
        <f aca="false">'Global Inputs'!O$5</f>
        <v>2032</v>
      </c>
      <c r="P5" s="18" t="n">
        <f aca="false">'Global Inputs'!P$5</f>
        <v>2033</v>
      </c>
      <c r="Q5" s="18" t="n">
        <f aca="false">'Global Inputs'!Q$5</f>
        <v>2034</v>
      </c>
      <c r="R5" s="18" t="n">
        <f aca="false">'Global Inputs'!R$5</f>
        <v>2035</v>
      </c>
      <c r="S5" s="18" t="n">
        <f aca="false">'Global Inputs'!S$5</f>
        <v>2036</v>
      </c>
      <c r="T5" s="6" t="s">
        <v>123</v>
      </c>
      <c r="U5" s="6" t="s">
        <v>124</v>
      </c>
    </row>
    <row r="6" customFormat="false" ht="15" hidden="false" customHeight="false" outlineLevel="0" collapsed="false">
      <c r="B6" s="19" t="s">
        <v>125</v>
      </c>
      <c r="F6" s="20" t="n">
        <f aca="false">'Global Inputs'!F$6</f>
        <v>45291</v>
      </c>
      <c r="G6" s="20" t="n">
        <f aca="false">'Global Inputs'!G$6</f>
        <v>45657</v>
      </c>
      <c r="H6" s="20" t="n">
        <f aca="false">'Global Inputs'!H$6</f>
        <v>46022</v>
      </c>
      <c r="I6" s="20" t="n">
        <f aca="false">'Global Inputs'!I$6</f>
        <v>46387</v>
      </c>
      <c r="J6" s="20" t="n">
        <f aca="false">'Global Inputs'!J$6</f>
        <v>46752</v>
      </c>
      <c r="K6" s="20" t="n">
        <f aca="false">'Global Inputs'!K$6</f>
        <v>47118</v>
      </c>
      <c r="L6" s="20" t="n">
        <f aca="false">'Global Inputs'!L$6</f>
        <v>47483</v>
      </c>
      <c r="M6" s="20" t="n">
        <f aca="false">'Global Inputs'!M$6</f>
        <v>47848</v>
      </c>
      <c r="N6" s="20" t="n">
        <f aca="false">'Global Inputs'!N$6</f>
        <v>48213</v>
      </c>
      <c r="O6" s="20" t="n">
        <f aca="false">'Global Inputs'!O$6</f>
        <v>48579</v>
      </c>
      <c r="P6" s="20" t="n">
        <f aca="false">'Global Inputs'!P$6</f>
        <v>48944</v>
      </c>
      <c r="Q6" s="20" t="n">
        <f aca="false">'Global Inputs'!Q$6</f>
        <v>49309</v>
      </c>
      <c r="R6" s="20" t="n">
        <f aca="false">'Global Inputs'!R$6</f>
        <v>49674</v>
      </c>
      <c r="S6" s="20" t="n">
        <f aca="false">'Global Inputs'!S$6</f>
        <v>50040</v>
      </c>
    </row>
    <row r="7" customFormat="false" ht="15" hidden="false" customHeight="false" outlineLevel="0" collapsed="false">
      <c r="B7" s="19" t="s">
        <v>126</v>
      </c>
      <c r="F7" s="21" t="n">
        <f aca="false">'Global Inputs'!F$7</f>
        <v>365</v>
      </c>
      <c r="G7" s="21" t="n">
        <f aca="false">'Global Inputs'!G$7</f>
        <v>366</v>
      </c>
      <c r="H7" s="21" t="n">
        <f aca="false">'Global Inputs'!H$7</f>
        <v>365</v>
      </c>
      <c r="I7" s="21" t="n">
        <f aca="false">'Global Inputs'!I$7</f>
        <v>365</v>
      </c>
      <c r="J7" s="21" t="n">
        <f aca="false">'Global Inputs'!J$7</f>
        <v>365</v>
      </c>
      <c r="K7" s="21" t="n">
        <f aca="false">'Global Inputs'!K$7</f>
        <v>366</v>
      </c>
      <c r="L7" s="21" t="n">
        <f aca="false">'Global Inputs'!L$7</f>
        <v>365</v>
      </c>
      <c r="M7" s="21" t="n">
        <f aca="false">'Global Inputs'!M$7</f>
        <v>365</v>
      </c>
      <c r="N7" s="21" t="n">
        <f aca="false">'Global Inputs'!N$7</f>
        <v>365</v>
      </c>
      <c r="O7" s="21" t="n">
        <f aca="false">'Global Inputs'!O$7</f>
        <v>366</v>
      </c>
      <c r="P7" s="21" t="n">
        <f aca="false">'Global Inputs'!P$7</f>
        <v>365</v>
      </c>
      <c r="Q7" s="21" t="n">
        <f aca="false">'Global Inputs'!Q$7</f>
        <v>365</v>
      </c>
      <c r="R7" s="21" t="n">
        <f aca="false">'Global Inputs'!R$7</f>
        <v>365</v>
      </c>
      <c r="S7" s="21" t="n">
        <f aca="false">'Global Inputs'!S$7</f>
        <v>366</v>
      </c>
    </row>
    <row r="8" customFormat="false" ht="15" hidden="false" customHeight="false" outlineLevel="0" collapsed="false">
      <c r="B8" s="19" t="s">
        <v>127</v>
      </c>
      <c r="F8" s="21" t="n">
        <f aca="false">'Global Inputs'!F$8</f>
        <v>0</v>
      </c>
      <c r="G8" s="21" t="n">
        <f aca="false">'Global Inputs'!G$8</f>
        <v>1</v>
      </c>
      <c r="H8" s="21" t="n">
        <f aca="false">'Global Inputs'!H$8</f>
        <v>1</v>
      </c>
      <c r="I8" s="21" t="n">
        <f aca="false">'Global Inputs'!I$8</f>
        <v>1</v>
      </c>
      <c r="J8" s="21" t="n">
        <f aca="false">'Global Inputs'!J$8</f>
        <v>1</v>
      </c>
      <c r="K8" s="21" t="n">
        <f aca="false">'Global Inputs'!K$8</f>
        <v>1</v>
      </c>
      <c r="L8" s="21" t="n">
        <f aca="false">'Global Inputs'!L$8</f>
        <v>1</v>
      </c>
      <c r="M8" s="21" t="n">
        <f aca="false">'Global Inputs'!M$8</f>
        <v>1</v>
      </c>
      <c r="N8" s="21" t="n">
        <f aca="false">'Global Inputs'!N$8</f>
        <v>1</v>
      </c>
      <c r="O8" s="21" t="n">
        <f aca="false">'Global Inputs'!O$8</f>
        <v>1</v>
      </c>
      <c r="P8" s="21" t="n">
        <f aca="false">'Global Inputs'!P$8</f>
        <v>1</v>
      </c>
      <c r="Q8" s="21" t="n">
        <f aca="false">'Global Inputs'!Q$8</f>
        <v>1</v>
      </c>
      <c r="R8" s="21" t="n">
        <f aca="false">'Global Inputs'!R$8</f>
        <v>1</v>
      </c>
      <c r="S8" s="21" t="n">
        <f aca="false">'Global Inputs'!S$8</f>
        <v>1</v>
      </c>
    </row>
    <row r="10" customFormat="false" ht="15" hidden="false" customHeight="false" outlineLevel="0" collapsed="false">
      <c r="B10" s="22" t="s">
        <v>1015</v>
      </c>
      <c r="C10" s="23"/>
      <c r="D10" s="23"/>
      <c r="E10" s="23"/>
      <c r="F10" s="23"/>
      <c r="G10" s="23"/>
      <c r="H10" s="23"/>
      <c r="I10" s="23"/>
      <c r="J10" s="23"/>
      <c r="K10" s="23"/>
      <c r="L10" s="23"/>
      <c r="M10" s="23"/>
      <c r="N10" s="23"/>
      <c r="O10" s="23"/>
      <c r="P10" s="23"/>
      <c r="Q10" s="23"/>
      <c r="R10" s="23"/>
      <c r="S10" s="23"/>
    </row>
    <row r="11" customFormat="false" ht="15" hidden="false" customHeight="false" outlineLevel="0" collapsed="false">
      <c r="B11" s="24" t="s">
        <v>1016</v>
      </c>
      <c r="C11" s="25" t="s">
        <v>143</v>
      </c>
      <c r="F11" s="30" t="n">
        <f aca="false">F$8</f>
        <v>0</v>
      </c>
      <c r="G11" s="30" t="n">
        <f aca="false">G$8</f>
        <v>1</v>
      </c>
      <c r="H11" s="30" t="n">
        <f aca="false">H$8</f>
        <v>1</v>
      </c>
      <c r="I11" s="30" t="n">
        <f aca="false">I$8</f>
        <v>1</v>
      </c>
      <c r="J11" s="30" t="n">
        <f aca="false">J$8</f>
        <v>1</v>
      </c>
      <c r="K11" s="30" t="n">
        <f aca="false">K$8</f>
        <v>1</v>
      </c>
      <c r="L11" s="30" t="n">
        <f aca="false">L$8</f>
        <v>1</v>
      </c>
      <c r="M11" s="30" t="n">
        <f aca="false">M$8</f>
        <v>1</v>
      </c>
      <c r="N11" s="30" t="n">
        <f aca="false">N$8</f>
        <v>1</v>
      </c>
      <c r="O11" s="30" t="n">
        <f aca="false">O$8</f>
        <v>1</v>
      </c>
      <c r="P11" s="30" t="n">
        <f aca="false">P$8</f>
        <v>1</v>
      </c>
      <c r="Q11" s="30" t="n">
        <f aca="false">Q$8</f>
        <v>1</v>
      </c>
      <c r="R11" s="30" t="n">
        <f aca="false">R$8</f>
        <v>1</v>
      </c>
      <c r="S11" s="30" t="n">
        <f aca="false">S$8</f>
        <v>1</v>
      </c>
    </row>
    <row r="13" customFormat="false" ht="15" hidden="false" customHeight="false" outlineLevel="0" collapsed="false">
      <c r="B13" s="22" t="s">
        <v>1017</v>
      </c>
      <c r="C13" s="23"/>
      <c r="D13" s="23"/>
      <c r="E13" s="23"/>
      <c r="F13" s="23"/>
      <c r="G13" s="23"/>
      <c r="H13" s="23"/>
      <c r="I13" s="23"/>
      <c r="J13" s="23"/>
      <c r="K13" s="23"/>
      <c r="L13" s="23"/>
      <c r="M13" s="23"/>
      <c r="N13" s="23"/>
      <c r="O13" s="23"/>
      <c r="P13" s="23"/>
      <c r="Q13" s="23"/>
      <c r="R13" s="23"/>
      <c r="S13" s="23"/>
    </row>
    <row r="14" customFormat="false" ht="15" hidden="false" customHeight="false" outlineLevel="0" collapsed="false">
      <c r="B14" s="24" t="s">
        <v>1202</v>
      </c>
      <c r="C14" s="25" t="s">
        <v>1019</v>
      </c>
      <c r="F14" s="104" t="n">
        <f aca="false">1</f>
        <v>1</v>
      </c>
      <c r="G14" s="104" t="n">
        <f aca="false">F14*(1+'E2 CigadingExist Input'!G28)*G$8</f>
        <v>1</v>
      </c>
      <c r="H14" s="104" t="n">
        <f aca="false">G14*(1+'E2 CigadingExist Input'!H28)*H$8</f>
        <v>1.03</v>
      </c>
      <c r="I14" s="104" t="n">
        <f aca="false">H14*(1+'E2 CigadingExist Input'!I28)*I$8</f>
        <v>1.0609</v>
      </c>
      <c r="J14" s="104" t="n">
        <f aca="false">I14*(1+'E2 CigadingExist Input'!J28)*J$8</f>
        <v>1.092727</v>
      </c>
      <c r="K14" s="104" t="n">
        <f aca="false">J14*(1+'E2 CigadingExist Input'!K28)*K$8</f>
        <v>1.12550881</v>
      </c>
      <c r="L14" s="104" t="n">
        <f aca="false">K14*(1+'E2 CigadingExist Input'!L28)*L$8</f>
        <v>1.1592740743</v>
      </c>
      <c r="M14" s="104" t="n">
        <f aca="false">L14*(1+'E2 CigadingExist Input'!M28)*M$8</f>
        <v>1.194052296529</v>
      </c>
      <c r="N14" s="104" t="n">
        <f aca="false">M14*(1+'E2 CigadingExist Input'!N28)*N$8</f>
        <v>1.22987386542487</v>
      </c>
      <c r="O14" s="104" t="n">
        <f aca="false">N14*(1+'E2 CigadingExist Input'!O28)*O$8</f>
        <v>1.26677008138762</v>
      </c>
      <c r="P14" s="104" t="n">
        <f aca="false">O14*(1+'E2 CigadingExist Input'!P28)*P$8</f>
        <v>1.30477318382925</v>
      </c>
      <c r="Q14" s="104" t="n">
        <f aca="false">P14*(1+'E2 CigadingExist Input'!Q28)*Q$8</f>
        <v>1.34391637934412</v>
      </c>
      <c r="R14" s="104" t="n">
        <f aca="false">Q14*(1+'E2 CigadingExist Input'!R28)*R$8</f>
        <v>1.38423387072445</v>
      </c>
      <c r="S14" s="104" t="n">
        <f aca="false">R14*(1+'E2 CigadingExist Input'!S28)*S$8</f>
        <v>1.42576088684618</v>
      </c>
    </row>
    <row r="15" customFormat="false" ht="15" hidden="false" customHeight="false" outlineLevel="0" collapsed="false">
      <c r="B15" s="24" t="s">
        <v>1203</v>
      </c>
      <c r="C15" s="25" t="s">
        <v>900</v>
      </c>
      <c r="E15" s="31" t="n">
        <f aca="false">SUM(F15:S15)</f>
        <v>17179569.493224</v>
      </c>
      <c r="F15" s="31" t="n">
        <f aca="false">'E2 CigadingExist Input'!$E$27*F14*F$8</f>
        <v>0</v>
      </c>
      <c r="G15" s="31" t="n">
        <f aca="false">'E2 CigadingExist Input'!$E$27*G14*G$8</f>
        <v>1100000</v>
      </c>
      <c r="H15" s="31" t="n">
        <f aca="false">'E2 CigadingExist Input'!$E$27*H14*H$8</f>
        <v>1133000</v>
      </c>
      <c r="I15" s="31" t="n">
        <f aca="false">'E2 CigadingExist Input'!$E$27*I14*I$8</f>
        <v>1166990</v>
      </c>
      <c r="J15" s="31" t="n">
        <f aca="false">'E2 CigadingExist Input'!$E$27*J14*J$8</f>
        <v>1201999.7</v>
      </c>
      <c r="K15" s="31" t="n">
        <f aca="false">'E2 CigadingExist Input'!$E$27*K14*K$8</f>
        <v>1238059.691</v>
      </c>
      <c r="L15" s="31" t="n">
        <f aca="false">'E2 CigadingExist Input'!$E$27*L14*L$8</f>
        <v>1275201.48173</v>
      </c>
      <c r="M15" s="31" t="n">
        <f aca="false">'E2 CigadingExist Input'!$E$27*M14*M$8</f>
        <v>1313457.5261819</v>
      </c>
      <c r="N15" s="31" t="n">
        <f aca="false">'E2 CigadingExist Input'!$E$27*N14*N$8</f>
        <v>1352861.25196736</v>
      </c>
      <c r="O15" s="31" t="n">
        <f aca="false">'E2 CigadingExist Input'!$E$27*O14*O$8</f>
        <v>1393447.08952638</v>
      </c>
      <c r="P15" s="31" t="n">
        <f aca="false">'E2 CigadingExist Input'!$E$27*P14*P$8</f>
        <v>1435250.50221217</v>
      </c>
      <c r="Q15" s="31" t="n">
        <f aca="false">'E2 CigadingExist Input'!$E$27*Q14*Q$8</f>
        <v>1478308.01727853</v>
      </c>
      <c r="R15" s="31" t="n">
        <f aca="false">'E2 CigadingExist Input'!$E$27*R14*R$8</f>
        <v>1522657.25779689</v>
      </c>
      <c r="S15" s="31" t="n">
        <f aca="false">'E2 CigadingExist Input'!$E$27*S14*S$8</f>
        <v>1568336.9755308</v>
      </c>
    </row>
    <row r="16" customFormat="false" ht="15" hidden="false" customHeight="false" outlineLevel="0" collapsed="false">
      <c r="B16" s="24" t="s">
        <v>1204</v>
      </c>
      <c r="C16" s="25" t="s">
        <v>905</v>
      </c>
      <c r="F16" s="31" t="n">
        <f aca="false">IF(F$5=2024,'E2 CigadingExist Input'!$E$29,'P01 CigWharf2 Input'!F30)</f>
        <v>0</v>
      </c>
      <c r="G16" s="31" t="n">
        <f aca="false">IF(G$5=2024,'E2 CigadingExist Input'!$E$29,'P01 CigWharf2 Input'!G30)</f>
        <v>35143.6</v>
      </c>
      <c r="H16" s="31" t="n">
        <f aca="false">IF(H$5=2024,'E2 CigadingExist Input'!$E$29,'P01 CigWharf2 Input'!H30)</f>
        <v>40944</v>
      </c>
      <c r="I16" s="31" t="n">
        <f aca="false">IF(I$5=2024,'E2 CigadingExist Input'!$E$29,'P01 CigWharf2 Input'!I30)</f>
        <v>40944</v>
      </c>
      <c r="J16" s="31" t="n">
        <f aca="false">IF(J$5=2024,'E2 CigadingExist Input'!$E$29,'P01 CigWharf2 Input'!J30)</f>
        <v>49132.8</v>
      </c>
      <c r="K16" s="31" t="n">
        <f aca="false">IF(K$5=2024,'E2 CigadingExist Input'!$E$29,'P01 CigWharf2 Input'!K30)</f>
        <v>49132.8</v>
      </c>
      <c r="L16" s="31" t="n">
        <f aca="false">IF(L$5=2024,'E2 CigadingExist Input'!$E$29,'P01 CigWharf2 Input'!L30)</f>
        <v>54046.08</v>
      </c>
      <c r="M16" s="31" t="n">
        <f aca="false">IF(M$5=2024,'E2 CigadingExist Input'!$E$29,'P01 CigWharf2 Input'!M30)</f>
        <v>54046.08</v>
      </c>
      <c r="N16" s="31" t="n">
        <f aca="false">IF(N$5=2024,'E2 CigadingExist Input'!$E$29,'P01 CigWharf2 Input'!N30)</f>
        <v>57288.8448</v>
      </c>
      <c r="O16" s="31" t="n">
        <f aca="false">IF(O$5=2024,'E2 CigadingExist Input'!$E$29,'P01 CigWharf2 Input'!O30)</f>
        <v>57288.8448</v>
      </c>
      <c r="P16" s="31" t="n">
        <f aca="false">IF(P$5=2024,'E2 CigadingExist Input'!$E$29,'P01 CigWharf2 Input'!P30)</f>
        <v>60726.175488</v>
      </c>
      <c r="Q16" s="31" t="n">
        <f aca="false">IF(Q$5=2024,'E2 CigadingExist Input'!$E$29,'P01 CigWharf2 Input'!Q30)</f>
        <v>60726.175488</v>
      </c>
      <c r="R16" s="31" t="n">
        <f aca="false">IF(R$5=2024,'E2 CigadingExist Input'!$E$29,'P01 CigWharf2 Input'!R30)</f>
        <v>60726.175488</v>
      </c>
      <c r="S16" s="31" t="n">
        <f aca="false">IF(S$5=2024,'E2 CigadingExist Input'!$E$29,'P01 CigWharf2 Input'!S30)</f>
        <v>60726.175488</v>
      </c>
      <c r="U16" s="5" t="s">
        <v>1205</v>
      </c>
    </row>
    <row r="17" customFormat="false" ht="15" hidden="false" customHeight="false" outlineLevel="0" collapsed="false">
      <c r="B17" s="69" t="s">
        <v>1206</v>
      </c>
      <c r="C17" s="25" t="s">
        <v>170</v>
      </c>
      <c r="E17" s="70" t="n">
        <f aca="false">SUM(F17:S17)</f>
        <v>914.588928983835</v>
      </c>
      <c r="F17" s="68" t="n">
        <f aca="false">F15*F16/10^9</f>
        <v>0</v>
      </c>
      <c r="G17" s="68" t="n">
        <f aca="false">G15*G16/10^9</f>
        <v>38.65796</v>
      </c>
      <c r="H17" s="68" t="n">
        <f aca="false">H15*H16/10^9</f>
        <v>46.389552</v>
      </c>
      <c r="I17" s="68" t="n">
        <f aca="false">I15*I16/10^9</f>
        <v>47.78123856</v>
      </c>
      <c r="J17" s="68" t="n">
        <f aca="false">J15*J16/10^9</f>
        <v>59.05761086016</v>
      </c>
      <c r="K17" s="68" t="n">
        <f aca="false">K15*K16/10^9</f>
        <v>60.8293391859648</v>
      </c>
      <c r="L17" s="68" t="n">
        <f aca="false">L15*L16/10^9</f>
        <v>68.9196412976981</v>
      </c>
      <c r="M17" s="68" t="n">
        <f aca="false">M15*M16/10^9</f>
        <v>70.9872305366291</v>
      </c>
      <c r="N17" s="68" t="n">
        <f aca="false">N15*N16/10^9</f>
        <v>77.5038582998916</v>
      </c>
      <c r="O17" s="68" t="n">
        <f aca="false">O15*O16/10^9</f>
        <v>79.8289740488884</v>
      </c>
      <c r="P17" s="68" t="n">
        <f aca="false">P15*P16/10^9</f>
        <v>87.1572738665763</v>
      </c>
      <c r="Q17" s="68" t="n">
        <f aca="false">Q15*Q16/10^9</f>
        <v>89.7719920825736</v>
      </c>
      <c r="R17" s="68" t="n">
        <f aca="false">R15*R16/10^9</f>
        <v>92.4651518450508</v>
      </c>
      <c r="S17" s="68" t="n">
        <f aca="false">S15*S16/10^9</f>
        <v>95.2391064004024</v>
      </c>
    </row>
    <row r="19" customFormat="false" ht="15" hidden="false" customHeight="false" outlineLevel="0" collapsed="false">
      <c r="B19" s="22" t="s">
        <v>1029</v>
      </c>
      <c r="C19" s="23"/>
      <c r="D19" s="23"/>
      <c r="E19" s="23"/>
      <c r="F19" s="23"/>
      <c r="G19" s="23"/>
      <c r="H19" s="23"/>
      <c r="I19" s="23"/>
      <c r="J19" s="23"/>
      <c r="K19" s="23"/>
      <c r="L19" s="23"/>
      <c r="M19" s="23"/>
      <c r="N19" s="23"/>
      <c r="O19" s="23"/>
      <c r="P19" s="23"/>
      <c r="Q19" s="23"/>
      <c r="R19" s="23"/>
      <c r="S19" s="23"/>
    </row>
    <row r="20" customFormat="false" ht="15" hidden="false" customHeight="false" outlineLevel="0" collapsed="false">
      <c r="B20" s="24" t="s">
        <v>1030</v>
      </c>
      <c r="C20" s="25" t="s">
        <v>1019</v>
      </c>
      <c r="F20" s="104" t="n">
        <f aca="false">1</f>
        <v>1</v>
      </c>
      <c r="G20" s="104" t="n">
        <f aca="false">F20*(1+'E2 CigadingExist Input'!G32)*G$8</f>
        <v>1.035</v>
      </c>
      <c r="H20" s="104" t="n">
        <f aca="false">G20*(1+'E2 CigadingExist Input'!H32)*H$8</f>
        <v>1.071225</v>
      </c>
      <c r="I20" s="104" t="n">
        <f aca="false">H20*(1+'E2 CigadingExist Input'!I32)*I$8</f>
        <v>1.108717875</v>
      </c>
      <c r="J20" s="104" t="n">
        <f aca="false">I20*(1+'E2 CigadingExist Input'!J32)*J$8</f>
        <v>1.147523000625</v>
      </c>
      <c r="K20" s="104" t="n">
        <f aca="false">J20*(1+'E2 CigadingExist Input'!K32)*K$8</f>
        <v>1.18768630564687</v>
      </c>
      <c r="L20" s="104" t="n">
        <f aca="false">K20*(1+'E2 CigadingExist Input'!L32)*L$8</f>
        <v>1.22925532634452</v>
      </c>
      <c r="M20" s="104" t="n">
        <f aca="false">L20*(1+'E2 CigadingExist Input'!M32)*M$8</f>
        <v>1.27227926276657</v>
      </c>
      <c r="N20" s="104" t="n">
        <f aca="false">M20*(1+'E2 CigadingExist Input'!N32)*N$8</f>
        <v>1.3168090369634</v>
      </c>
      <c r="O20" s="104" t="n">
        <f aca="false">N20*(1+'E2 CigadingExist Input'!O32)*O$8</f>
        <v>1.36289735325712</v>
      </c>
      <c r="P20" s="104" t="n">
        <f aca="false">O20*(1+'E2 CigadingExist Input'!P32)*P$8</f>
        <v>1.41059876062112</v>
      </c>
      <c r="Q20" s="104" t="n">
        <f aca="false">P20*(1+'E2 CigadingExist Input'!Q32)*Q$8</f>
        <v>1.45996971724286</v>
      </c>
      <c r="R20" s="104" t="n">
        <f aca="false">Q20*(1+'E2 CigadingExist Input'!R32)*R$8</f>
        <v>1.51106865734636</v>
      </c>
      <c r="S20" s="104" t="n">
        <f aca="false">R20*(1+'E2 CigadingExist Input'!S32)*S$8</f>
        <v>1.56395606035348</v>
      </c>
    </row>
    <row r="21" customFormat="false" ht="15" hidden="false" customHeight="false" outlineLevel="0" collapsed="false">
      <c r="B21" s="24" t="s">
        <v>1031</v>
      </c>
      <c r="C21" s="25" t="s">
        <v>170</v>
      </c>
      <c r="E21" s="47" t="n">
        <f aca="false">SUM(F21:S21)</f>
        <v>90.4392970094953</v>
      </c>
      <c r="F21" s="47" t="n">
        <f aca="false">'E2 CigadingExist Input'!$E$31*F20*F$8</f>
        <v>0</v>
      </c>
      <c r="G21" s="47" t="n">
        <f aca="false">'E2 CigadingExist Input'!$E$31*G20*G$8</f>
        <v>5.612805</v>
      </c>
      <c r="H21" s="47" t="n">
        <f aca="false">'E2 CigadingExist Input'!$E$31*H20*H$8</f>
        <v>5.809253175</v>
      </c>
      <c r="I21" s="47" t="n">
        <f aca="false">'E2 CigadingExist Input'!$E$31*I20*I$8</f>
        <v>6.012577036125</v>
      </c>
      <c r="J21" s="47" t="n">
        <f aca="false">'E2 CigadingExist Input'!$E$31*J20*J$8</f>
        <v>6.22301723238937</v>
      </c>
      <c r="K21" s="47" t="n">
        <f aca="false">'E2 CigadingExist Input'!$E$31*K20*K$8</f>
        <v>6.440822835523</v>
      </c>
      <c r="L21" s="47" t="n">
        <f aca="false">'E2 CigadingExist Input'!$E$31*L20*L$8</f>
        <v>6.6662516347663</v>
      </c>
      <c r="M21" s="47" t="n">
        <f aca="false">'E2 CigadingExist Input'!$E$31*M20*M$8</f>
        <v>6.89957044198312</v>
      </c>
      <c r="N21" s="47" t="n">
        <f aca="false">'E2 CigadingExist Input'!$E$31*N20*N$8</f>
        <v>7.14105540745253</v>
      </c>
      <c r="O21" s="47" t="n">
        <f aca="false">'E2 CigadingExist Input'!$E$31*O20*O$8</f>
        <v>7.39099234671337</v>
      </c>
      <c r="P21" s="47" t="n">
        <f aca="false">'E2 CigadingExist Input'!$E$31*P20*P$8</f>
        <v>7.64967707884834</v>
      </c>
      <c r="Q21" s="47" t="n">
        <f aca="false">'E2 CigadingExist Input'!$E$31*Q20*Q$8</f>
        <v>7.91741577660803</v>
      </c>
      <c r="R21" s="47" t="n">
        <f aca="false">'E2 CigadingExist Input'!$E$31*R20*R$8</f>
        <v>8.19452532878931</v>
      </c>
      <c r="S21" s="47" t="n">
        <f aca="false">'E2 CigadingExist Input'!$E$31*S20*S$8</f>
        <v>8.48133371529694</v>
      </c>
    </row>
    <row r="22" customFormat="false" ht="15" hidden="false" customHeight="false" outlineLevel="0" collapsed="false">
      <c r="B22" s="24" t="s">
        <v>1032</v>
      </c>
      <c r="C22" s="25" t="s">
        <v>905</v>
      </c>
      <c r="F22" s="31" t="n">
        <f aca="false">'E2 CigadingExist Input'!$E$34/'E2 CigadingExist Input'!$E$33*10^9</f>
        <v>1958.72536674998</v>
      </c>
      <c r="G22" s="31" t="n">
        <f aca="false">'E2 CigadingExist Input'!$E$34/'E2 CigadingExist Input'!$E$33*10^9</f>
        <v>1958.72536674998</v>
      </c>
      <c r="H22" s="31" t="n">
        <f aca="false">'E2 CigadingExist Input'!$E$34/'E2 CigadingExist Input'!$E$33*10^9</f>
        <v>1958.72536674998</v>
      </c>
      <c r="I22" s="31" t="n">
        <f aca="false">'E2 CigadingExist Input'!$E$34/'E2 CigadingExist Input'!$E$33*10^9</f>
        <v>1958.72536674998</v>
      </c>
      <c r="J22" s="31" t="n">
        <f aca="false">'E2 CigadingExist Input'!$E$34/'E2 CigadingExist Input'!$E$33*10^9</f>
        <v>1958.72536674998</v>
      </c>
      <c r="K22" s="31" t="n">
        <f aca="false">'E2 CigadingExist Input'!$E$34/'E2 CigadingExist Input'!$E$33*10^9</f>
        <v>1958.72536674998</v>
      </c>
      <c r="L22" s="31" t="n">
        <f aca="false">'E2 CigadingExist Input'!$E$34/'E2 CigadingExist Input'!$E$33*10^9</f>
        <v>1958.72536674998</v>
      </c>
      <c r="M22" s="31" t="n">
        <f aca="false">'E2 CigadingExist Input'!$E$34/'E2 CigadingExist Input'!$E$33*10^9</f>
        <v>1958.72536674998</v>
      </c>
      <c r="N22" s="31" t="n">
        <f aca="false">'E2 CigadingExist Input'!$E$34/'E2 CigadingExist Input'!$E$33*10^9</f>
        <v>1958.72536674998</v>
      </c>
      <c r="O22" s="31" t="n">
        <f aca="false">'E2 CigadingExist Input'!$E$34/'E2 CigadingExist Input'!$E$33*10^9</f>
        <v>1958.72536674998</v>
      </c>
      <c r="P22" s="31" t="n">
        <f aca="false">'E2 CigadingExist Input'!$E$34/'E2 CigadingExist Input'!$E$33*10^9</f>
        <v>1958.72536674998</v>
      </c>
      <c r="Q22" s="31" t="n">
        <f aca="false">'E2 CigadingExist Input'!$E$34/'E2 CigadingExist Input'!$E$33*10^9</f>
        <v>1958.72536674998</v>
      </c>
      <c r="R22" s="31" t="n">
        <f aca="false">'E2 CigadingExist Input'!$E$34/'E2 CigadingExist Input'!$E$33*10^9</f>
        <v>1958.72536674998</v>
      </c>
      <c r="S22" s="31" t="n">
        <f aca="false">'E2 CigadingExist Input'!$E$34/'E2 CigadingExist Input'!$E$33*10^9</f>
        <v>1958.72536674998</v>
      </c>
    </row>
    <row r="23" customFormat="false" ht="15" hidden="false" customHeight="false" outlineLevel="0" collapsed="false">
      <c r="B23" s="24" t="s">
        <v>1033</v>
      </c>
      <c r="C23" s="25" t="s">
        <v>1019</v>
      </c>
      <c r="F23" s="104" t="n">
        <f aca="false">1</f>
        <v>1</v>
      </c>
      <c r="G23" s="104" t="n">
        <f aca="false">F23*(1+'E2 CigadingExist Input'!G35)*G$8</f>
        <v>1.03</v>
      </c>
      <c r="H23" s="104" t="n">
        <f aca="false">G23*(1+'E2 CigadingExist Input'!H35)*H$8</f>
        <v>1.0609</v>
      </c>
      <c r="I23" s="104" t="n">
        <f aca="false">H23*(1+'E2 CigadingExist Input'!I35)*I$8</f>
        <v>1.092727</v>
      </c>
      <c r="J23" s="104" t="n">
        <f aca="false">I23*(1+'E2 CigadingExist Input'!J35)*J$8</f>
        <v>1.12550881</v>
      </c>
      <c r="K23" s="104" t="n">
        <f aca="false">J23*(1+'E2 CigadingExist Input'!K35)*K$8</f>
        <v>1.1592740743</v>
      </c>
      <c r="L23" s="104" t="n">
        <f aca="false">K23*(1+'E2 CigadingExist Input'!L35)*L$8</f>
        <v>1.194052296529</v>
      </c>
      <c r="M23" s="104" t="n">
        <f aca="false">L23*(1+'E2 CigadingExist Input'!M35)*M$8</f>
        <v>1.22987386542487</v>
      </c>
      <c r="N23" s="104" t="n">
        <f aca="false">M23*(1+'E2 CigadingExist Input'!N35)*N$8</f>
        <v>1.26677008138762</v>
      </c>
      <c r="O23" s="104" t="n">
        <f aca="false">N23*(1+'E2 CigadingExist Input'!O35)*O$8</f>
        <v>1.30477318382925</v>
      </c>
      <c r="P23" s="104" t="n">
        <f aca="false">O23*(1+'E2 CigadingExist Input'!P35)*P$8</f>
        <v>1.34391637934412</v>
      </c>
      <c r="Q23" s="104" t="n">
        <f aca="false">P23*(1+'E2 CigadingExist Input'!Q35)*Q$8</f>
        <v>1.38423387072445</v>
      </c>
      <c r="R23" s="104" t="n">
        <f aca="false">Q23*(1+'E2 CigadingExist Input'!R35)*R$8</f>
        <v>1.42576088684618</v>
      </c>
      <c r="S23" s="104" t="n">
        <f aca="false">R23*(1+'E2 CigadingExist Input'!S35)*S$8</f>
        <v>1.46853371345156</v>
      </c>
    </row>
    <row r="24" customFormat="false" ht="15" hidden="false" customHeight="false" outlineLevel="0" collapsed="false">
      <c r="B24" s="24" t="s">
        <v>1034</v>
      </c>
      <c r="C24" s="25" t="s">
        <v>905</v>
      </c>
      <c r="F24" s="31" t="n">
        <f aca="false">F22*F23</f>
        <v>1958.72536674998</v>
      </c>
      <c r="G24" s="31" t="n">
        <f aca="false">G22*G23</f>
        <v>2017.48712775248</v>
      </c>
      <c r="H24" s="31" t="n">
        <f aca="false">H22*H23</f>
        <v>2078.01174158505</v>
      </c>
      <c r="I24" s="31" t="n">
        <f aca="false">I22*I23</f>
        <v>2140.3520938326</v>
      </c>
      <c r="J24" s="31" t="n">
        <f aca="false">J22*J23</f>
        <v>2204.56265664758</v>
      </c>
      <c r="K24" s="31" t="n">
        <f aca="false">K22*K23</f>
        <v>2270.69953634701</v>
      </c>
      <c r="L24" s="31" t="n">
        <f aca="false">L22*L23</f>
        <v>2338.82052243742</v>
      </c>
      <c r="M24" s="31" t="n">
        <f aca="false">M22*M23</f>
        <v>2408.98513811054</v>
      </c>
      <c r="N24" s="31" t="n">
        <f aca="false">N22*N23</f>
        <v>2481.25469225386</v>
      </c>
      <c r="O24" s="31" t="n">
        <f aca="false">O22*O23</f>
        <v>2555.69233302147</v>
      </c>
      <c r="P24" s="31" t="n">
        <f aca="false">P22*P23</f>
        <v>2632.36310301212</v>
      </c>
      <c r="Q24" s="31" t="n">
        <f aca="false">Q22*Q23</f>
        <v>2711.33399610248</v>
      </c>
      <c r="R24" s="31" t="n">
        <f aca="false">R22*R23</f>
        <v>2792.67401598556</v>
      </c>
      <c r="S24" s="31" t="n">
        <f aca="false">S22*S23</f>
        <v>2876.45423646512</v>
      </c>
    </row>
    <row r="25" customFormat="false" ht="15" hidden="false" customHeight="false" outlineLevel="0" collapsed="false">
      <c r="B25" s="24" t="s">
        <v>1035</v>
      </c>
      <c r="C25" s="25" t="s">
        <v>170</v>
      </c>
      <c r="E25" s="47" t="n">
        <f aca="false">SUM(F25:S25)</f>
        <v>42.1469424265137</v>
      </c>
      <c r="F25" s="47" t="n">
        <f aca="false">F24*F15/10^9</f>
        <v>0</v>
      </c>
      <c r="G25" s="47" t="n">
        <f aca="false">G24*G15/10^9</f>
        <v>2.21923584052773</v>
      </c>
      <c r="H25" s="47" t="n">
        <f aca="false">H24*H15/10^9</f>
        <v>2.35438730321586</v>
      </c>
      <c r="I25" s="47" t="n">
        <f aca="false">I24*I15/10^9</f>
        <v>2.49776948998171</v>
      </c>
      <c r="J25" s="47" t="n">
        <f aca="false">J24*J15/10^9</f>
        <v>2.6498836519216</v>
      </c>
      <c r="K25" s="47" t="n">
        <f aca="false">K24*K15/10^9</f>
        <v>2.81126156632362</v>
      </c>
      <c r="L25" s="47" t="n">
        <f aca="false">L24*L15/10^9</f>
        <v>2.98246739571273</v>
      </c>
      <c r="M25" s="47" t="n">
        <f aca="false">M24*M15/10^9</f>
        <v>3.16409966011164</v>
      </c>
      <c r="N25" s="47" t="n">
        <f aca="false">N24*N15/10^9</f>
        <v>3.35679332941244</v>
      </c>
      <c r="O25" s="47" t="n">
        <f aca="false">O24*O15/10^9</f>
        <v>3.56122204317365</v>
      </c>
      <c r="P25" s="47" t="n">
        <f aca="false">P24*P15/10^9</f>
        <v>3.77810046560293</v>
      </c>
      <c r="Q25" s="47" t="n">
        <f aca="false">Q24*Q15/10^9</f>
        <v>4.00818678395815</v>
      </c>
      <c r="R25" s="47" t="n">
        <f aca="false">R24*R15/10^9</f>
        <v>4.2522853591012</v>
      </c>
      <c r="S25" s="47" t="n">
        <f aca="false">S24*S15/10^9</f>
        <v>4.51124953747046</v>
      </c>
    </row>
    <row r="26" customFormat="false" ht="15" hidden="false" customHeight="false" outlineLevel="0" collapsed="false">
      <c r="B26" s="24" t="s">
        <v>1040</v>
      </c>
      <c r="C26" s="25" t="s">
        <v>1019</v>
      </c>
      <c r="F26" s="104" t="n">
        <f aca="false">1</f>
        <v>1</v>
      </c>
      <c r="G26" s="104" t="n">
        <f aca="false">F26*(1+'E2 CigadingExist Input'!G37)*G$8</f>
        <v>1.035</v>
      </c>
      <c r="H26" s="104" t="n">
        <f aca="false">G26*(1+'E2 CigadingExist Input'!H37)*H$8</f>
        <v>1.071225</v>
      </c>
      <c r="I26" s="104" t="n">
        <f aca="false">H26*(1+'E2 CigadingExist Input'!I37)*I$8</f>
        <v>1.108717875</v>
      </c>
      <c r="J26" s="104" t="n">
        <f aca="false">I26*(1+'E2 CigadingExist Input'!J37)*J$8</f>
        <v>1.147523000625</v>
      </c>
      <c r="K26" s="104" t="n">
        <f aca="false">J26*(1+'E2 CigadingExist Input'!K37)*K$8</f>
        <v>1.18768630564687</v>
      </c>
      <c r="L26" s="104" t="n">
        <f aca="false">K26*(1+'E2 CigadingExist Input'!L37)*L$8</f>
        <v>1.22925532634452</v>
      </c>
      <c r="M26" s="104" t="n">
        <f aca="false">L26*(1+'E2 CigadingExist Input'!M37)*M$8</f>
        <v>1.27227926276657</v>
      </c>
      <c r="N26" s="104" t="n">
        <f aca="false">M26*(1+'E2 CigadingExist Input'!N37)*N$8</f>
        <v>1.3168090369634</v>
      </c>
      <c r="O26" s="104" t="n">
        <f aca="false">N26*(1+'E2 CigadingExist Input'!O37)*O$8</f>
        <v>1.36289735325712</v>
      </c>
      <c r="P26" s="104" t="n">
        <f aca="false">O26*(1+'E2 CigadingExist Input'!P37)*P$8</f>
        <v>1.41059876062112</v>
      </c>
      <c r="Q26" s="104" t="n">
        <f aca="false">P26*(1+'E2 CigadingExist Input'!Q37)*Q$8</f>
        <v>1.45996971724286</v>
      </c>
      <c r="R26" s="104" t="n">
        <f aca="false">Q26*(1+'E2 CigadingExist Input'!R37)*R$8</f>
        <v>1.51106865734636</v>
      </c>
      <c r="S26" s="104" t="n">
        <f aca="false">R26*(1+'E2 CigadingExist Input'!S37)*S$8</f>
        <v>1.56395606035348</v>
      </c>
    </row>
    <row r="27" customFormat="false" ht="15" hidden="false" customHeight="false" outlineLevel="0" collapsed="false">
      <c r="B27" s="24" t="s">
        <v>1041</v>
      </c>
      <c r="C27" s="25" t="s">
        <v>170</v>
      </c>
      <c r="E27" s="47" t="n">
        <f aca="false">SUM(F27:S27)</f>
        <v>35.8338405834967</v>
      </c>
      <c r="F27" s="47" t="n">
        <f aca="false">'E2 CigadingExist Input'!$E$36*F26*F$8</f>
        <v>0</v>
      </c>
      <c r="G27" s="47" t="n">
        <f aca="false">'E2 CigadingExist Input'!$E$36*G26*G$8</f>
        <v>2.2239045</v>
      </c>
      <c r="H27" s="47" t="n">
        <f aca="false">'E2 CigadingExist Input'!$E$36*H26*H$8</f>
        <v>2.3017411575</v>
      </c>
      <c r="I27" s="47" t="n">
        <f aca="false">'E2 CigadingExist Input'!$E$36*I26*I$8</f>
        <v>2.3823020980125</v>
      </c>
      <c r="J27" s="47" t="n">
        <f aca="false">'E2 CigadingExist Input'!$E$36*J26*J$8</f>
        <v>2.46568267144294</v>
      </c>
      <c r="K27" s="47" t="n">
        <f aca="false">'E2 CigadingExist Input'!$E$36*K26*K$8</f>
        <v>2.55198156494344</v>
      </c>
      <c r="L27" s="47" t="n">
        <f aca="false">'E2 CigadingExist Input'!$E$36*L26*L$8</f>
        <v>2.64130091971646</v>
      </c>
      <c r="M27" s="47" t="n">
        <f aca="false">'E2 CigadingExist Input'!$E$36*M26*M$8</f>
        <v>2.73374645190654</v>
      </c>
      <c r="N27" s="47" t="n">
        <f aca="false">'E2 CigadingExist Input'!$E$36*N26*N$8</f>
        <v>2.82942757772326</v>
      </c>
      <c r="O27" s="47" t="n">
        <f aca="false">'E2 CigadingExist Input'!$E$36*O26*O$8</f>
        <v>2.92845754294358</v>
      </c>
      <c r="P27" s="47" t="n">
        <f aca="false">'E2 CigadingExist Input'!$E$36*P26*P$8</f>
        <v>3.0309535569466</v>
      </c>
      <c r="Q27" s="47" t="n">
        <f aca="false">'E2 CigadingExist Input'!$E$36*Q26*Q$8</f>
        <v>3.13703693143973</v>
      </c>
      <c r="R27" s="47" t="n">
        <f aca="false">'E2 CigadingExist Input'!$E$36*R26*R$8</f>
        <v>3.24683322404012</v>
      </c>
      <c r="S27" s="47" t="n">
        <f aca="false">'E2 CigadingExist Input'!$E$36*S26*S$8</f>
        <v>3.36047238688153</v>
      </c>
    </row>
    <row r="28" customFormat="false" ht="15" hidden="false" customHeight="false" outlineLevel="0" collapsed="false">
      <c r="B28" s="24" t="s">
        <v>1042</v>
      </c>
      <c r="C28" s="25" t="s">
        <v>905</v>
      </c>
      <c r="F28" s="31" t="n">
        <f aca="false">'E2 CigadingExist Input'!$E$38/'E2 CigadingExist Input'!$E$33*10^9</f>
        <v>699.281612434893</v>
      </c>
      <c r="G28" s="31" t="n">
        <f aca="false">'E2 CigadingExist Input'!$E$38/'E2 CigadingExist Input'!$E$33*10^9</f>
        <v>699.281612434893</v>
      </c>
      <c r="H28" s="31" t="n">
        <f aca="false">'E2 CigadingExist Input'!$E$38/'E2 CigadingExist Input'!$E$33*10^9</f>
        <v>699.281612434893</v>
      </c>
      <c r="I28" s="31" t="n">
        <f aca="false">'E2 CigadingExist Input'!$E$38/'E2 CigadingExist Input'!$E$33*10^9</f>
        <v>699.281612434893</v>
      </c>
      <c r="J28" s="31" t="n">
        <f aca="false">'E2 CigadingExist Input'!$E$38/'E2 CigadingExist Input'!$E$33*10^9</f>
        <v>699.281612434893</v>
      </c>
      <c r="K28" s="31" t="n">
        <f aca="false">'E2 CigadingExist Input'!$E$38/'E2 CigadingExist Input'!$E$33*10^9</f>
        <v>699.281612434893</v>
      </c>
      <c r="L28" s="31" t="n">
        <f aca="false">'E2 CigadingExist Input'!$E$38/'E2 CigadingExist Input'!$E$33*10^9</f>
        <v>699.281612434893</v>
      </c>
      <c r="M28" s="31" t="n">
        <f aca="false">'E2 CigadingExist Input'!$E$38/'E2 CigadingExist Input'!$E$33*10^9</f>
        <v>699.281612434893</v>
      </c>
      <c r="N28" s="31" t="n">
        <f aca="false">'E2 CigadingExist Input'!$E$38/'E2 CigadingExist Input'!$E$33*10^9</f>
        <v>699.281612434893</v>
      </c>
      <c r="O28" s="31" t="n">
        <f aca="false">'E2 CigadingExist Input'!$E$38/'E2 CigadingExist Input'!$E$33*10^9</f>
        <v>699.281612434893</v>
      </c>
      <c r="P28" s="31" t="n">
        <f aca="false">'E2 CigadingExist Input'!$E$38/'E2 CigadingExist Input'!$E$33*10^9</f>
        <v>699.281612434893</v>
      </c>
      <c r="Q28" s="31" t="n">
        <f aca="false">'E2 CigadingExist Input'!$E$38/'E2 CigadingExist Input'!$E$33*10^9</f>
        <v>699.281612434893</v>
      </c>
      <c r="R28" s="31" t="n">
        <f aca="false">'E2 CigadingExist Input'!$E$38/'E2 CigadingExist Input'!$E$33*10^9</f>
        <v>699.281612434893</v>
      </c>
      <c r="S28" s="31" t="n">
        <f aca="false">'E2 CigadingExist Input'!$E$38/'E2 CigadingExist Input'!$E$33*10^9</f>
        <v>699.281612434893</v>
      </c>
    </row>
    <row r="29" customFormat="false" ht="15" hidden="false" customHeight="false" outlineLevel="0" collapsed="false">
      <c r="B29" s="24" t="s">
        <v>1043</v>
      </c>
      <c r="C29" s="25" t="s">
        <v>1019</v>
      </c>
      <c r="F29" s="104" t="n">
        <f aca="false">1</f>
        <v>1</v>
      </c>
      <c r="G29" s="104" t="n">
        <f aca="false">F29*(1+'E2 CigadingExist Input'!G39)*G$8</f>
        <v>1.03</v>
      </c>
      <c r="H29" s="104" t="n">
        <f aca="false">G29*(1+'E2 CigadingExist Input'!H39)*H$8</f>
        <v>1.0609</v>
      </c>
      <c r="I29" s="104" t="n">
        <f aca="false">H29*(1+'E2 CigadingExist Input'!I39)*I$8</f>
        <v>1.092727</v>
      </c>
      <c r="J29" s="104" t="n">
        <f aca="false">I29*(1+'E2 CigadingExist Input'!J39)*J$8</f>
        <v>1.12550881</v>
      </c>
      <c r="K29" s="104" t="n">
        <f aca="false">J29*(1+'E2 CigadingExist Input'!K39)*K$8</f>
        <v>1.1592740743</v>
      </c>
      <c r="L29" s="104" t="n">
        <f aca="false">K29*(1+'E2 CigadingExist Input'!L39)*L$8</f>
        <v>1.194052296529</v>
      </c>
      <c r="M29" s="104" t="n">
        <f aca="false">L29*(1+'E2 CigadingExist Input'!M39)*M$8</f>
        <v>1.22987386542487</v>
      </c>
      <c r="N29" s="104" t="n">
        <f aca="false">M29*(1+'E2 CigadingExist Input'!N39)*N$8</f>
        <v>1.26677008138762</v>
      </c>
      <c r="O29" s="104" t="n">
        <f aca="false">N29*(1+'E2 CigadingExist Input'!O39)*O$8</f>
        <v>1.30477318382925</v>
      </c>
      <c r="P29" s="104" t="n">
        <f aca="false">O29*(1+'E2 CigadingExist Input'!P39)*P$8</f>
        <v>1.34391637934412</v>
      </c>
      <c r="Q29" s="104" t="n">
        <f aca="false">P29*(1+'E2 CigadingExist Input'!Q39)*Q$8</f>
        <v>1.38423387072445</v>
      </c>
      <c r="R29" s="104" t="n">
        <f aca="false">Q29*(1+'E2 CigadingExist Input'!R39)*R$8</f>
        <v>1.42576088684618</v>
      </c>
      <c r="S29" s="104" t="n">
        <f aca="false">R29*(1+'E2 CigadingExist Input'!S39)*S$8</f>
        <v>1.46853371345156</v>
      </c>
    </row>
    <row r="30" customFormat="false" ht="15" hidden="false" customHeight="false" outlineLevel="0" collapsed="false">
      <c r="B30" s="24" t="s">
        <v>1044</v>
      </c>
      <c r="C30" s="25" t="s">
        <v>905</v>
      </c>
      <c r="F30" s="31" t="n">
        <f aca="false">F28*F29</f>
        <v>699.281612434893</v>
      </c>
      <c r="G30" s="31" t="n">
        <f aca="false">G28*G29</f>
        <v>720.26006080794</v>
      </c>
      <c r="H30" s="31" t="n">
        <f aca="false">H28*H29</f>
        <v>741.867862632178</v>
      </c>
      <c r="I30" s="31" t="n">
        <f aca="false">I28*I29</f>
        <v>764.123898511144</v>
      </c>
      <c r="J30" s="31" t="n">
        <f aca="false">J28*J29</f>
        <v>787.047615466478</v>
      </c>
      <c r="K30" s="31" t="n">
        <f aca="false">K28*K29</f>
        <v>810.659043930472</v>
      </c>
      <c r="L30" s="31" t="n">
        <f aca="false">L28*L29</f>
        <v>834.978815248387</v>
      </c>
      <c r="M30" s="31" t="n">
        <f aca="false">M28*M29</f>
        <v>860.028179705838</v>
      </c>
      <c r="N30" s="31" t="n">
        <f aca="false">N28*N29</f>
        <v>885.829025097013</v>
      </c>
      <c r="O30" s="31" t="n">
        <f aca="false">O28*O29</f>
        <v>912.403895849924</v>
      </c>
      <c r="P30" s="31" t="n">
        <f aca="false">P28*P29</f>
        <v>939.776012725421</v>
      </c>
      <c r="Q30" s="31" t="n">
        <f aca="false">Q28*Q29</f>
        <v>967.969293107184</v>
      </c>
      <c r="R30" s="31" t="n">
        <f aca="false">R28*R29</f>
        <v>997.0083719004</v>
      </c>
      <c r="S30" s="31" t="n">
        <f aca="false">S28*S29</f>
        <v>1026.91862305741</v>
      </c>
    </row>
    <row r="31" customFormat="false" ht="15" hidden="false" customHeight="false" outlineLevel="0" collapsed="false">
      <c r="B31" s="24" t="s">
        <v>1045</v>
      </c>
      <c r="C31" s="25" t="s">
        <v>170</v>
      </c>
      <c r="E31" s="47" t="n">
        <f aca="false">SUM(F31:S31)</f>
        <v>15.0468168532047</v>
      </c>
      <c r="F31" s="47" t="n">
        <f aca="false">F30*F15/10^9</f>
        <v>0</v>
      </c>
      <c r="G31" s="47" t="n">
        <f aca="false">G30*G15/10^9</f>
        <v>0.792286066888734</v>
      </c>
      <c r="H31" s="47" t="n">
        <f aca="false">H30*H15/10^9</f>
        <v>0.840536288362258</v>
      </c>
      <c r="I31" s="47" t="n">
        <f aca="false">I30*I15/10^9</f>
        <v>0.89172494832352</v>
      </c>
      <c r="J31" s="47" t="n">
        <f aca="false">J30*J15/10^9</f>
        <v>0.946030997676422</v>
      </c>
      <c r="K31" s="47" t="n">
        <f aca="false">K30*K15/10^9</f>
        <v>1.00364428543492</v>
      </c>
      <c r="L31" s="47" t="n">
        <f aca="false">L30*L15/10^9</f>
        <v>1.0647662224179</v>
      </c>
      <c r="M31" s="47" t="n">
        <f aca="false">M30*M15/10^9</f>
        <v>1.12961048536315</v>
      </c>
      <c r="N31" s="47" t="n">
        <f aca="false">N30*N15/10^9</f>
        <v>1.19840376392177</v>
      </c>
      <c r="O31" s="47" t="n">
        <f aca="false">O30*O15/10^9</f>
        <v>1.2713865531446</v>
      </c>
      <c r="P31" s="47" t="n">
        <f aca="false">P30*P15/10^9</f>
        <v>1.34881399423111</v>
      </c>
      <c r="Q31" s="47" t="n">
        <f aca="false">Q30*Q15/10^9</f>
        <v>1.43095676647979</v>
      </c>
      <c r="R31" s="47" t="n">
        <f aca="false">R30*R15/10^9</f>
        <v>1.51810203355841</v>
      </c>
      <c r="S31" s="47" t="n">
        <f aca="false">S30*S15/10^9</f>
        <v>1.61055444740211</v>
      </c>
    </row>
    <row r="32" customFormat="false" ht="15" hidden="false" customHeight="false" outlineLevel="0" collapsed="false">
      <c r="B32" s="24" t="s">
        <v>1050</v>
      </c>
      <c r="C32" s="25" t="s">
        <v>170</v>
      </c>
      <c r="E32" s="47" t="n">
        <f aca="false">SUM(F32:S32)</f>
        <v>18.400649609102</v>
      </c>
      <c r="F32" s="47" t="n">
        <f aca="false">'E2 CigadingExist Input'!F40*F77</f>
        <v>0</v>
      </c>
      <c r="G32" s="47" t="n">
        <f aca="false">'E2 CigadingExist Input'!G40*G77</f>
        <v>1.354202286854</v>
      </c>
      <c r="H32" s="47" t="n">
        <f aca="false">'E2 CigadingExist Input'!H40*H77</f>
        <v>1.354202286854</v>
      </c>
      <c r="I32" s="47" t="n">
        <f aca="false">'E2 CigadingExist Input'!I40*I77</f>
        <v>1.387369781854</v>
      </c>
      <c r="J32" s="47" t="n">
        <f aca="false">'E2 CigadingExist Input'!J40*J77</f>
        <v>1.387369781854</v>
      </c>
      <c r="K32" s="47" t="n">
        <f aca="false">'E2 CigadingExist Input'!K40*K77</f>
        <v>1.387369781854</v>
      </c>
      <c r="L32" s="47" t="n">
        <f aca="false">'E2 CigadingExist Input'!L40*L77</f>
        <v>1.420537276854</v>
      </c>
      <c r="M32" s="47" t="n">
        <f aca="false">'E2 CigadingExist Input'!M40*M77</f>
        <v>1.420537276854</v>
      </c>
      <c r="N32" s="47" t="n">
        <f aca="false">'E2 CigadingExist Input'!N40*N77</f>
        <v>1.420537276854</v>
      </c>
      <c r="O32" s="47" t="n">
        <f aca="false">'E2 CigadingExist Input'!O40*O77</f>
        <v>1.453704771854</v>
      </c>
      <c r="P32" s="47" t="n">
        <f aca="false">'E2 CigadingExist Input'!P40*P77</f>
        <v>1.453704771854</v>
      </c>
      <c r="Q32" s="47" t="n">
        <f aca="false">'E2 CigadingExist Input'!Q40*Q77</f>
        <v>1.453704771854</v>
      </c>
      <c r="R32" s="47" t="n">
        <f aca="false">'E2 CigadingExist Input'!R40*R77</f>
        <v>1.453704771854</v>
      </c>
      <c r="S32" s="47" t="n">
        <f aca="false">'E2 CigadingExist Input'!S40*S77</f>
        <v>1.453704771854</v>
      </c>
    </row>
    <row r="33" customFormat="false" ht="15" hidden="false" customHeight="false" outlineLevel="0" collapsed="false">
      <c r="B33" s="24" t="s">
        <v>1207</v>
      </c>
      <c r="C33" s="25" t="s">
        <v>905</v>
      </c>
      <c r="F33" s="31" t="n">
        <f aca="false">'E2 CigadingExist Input'!$E$41/'E2 CigadingExist Input'!$E$33*10^9</f>
        <v>602.233222577252</v>
      </c>
      <c r="G33" s="31" t="n">
        <f aca="false">'E2 CigadingExist Input'!$E$41/'E2 CigadingExist Input'!$E$33*10^9</f>
        <v>602.233222577252</v>
      </c>
      <c r="H33" s="31" t="n">
        <f aca="false">'E2 CigadingExist Input'!$E$41/'E2 CigadingExist Input'!$E$33*10^9</f>
        <v>602.233222577252</v>
      </c>
      <c r="I33" s="31" t="n">
        <f aca="false">'E2 CigadingExist Input'!$E$41/'E2 CigadingExist Input'!$E$33*10^9</f>
        <v>602.233222577252</v>
      </c>
      <c r="J33" s="31" t="n">
        <f aca="false">'E2 CigadingExist Input'!$E$41/'E2 CigadingExist Input'!$E$33*10^9</f>
        <v>602.233222577252</v>
      </c>
      <c r="K33" s="31" t="n">
        <f aca="false">'E2 CigadingExist Input'!$E$41/'E2 CigadingExist Input'!$E$33*10^9</f>
        <v>602.233222577252</v>
      </c>
      <c r="L33" s="31" t="n">
        <f aca="false">'E2 CigadingExist Input'!$E$41/'E2 CigadingExist Input'!$E$33*10^9</f>
        <v>602.233222577252</v>
      </c>
      <c r="M33" s="31" t="n">
        <f aca="false">'E2 CigadingExist Input'!$E$41/'E2 CigadingExist Input'!$E$33*10^9</f>
        <v>602.233222577252</v>
      </c>
      <c r="N33" s="31" t="n">
        <f aca="false">'E2 CigadingExist Input'!$E$41/'E2 CigadingExist Input'!$E$33*10^9</f>
        <v>602.233222577252</v>
      </c>
      <c r="O33" s="31" t="n">
        <f aca="false">'E2 CigadingExist Input'!$E$41/'E2 CigadingExist Input'!$E$33*10^9</f>
        <v>602.233222577252</v>
      </c>
      <c r="P33" s="31" t="n">
        <f aca="false">'E2 CigadingExist Input'!$E$41/'E2 CigadingExist Input'!$E$33*10^9</f>
        <v>602.233222577252</v>
      </c>
      <c r="Q33" s="31" t="n">
        <f aca="false">'E2 CigadingExist Input'!$E$41/'E2 CigadingExist Input'!$E$33*10^9</f>
        <v>602.233222577252</v>
      </c>
      <c r="R33" s="31" t="n">
        <f aca="false">'E2 CigadingExist Input'!$E$41/'E2 CigadingExist Input'!$E$33*10^9</f>
        <v>602.233222577252</v>
      </c>
      <c r="S33" s="31" t="n">
        <f aca="false">'E2 CigadingExist Input'!$E$41/'E2 CigadingExist Input'!$E$33*10^9</f>
        <v>602.233222577252</v>
      </c>
    </row>
    <row r="34" customFormat="false" ht="15" hidden="false" customHeight="false" outlineLevel="0" collapsed="false">
      <c r="B34" s="24" t="s">
        <v>1208</v>
      </c>
      <c r="C34" s="25" t="s">
        <v>1019</v>
      </c>
      <c r="F34" s="104" t="n">
        <f aca="false">1</f>
        <v>1</v>
      </c>
      <c r="G34" s="104" t="n">
        <f aca="false">F34*(1+'E2 CigadingExist Input'!G42)*G$8</f>
        <v>1.03</v>
      </c>
      <c r="H34" s="104" t="n">
        <f aca="false">G34*(1+'E2 CigadingExist Input'!H42)*H$8</f>
        <v>1.0609</v>
      </c>
      <c r="I34" s="104" t="n">
        <f aca="false">H34*(1+'E2 CigadingExist Input'!I42)*I$8</f>
        <v>1.092727</v>
      </c>
      <c r="J34" s="104" t="n">
        <f aca="false">I34*(1+'E2 CigadingExist Input'!J42)*J$8</f>
        <v>1.12550881</v>
      </c>
      <c r="K34" s="104" t="n">
        <f aca="false">J34*(1+'E2 CigadingExist Input'!K42)*K$8</f>
        <v>1.1592740743</v>
      </c>
      <c r="L34" s="104" t="n">
        <f aca="false">K34*(1+'E2 CigadingExist Input'!L42)*L$8</f>
        <v>1.194052296529</v>
      </c>
      <c r="M34" s="104" t="n">
        <f aca="false">L34*(1+'E2 CigadingExist Input'!M42)*M$8</f>
        <v>1.22987386542487</v>
      </c>
      <c r="N34" s="104" t="n">
        <f aca="false">M34*(1+'E2 CigadingExist Input'!N42)*N$8</f>
        <v>1.26677008138762</v>
      </c>
      <c r="O34" s="104" t="n">
        <f aca="false">N34*(1+'E2 CigadingExist Input'!O42)*O$8</f>
        <v>1.30477318382925</v>
      </c>
      <c r="P34" s="104" t="n">
        <f aca="false">O34*(1+'E2 CigadingExist Input'!P42)*P$8</f>
        <v>1.34391637934412</v>
      </c>
      <c r="Q34" s="104" t="n">
        <f aca="false">P34*(1+'E2 CigadingExist Input'!Q42)*Q$8</f>
        <v>1.38423387072445</v>
      </c>
      <c r="R34" s="104" t="n">
        <f aca="false">Q34*(1+'E2 CigadingExist Input'!R42)*R$8</f>
        <v>1.42576088684618</v>
      </c>
      <c r="S34" s="104" t="n">
        <f aca="false">R34*(1+'E2 CigadingExist Input'!S42)*S$8</f>
        <v>1.46853371345156</v>
      </c>
    </row>
    <row r="35" customFormat="false" ht="15" hidden="false" customHeight="false" outlineLevel="0" collapsed="false">
      <c r="B35" s="24" t="s">
        <v>1209</v>
      </c>
      <c r="C35" s="25" t="s">
        <v>905</v>
      </c>
      <c r="F35" s="31" t="n">
        <f aca="false">F33*F34</f>
        <v>602.233222577252</v>
      </c>
      <c r="G35" s="31" t="n">
        <f aca="false">G33*G34</f>
        <v>620.30021925457</v>
      </c>
      <c r="H35" s="31" t="n">
        <f aca="false">H33*H34</f>
        <v>638.909225832207</v>
      </c>
      <c r="I35" s="31" t="n">
        <f aca="false">I33*I34</f>
        <v>658.076502607173</v>
      </c>
      <c r="J35" s="31" t="n">
        <f aca="false">J33*J34</f>
        <v>677.818797685388</v>
      </c>
      <c r="K35" s="31" t="n">
        <f aca="false">K33*K34</f>
        <v>698.15336161595</v>
      </c>
      <c r="L35" s="31" t="n">
        <f aca="false">L33*L34</f>
        <v>719.097962464428</v>
      </c>
      <c r="M35" s="31" t="n">
        <f aca="false">M33*M34</f>
        <v>740.670901338361</v>
      </c>
      <c r="N35" s="31" t="n">
        <f aca="false">N33*N34</f>
        <v>762.891028378512</v>
      </c>
      <c r="O35" s="31" t="n">
        <f aca="false">O33*O34</f>
        <v>785.777759229867</v>
      </c>
      <c r="P35" s="31" t="n">
        <f aca="false">P33*P34</f>
        <v>809.351092006763</v>
      </c>
      <c r="Q35" s="31" t="n">
        <f aca="false">Q33*Q34</f>
        <v>833.631624766966</v>
      </c>
      <c r="R35" s="31" t="n">
        <f aca="false">R33*R34</f>
        <v>858.640573509975</v>
      </c>
      <c r="S35" s="31" t="n">
        <f aca="false">S33*S34</f>
        <v>884.399790715275</v>
      </c>
    </row>
    <row r="36" customFormat="false" ht="15" hidden="false" customHeight="false" outlineLevel="0" collapsed="false">
      <c r="B36" s="24" t="s">
        <v>1210</v>
      </c>
      <c r="C36" s="25" t="s">
        <v>170</v>
      </c>
      <c r="E36" s="47" t="n">
        <f aca="false">SUM(F36:S36)</f>
        <v>12.9585746885041</v>
      </c>
      <c r="F36" s="47" t="n">
        <f aca="false">F35*F15/10^9</f>
        <v>0</v>
      </c>
      <c r="G36" s="47" t="n">
        <f aca="false">G35*G15/10^9</f>
        <v>0.682330241180026</v>
      </c>
      <c r="H36" s="47" t="n">
        <f aca="false">H35*H15/10^9</f>
        <v>0.72388415286789</v>
      </c>
      <c r="I36" s="47" t="n">
        <f aca="false">I35*I15/10^9</f>
        <v>0.767968697777545</v>
      </c>
      <c r="J36" s="47" t="n">
        <f aca="false">J35*J15/10^9</f>
        <v>0.814737991472197</v>
      </c>
      <c r="K36" s="47" t="n">
        <f aca="false">K35*K15/10^9</f>
        <v>0.864355535152854</v>
      </c>
      <c r="L36" s="47" t="n">
        <f aca="false">L35*L15/10^9</f>
        <v>0.916994787243663</v>
      </c>
      <c r="M36" s="47" t="n">
        <f aca="false">M35*M15/10^9</f>
        <v>0.972839769786802</v>
      </c>
      <c r="N36" s="47" t="n">
        <f aca="false">N35*N15/10^9</f>
        <v>1.03208571176682</v>
      </c>
      <c r="O36" s="47" t="n">
        <f aca="false">O35*O15/10^9</f>
        <v>1.09493973161342</v>
      </c>
      <c r="P36" s="47" t="n">
        <f aca="false">P35*P15/10^9</f>
        <v>1.16162156126867</v>
      </c>
      <c r="Q36" s="47" t="n">
        <f aca="false">Q35*Q15/10^9</f>
        <v>1.23236431434994</v>
      </c>
      <c r="R36" s="47" t="n">
        <f aca="false">R35*R15/10^9</f>
        <v>1.30741530109385</v>
      </c>
      <c r="S36" s="47" t="n">
        <f aca="false">S35*S15/10^9</f>
        <v>1.38703689293046</v>
      </c>
    </row>
    <row r="37" customFormat="false" ht="15" hidden="false" customHeight="false" outlineLevel="0" collapsed="false">
      <c r="B37" s="24" t="s">
        <v>1055</v>
      </c>
      <c r="C37" s="25" t="s">
        <v>905</v>
      </c>
      <c r="F37" s="31" t="n">
        <f aca="false">'E2 CigadingExist Input'!$E$43/'E2 CigadingExist Input'!$E$33*10^9</f>
        <v>331.60747917566</v>
      </c>
      <c r="G37" s="31" t="n">
        <f aca="false">'E2 CigadingExist Input'!$E$43/'E2 CigadingExist Input'!$E$33*10^9</f>
        <v>331.60747917566</v>
      </c>
      <c r="H37" s="31" t="n">
        <f aca="false">'E2 CigadingExist Input'!$E$43/'E2 CigadingExist Input'!$E$33*10^9</f>
        <v>331.60747917566</v>
      </c>
      <c r="I37" s="31" t="n">
        <f aca="false">'E2 CigadingExist Input'!$E$43/'E2 CigadingExist Input'!$E$33*10^9</f>
        <v>331.60747917566</v>
      </c>
      <c r="J37" s="31" t="n">
        <f aca="false">'E2 CigadingExist Input'!$E$43/'E2 CigadingExist Input'!$E$33*10^9</f>
        <v>331.60747917566</v>
      </c>
      <c r="K37" s="31" t="n">
        <f aca="false">'E2 CigadingExist Input'!$E$43/'E2 CigadingExist Input'!$E$33*10^9</f>
        <v>331.60747917566</v>
      </c>
      <c r="L37" s="31" t="n">
        <f aca="false">'E2 CigadingExist Input'!$E$43/'E2 CigadingExist Input'!$E$33*10^9</f>
        <v>331.60747917566</v>
      </c>
      <c r="M37" s="31" t="n">
        <f aca="false">'E2 CigadingExist Input'!$E$43/'E2 CigadingExist Input'!$E$33*10^9</f>
        <v>331.60747917566</v>
      </c>
      <c r="N37" s="31" t="n">
        <f aca="false">'E2 CigadingExist Input'!$E$43/'E2 CigadingExist Input'!$E$33*10^9</f>
        <v>331.60747917566</v>
      </c>
      <c r="O37" s="31" t="n">
        <f aca="false">'E2 CigadingExist Input'!$E$43/'E2 CigadingExist Input'!$E$33*10^9</f>
        <v>331.60747917566</v>
      </c>
      <c r="P37" s="31" t="n">
        <f aca="false">'E2 CigadingExist Input'!$E$43/'E2 CigadingExist Input'!$E$33*10^9</f>
        <v>331.60747917566</v>
      </c>
      <c r="Q37" s="31" t="n">
        <f aca="false">'E2 CigadingExist Input'!$E$43/'E2 CigadingExist Input'!$E$33*10^9</f>
        <v>331.60747917566</v>
      </c>
      <c r="R37" s="31" t="n">
        <f aca="false">'E2 CigadingExist Input'!$E$43/'E2 CigadingExist Input'!$E$33*10^9</f>
        <v>331.60747917566</v>
      </c>
      <c r="S37" s="31" t="n">
        <f aca="false">'E2 CigadingExist Input'!$E$43/'E2 CigadingExist Input'!$E$33*10^9</f>
        <v>331.60747917566</v>
      </c>
    </row>
    <row r="38" customFormat="false" ht="15" hidden="false" customHeight="false" outlineLevel="0" collapsed="false">
      <c r="B38" s="24" t="s">
        <v>1056</v>
      </c>
      <c r="C38" s="25" t="s">
        <v>1019</v>
      </c>
      <c r="F38" s="104" t="n">
        <f aca="false">1</f>
        <v>1</v>
      </c>
      <c r="G38" s="104" t="n">
        <f aca="false">F38*(1+'E2 CigadingExist Input'!G44)*G$8</f>
        <v>1.02</v>
      </c>
      <c r="H38" s="104" t="n">
        <f aca="false">G38*(1+'E2 CigadingExist Input'!H44)*H$8</f>
        <v>1.0404</v>
      </c>
      <c r="I38" s="104" t="n">
        <f aca="false">H38*(1+'E2 CigadingExist Input'!I44)*I$8</f>
        <v>1.061208</v>
      </c>
      <c r="J38" s="104" t="n">
        <f aca="false">I38*(1+'E2 CigadingExist Input'!J44)*J$8</f>
        <v>1.08243216</v>
      </c>
      <c r="K38" s="104" t="n">
        <f aca="false">J38*(1+'E2 CigadingExist Input'!K44)*K$8</f>
        <v>1.1040808032</v>
      </c>
      <c r="L38" s="104" t="n">
        <f aca="false">K38*(1+'E2 CigadingExist Input'!L44)*L$8</f>
        <v>1.126162419264</v>
      </c>
      <c r="M38" s="104" t="n">
        <f aca="false">L38*(1+'E2 CigadingExist Input'!M44)*M$8</f>
        <v>1.14868566764928</v>
      </c>
      <c r="N38" s="104" t="n">
        <f aca="false">M38*(1+'E2 CigadingExist Input'!N44)*N$8</f>
        <v>1.17165938100227</v>
      </c>
      <c r="O38" s="104" t="n">
        <f aca="false">N38*(1+'E2 CigadingExist Input'!O44)*O$8</f>
        <v>1.19509256862231</v>
      </c>
      <c r="P38" s="104" t="n">
        <f aca="false">O38*(1+'E2 CigadingExist Input'!P44)*P$8</f>
        <v>1.21899441999476</v>
      </c>
      <c r="Q38" s="104" t="n">
        <f aca="false">P38*(1+'E2 CigadingExist Input'!Q44)*Q$8</f>
        <v>1.24337430839465</v>
      </c>
      <c r="R38" s="104" t="n">
        <f aca="false">Q38*(1+'E2 CigadingExist Input'!R44)*R$8</f>
        <v>1.26824179456255</v>
      </c>
      <c r="S38" s="104" t="n">
        <f aca="false">R38*(1+'E2 CigadingExist Input'!S44)*S$8</f>
        <v>1.2936066304538</v>
      </c>
    </row>
    <row r="39" customFormat="false" ht="15" hidden="false" customHeight="false" outlineLevel="0" collapsed="false">
      <c r="B39" s="24" t="s">
        <v>1057</v>
      </c>
      <c r="C39" s="25" t="s">
        <v>905</v>
      </c>
      <c r="F39" s="31" t="n">
        <f aca="false">F37*F38</f>
        <v>331.60747917566</v>
      </c>
      <c r="G39" s="31" t="n">
        <f aca="false">G37*G38</f>
        <v>338.239628759173</v>
      </c>
      <c r="H39" s="31" t="n">
        <f aca="false">H37*H38</f>
        <v>345.004421334357</v>
      </c>
      <c r="I39" s="31" t="n">
        <f aca="false">I37*I38</f>
        <v>351.904509761044</v>
      </c>
      <c r="J39" s="31" t="n">
        <f aca="false">J37*J38</f>
        <v>358.942599956265</v>
      </c>
      <c r="K39" s="31" t="n">
        <f aca="false">K37*K38</f>
        <v>366.12145195539</v>
      </c>
      <c r="L39" s="31" t="n">
        <f aca="false">L37*L38</f>
        <v>373.443880994498</v>
      </c>
      <c r="M39" s="31" t="n">
        <f aca="false">M37*M38</f>
        <v>380.912758614388</v>
      </c>
      <c r="N39" s="31" t="n">
        <f aca="false">N37*N38</f>
        <v>388.531013786676</v>
      </c>
      <c r="O39" s="31" t="n">
        <f aca="false">O37*O38</f>
        <v>396.301634062409</v>
      </c>
      <c r="P39" s="31" t="n">
        <f aca="false">P37*P38</f>
        <v>404.227666743657</v>
      </c>
      <c r="Q39" s="31" t="n">
        <f aca="false">Q37*Q38</f>
        <v>412.312220078531</v>
      </c>
      <c r="R39" s="31" t="n">
        <f aca="false">R37*R38</f>
        <v>420.558464480101</v>
      </c>
      <c r="S39" s="31" t="n">
        <f aca="false">S37*S38</f>
        <v>428.969633769703</v>
      </c>
    </row>
    <row r="40" customFormat="false" ht="15" hidden="false" customHeight="false" outlineLevel="0" collapsed="false">
      <c r="B40" s="24" t="s">
        <v>1058</v>
      </c>
      <c r="C40" s="25" t="s">
        <v>170</v>
      </c>
      <c r="E40" s="47" t="n">
        <f aca="false">SUM(F40:S40)</f>
        <v>6.6155623448557</v>
      </c>
      <c r="F40" s="47" t="n">
        <f aca="false">F39*F15/10^9</f>
        <v>0</v>
      </c>
      <c r="G40" s="47" t="n">
        <f aca="false">G39*G15/10^9</f>
        <v>0.372063591635091</v>
      </c>
      <c r="H40" s="47" t="n">
        <f aca="false">H39*H15/10^9</f>
        <v>0.390890009371826</v>
      </c>
      <c r="I40" s="47" t="n">
        <f aca="false">I39*I15/10^9</f>
        <v>0.410669043846041</v>
      </c>
      <c r="J40" s="47" t="n">
        <f aca="false">J39*J15/10^9</f>
        <v>0.43144889746465</v>
      </c>
      <c r="K40" s="47" t="n">
        <f aca="false">K39*K15/10^9</f>
        <v>0.453280211676362</v>
      </c>
      <c r="L40" s="47" t="n">
        <f aca="false">L39*L15/10^9</f>
        <v>0.476216190387186</v>
      </c>
      <c r="M40" s="47" t="n">
        <f aca="false">M39*M15/10^9</f>
        <v>0.500312729620777</v>
      </c>
      <c r="N40" s="47" t="n">
        <f aca="false">N39*N15/10^9</f>
        <v>0.525628553739589</v>
      </c>
      <c r="O40" s="47" t="n">
        <f aca="false">O39*O15/10^9</f>
        <v>0.552225358558812</v>
      </c>
      <c r="P40" s="47" t="n">
        <f aca="false">P39*P15/10^9</f>
        <v>0.580167961701888</v>
      </c>
      <c r="Q40" s="47" t="n">
        <f aca="false">Q39*Q15/10^9</f>
        <v>0.609524460564003</v>
      </c>
      <c r="R40" s="47" t="n">
        <f aca="false">R39*R15/10^9</f>
        <v>0.640366398268542</v>
      </c>
      <c r="S40" s="47" t="n">
        <f aca="false">S39*S15/10^9</f>
        <v>0.67276893802093</v>
      </c>
    </row>
    <row r="41" customFormat="false" ht="15" hidden="false" customHeight="false" outlineLevel="0" collapsed="false">
      <c r="B41" s="24" t="s">
        <v>1046</v>
      </c>
      <c r="C41" s="25" t="s">
        <v>905</v>
      </c>
      <c r="F41" s="31" t="n">
        <f aca="false">'E2 CigadingExist Input'!$E$45/'E2 CigadingExist Input'!$E$33*10^9</f>
        <v>107.080213267307</v>
      </c>
      <c r="G41" s="31" t="n">
        <f aca="false">'E2 CigadingExist Input'!$E$45/'E2 CigadingExist Input'!$E$33*10^9</f>
        <v>107.080213267307</v>
      </c>
      <c r="H41" s="31" t="n">
        <f aca="false">'E2 CigadingExist Input'!$E$45/'E2 CigadingExist Input'!$E$33*10^9</f>
        <v>107.080213267307</v>
      </c>
      <c r="I41" s="31" t="n">
        <f aca="false">'E2 CigadingExist Input'!$E$45/'E2 CigadingExist Input'!$E$33*10^9</f>
        <v>107.080213267307</v>
      </c>
      <c r="J41" s="31" t="n">
        <f aca="false">'E2 CigadingExist Input'!$E$45/'E2 CigadingExist Input'!$E$33*10^9</f>
        <v>107.080213267307</v>
      </c>
      <c r="K41" s="31" t="n">
        <f aca="false">'E2 CigadingExist Input'!$E$45/'E2 CigadingExist Input'!$E$33*10^9</f>
        <v>107.080213267307</v>
      </c>
      <c r="L41" s="31" t="n">
        <f aca="false">'E2 CigadingExist Input'!$E$45/'E2 CigadingExist Input'!$E$33*10^9</f>
        <v>107.080213267307</v>
      </c>
      <c r="M41" s="31" t="n">
        <f aca="false">'E2 CigadingExist Input'!$E$45/'E2 CigadingExist Input'!$E$33*10^9</f>
        <v>107.080213267307</v>
      </c>
      <c r="N41" s="31" t="n">
        <f aca="false">'E2 CigadingExist Input'!$E$45/'E2 CigadingExist Input'!$E$33*10^9</f>
        <v>107.080213267307</v>
      </c>
      <c r="O41" s="31" t="n">
        <f aca="false">'E2 CigadingExist Input'!$E$45/'E2 CigadingExist Input'!$E$33*10^9</f>
        <v>107.080213267307</v>
      </c>
      <c r="P41" s="31" t="n">
        <f aca="false">'E2 CigadingExist Input'!$E$45/'E2 CigadingExist Input'!$E$33*10^9</f>
        <v>107.080213267307</v>
      </c>
      <c r="Q41" s="31" t="n">
        <f aca="false">'E2 CigadingExist Input'!$E$45/'E2 CigadingExist Input'!$E$33*10^9</f>
        <v>107.080213267307</v>
      </c>
      <c r="R41" s="31" t="n">
        <f aca="false">'E2 CigadingExist Input'!$E$45/'E2 CigadingExist Input'!$E$33*10^9</f>
        <v>107.080213267307</v>
      </c>
      <c r="S41" s="31" t="n">
        <f aca="false">'E2 CigadingExist Input'!$E$45/'E2 CigadingExist Input'!$E$33*10^9</f>
        <v>107.080213267307</v>
      </c>
    </row>
    <row r="42" customFormat="false" ht="15" hidden="false" customHeight="false" outlineLevel="0" collapsed="false">
      <c r="B42" s="24" t="s">
        <v>1047</v>
      </c>
      <c r="C42" s="25" t="s">
        <v>1019</v>
      </c>
      <c r="F42" s="104" t="n">
        <f aca="false">1</f>
        <v>1</v>
      </c>
      <c r="G42" s="104" t="n">
        <f aca="false">F42*(1+'E2 CigadingExist Input'!G46)*G$8</f>
        <v>1.035</v>
      </c>
      <c r="H42" s="104" t="n">
        <f aca="false">G42*(1+'E2 CigadingExist Input'!H46)*H$8</f>
        <v>1.071225</v>
      </c>
      <c r="I42" s="104" t="n">
        <f aca="false">H42*(1+'E2 CigadingExist Input'!I46)*I$8</f>
        <v>1.108717875</v>
      </c>
      <c r="J42" s="104" t="n">
        <f aca="false">I42*(1+'E2 CigadingExist Input'!J46)*J$8</f>
        <v>1.147523000625</v>
      </c>
      <c r="K42" s="104" t="n">
        <f aca="false">J42*(1+'E2 CigadingExist Input'!K46)*K$8</f>
        <v>1.18768630564687</v>
      </c>
      <c r="L42" s="104" t="n">
        <f aca="false">K42*(1+'E2 CigadingExist Input'!L46)*L$8</f>
        <v>1.22925532634452</v>
      </c>
      <c r="M42" s="104" t="n">
        <f aca="false">L42*(1+'E2 CigadingExist Input'!M46)*M$8</f>
        <v>1.27227926276657</v>
      </c>
      <c r="N42" s="104" t="n">
        <f aca="false">M42*(1+'E2 CigadingExist Input'!N46)*N$8</f>
        <v>1.3168090369634</v>
      </c>
      <c r="O42" s="104" t="n">
        <f aca="false">N42*(1+'E2 CigadingExist Input'!O46)*O$8</f>
        <v>1.36289735325712</v>
      </c>
      <c r="P42" s="104" t="n">
        <f aca="false">O42*(1+'E2 CigadingExist Input'!P46)*P$8</f>
        <v>1.41059876062112</v>
      </c>
      <c r="Q42" s="104" t="n">
        <f aca="false">P42*(1+'E2 CigadingExist Input'!Q46)*Q$8</f>
        <v>1.45996971724286</v>
      </c>
      <c r="R42" s="104" t="n">
        <f aca="false">Q42*(1+'E2 CigadingExist Input'!R46)*R$8</f>
        <v>1.51106865734636</v>
      </c>
      <c r="S42" s="104" t="n">
        <f aca="false">R42*(1+'E2 CigadingExist Input'!S46)*S$8</f>
        <v>1.56395606035348</v>
      </c>
    </row>
    <row r="43" customFormat="false" ht="15" hidden="false" customHeight="false" outlineLevel="0" collapsed="false">
      <c r="B43" s="24" t="s">
        <v>1048</v>
      </c>
      <c r="C43" s="25" t="s">
        <v>905</v>
      </c>
      <c r="F43" s="31" t="n">
        <f aca="false">F41*F42</f>
        <v>107.080213267307</v>
      </c>
      <c r="G43" s="31" t="n">
        <f aca="false">G41*G42</f>
        <v>110.828020731663</v>
      </c>
      <c r="H43" s="31" t="n">
        <f aca="false">H41*H42</f>
        <v>114.707001457271</v>
      </c>
      <c r="I43" s="31" t="n">
        <f aca="false">I41*I42</f>
        <v>118.721746508275</v>
      </c>
      <c r="J43" s="31" t="n">
        <f aca="false">J41*J42</f>
        <v>122.877007636065</v>
      </c>
      <c r="K43" s="31" t="n">
        <f aca="false">K41*K42</f>
        <v>127.177702903327</v>
      </c>
      <c r="L43" s="31" t="n">
        <f aca="false">L41*L42</f>
        <v>131.628922504944</v>
      </c>
      <c r="M43" s="31" t="n">
        <f aca="false">M41*M42</f>
        <v>136.235934792617</v>
      </c>
      <c r="N43" s="31" t="n">
        <f aca="false">N41*N42</f>
        <v>141.004192510358</v>
      </c>
      <c r="O43" s="31" t="n">
        <f aca="false">O41*O42</f>
        <v>145.939339248221</v>
      </c>
      <c r="P43" s="31" t="n">
        <f aca="false">P41*P42</f>
        <v>151.047216121909</v>
      </c>
      <c r="Q43" s="31" t="n">
        <f aca="false">Q41*Q42</f>
        <v>156.333868686175</v>
      </c>
      <c r="R43" s="31" t="n">
        <f aca="false">R41*R42</f>
        <v>161.805554090191</v>
      </c>
      <c r="S43" s="31" t="n">
        <f aca="false">S41*S42</f>
        <v>167.468748483348</v>
      </c>
    </row>
    <row r="44" customFormat="false" ht="15" hidden="false" customHeight="false" outlineLevel="0" collapsed="false">
      <c r="B44" s="24" t="s">
        <v>1049</v>
      </c>
      <c r="C44" s="25" t="s">
        <v>170</v>
      </c>
      <c r="E44" s="47" t="n">
        <f aca="false">SUM(F44:S44)</f>
        <v>2.39340606315654</v>
      </c>
      <c r="F44" s="47" t="n">
        <f aca="false">F43*F15/10^9</f>
        <v>0</v>
      </c>
      <c r="G44" s="47" t="n">
        <f aca="false">G43*G15/10^9</f>
        <v>0.121910822804829</v>
      </c>
      <c r="H44" s="47" t="n">
        <f aca="false">H43*H15/10^9</f>
        <v>0.129963032651088</v>
      </c>
      <c r="I44" s="47" t="n">
        <f aca="false">I43*I15/10^9</f>
        <v>0.138547090957692</v>
      </c>
      <c r="J44" s="47" t="n">
        <f aca="false">J43*J15/10^9</f>
        <v>0.147698126315448</v>
      </c>
      <c r="K44" s="47" t="n">
        <f aca="false">K43*K15/10^9</f>
        <v>0.157453587558583</v>
      </c>
      <c r="L44" s="47" t="n">
        <f aca="false">L43*L15/10^9</f>
        <v>0.167853397016828</v>
      </c>
      <c r="M44" s="47" t="n">
        <f aca="false">M43*M15/10^9</f>
        <v>0.178940113889789</v>
      </c>
      <c r="N44" s="47" t="n">
        <f aca="false">N43*N15/10^9</f>
        <v>0.19075910841221</v>
      </c>
      <c r="O44" s="47" t="n">
        <f aca="false">O43*O15/10^9</f>
        <v>0.203358747522836</v>
      </c>
      <c r="P44" s="47" t="n">
        <f aca="false">P43*P15/10^9</f>
        <v>0.216790592796719</v>
      </c>
      <c r="Q44" s="47" t="n">
        <f aca="false">Q43*Q15/10^9</f>
        <v>0.231109611450943</v>
      </c>
      <c r="R44" s="47" t="n">
        <f aca="false">R43*R15/10^9</f>
        <v>0.246374401287277</v>
      </c>
      <c r="S44" s="47" t="n">
        <f aca="false">S43*S15/10^9</f>
        <v>0.262647430492302</v>
      </c>
    </row>
    <row r="45" customFormat="false" ht="15" hidden="false" customHeight="false" outlineLevel="0" collapsed="false">
      <c r="B45" s="24" t="s">
        <v>1051</v>
      </c>
      <c r="C45" s="25" t="s">
        <v>905</v>
      </c>
      <c r="F45" s="31" t="n">
        <f aca="false">'E2 CigadingExist Input'!$E$47/'E2 CigadingExist Input'!$E$33*10^9</f>
        <v>35.500214856634</v>
      </c>
      <c r="G45" s="31" t="n">
        <f aca="false">'E2 CigadingExist Input'!$E$47/'E2 CigadingExist Input'!$E$33*10^9</f>
        <v>35.500214856634</v>
      </c>
      <c r="H45" s="31" t="n">
        <f aca="false">'E2 CigadingExist Input'!$E$47/'E2 CigadingExist Input'!$E$33*10^9</f>
        <v>35.500214856634</v>
      </c>
      <c r="I45" s="31" t="n">
        <f aca="false">'E2 CigadingExist Input'!$E$47/'E2 CigadingExist Input'!$E$33*10^9</f>
        <v>35.500214856634</v>
      </c>
      <c r="J45" s="31" t="n">
        <f aca="false">'E2 CigadingExist Input'!$E$47/'E2 CigadingExist Input'!$E$33*10^9</f>
        <v>35.500214856634</v>
      </c>
      <c r="K45" s="31" t="n">
        <f aca="false">'E2 CigadingExist Input'!$E$47/'E2 CigadingExist Input'!$E$33*10^9</f>
        <v>35.500214856634</v>
      </c>
      <c r="L45" s="31" t="n">
        <f aca="false">'E2 CigadingExist Input'!$E$47/'E2 CigadingExist Input'!$E$33*10^9</f>
        <v>35.500214856634</v>
      </c>
      <c r="M45" s="31" t="n">
        <f aca="false">'E2 CigadingExist Input'!$E$47/'E2 CigadingExist Input'!$E$33*10^9</f>
        <v>35.500214856634</v>
      </c>
      <c r="N45" s="31" t="n">
        <f aca="false">'E2 CigadingExist Input'!$E$47/'E2 CigadingExist Input'!$E$33*10^9</f>
        <v>35.500214856634</v>
      </c>
      <c r="O45" s="31" t="n">
        <f aca="false">'E2 CigadingExist Input'!$E$47/'E2 CigadingExist Input'!$E$33*10^9</f>
        <v>35.500214856634</v>
      </c>
      <c r="P45" s="31" t="n">
        <f aca="false">'E2 CigadingExist Input'!$E$47/'E2 CigadingExist Input'!$E$33*10^9</f>
        <v>35.500214856634</v>
      </c>
      <c r="Q45" s="31" t="n">
        <f aca="false">'E2 CigadingExist Input'!$E$47/'E2 CigadingExist Input'!$E$33*10^9</f>
        <v>35.500214856634</v>
      </c>
      <c r="R45" s="31" t="n">
        <f aca="false">'E2 CigadingExist Input'!$E$47/'E2 CigadingExist Input'!$E$33*10^9</f>
        <v>35.500214856634</v>
      </c>
      <c r="S45" s="31" t="n">
        <f aca="false">'E2 CigadingExist Input'!$E$47/'E2 CigadingExist Input'!$E$33*10^9</f>
        <v>35.500214856634</v>
      </c>
    </row>
    <row r="46" customFormat="false" ht="15" hidden="false" customHeight="false" outlineLevel="0" collapsed="false">
      <c r="B46" s="24" t="s">
        <v>1052</v>
      </c>
      <c r="C46" s="25" t="s">
        <v>1019</v>
      </c>
      <c r="F46" s="104" t="n">
        <f aca="false">1</f>
        <v>1</v>
      </c>
      <c r="G46" s="104" t="n">
        <f aca="false">F46*(1+'E2 CigadingExist Input'!G48)*G$8</f>
        <v>1.035</v>
      </c>
      <c r="H46" s="104" t="n">
        <f aca="false">G46*(1+'E2 CigadingExist Input'!H48)*H$8</f>
        <v>1.071225</v>
      </c>
      <c r="I46" s="104" t="n">
        <f aca="false">H46*(1+'E2 CigadingExist Input'!I48)*I$8</f>
        <v>1.108717875</v>
      </c>
      <c r="J46" s="104" t="n">
        <f aca="false">I46*(1+'E2 CigadingExist Input'!J48)*J$8</f>
        <v>1.147523000625</v>
      </c>
      <c r="K46" s="104" t="n">
        <f aca="false">J46*(1+'E2 CigadingExist Input'!K48)*K$8</f>
        <v>1.18768630564687</v>
      </c>
      <c r="L46" s="104" t="n">
        <f aca="false">K46*(1+'E2 CigadingExist Input'!L48)*L$8</f>
        <v>1.22925532634452</v>
      </c>
      <c r="M46" s="104" t="n">
        <f aca="false">L46*(1+'E2 CigadingExist Input'!M48)*M$8</f>
        <v>1.27227926276657</v>
      </c>
      <c r="N46" s="104" t="n">
        <f aca="false">M46*(1+'E2 CigadingExist Input'!N48)*N$8</f>
        <v>1.3168090369634</v>
      </c>
      <c r="O46" s="104" t="n">
        <f aca="false">N46*(1+'E2 CigadingExist Input'!O48)*O$8</f>
        <v>1.36289735325712</v>
      </c>
      <c r="P46" s="104" t="n">
        <f aca="false">O46*(1+'E2 CigadingExist Input'!P48)*P$8</f>
        <v>1.41059876062112</v>
      </c>
      <c r="Q46" s="104" t="n">
        <f aca="false">P46*(1+'E2 CigadingExist Input'!Q48)*Q$8</f>
        <v>1.45996971724286</v>
      </c>
      <c r="R46" s="104" t="n">
        <f aca="false">Q46*(1+'E2 CigadingExist Input'!R48)*R$8</f>
        <v>1.51106865734636</v>
      </c>
      <c r="S46" s="104" t="n">
        <f aca="false">R46*(1+'E2 CigadingExist Input'!S48)*S$8</f>
        <v>1.56395606035348</v>
      </c>
    </row>
    <row r="47" customFormat="false" ht="15" hidden="false" customHeight="false" outlineLevel="0" collapsed="false">
      <c r="B47" s="24" t="s">
        <v>1053</v>
      </c>
      <c r="C47" s="25" t="s">
        <v>905</v>
      </c>
      <c r="F47" s="31" t="n">
        <f aca="false">F45*F46</f>
        <v>35.500214856634</v>
      </c>
      <c r="G47" s="31" t="n">
        <f aca="false">G45*G46</f>
        <v>36.7427223766162</v>
      </c>
      <c r="H47" s="31" t="n">
        <f aca="false">H45*H46</f>
        <v>38.0287176597977</v>
      </c>
      <c r="I47" s="31" t="n">
        <f aca="false">I45*I46</f>
        <v>39.3597227778907</v>
      </c>
      <c r="J47" s="31" t="n">
        <f aca="false">J45*J46</f>
        <v>40.7373130751168</v>
      </c>
      <c r="K47" s="31" t="n">
        <f aca="false">K45*K46</f>
        <v>42.1631190327459</v>
      </c>
      <c r="L47" s="31" t="n">
        <f aca="false">L45*L46</f>
        <v>43.638828198892</v>
      </c>
      <c r="M47" s="31" t="n">
        <f aca="false">M45*M46</f>
        <v>45.1661871858532</v>
      </c>
      <c r="N47" s="31" t="n">
        <f aca="false">N45*N46</f>
        <v>46.7470037373581</v>
      </c>
      <c r="O47" s="31" t="n">
        <f aca="false">O45*O46</f>
        <v>48.3831488681656</v>
      </c>
      <c r="P47" s="31" t="n">
        <f aca="false">P45*P46</f>
        <v>50.0765590785514</v>
      </c>
      <c r="Q47" s="31" t="n">
        <f aca="false">Q45*Q46</f>
        <v>51.8292386463007</v>
      </c>
      <c r="R47" s="31" t="n">
        <f aca="false">R45*R46</f>
        <v>53.6432619989212</v>
      </c>
      <c r="S47" s="31" t="n">
        <f aca="false">S45*S46</f>
        <v>55.5207761688835</v>
      </c>
    </row>
    <row r="48" customFormat="false" ht="15" hidden="false" customHeight="false" outlineLevel="0" collapsed="false">
      <c r="B48" s="24" t="s">
        <v>1054</v>
      </c>
      <c r="C48" s="25" t="s">
        <v>170</v>
      </c>
      <c r="E48" s="47" t="n">
        <f aca="false">SUM(F48:S48)</f>
        <v>0.793483939643676</v>
      </c>
      <c r="F48" s="47" t="n">
        <f aca="false">F47*F15/10^9</f>
        <v>0</v>
      </c>
      <c r="G48" s="47" t="n">
        <f aca="false">G47*G15/10^9</f>
        <v>0.0404169946142778</v>
      </c>
      <c r="H48" s="47" t="n">
        <f aca="false">H47*H15/10^9</f>
        <v>0.0430865371085508</v>
      </c>
      <c r="I48" s="47" t="n">
        <f aca="false">I47*I15/10^9</f>
        <v>0.0459324028845706</v>
      </c>
      <c r="J48" s="47" t="n">
        <f aca="false">J47*J15/10^9</f>
        <v>0.0489662380950965</v>
      </c>
      <c r="K48" s="47" t="n">
        <f aca="false">K47*K15/10^9</f>
        <v>0.0522004581212776</v>
      </c>
      <c r="L48" s="47" t="n">
        <f aca="false">L47*L15/10^9</f>
        <v>0.055648298380188</v>
      </c>
      <c r="M48" s="47" t="n">
        <f aca="false">M47*M15/10^9</f>
        <v>0.0593238684881994</v>
      </c>
      <c r="N48" s="47" t="n">
        <f aca="false">N47*N15/10^9</f>
        <v>0.063242210001845</v>
      </c>
      <c r="O48" s="47" t="n">
        <f aca="false">O47*O15/10^9</f>
        <v>0.0674193579724669</v>
      </c>
      <c r="P48" s="47" t="n">
        <f aca="false">P47*P15/10^9</f>
        <v>0.0718724065665483</v>
      </c>
      <c r="Q48" s="47" t="n">
        <f aca="false">Q47*Q15/10^9</f>
        <v>0.0766195790202688</v>
      </c>
      <c r="R48" s="47" t="n">
        <f aca="false">R47*R15/10^9</f>
        <v>0.0816803022145576</v>
      </c>
      <c r="S48" s="47" t="n">
        <f aca="false">S47*S15/10^9</f>
        <v>0.0870752861758291</v>
      </c>
    </row>
    <row r="49" customFormat="false" ht="15" hidden="false" customHeight="false" outlineLevel="0" collapsed="false">
      <c r="B49" s="24" t="s">
        <v>1211</v>
      </c>
      <c r="C49" s="25" t="s">
        <v>1019</v>
      </c>
      <c r="F49" s="104" t="n">
        <f aca="false">1</f>
        <v>1</v>
      </c>
      <c r="G49" s="104" t="n">
        <f aca="false">F49*(1+'E2 CigadingExist Input'!G50)*G$8</f>
        <v>1.02</v>
      </c>
      <c r="H49" s="104" t="n">
        <f aca="false">G49*(1+'E2 CigadingExist Input'!H50)*H$8</f>
        <v>1.0404</v>
      </c>
      <c r="I49" s="104" t="n">
        <f aca="false">H49*(1+'E2 CigadingExist Input'!I50)*I$8</f>
        <v>1.061208</v>
      </c>
      <c r="J49" s="104" t="n">
        <f aca="false">I49*(1+'E2 CigadingExist Input'!J50)*J$8</f>
        <v>1.08243216</v>
      </c>
      <c r="K49" s="104" t="n">
        <f aca="false">J49*(1+'E2 CigadingExist Input'!K50)*K$8</f>
        <v>1.1040808032</v>
      </c>
      <c r="L49" s="104" t="n">
        <f aca="false">K49*(1+'E2 CigadingExist Input'!L50)*L$8</f>
        <v>1.126162419264</v>
      </c>
      <c r="M49" s="104" t="n">
        <f aca="false">L49*(1+'E2 CigadingExist Input'!M50)*M$8</f>
        <v>1.14868566764928</v>
      </c>
      <c r="N49" s="104" t="n">
        <f aca="false">M49*(1+'E2 CigadingExist Input'!N50)*N$8</f>
        <v>1.17165938100227</v>
      </c>
      <c r="O49" s="104" t="n">
        <f aca="false">N49*(1+'E2 CigadingExist Input'!O50)*O$8</f>
        <v>1.19509256862231</v>
      </c>
      <c r="P49" s="104" t="n">
        <f aca="false">O49*(1+'E2 CigadingExist Input'!P50)*P$8</f>
        <v>1.21899441999476</v>
      </c>
      <c r="Q49" s="104" t="n">
        <f aca="false">P49*(1+'E2 CigadingExist Input'!Q50)*Q$8</f>
        <v>1.24337430839465</v>
      </c>
      <c r="R49" s="104" t="n">
        <f aca="false">Q49*(1+'E2 CigadingExist Input'!R50)*R$8</f>
        <v>1.26824179456255</v>
      </c>
      <c r="S49" s="104" t="n">
        <f aca="false">R49*(1+'E2 CigadingExist Input'!S50)*S$8</f>
        <v>1.2936066304538</v>
      </c>
    </row>
    <row r="50" customFormat="false" ht="15" hidden="false" customHeight="false" outlineLevel="0" collapsed="false">
      <c r="B50" s="24" t="s">
        <v>1212</v>
      </c>
      <c r="C50" s="25" t="s">
        <v>170</v>
      </c>
      <c r="E50" s="47" t="n">
        <f aca="false">SUM(F50:S50)</f>
        <v>0.037434845382859</v>
      </c>
      <c r="F50" s="47" t="n">
        <f aca="false">'E2 CigadingExist Input'!$E$49*F49*F$8</f>
        <v>0</v>
      </c>
      <c r="G50" s="47" t="n">
        <f aca="false">'E2 CigadingExist Input'!$E$49*G49*G$8</f>
        <v>0.00255</v>
      </c>
      <c r="H50" s="47" t="n">
        <f aca="false">'E2 CigadingExist Input'!$E$49*H49*H$8</f>
        <v>0.002601</v>
      </c>
      <c r="I50" s="47" t="n">
        <f aca="false">'E2 CigadingExist Input'!$E$49*I49*I$8</f>
        <v>0.00265302</v>
      </c>
      <c r="J50" s="47" t="n">
        <f aca="false">'E2 CigadingExist Input'!$E$49*J49*J$8</f>
        <v>0.0027060804</v>
      </c>
      <c r="K50" s="47" t="n">
        <f aca="false">'E2 CigadingExist Input'!$E$49*K49*K$8</f>
        <v>0.002760202008</v>
      </c>
      <c r="L50" s="47" t="n">
        <f aca="false">'E2 CigadingExist Input'!$E$49*L49*L$8</f>
        <v>0.00281540604816</v>
      </c>
      <c r="M50" s="47" t="n">
        <f aca="false">'E2 CigadingExist Input'!$E$49*M49*M$8</f>
        <v>0.0028717141691232</v>
      </c>
      <c r="N50" s="47" t="n">
        <f aca="false">'E2 CigadingExist Input'!$E$49*N49*N$8</f>
        <v>0.00292914845250566</v>
      </c>
      <c r="O50" s="47" t="n">
        <f aca="false">'E2 CigadingExist Input'!$E$49*O49*O$8</f>
        <v>0.00298773142155578</v>
      </c>
      <c r="P50" s="47" t="n">
        <f aca="false">'E2 CigadingExist Input'!$E$49*P49*P$8</f>
        <v>0.00304748604998689</v>
      </c>
      <c r="Q50" s="47" t="n">
        <f aca="false">'E2 CigadingExist Input'!$E$49*Q49*Q$8</f>
        <v>0.00310843577098663</v>
      </c>
      <c r="R50" s="47" t="n">
        <f aca="false">'E2 CigadingExist Input'!$E$49*R49*R$8</f>
        <v>0.00317060448640636</v>
      </c>
      <c r="S50" s="47" t="n">
        <f aca="false">'E2 CigadingExist Input'!$E$49*S49*S$8</f>
        <v>0.00323401657613449</v>
      </c>
    </row>
    <row r="51" customFormat="false" ht="15" hidden="false" customHeight="false" outlineLevel="0" collapsed="false">
      <c r="B51" s="69" t="s">
        <v>1059</v>
      </c>
      <c r="C51" s="25" t="s">
        <v>170</v>
      </c>
      <c r="E51" s="70" t="n">
        <f aca="false">SUM(F51:S51)</f>
        <v>224.666008363355</v>
      </c>
      <c r="F51" s="68" t="n">
        <f aca="false">F21+F25+F27+F31+F32+F36+F40+F44+F48+F50</f>
        <v>0</v>
      </c>
      <c r="G51" s="68" t="n">
        <f aca="false">G21+G25+G27+G31+G32+G36+G40+G44+G48+G50</f>
        <v>13.4217053445047</v>
      </c>
      <c r="H51" s="68" t="n">
        <f aca="false">H21+H25+H27+H31+H32+H36+H40+H44+H48+H50</f>
        <v>13.9505449429315</v>
      </c>
      <c r="I51" s="68" t="n">
        <f aca="false">I21+I25+I27+I31+I32+I36+I40+I44+I48+I50</f>
        <v>14.5375136097626</v>
      </c>
      <c r="J51" s="68" t="n">
        <f aca="false">J21+J25+J27+J31+J32+J36+J40+J44+J48+J50</f>
        <v>15.1175416690317</v>
      </c>
      <c r="K51" s="68" t="n">
        <f aca="false">K21+K25+K27+K31+K32+K36+K40+K44+K48+K50</f>
        <v>15.7251300285961</v>
      </c>
      <c r="L51" s="68" t="n">
        <f aca="false">L21+L25+L27+L31+L32+L36+L40+L44+L48+L50</f>
        <v>16.3948515285434</v>
      </c>
      <c r="M51" s="68" t="n">
        <f aca="false">M21+M25+M27+M31+M32+M36+M40+M44+M48+M50</f>
        <v>17.0618525121731</v>
      </c>
      <c r="N51" s="68" t="n">
        <f aca="false">N21+N25+N27+N31+N32+N36+N40+N44+N48+N50</f>
        <v>17.760862087737</v>
      </c>
      <c r="O51" s="68" t="n">
        <f aca="false">O21+O25+O27+O31+O32+O36+O40+O44+O48+O50</f>
        <v>18.5266941849183</v>
      </c>
      <c r="P51" s="68" t="n">
        <f aca="false">P21+P25+P27+P31+P32+P36+P40+P44+P48+P50</f>
        <v>19.2947498758668</v>
      </c>
      <c r="Q51" s="68" t="n">
        <f aca="false">Q21+Q25+Q27+Q31+Q32+Q36+Q40+Q44+Q48+Q50</f>
        <v>20.1000274314958</v>
      </c>
      <c r="R51" s="68" t="n">
        <f aca="false">R21+R25+R27+R31+R32+R36+R40+R44+R48+R50</f>
        <v>20.9444577246937</v>
      </c>
      <c r="S51" s="68" t="n">
        <f aca="false">S21+S25+S27+S31+S32+S36+S40+S44+S48+S50</f>
        <v>21.8300774231007</v>
      </c>
    </row>
    <row r="53" customFormat="false" ht="15" hidden="false" customHeight="false" outlineLevel="0" collapsed="false">
      <c r="B53" s="22" t="s">
        <v>1060</v>
      </c>
      <c r="C53" s="23"/>
      <c r="D53" s="23"/>
      <c r="E53" s="23"/>
      <c r="F53" s="23"/>
      <c r="G53" s="23"/>
      <c r="H53" s="23"/>
      <c r="I53" s="23"/>
      <c r="J53" s="23"/>
      <c r="K53" s="23"/>
      <c r="L53" s="23"/>
      <c r="M53" s="23"/>
      <c r="N53" s="23"/>
      <c r="O53" s="23"/>
      <c r="P53" s="23"/>
      <c r="Q53" s="23"/>
      <c r="R53" s="23"/>
      <c r="S53" s="23"/>
    </row>
    <row r="54" customFormat="false" ht="15" hidden="false" customHeight="false" outlineLevel="0" collapsed="false">
      <c r="B54" s="24" t="s">
        <v>1063</v>
      </c>
      <c r="C54" s="25" t="s">
        <v>1019</v>
      </c>
      <c r="F54" s="104" t="n">
        <f aca="false">1</f>
        <v>1</v>
      </c>
      <c r="G54" s="104" t="n">
        <f aca="false">F54*(1+'E2 CigadingExist Input'!G58)*G$8</f>
        <v>1.035</v>
      </c>
      <c r="H54" s="104" t="n">
        <f aca="false">G54*(1+'E2 CigadingExist Input'!H58)*H$8</f>
        <v>1.071225</v>
      </c>
      <c r="I54" s="104" t="n">
        <f aca="false">H54*(1+'E2 CigadingExist Input'!I58)*I$8</f>
        <v>1.108717875</v>
      </c>
      <c r="J54" s="104" t="n">
        <f aca="false">I54*(1+'E2 CigadingExist Input'!J58)*J$8</f>
        <v>1.147523000625</v>
      </c>
      <c r="K54" s="104" t="n">
        <f aca="false">J54*(1+'E2 CigadingExist Input'!K58)*K$8</f>
        <v>1.18768630564687</v>
      </c>
      <c r="L54" s="104" t="n">
        <f aca="false">K54*(1+'E2 CigadingExist Input'!L58)*L$8</f>
        <v>1.22925532634452</v>
      </c>
      <c r="M54" s="104" t="n">
        <f aca="false">L54*(1+'E2 CigadingExist Input'!M58)*M$8</f>
        <v>1.27227926276657</v>
      </c>
      <c r="N54" s="104" t="n">
        <f aca="false">M54*(1+'E2 CigadingExist Input'!N58)*N$8</f>
        <v>1.3168090369634</v>
      </c>
      <c r="O54" s="104" t="n">
        <f aca="false">N54*(1+'E2 CigadingExist Input'!O58)*O$8</f>
        <v>1.36289735325712</v>
      </c>
      <c r="P54" s="104" t="n">
        <f aca="false">O54*(1+'E2 CigadingExist Input'!P58)*P$8</f>
        <v>1.41059876062112</v>
      </c>
      <c r="Q54" s="104" t="n">
        <f aca="false">P54*(1+'E2 CigadingExist Input'!Q58)*Q$8</f>
        <v>1.45996971724286</v>
      </c>
      <c r="R54" s="104" t="n">
        <f aca="false">Q54*(1+'E2 CigadingExist Input'!R58)*R$8</f>
        <v>1.51106865734636</v>
      </c>
      <c r="S54" s="104" t="n">
        <f aca="false">R54*(1+'E2 CigadingExist Input'!S58)*S$8</f>
        <v>1.56395606035348</v>
      </c>
    </row>
    <row r="55" customFormat="false" ht="15" hidden="false" customHeight="false" outlineLevel="0" collapsed="false">
      <c r="B55" s="24" t="s">
        <v>1064</v>
      </c>
      <c r="C55" s="25" t="s">
        <v>170</v>
      </c>
      <c r="E55" s="47" t="n">
        <f aca="false">SUM(F55:S55)</f>
        <v>71.269101193081</v>
      </c>
      <c r="F55" s="47" t="n">
        <f aca="false">'E2 CigadingExist Input'!$E$57*F54*F$8</f>
        <v>0</v>
      </c>
      <c r="G55" s="47" t="n">
        <f aca="false">'E2 CigadingExist Input'!$E$57*G54*G$8</f>
        <v>4.4230725</v>
      </c>
      <c r="H55" s="47" t="n">
        <f aca="false">'E2 CigadingExist Input'!$E$57*H54*H$8</f>
        <v>4.5778800375</v>
      </c>
      <c r="I55" s="47" t="n">
        <f aca="false">'E2 CigadingExist Input'!$E$57*I54*I$8</f>
        <v>4.7381058388125</v>
      </c>
      <c r="J55" s="47" t="n">
        <f aca="false">'E2 CigadingExist Input'!$E$57*J54*J$8</f>
        <v>4.90393954317094</v>
      </c>
      <c r="K55" s="47" t="n">
        <f aca="false">'E2 CigadingExist Input'!$E$57*K54*K$8</f>
        <v>5.07557742718192</v>
      </c>
      <c r="L55" s="47" t="n">
        <f aca="false">'E2 CigadingExist Input'!$E$57*L54*L$8</f>
        <v>5.25322263713329</v>
      </c>
      <c r="M55" s="47" t="n">
        <f aca="false">'E2 CigadingExist Input'!$E$57*M54*M$8</f>
        <v>5.43708542943295</v>
      </c>
      <c r="N55" s="47" t="n">
        <f aca="false">'E2 CigadingExist Input'!$E$57*N54*N$8</f>
        <v>5.6273834194631</v>
      </c>
      <c r="O55" s="47" t="n">
        <f aca="false">'E2 CigadingExist Input'!$E$57*O54*O$8</f>
        <v>5.82434183914431</v>
      </c>
      <c r="P55" s="47" t="n">
        <f aca="false">'E2 CigadingExist Input'!$E$57*P54*P$8</f>
        <v>6.02819380351436</v>
      </c>
      <c r="Q55" s="47" t="n">
        <f aca="false">'E2 CigadingExist Input'!$E$57*Q54*Q$8</f>
        <v>6.23918058663736</v>
      </c>
      <c r="R55" s="47" t="n">
        <f aca="false">'E2 CigadingExist Input'!$E$57*R54*R$8</f>
        <v>6.45755190716967</v>
      </c>
      <c r="S55" s="47" t="n">
        <f aca="false">'E2 CigadingExist Input'!$E$57*S54*S$8</f>
        <v>6.68356622392061</v>
      </c>
    </row>
    <row r="56" customFormat="false" ht="15" hidden="false" customHeight="false" outlineLevel="0" collapsed="false">
      <c r="B56" s="24" t="s">
        <v>1061</v>
      </c>
      <c r="C56" s="25" t="s">
        <v>1019</v>
      </c>
      <c r="F56" s="104" t="n">
        <f aca="false">1</f>
        <v>1</v>
      </c>
      <c r="G56" s="104" t="n">
        <f aca="false">F56*(1+'E2 CigadingExist Input'!G60)*G$8</f>
        <v>1.03</v>
      </c>
      <c r="H56" s="104" t="n">
        <f aca="false">G56*(1+'E2 CigadingExist Input'!H60)*H$8</f>
        <v>1.0609</v>
      </c>
      <c r="I56" s="104" t="n">
        <f aca="false">H56*(1+'E2 CigadingExist Input'!I60)*I$8</f>
        <v>1.092727</v>
      </c>
      <c r="J56" s="104" t="n">
        <f aca="false">I56*(1+'E2 CigadingExist Input'!J60)*J$8</f>
        <v>1.12550881</v>
      </c>
      <c r="K56" s="104" t="n">
        <f aca="false">J56*(1+'E2 CigadingExist Input'!K60)*K$8</f>
        <v>1.1592740743</v>
      </c>
      <c r="L56" s="104" t="n">
        <f aca="false">K56*(1+'E2 CigadingExist Input'!L60)*L$8</f>
        <v>1.194052296529</v>
      </c>
      <c r="M56" s="104" t="n">
        <f aca="false">L56*(1+'E2 CigadingExist Input'!M60)*M$8</f>
        <v>1.22987386542487</v>
      </c>
      <c r="N56" s="104" t="n">
        <f aca="false">M56*(1+'E2 CigadingExist Input'!N60)*N$8</f>
        <v>1.26677008138762</v>
      </c>
      <c r="O56" s="104" t="n">
        <f aca="false">N56*(1+'E2 CigadingExist Input'!O60)*O$8</f>
        <v>1.30477318382925</v>
      </c>
      <c r="P56" s="104" t="n">
        <f aca="false">O56*(1+'E2 CigadingExist Input'!P60)*P$8</f>
        <v>1.34391637934412</v>
      </c>
      <c r="Q56" s="104" t="n">
        <f aca="false">P56*(1+'E2 CigadingExist Input'!Q60)*Q$8</f>
        <v>1.38423387072445</v>
      </c>
      <c r="R56" s="104" t="n">
        <f aca="false">Q56*(1+'E2 CigadingExist Input'!R60)*R$8</f>
        <v>1.42576088684618</v>
      </c>
      <c r="S56" s="104" t="n">
        <f aca="false">R56*(1+'E2 CigadingExist Input'!S60)*S$8</f>
        <v>1.46853371345156</v>
      </c>
    </row>
    <row r="57" customFormat="false" ht="15" hidden="false" customHeight="false" outlineLevel="0" collapsed="false">
      <c r="B57" s="24" t="s">
        <v>1062</v>
      </c>
      <c r="C57" s="25" t="s">
        <v>170</v>
      </c>
      <c r="E57" s="47" t="n">
        <f aca="false">SUM(F57:S57)</f>
        <v>49.5058234712951</v>
      </c>
      <c r="F57" s="47" t="n">
        <f aca="false">'E2 CigadingExist Input'!$E$59*F56*F$8</f>
        <v>0</v>
      </c>
      <c r="G57" s="47" t="n">
        <f aca="false">'E2 CigadingExist Input'!$E$59*G56*G$8</f>
        <v>3.1698353</v>
      </c>
      <c r="H57" s="47" t="n">
        <f aca="false">'E2 CigadingExist Input'!$E$59*H56*H$8</f>
        <v>3.264930359</v>
      </c>
      <c r="I57" s="47" t="n">
        <f aca="false">'E2 CigadingExist Input'!$E$59*I56*I$8</f>
        <v>3.36287826977</v>
      </c>
      <c r="J57" s="47" t="n">
        <f aca="false">'E2 CigadingExist Input'!$E$59*J56*J$8</f>
        <v>3.4637646178631</v>
      </c>
      <c r="K57" s="47" t="n">
        <f aca="false">'E2 CigadingExist Input'!$E$59*K56*K$8</f>
        <v>3.56767755639899</v>
      </c>
      <c r="L57" s="47" t="n">
        <f aca="false">'E2 CigadingExist Input'!$E$59*L56*L$8</f>
        <v>3.67470788309096</v>
      </c>
      <c r="M57" s="47" t="n">
        <f aca="false">'E2 CigadingExist Input'!$E$59*M56*M$8</f>
        <v>3.78494911958369</v>
      </c>
      <c r="N57" s="47" t="n">
        <f aca="false">'E2 CigadingExist Input'!$E$59*N56*N$8</f>
        <v>3.8984975931712</v>
      </c>
      <c r="O57" s="47" t="n">
        <f aca="false">'E2 CigadingExist Input'!$E$59*O56*O$8</f>
        <v>4.01545252096634</v>
      </c>
      <c r="P57" s="47" t="n">
        <f aca="false">'E2 CigadingExist Input'!$E$59*P56*P$8</f>
        <v>4.13591609659533</v>
      </c>
      <c r="Q57" s="47" t="n">
        <f aca="false">'E2 CigadingExist Input'!$E$59*Q56*Q$8</f>
        <v>4.25999357949319</v>
      </c>
      <c r="R57" s="47" t="n">
        <f aca="false">'E2 CigadingExist Input'!$E$59*R56*R$8</f>
        <v>4.38779338687799</v>
      </c>
      <c r="S57" s="47" t="n">
        <f aca="false">'E2 CigadingExist Input'!$E$59*S56*S$8</f>
        <v>4.51942718848433</v>
      </c>
    </row>
    <row r="58" customFormat="false" ht="15" hidden="false" customHeight="false" outlineLevel="0" collapsed="false">
      <c r="B58" s="24" t="s">
        <v>1077</v>
      </c>
      <c r="C58" s="25" t="s">
        <v>1019</v>
      </c>
      <c r="F58" s="104" t="n">
        <f aca="false">1</f>
        <v>1</v>
      </c>
      <c r="G58" s="104" t="n">
        <f aca="false">F58*(1+'E2 CigadingExist Input'!G62)*G$8</f>
        <v>1.03</v>
      </c>
      <c r="H58" s="104" t="n">
        <f aca="false">G58*(1+'E2 CigadingExist Input'!H62)*H$8</f>
        <v>1.0609</v>
      </c>
      <c r="I58" s="104" t="n">
        <f aca="false">H58*(1+'E2 CigadingExist Input'!I62)*I$8</f>
        <v>1.092727</v>
      </c>
      <c r="J58" s="104" t="n">
        <f aca="false">I58*(1+'E2 CigadingExist Input'!J62)*J$8</f>
        <v>1.12550881</v>
      </c>
      <c r="K58" s="104" t="n">
        <f aca="false">J58*(1+'E2 CigadingExist Input'!K62)*K$8</f>
        <v>1.1592740743</v>
      </c>
      <c r="L58" s="104" t="n">
        <f aca="false">K58*(1+'E2 CigadingExist Input'!L62)*L$8</f>
        <v>1.194052296529</v>
      </c>
      <c r="M58" s="104" t="n">
        <f aca="false">L58*(1+'E2 CigadingExist Input'!M62)*M$8</f>
        <v>1.22987386542487</v>
      </c>
      <c r="N58" s="104" t="n">
        <f aca="false">M58*(1+'E2 CigadingExist Input'!N62)*N$8</f>
        <v>1.26677008138762</v>
      </c>
      <c r="O58" s="104" t="n">
        <f aca="false">N58*(1+'E2 CigadingExist Input'!O62)*O$8</f>
        <v>1.30477318382925</v>
      </c>
      <c r="P58" s="104" t="n">
        <f aca="false">O58*(1+'E2 CigadingExist Input'!P62)*P$8</f>
        <v>1.34391637934412</v>
      </c>
      <c r="Q58" s="104" t="n">
        <f aca="false">P58*(1+'E2 CigadingExist Input'!Q62)*Q$8</f>
        <v>1.38423387072445</v>
      </c>
      <c r="R58" s="104" t="n">
        <f aca="false">Q58*(1+'E2 CigadingExist Input'!R62)*R$8</f>
        <v>1.42576088684618</v>
      </c>
      <c r="S58" s="104" t="n">
        <f aca="false">R58*(1+'E2 CigadingExist Input'!S62)*S$8</f>
        <v>1.46853371345156</v>
      </c>
    </row>
    <row r="59" customFormat="false" ht="15" hidden="false" customHeight="false" outlineLevel="0" collapsed="false">
      <c r="B59" s="24" t="s">
        <v>1078</v>
      </c>
      <c r="C59" s="25" t="s">
        <v>170</v>
      </c>
      <c r="E59" s="47" t="n">
        <f aca="false">SUM(F59:S59)</f>
        <v>6.99166341575588</v>
      </c>
      <c r="F59" s="47" t="n">
        <f aca="false">'E2 CigadingExist Input'!$E$61*F58*F$8</f>
        <v>0</v>
      </c>
      <c r="G59" s="47" t="n">
        <f aca="false">'E2 CigadingExist Input'!$E$61*G58*G$8</f>
        <v>0.44767302</v>
      </c>
      <c r="H59" s="47" t="n">
        <f aca="false">'E2 CigadingExist Input'!$E$61*H58*H$8</f>
        <v>0.4611032106</v>
      </c>
      <c r="I59" s="47" t="n">
        <f aca="false">'E2 CigadingExist Input'!$E$61*I58*I$8</f>
        <v>0.474936306918</v>
      </c>
      <c r="J59" s="47" t="n">
        <f aca="false">'E2 CigadingExist Input'!$E$61*J58*J$8</f>
        <v>0.48918439612554</v>
      </c>
      <c r="K59" s="47" t="n">
        <f aca="false">'E2 CigadingExist Input'!$E$61*K58*K$8</f>
        <v>0.503859928009306</v>
      </c>
      <c r="L59" s="47" t="n">
        <f aca="false">'E2 CigadingExist Input'!$E$61*L58*L$8</f>
        <v>0.518975725849586</v>
      </c>
      <c r="M59" s="47" t="n">
        <f aca="false">'E2 CigadingExist Input'!$E$61*M58*M$8</f>
        <v>0.534544997625073</v>
      </c>
      <c r="N59" s="47" t="n">
        <f aca="false">'E2 CigadingExist Input'!$E$61*N58*N$8</f>
        <v>0.550581347553825</v>
      </c>
      <c r="O59" s="47" t="n">
        <f aca="false">'E2 CigadingExist Input'!$E$61*O58*O$8</f>
        <v>0.56709878798044</v>
      </c>
      <c r="P59" s="47" t="n">
        <f aca="false">'E2 CigadingExist Input'!$E$61*P58*P$8</f>
        <v>0.584111751619853</v>
      </c>
      <c r="Q59" s="47" t="n">
        <f aca="false">'E2 CigadingExist Input'!$E$61*Q58*Q$8</f>
        <v>0.601635104168449</v>
      </c>
      <c r="R59" s="47" t="n">
        <f aca="false">'E2 CigadingExist Input'!$E$61*R58*R$8</f>
        <v>0.619684157293502</v>
      </c>
      <c r="S59" s="47" t="n">
        <f aca="false">'E2 CigadingExist Input'!$E$61*S58*S$8</f>
        <v>0.638274682012307</v>
      </c>
    </row>
    <row r="60" customFormat="false" ht="15" hidden="false" customHeight="false" outlineLevel="0" collapsed="false">
      <c r="B60" s="24" t="s">
        <v>1071</v>
      </c>
      <c r="C60" s="25" t="s">
        <v>1019</v>
      </c>
      <c r="F60" s="104" t="n">
        <f aca="false">1</f>
        <v>1</v>
      </c>
      <c r="G60" s="104" t="n">
        <f aca="false">F60*(1+'E2 CigadingExist Input'!G64)*G$8</f>
        <v>1.03</v>
      </c>
      <c r="H60" s="104" t="n">
        <f aca="false">G60*(1+'E2 CigadingExist Input'!H64)*H$8</f>
        <v>1.0609</v>
      </c>
      <c r="I60" s="104" t="n">
        <f aca="false">H60*(1+'E2 CigadingExist Input'!I64)*I$8</f>
        <v>1.092727</v>
      </c>
      <c r="J60" s="104" t="n">
        <f aca="false">I60*(1+'E2 CigadingExist Input'!J64)*J$8</f>
        <v>1.12550881</v>
      </c>
      <c r="K60" s="104" t="n">
        <f aca="false">J60*(1+'E2 CigadingExist Input'!K64)*K$8</f>
        <v>1.1592740743</v>
      </c>
      <c r="L60" s="104" t="n">
        <f aca="false">K60*(1+'E2 CigadingExist Input'!L64)*L$8</f>
        <v>1.194052296529</v>
      </c>
      <c r="M60" s="104" t="n">
        <f aca="false">L60*(1+'E2 CigadingExist Input'!M64)*M$8</f>
        <v>1.22987386542487</v>
      </c>
      <c r="N60" s="104" t="n">
        <f aca="false">M60*(1+'E2 CigadingExist Input'!N64)*N$8</f>
        <v>1.26677008138762</v>
      </c>
      <c r="O60" s="104" t="n">
        <f aca="false">N60*(1+'E2 CigadingExist Input'!O64)*O$8</f>
        <v>1.30477318382925</v>
      </c>
      <c r="P60" s="104" t="n">
        <f aca="false">O60*(1+'E2 CigadingExist Input'!P64)*P$8</f>
        <v>1.34391637934412</v>
      </c>
      <c r="Q60" s="104" t="n">
        <f aca="false">P60*(1+'E2 CigadingExist Input'!Q64)*Q$8</f>
        <v>1.38423387072445</v>
      </c>
      <c r="R60" s="104" t="n">
        <f aca="false">Q60*(1+'E2 CigadingExist Input'!R64)*R$8</f>
        <v>1.42576088684618</v>
      </c>
      <c r="S60" s="104" t="n">
        <f aca="false">R60*(1+'E2 CigadingExist Input'!S64)*S$8</f>
        <v>1.46853371345156</v>
      </c>
    </row>
    <row r="61" customFormat="false" ht="15" hidden="false" customHeight="false" outlineLevel="0" collapsed="false">
      <c r="B61" s="24" t="s">
        <v>1072</v>
      </c>
      <c r="C61" s="25" t="s">
        <v>170</v>
      </c>
      <c r="E61" s="47" t="n">
        <f aca="false">SUM(F61:S61)</f>
        <v>6.21458135447002</v>
      </c>
      <c r="F61" s="47" t="n">
        <f aca="false">'E2 CigadingExist Input'!$E$63*F60*F$8</f>
        <v>0</v>
      </c>
      <c r="G61" s="47" t="n">
        <f aca="false">'E2 CigadingExist Input'!$E$63*G60*G$8</f>
        <v>0.39791681</v>
      </c>
      <c r="H61" s="47" t="n">
        <f aca="false">'E2 CigadingExist Input'!$E$63*H60*H$8</f>
        <v>0.4098543143</v>
      </c>
      <c r="I61" s="47" t="n">
        <f aca="false">'E2 CigadingExist Input'!$E$63*I60*I$8</f>
        <v>0.422149943729</v>
      </c>
      <c r="J61" s="47" t="n">
        <f aca="false">'E2 CigadingExist Input'!$E$63*J60*J$8</f>
        <v>0.43481444204087</v>
      </c>
      <c r="K61" s="47" t="n">
        <f aca="false">'E2 CigadingExist Input'!$E$63*K60*K$8</f>
        <v>0.447858875302096</v>
      </c>
      <c r="L61" s="47" t="n">
        <f aca="false">'E2 CigadingExist Input'!$E$63*L60*L$8</f>
        <v>0.461294641561159</v>
      </c>
      <c r="M61" s="47" t="n">
        <f aca="false">'E2 CigadingExist Input'!$E$63*M60*M$8</f>
        <v>0.475133480807994</v>
      </c>
      <c r="N61" s="47" t="n">
        <f aca="false">'E2 CigadingExist Input'!$E$63*N60*N$8</f>
        <v>0.489387485232234</v>
      </c>
      <c r="O61" s="47" t="n">
        <f aca="false">'E2 CigadingExist Input'!$E$63*O60*O$8</f>
        <v>0.504069109789201</v>
      </c>
      <c r="P61" s="47" t="n">
        <f aca="false">'E2 CigadingExist Input'!$E$63*P60*P$8</f>
        <v>0.519191183082877</v>
      </c>
      <c r="Q61" s="47" t="n">
        <f aca="false">'E2 CigadingExist Input'!$E$63*Q60*Q$8</f>
        <v>0.534766918575363</v>
      </c>
      <c r="R61" s="47" t="n">
        <f aca="false">'E2 CigadingExist Input'!$E$63*R60*R$8</f>
        <v>0.550809926132624</v>
      </c>
      <c r="S61" s="47" t="n">
        <f aca="false">'E2 CigadingExist Input'!$E$63*S60*S$8</f>
        <v>0.567334223916603</v>
      </c>
    </row>
    <row r="62" customFormat="false" ht="15" hidden="false" customHeight="false" outlineLevel="0" collapsed="false">
      <c r="B62" s="24" t="s">
        <v>1065</v>
      </c>
      <c r="C62" s="25" t="s">
        <v>1019</v>
      </c>
      <c r="F62" s="104" t="n">
        <f aca="false">1</f>
        <v>1</v>
      </c>
      <c r="G62" s="104" t="n">
        <f aca="false">F62*(1+'E2 CigadingExist Input'!G66)*G$8</f>
        <v>1.03</v>
      </c>
      <c r="H62" s="104" t="n">
        <f aca="false">G62*(1+'E2 CigadingExist Input'!H66)*H$8</f>
        <v>1.0609</v>
      </c>
      <c r="I62" s="104" t="n">
        <f aca="false">H62*(1+'E2 CigadingExist Input'!I66)*I$8</f>
        <v>1.092727</v>
      </c>
      <c r="J62" s="104" t="n">
        <f aca="false">I62*(1+'E2 CigadingExist Input'!J66)*J$8</f>
        <v>1.12550881</v>
      </c>
      <c r="K62" s="104" t="n">
        <f aca="false">J62*(1+'E2 CigadingExist Input'!K66)*K$8</f>
        <v>1.1592740743</v>
      </c>
      <c r="L62" s="104" t="n">
        <f aca="false">K62*(1+'E2 CigadingExist Input'!L66)*L$8</f>
        <v>1.194052296529</v>
      </c>
      <c r="M62" s="104" t="n">
        <f aca="false">L62*(1+'E2 CigadingExist Input'!M66)*M$8</f>
        <v>1.22987386542487</v>
      </c>
      <c r="N62" s="104" t="n">
        <f aca="false">M62*(1+'E2 CigadingExist Input'!N66)*N$8</f>
        <v>1.26677008138762</v>
      </c>
      <c r="O62" s="104" t="n">
        <f aca="false">N62*(1+'E2 CigadingExist Input'!O66)*O$8</f>
        <v>1.30477318382925</v>
      </c>
      <c r="P62" s="104" t="n">
        <f aca="false">O62*(1+'E2 CigadingExist Input'!P66)*P$8</f>
        <v>1.34391637934412</v>
      </c>
      <c r="Q62" s="104" t="n">
        <f aca="false">P62*(1+'E2 CigadingExist Input'!Q66)*Q$8</f>
        <v>1.38423387072445</v>
      </c>
      <c r="R62" s="104" t="n">
        <f aca="false">Q62*(1+'E2 CigadingExist Input'!R66)*R$8</f>
        <v>1.42576088684618</v>
      </c>
      <c r="S62" s="104" t="n">
        <f aca="false">R62*(1+'E2 CigadingExist Input'!S66)*S$8</f>
        <v>1.46853371345156</v>
      </c>
    </row>
    <row r="63" customFormat="false" ht="15" hidden="false" customHeight="false" outlineLevel="0" collapsed="false">
      <c r="B63" s="24" t="s">
        <v>1066</v>
      </c>
      <c r="C63" s="25" t="s">
        <v>170</v>
      </c>
      <c r="E63" s="47" t="n">
        <f aca="false">SUM(F63:S63)</f>
        <v>5.63021345664297</v>
      </c>
      <c r="F63" s="47" t="n">
        <f aca="false">'E2 CigadingExist Input'!$E$65*F62*F$8</f>
        <v>0</v>
      </c>
      <c r="G63" s="47" t="n">
        <f aca="false">'E2 CigadingExist Input'!$E$65*G62*G$8</f>
        <v>0.3605</v>
      </c>
      <c r="H63" s="47" t="n">
        <f aca="false">'E2 CigadingExist Input'!$E$65*H62*H$8</f>
        <v>0.371315</v>
      </c>
      <c r="I63" s="47" t="n">
        <f aca="false">'E2 CigadingExist Input'!$E$65*I62*I$8</f>
        <v>0.38245445</v>
      </c>
      <c r="J63" s="47" t="n">
        <f aca="false">'E2 CigadingExist Input'!$E$65*J62*J$8</f>
        <v>0.3939280835</v>
      </c>
      <c r="K63" s="47" t="n">
        <f aca="false">'E2 CigadingExist Input'!$E$65*K62*K$8</f>
        <v>0.405745926005</v>
      </c>
      <c r="L63" s="47" t="n">
        <f aca="false">'E2 CigadingExist Input'!$E$65*L62*L$8</f>
        <v>0.41791830378515</v>
      </c>
      <c r="M63" s="47" t="n">
        <f aca="false">'E2 CigadingExist Input'!$E$65*M62*M$8</f>
        <v>0.430455852898705</v>
      </c>
      <c r="N63" s="47" t="n">
        <f aca="false">'E2 CigadingExist Input'!$E$65*N62*N$8</f>
        <v>0.443369528485666</v>
      </c>
      <c r="O63" s="47" t="n">
        <f aca="false">'E2 CigadingExist Input'!$E$65*O62*O$8</f>
        <v>0.456670614340236</v>
      </c>
      <c r="P63" s="47" t="n">
        <f aca="false">'E2 CigadingExist Input'!$E$65*P62*P$8</f>
        <v>0.470370732770443</v>
      </c>
      <c r="Q63" s="47" t="n">
        <f aca="false">'E2 CigadingExist Input'!$E$65*Q62*Q$8</f>
        <v>0.484481854753556</v>
      </c>
      <c r="R63" s="47" t="n">
        <f aca="false">'E2 CigadingExist Input'!$E$65*R62*R$8</f>
        <v>0.499016310396163</v>
      </c>
      <c r="S63" s="47" t="n">
        <f aca="false">'E2 CigadingExist Input'!$E$65*S62*S$8</f>
        <v>0.513986799708048</v>
      </c>
    </row>
    <row r="64" customFormat="false" ht="15" hidden="false" customHeight="false" outlineLevel="0" collapsed="false">
      <c r="B64" s="24" t="s">
        <v>1067</v>
      </c>
      <c r="C64" s="25" t="s">
        <v>1019</v>
      </c>
      <c r="F64" s="104" t="n">
        <f aca="false">1</f>
        <v>1</v>
      </c>
      <c r="G64" s="104" t="n">
        <f aca="false">F64*(1+'E2 CigadingExist Input'!G68)*G$8</f>
        <v>1.03</v>
      </c>
      <c r="H64" s="104" t="n">
        <f aca="false">G64*(1+'E2 CigadingExist Input'!H68)*H$8</f>
        <v>1.0609</v>
      </c>
      <c r="I64" s="104" t="n">
        <f aca="false">H64*(1+'E2 CigadingExist Input'!I68)*I$8</f>
        <v>1.092727</v>
      </c>
      <c r="J64" s="104" t="n">
        <f aca="false">I64*(1+'E2 CigadingExist Input'!J68)*J$8</f>
        <v>1.12550881</v>
      </c>
      <c r="K64" s="104" t="n">
        <f aca="false">J64*(1+'E2 CigadingExist Input'!K68)*K$8</f>
        <v>1.1592740743</v>
      </c>
      <c r="L64" s="104" t="n">
        <f aca="false">K64*(1+'E2 CigadingExist Input'!L68)*L$8</f>
        <v>1.194052296529</v>
      </c>
      <c r="M64" s="104" t="n">
        <f aca="false">L64*(1+'E2 CigadingExist Input'!M68)*M$8</f>
        <v>1.22987386542487</v>
      </c>
      <c r="N64" s="104" t="n">
        <f aca="false">M64*(1+'E2 CigadingExist Input'!N68)*N$8</f>
        <v>1.26677008138762</v>
      </c>
      <c r="O64" s="104" t="n">
        <f aca="false">N64*(1+'E2 CigadingExist Input'!O68)*O$8</f>
        <v>1.30477318382925</v>
      </c>
      <c r="P64" s="104" t="n">
        <f aca="false">O64*(1+'E2 CigadingExist Input'!P68)*P$8</f>
        <v>1.34391637934412</v>
      </c>
      <c r="Q64" s="104" t="n">
        <f aca="false">P64*(1+'E2 CigadingExist Input'!Q68)*Q$8</f>
        <v>1.38423387072445</v>
      </c>
      <c r="R64" s="104" t="n">
        <f aca="false">Q64*(1+'E2 CigadingExist Input'!R68)*R$8</f>
        <v>1.42576088684618</v>
      </c>
      <c r="S64" s="104" t="n">
        <f aca="false">R64*(1+'E2 CigadingExist Input'!S68)*S$8</f>
        <v>1.46853371345156</v>
      </c>
    </row>
    <row r="65" customFormat="false" ht="15" hidden="false" customHeight="false" outlineLevel="0" collapsed="false">
      <c r="B65" s="24" t="s">
        <v>1068</v>
      </c>
      <c r="C65" s="25" t="s">
        <v>170</v>
      </c>
      <c r="E65" s="47" t="n">
        <f aca="false">SUM(F65:S65)</f>
        <v>3.9538254430896</v>
      </c>
      <c r="F65" s="47" t="n">
        <f aca="false">'E2 CigadingExist Input'!$E$67*F64*F$8</f>
        <v>0</v>
      </c>
      <c r="G65" s="47" t="n">
        <f aca="false">'E2 CigadingExist Input'!$E$67*G64*G$8</f>
        <v>0.25316164</v>
      </c>
      <c r="H65" s="47" t="n">
        <f aca="false">'E2 CigadingExist Input'!$E$67*H64*H$8</f>
        <v>0.2607564892</v>
      </c>
      <c r="I65" s="47" t="n">
        <f aca="false">'E2 CigadingExist Input'!$E$67*I64*I$8</f>
        <v>0.268579183876</v>
      </c>
      <c r="J65" s="47" t="n">
        <f aca="false">'E2 CigadingExist Input'!$E$67*J64*J$8</f>
        <v>0.27663655939228</v>
      </c>
      <c r="K65" s="47" t="n">
        <f aca="false">'E2 CigadingExist Input'!$E$67*K64*K$8</f>
        <v>0.284935656174048</v>
      </c>
      <c r="L65" s="47" t="n">
        <f aca="false">'E2 CigadingExist Input'!$E$67*L64*L$8</f>
        <v>0.29348372585927</v>
      </c>
      <c r="M65" s="47" t="n">
        <f aca="false">'E2 CigadingExist Input'!$E$67*M64*M$8</f>
        <v>0.302288237635048</v>
      </c>
      <c r="N65" s="47" t="n">
        <f aca="false">'E2 CigadingExist Input'!$E$67*N64*N$8</f>
        <v>0.311356884764099</v>
      </c>
      <c r="O65" s="47" t="n">
        <f aca="false">'E2 CigadingExist Input'!$E$67*O64*O$8</f>
        <v>0.320697591307022</v>
      </c>
      <c r="P65" s="47" t="n">
        <f aca="false">'E2 CigadingExist Input'!$E$67*P64*P$8</f>
        <v>0.330318519046233</v>
      </c>
      <c r="Q65" s="47" t="n">
        <f aca="false">'E2 CigadingExist Input'!$E$67*Q64*Q$8</f>
        <v>0.34022807461762</v>
      </c>
      <c r="R65" s="47" t="n">
        <f aca="false">'E2 CigadingExist Input'!$E$67*R64*R$8</f>
        <v>0.350434916856149</v>
      </c>
      <c r="S65" s="47" t="n">
        <f aca="false">'E2 CigadingExist Input'!$E$67*S64*S$8</f>
        <v>0.360947964361833</v>
      </c>
    </row>
    <row r="66" customFormat="false" ht="15" hidden="false" customHeight="false" outlineLevel="0" collapsed="false">
      <c r="B66" s="24" t="s">
        <v>1079</v>
      </c>
      <c r="C66" s="25" t="s">
        <v>1019</v>
      </c>
      <c r="F66" s="104" t="n">
        <f aca="false">1</f>
        <v>1</v>
      </c>
      <c r="G66" s="104" t="n">
        <f aca="false">F66*(1+'E2 CigadingExist Input'!G70)*G$8</f>
        <v>1.03</v>
      </c>
      <c r="H66" s="104" t="n">
        <f aca="false">G66*(1+'E2 CigadingExist Input'!H70)*H$8</f>
        <v>1.0609</v>
      </c>
      <c r="I66" s="104" t="n">
        <f aca="false">H66*(1+'E2 CigadingExist Input'!I70)*I$8</f>
        <v>1.092727</v>
      </c>
      <c r="J66" s="104" t="n">
        <f aca="false">I66*(1+'E2 CigadingExist Input'!J70)*J$8</f>
        <v>1.12550881</v>
      </c>
      <c r="K66" s="104" t="n">
        <f aca="false">J66*(1+'E2 CigadingExist Input'!K70)*K$8</f>
        <v>1.1592740743</v>
      </c>
      <c r="L66" s="104" t="n">
        <f aca="false">K66*(1+'E2 CigadingExist Input'!L70)*L$8</f>
        <v>1.194052296529</v>
      </c>
      <c r="M66" s="104" t="n">
        <f aca="false">L66*(1+'E2 CigadingExist Input'!M70)*M$8</f>
        <v>1.22987386542487</v>
      </c>
      <c r="N66" s="104" t="n">
        <f aca="false">M66*(1+'E2 CigadingExist Input'!N70)*N$8</f>
        <v>1.26677008138762</v>
      </c>
      <c r="O66" s="104" t="n">
        <f aca="false">N66*(1+'E2 CigadingExist Input'!O70)*O$8</f>
        <v>1.30477318382925</v>
      </c>
      <c r="P66" s="104" t="n">
        <f aca="false">O66*(1+'E2 CigadingExist Input'!P70)*P$8</f>
        <v>1.34391637934412</v>
      </c>
      <c r="Q66" s="104" t="n">
        <f aca="false">P66*(1+'E2 CigadingExist Input'!Q70)*Q$8</f>
        <v>1.38423387072445</v>
      </c>
      <c r="R66" s="104" t="n">
        <f aca="false">Q66*(1+'E2 CigadingExist Input'!R70)*R$8</f>
        <v>1.42576088684618</v>
      </c>
      <c r="S66" s="104" t="n">
        <f aca="false">R66*(1+'E2 CigadingExist Input'!S70)*S$8</f>
        <v>1.46853371345156</v>
      </c>
    </row>
    <row r="67" customFormat="false" ht="15" hidden="false" customHeight="false" outlineLevel="0" collapsed="false">
      <c r="B67" s="24" t="s">
        <v>1080</v>
      </c>
      <c r="C67" s="25" t="s">
        <v>170</v>
      </c>
      <c r="E67" s="47" t="n">
        <f aca="false">SUM(F67:S67)</f>
        <v>0.76321082396111</v>
      </c>
      <c r="F67" s="47" t="n">
        <f aca="false">'E2 CigadingExist Input'!$E$69*F66*F$8</f>
        <v>0</v>
      </c>
      <c r="G67" s="47" t="n">
        <f aca="false">'E2 CigadingExist Input'!$E$69*G66*G$8</f>
        <v>0.048868041</v>
      </c>
      <c r="H67" s="47" t="n">
        <f aca="false">'E2 CigadingExist Input'!$E$69*H66*H$8</f>
        <v>0.05033408223</v>
      </c>
      <c r="I67" s="47" t="n">
        <f aca="false">'E2 CigadingExist Input'!$E$69*I66*I$8</f>
        <v>0.0518441046969</v>
      </c>
      <c r="J67" s="47" t="n">
        <f aca="false">'E2 CigadingExist Input'!$E$69*J66*J$8</f>
        <v>0.053399427837807</v>
      </c>
      <c r="K67" s="47" t="n">
        <f aca="false">'E2 CigadingExist Input'!$E$69*K66*K$8</f>
        <v>0.0550014106729412</v>
      </c>
      <c r="L67" s="47" t="n">
        <f aca="false">'E2 CigadingExist Input'!$E$69*L66*L$8</f>
        <v>0.0566514529931295</v>
      </c>
      <c r="M67" s="47" t="n">
        <f aca="false">'E2 CigadingExist Input'!$E$69*M66*M$8</f>
        <v>0.0583509965829233</v>
      </c>
      <c r="N67" s="47" t="n">
        <f aca="false">'E2 CigadingExist Input'!$E$69*N66*N$8</f>
        <v>0.060101526480411</v>
      </c>
      <c r="O67" s="47" t="n">
        <f aca="false">'E2 CigadingExist Input'!$E$69*O66*O$8</f>
        <v>0.0619045722748234</v>
      </c>
      <c r="P67" s="47" t="n">
        <f aca="false">'E2 CigadingExist Input'!$E$69*P66*P$8</f>
        <v>0.0637617094430681</v>
      </c>
      <c r="Q67" s="47" t="n">
        <f aca="false">'E2 CigadingExist Input'!$E$69*Q66*Q$8</f>
        <v>0.0656745607263601</v>
      </c>
      <c r="R67" s="47" t="n">
        <f aca="false">'E2 CigadingExist Input'!$E$69*R66*R$8</f>
        <v>0.0676447975481509</v>
      </c>
      <c r="S67" s="47" t="n">
        <f aca="false">'E2 CigadingExist Input'!$E$69*S66*S$8</f>
        <v>0.0696741414745955</v>
      </c>
    </row>
    <row r="68" customFormat="false" ht="15" hidden="false" customHeight="false" outlineLevel="0" collapsed="false">
      <c r="B68" s="24" t="s">
        <v>1069</v>
      </c>
      <c r="C68" s="25" t="s">
        <v>1019</v>
      </c>
      <c r="F68" s="104" t="n">
        <f aca="false">1</f>
        <v>1</v>
      </c>
      <c r="G68" s="104" t="n">
        <f aca="false">F68*(1+'E2 CigadingExist Input'!G72)*G$8</f>
        <v>1.02</v>
      </c>
      <c r="H68" s="104" t="n">
        <f aca="false">G68*(1+'E2 CigadingExist Input'!H72)*H$8</f>
        <v>1.0404</v>
      </c>
      <c r="I68" s="104" t="n">
        <f aca="false">H68*(1+'E2 CigadingExist Input'!I72)*I$8</f>
        <v>1.061208</v>
      </c>
      <c r="J68" s="104" t="n">
        <f aca="false">I68*(1+'E2 CigadingExist Input'!J72)*J$8</f>
        <v>1.08243216</v>
      </c>
      <c r="K68" s="104" t="n">
        <f aca="false">J68*(1+'E2 CigadingExist Input'!K72)*K$8</f>
        <v>1.1040808032</v>
      </c>
      <c r="L68" s="104" t="n">
        <f aca="false">K68*(1+'E2 CigadingExist Input'!L72)*L$8</f>
        <v>1.126162419264</v>
      </c>
      <c r="M68" s="104" t="n">
        <f aca="false">L68*(1+'E2 CigadingExist Input'!M72)*M$8</f>
        <v>1.14868566764928</v>
      </c>
      <c r="N68" s="104" t="n">
        <f aca="false">M68*(1+'E2 CigadingExist Input'!N72)*N$8</f>
        <v>1.17165938100227</v>
      </c>
      <c r="O68" s="104" t="n">
        <f aca="false">N68*(1+'E2 CigadingExist Input'!O72)*O$8</f>
        <v>1.19509256862231</v>
      </c>
      <c r="P68" s="104" t="n">
        <f aca="false">O68*(1+'E2 CigadingExist Input'!P72)*P$8</f>
        <v>1.21899441999476</v>
      </c>
      <c r="Q68" s="104" t="n">
        <f aca="false">P68*(1+'E2 CigadingExist Input'!Q72)*Q$8</f>
        <v>1.24337430839465</v>
      </c>
      <c r="R68" s="104" t="n">
        <f aca="false">Q68*(1+'E2 CigadingExist Input'!R72)*R$8</f>
        <v>1.26824179456255</v>
      </c>
      <c r="S68" s="104" t="n">
        <f aca="false">R68*(1+'E2 CigadingExist Input'!S72)*S$8</f>
        <v>1.2936066304538</v>
      </c>
    </row>
    <row r="69" customFormat="false" ht="15" hidden="false" customHeight="false" outlineLevel="0" collapsed="false">
      <c r="B69" s="24" t="s">
        <v>1070</v>
      </c>
      <c r="C69" s="25" t="s">
        <v>170</v>
      </c>
      <c r="E69" s="47" t="n">
        <f aca="false">SUM(F69:S69)</f>
        <v>0.309068073056145</v>
      </c>
      <c r="F69" s="47" t="n">
        <f aca="false">'E2 CigadingExist Input'!$E$71*F68*F$8</f>
        <v>0</v>
      </c>
      <c r="G69" s="47" t="n">
        <f aca="false">'E2 CigadingExist Input'!$E$71*G68*G$8</f>
        <v>0.021053208</v>
      </c>
      <c r="H69" s="47" t="n">
        <f aca="false">'E2 CigadingExist Input'!$E$71*H68*H$8</f>
        <v>0.02147427216</v>
      </c>
      <c r="I69" s="47" t="n">
        <f aca="false">'E2 CigadingExist Input'!$E$71*I68*I$8</f>
        <v>0.0219037576032</v>
      </c>
      <c r="J69" s="47" t="n">
        <f aca="false">'E2 CigadingExist Input'!$E$71*J68*J$8</f>
        <v>0.022341832755264</v>
      </c>
      <c r="K69" s="47" t="n">
        <f aca="false">'E2 CigadingExist Input'!$E$71*K68*K$8</f>
        <v>0.0227886694103693</v>
      </c>
      <c r="L69" s="47" t="n">
        <f aca="false">'E2 CigadingExist Input'!$E$71*L68*L$8</f>
        <v>0.0232444427985767</v>
      </c>
      <c r="M69" s="47" t="n">
        <f aca="false">'E2 CigadingExist Input'!$E$71*M68*M$8</f>
        <v>0.0237093316545482</v>
      </c>
      <c r="N69" s="47" t="n">
        <f aca="false">'E2 CigadingExist Input'!$E$71*N68*N$8</f>
        <v>0.0241835182876392</v>
      </c>
      <c r="O69" s="47" t="n">
        <f aca="false">'E2 CigadingExist Input'!$E$71*O68*O$8</f>
        <v>0.0246671886533919</v>
      </c>
      <c r="P69" s="47" t="n">
        <f aca="false">'E2 CigadingExist Input'!$E$71*P68*P$8</f>
        <v>0.0251605324264598</v>
      </c>
      <c r="Q69" s="47" t="n">
        <f aca="false">'E2 CigadingExist Input'!$E$71*Q68*Q$8</f>
        <v>0.025663743074989</v>
      </c>
      <c r="R69" s="47" t="n">
        <f aca="false">'E2 CigadingExist Input'!$E$71*R68*R$8</f>
        <v>0.0261770179364888</v>
      </c>
      <c r="S69" s="47" t="n">
        <f aca="false">'E2 CigadingExist Input'!$E$71*S68*S$8</f>
        <v>0.0267005582952185</v>
      </c>
    </row>
    <row r="70" customFormat="false" ht="15" hidden="false" customHeight="false" outlineLevel="0" collapsed="false">
      <c r="B70" s="24" t="s">
        <v>1075</v>
      </c>
      <c r="C70" s="25" t="s">
        <v>1019</v>
      </c>
      <c r="F70" s="104" t="n">
        <f aca="false">1</f>
        <v>1</v>
      </c>
      <c r="G70" s="104" t="n">
        <f aca="false">F70*(1+'E2 CigadingExist Input'!G74)*G$8</f>
        <v>1.02</v>
      </c>
      <c r="H70" s="104" t="n">
        <f aca="false">G70*(1+'E2 CigadingExist Input'!H74)*H$8</f>
        <v>1.0404</v>
      </c>
      <c r="I70" s="104" t="n">
        <f aca="false">H70*(1+'E2 CigadingExist Input'!I74)*I$8</f>
        <v>1.061208</v>
      </c>
      <c r="J70" s="104" t="n">
        <f aca="false">I70*(1+'E2 CigadingExist Input'!J74)*J$8</f>
        <v>1.08243216</v>
      </c>
      <c r="K70" s="104" t="n">
        <f aca="false">J70*(1+'E2 CigadingExist Input'!K74)*K$8</f>
        <v>1.1040808032</v>
      </c>
      <c r="L70" s="104" t="n">
        <f aca="false">K70*(1+'E2 CigadingExist Input'!L74)*L$8</f>
        <v>1.126162419264</v>
      </c>
      <c r="M70" s="104" t="n">
        <f aca="false">L70*(1+'E2 CigadingExist Input'!M74)*M$8</f>
        <v>1.14868566764928</v>
      </c>
      <c r="N70" s="104" t="n">
        <f aca="false">M70*(1+'E2 CigadingExist Input'!N74)*N$8</f>
        <v>1.17165938100227</v>
      </c>
      <c r="O70" s="104" t="n">
        <f aca="false">N70*(1+'E2 CigadingExist Input'!O74)*O$8</f>
        <v>1.19509256862231</v>
      </c>
      <c r="P70" s="104" t="n">
        <f aca="false">O70*(1+'E2 CigadingExist Input'!P74)*P$8</f>
        <v>1.21899441999476</v>
      </c>
      <c r="Q70" s="104" t="n">
        <f aca="false">P70*(1+'E2 CigadingExist Input'!Q74)*Q$8</f>
        <v>1.24337430839465</v>
      </c>
      <c r="R70" s="104" t="n">
        <f aca="false">Q70*(1+'E2 CigadingExist Input'!R74)*R$8</f>
        <v>1.26824179456255</v>
      </c>
      <c r="S70" s="104" t="n">
        <f aca="false">R70*(1+'E2 CigadingExist Input'!S74)*S$8</f>
        <v>1.2936066304538</v>
      </c>
    </row>
    <row r="71" customFormat="false" ht="15" hidden="false" customHeight="false" outlineLevel="0" collapsed="false">
      <c r="B71" s="24" t="s">
        <v>1076</v>
      </c>
      <c r="C71" s="25" t="s">
        <v>170</v>
      </c>
      <c r="E71" s="47" t="n">
        <f aca="false">SUM(F71:S71)</f>
        <v>0.255817754195936</v>
      </c>
      <c r="F71" s="47" t="n">
        <f aca="false">'E2 CigadingExist Input'!$E$73*F70*F$8</f>
        <v>0</v>
      </c>
      <c r="G71" s="47" t="n">
        <f aca="false">'E2 CigadingExist Input'!$E$73*G70*G$8</f>
        <v>0.017425884</v>
      </c>
      <c r="H71" s="47" t="n">
        <f aca="false">'E2 CigadingExist Input'!$E$73*H70*H$8</f>
        <v>0.01777440168</v>
      </c>
      <c r="I71" s="47" t="n">
        <f aca="false">'E2 CigadingExist Input'!$E$73*I70*I$8</f>
        <v>0.0181298897136</v>
      </c>
      <c r="J71" s="47" t="n">
        <f aca="false">'E2 CigadingExist Input'!$E$73*J70*J$8</f>
        <v>0.018492487507872</v>
      </c>
      <c r="K71" s="47" t="n">
        <f aca="false">'E2 CigadingExist Input'!$E$73*K70*K$8</f>
        <v>0.0188623372580294</v>
      </c>
      <c r="L71" s="47" t="n">
        <f aca="false">'E2 CigadingExist Input'!$E$73*L70*L$8</f>
        <v>0.01923958400319</v>
      </c>
      <c r="M71" s="47" t="n">
        <f aca="false">'E2 CigadingExist Input'!$E$73*M70*M$8</f>
        <v>0.0196243756832538</v>
      </c>
      <c r="N71" s="47" t="n">
        <f aca="false">'E2 CigadingExist Input'!$E$73*N70*N$8</f>
        <v>0.0200168631969189</v>
      </c>
      <c r="O71" s="47" t="n">
        <f aca="false">'E2 CigadingExist Input'!$E$73*O70*O$8</f>
        <v>0.0204172004608573</v>
      </c>
      <c r="P71" s="47" t="n">
        <f aca="false">'E2 CigadingExist Input'!$E$73*P70*P$8</f>
        <v>0.0208255444700744</v>
      </c>
      <c r="Q71" s="47" t="n">
        <f aca="false">'E2 CigadingExist Input'!$E$73*Q70*Q$8</f>
        <v>0.0212420553594759</v>
      </c>
      <c r="R71" s="47" t="n">
        <f aca="false">'E2 CigadingExist Input'!$E$73*R70*R$8</f>
        <v>0.0216668964666654</v>
      </c>
      <c r="S71" s="47" t="n">
        <f aca="false">'E2 CigadingExist Input'!$E$73*S70*S$8</f>
        <v>0.0221002343959987</v>
      </c>
    </row>
    <row r="72" customFormat="false" ht="15" hidden="false" customHeight="false" outlineLevel="0" collapsed="false">
      <c r="B72" s="24" t="s">
        <v>1073</v>
      </c>
      <c r="C72" s="25" t="s">
        <v>1019</v>
      </c>
      <c r="F72" s="104" t="n">
        <f aca="false">1</f>
        <v>1</v>
      </c>
      <c r="G72" s="104" t="n">
        <f aca="false">F72*(1+'E2 CigadingExist Input'!G76)*G$8</f>
        <v>1.02</v>
      </c>
      <c r="H72" s="104" t="n">
        <f aca="false">G72*(1+'E2 CigadingExist Input'!H76)*H$8</f>
        <v>1.0404</v>
      </c>
      <c r="I72" s="104" t="n">
        <f aca="false">H72*(1+'E2 CigadingExist Input'!I76)*I$8</f>
        <v>1.061208</v>
      </c>
      <c r="J72" s="104" t="n">
        <f aca="false">I72*(1+'E2 CigadingExist Input'!J76)*J$8</f>
        <v>1.08243216</v>
      </c>
      <c r="K72" s="104" t="n">
        <f aca="false">J72*(1+'E2 CigadingExist Input'!K76)*K$8</f>
        <v>1.1040808032</v>
      </c>
      <c r="L72" s="104" t="n">
        <f aca="false">K72*(1+'E2 CigadingExist Input'!L76)*L$8</f>
        <v>1.126162419264</v>
      </c>
      <c r="M72" s="104" t="n">
        <f aca="false">L72*(1+'E2 CigadingExist Input'!M76)*M$8</f>
        <v>1.14868566764928</v>
      </c>
      <c r="N72" s="104" t="n">
        <f aca="false">M72*(1+'E2 CigadingExist Input'!N76)*N$8</f>
        <v>1.17165938100227</v>
      </c>
      <c r="O72" s="104" t="n">
        <f aca="false">N72*(1+'E2 CigadingExist Input'!O76)*O$8</f>
        <v>1.19509256862231</v>
      </c>
      <c r="P72" s="104" t="n">
        <f aca="false">O72*(1+'E2 CigadingExist Input'!P76)*P$8</f>
        <v>1.21899441999476</v>
      </c>
      <c r="Q72" s="104" t="n">
        <f aca="false">P72*(1+'E2 CigadingExist Input'!Q76)*Q$8</f>
        <v>1.24337430839465</v>
      </c>
      <c r="R72" s="104" t="n">
        <f aca="false">Q72*(1+'E2 CigadingExist Input'!R76)*R$8</f>
        <v>1.26824179456255</v>
      </c>
      <c r="S72" s="104" t="n">
        <f aca="false">R72*(1+'E2 CigadingExist Input'!S76)*S$8</f>
        <v>1.2936066304538</v>
      </c>
    </row>
    <row r="73" customFormat="false" ht="15" hidden="false" customHeight="false" outlineLevel="0" collapsed="false">
      <c r="B73" s="24" t="s">
        <v>1074</v>
      </c>
      <c r="C73" s="25" t="s">
        <v>170</v>
      </c>
      <c r="E73" s="47" t="n">
        <f aca="false">SUM(F73:S73)</f>
        <v>0.193163802175553</v>
      </c>
      <c r="F73" s="47" t="n">
        <f aca="false">'E2 CigadingExist Input'!$E$75*F72*F$8</f>
        <v>0</v>
      </c>
      <c r="G73" s="47" t="n">
        <f aca="false">'E2 CigadingExist Input'!$E$75*G72*G$8</f>
        <v>0.013158</v>
      </c>
      <c r="H73" s="47" t="n">
        <f aca="false">'E2 CigadingExist Input'!$E$75*H72*H$8</f>
        <v>0.01342116</v>
      </c>
      <c r="I73" s="47" t="n">
        <f aca="false">'E2 CigadingExist Input'!$E$75*I72*I$8</f>
        <v>0.0136895832</v>
      </c>
      <c r="J73" s="47" t="n">
        <f aca="false">'E2 CigadingExist Input'!$E$75*J72*J$8</f>
        <v>0.013963374864</v>
      </c>
      <c r="K73" s="47" t="n">
        <f aca="false">'E2 CigadingExist Input'!$E$75*K72*K$8</f>
        <v>0.01424264236128</v>
      </c>
      <c r="L73" s="47" t="n">
        <f aca="false">'E2 CigadingExist Input'!$E$75*L72*L$8</f>
        <v>0.0145274952085056</v>
      </c>
      <c r="M73" s="47" t="n">
        <f aca="false">'E2 CigadingExist Input'!$E$75*M72*M$8</f>
        <v>0.0148180451126757</v>
      </c>
      <c r="N73" s="47" t="n">
        <f aca="false">'E2 CigadingExist Input'!$E$75*N72*N$8</f>
        <v>0.0151144060149292</v>
      </c>
      <c r="O73" s="47" t="n">
        <f aca="false">'E2 CigadingExist Input'!$E$75*O72*O$8</f>
        <v>0.0154166941352278</v>
      </c>
      <c r="P73" s="47" t="n">
        <f aca="false">'E2 CigadingExist Input'!$E$75*P72*P$8</f>
        <v>0.0157250280179324</v>
      </c>
      <c r="Q73" s="47" t="n">
        <f aca="false">'E2 CigadingExist Input'!$E$75*Q72*Q$8</f>
        <v>0.016039528578291</v>
      </c>
      <c r="R73" s="47" t="n">
        <f aca="false">'E2 CigadingExist Input'!$E$75*R72*R$8</f>
        <v>0.0163603191498568</v>
      </c>
      <c r="S73" s="47" t="n">
        <f aca="false">'E2 CigadingExist Input'!$E$75*S72*S$8</f>
        <v>0.016687525532854</v>
      </c>
    </row>
    <row r="74" customFormat="false" ht="15" hidden="false" customHeight="false" outlineLevel="0" collapsed="false">
      <c r="B74" s="69" t="s">
        <v>1083</v>
      </c>
      <c r="C74" s="25" t="s">
        <v>170</v>
      </c>
      <c r="E74" s="70" t="n">
        <f aca="false">SUM(F74:S74)</f>
        <v>145.086468787723</v>
      </c>
      <c r="F74" s="68" t="n">
        <f aca="false">F55+F57+F59+F61+F63+F65+F67+F69+F71+F73</f>
        <v>0</v>
      </c>
      <c r="G74" s="68" t="n">
        <f aca="false">G55+G57+G59+G61+G63+G65+G67+G69+G71+G73</f>
        <v>9.152664403</v>
      </c>
      <c r="H74" s="68" t="n">
        <f aca="false">H55+H57+H59+H61+H63+H65+H67+H69+H71+H73</f>
        <v>9.44884332667</v>
      </c>
      <c r="I74" s="68" t="n">
        <f aca="false">I55+I57+I59+I61+I63+I65+I67+I69+I71+I73</f>
        <v>9.7546713283192</v>
      </c>
      <c r="J74" s="68" t="n">
        <f aca="false">J55+J57+J59+J61+J63+J65+J67+J69+J71+J73</f>
        <v>10.0704647650577</v>
      </c>
      <c r="K74" s="68" t="n">
        <f aca="false">K55+K57+K59+K61+K63+K65+K67+K69+K71+K73</f>
        <v>10.396550428774</v>
      </c>
      <c r="L74" s="68" t="n">
        <f aca="false">L55+L57+L59+L61+L63+L65+L67+L69+L71+L73</f>
        <v>10.7332658922828</v>
      </c>
      <c r="M74" s="68" t="n">
        <f aca="false">M55+M57+M59+M61+M63+M65+M67+M69+M71+M73</f>
        <v>11.0809598670169</v>
      </c>
      <c r="N74" s="68" t="n">
        <f aca="false">N55+N57+N59+N61+N63+N65+N67+N69+N71+N73</f>
        <v>11.43999257265</v>
      </c>
      <c r="O74" s="68" t="n">
        <f aca="false">O55+O57+O59+O61+O63+O65+O67+O69+O71+O73</f>
        <v>11.8107361190519</v>
      </c>
      <c r="P74" s="68" t="n">
        <f aca="false">P55+P57+P59+P61+P63+P65+P67+P69+P71+P73</f>
        <v>12.1935749009866</v>
      </c>
      <c r="Q74" s="68" t="n">
        <f aca="false">Q55+Q57+Q59+Q61+Q63+Q65+Q67+Q69+Q71+Q73</f>
        <v>12.5889060059847</v>
      </c>
      <c r="R74" s="68" t="n">
        <f aca="false">R55+R57+R59+R61+R63+R65+R67+R69+R71+R73</f>
        <v>12.9971396358273</v>
      </c>
      <c r="S74" s="68" t="n">
        <f aca="false">S55+S57+S59+S61+S63+S65+S67+S69+S71+S73</f>
        <v>13.4186995421024</v>
      </c>
    </row>
    <row r="76" customFormat="false" ht="15" hidden="false" customHeight="false" outlineLevel="0" collapsed="false">
      <c r="B76" s="22" t="s">
        <v>1084</v>
      </c>
      <c r="C76" s="23"/>
      <c r="D76" s="23"/>
      <c r="E76" s="23"/>
      <c r="F76" s="23"/>
      <c r="G76" s="23"/>
      <c r="H76" s="23"/>
      <c r="I76" s="23"/>
      <c r="J76" s="23"/>
      <c r="K76" s="23"/>
      <c r="L76" s="23"/>
      <c r="M76" s="23"/>
      <c r="N76" s="23"/>
      <c r="O76" s="23"/>
      <c r="P76" s="23"/>
      <c r="Q76" s="23"/>
      <c r="R76" s="23"/>
      <c r="S76" s="23"/>
    </row>
    <row r="77" customFormat="false" ht="15" hidden="false" customHeight="false" outlineLevel="0" collapsed="false">
      <c r="B77" s="24" t="s">
        <v>1085</v>
      </c>
      <c r="C77" s="25" t="s">
        <v>170</v>
      </c>
      <c r="E77" s="47" t="n">
        <f aca="false">SUM(F77:S77)</f>
        <v>554.7796</v>
      </c>
      <c r="F77" s="47" t="n">
        <f aca="false">'E2 CigadingExist Input'!$E$52*F$8+'E2 CigadingExist Input'!F53</f>
        <v>0</v>
      </c>
      <c r="G77" s="47" t="n">
        <f aca="false">'E2 CigadingExist Input'!$E$52*G$8+'E2 CigadingExist Input'!G53</f>
        <v>40.8292</v>
      </c>
      <c r="H77" s="47" t="n">
        <f aca="false">'E2 CigadingExist Input'!$E$52*H$8+'E2 CigadingExist Input'!H53</f>
        <v>40.8292</v>
      </c>
      <c r="I77" s="47" t="n">
        <f aca="false">'E2 CigadingExist Input'!$E$52*I$8+'E2 CigadingExist Input'!I53</f>
        <v>41.8292</v>
      </c>
      <c r="J77" s="47" t="n">
        <f aca="false">'E2 CigadingExist Input'!$E$52*J$8+'E2 CigadingExist Input'!J53</f>
        <v>41.8292</v>
      </c>
      <c r="K77" s="47" t="n">
        <f aca="false">'E2 CigadingExist Input'!$E$52*K$8+'E2 CigadingExist Input'!K53</f>
        <v>41.8292</v>
      </c>
      <c r="L77" s="47" t="n">
        <f aca="false">'E2 CigadingExist Input'!$E$52*L$8+'E2 CigadingExist Input'!L53</f>
        <v>42.8292</v>
      </c>
      <c r="M77" s="47" t="n">
        <f aca="false">'E2 CigadingExist Input'!$E$52*M$8+'E2 CigadingExist Input'!M53</f>
        <v>42.8292</v>
      </c>
      <c r="N77" s="47" t="n">
        <f aca="false">'E2 CigadingExist Input'!$E$52*N$8+'E2 CigadingExist Input'!N53</f>
        <v>42.8292</v>
      </c>
      <c r="O77" s="47" t="n">
        <f aca="false">'E2 CigadingExist Input'!$E$52*O$8+'E2 CigadingExist Input'!O53</f>
        <v>43.8292</v>
      </c>
      <c r="P77" s="47" t="n">
        <f aca="false">'E2 CigadingExist Input'!$E$52*P$8+'E2 CigadingExist Input'!P53</f>
        <v>43.8292</v>
      </c>
      <c r="Q77" s="47" t="n">
        <f aca="false">'E2 CigadingExist Input'!$E$52*Q$8+'E2 CigadingExist Input'!Q53</f>
        <v>43.8292</v>
      </c>
      <c r="R77" s="47" t="n">
        <f aca="false">'E2 CigadingExist Input'!$E$52*R$8+'E2 CigadingExist Input'!R53</f>
        <v>43.8292</v>
      </c>
      <c r="S77" s="47" t="n">
        <f aca="false">'E2 CigadingExist Input'!$E$52*S$8+'E2 CigadingExist Input'!S53</f>
        <v>43.8292</v>
      </c>
    </row>
    <row r="78" customFormat="false" ht="15" hidden="false" customHeight="false" outlineLevel="0" collapsed="false">
      <c r="B78" s="24" t="s">
        <v>1086</v>
      </c>
      <c r="C78" s="25" t="s">
        <v>1019</v>
      </c>
      <c r="F78" s="104" t="n">
        <f aca="false">1</f>
        <v>1</v>
      </c>
      <c r="G78" s="104" t="n">
        <f aca="false">F78*(1+'E2 CigadingExist Input'!G55)*G$8</f>
        <v>1.02</v>
      </c>
      <c r="H78" s="104" t="n">
        <f aca="false">G78*(1+'E2 CigadingExist Input'!H55)*H$8</f>
        <v>1.0404</v>
      </c>
      <c r="I78" s="104" t="n">
        <f aca="false">H78*(1+'E2 CigadingExist Input'!I55)*I$8</f>
        <v>1.061208</v>
      </c>
      <c r="J78" s="104" t="n">
        <f aca="false">I78*(1+'E2 CigadingExist Input'!J55)*J$8</f>
        <v>1.08243216</v>
      </c>
      <c r="K78" s="104" t="n">
        <f aca="false">J78*(1+'E2 CigadingExist Input'!K55)*K$8</f>
        <v>1.1040808032</v>
      </c>
      <c r="L78" s="104" t="n">
        <f aca="false">K78*(1+'E2 CigadingExist Input'!L55)*L$8</f>
        <v>1.126162419264</v>
      </c>
      <c r="M78" s="104" t="n">
        <f aca="false">L78*(1+'E2 CigadingExist Input'!M55)*M$8</f>
        <v>1.14868566764928</v>
      </c>
      <c r="N78" s="104" t="n">
        <f aca="false">M78*(1+'E2 CigadingExist Input'!N55)*N$8</f>
        <v>1.17165938100227</v>
      </c>
      <c r="O78" s="104" t="n">
        <f aca="false">N78*(1+'E2 CigadingExist Input'!O55)*O$8</f>
        <v>1.19509256862231</v>
      </c>
      <c r="P78" s="104" t="n">
        <f aca="false">O78*(1+'E2 CigadingExist Input'!P55)*P$8</f>
        <v>1.21899441999476</v>
      </c>
      <c r="Q78" s="104" t="n">
        <f aca="false">P78*(1+'E2 CigadingExist Input'!Q55)*Q$8</f>
        <v>1.24337430839465</v>
      </c>
      <c r="R78" s="104" t="n">
        <f aca="false">Q78*(1+'E2 CigadingExist Input'!R55)*R$8</f>
        <v>1.26824179456255</v>
      </c>
      <c r="S78" s="104" t="n">
        <f aca="false">R78*(1+'E2 CigadingExist Input'!S55)*S$8</f>
        <v>1.2936066304538</v>
      </c>
    </row>
    <row r="79" customFormat="false" ht="15" hidden="false" customHeight="false" outlineLevel="0" collapsed="false">
      <c r="B79" s="24" t="s">
        <v>1087</v>
      </c>
      <c r="C79" s="25" t="s">
        <v>170</v>
      </c>
      <c r="E79" s="47" t="n">
        <f aca="false">SUM(F79:S79)</f>
        <v>1.90329235683162</v>
      </c>
      <c r="F79" s="47" t="n">
        <f aca="false">'E2 CigadingExist Input'!$E$54*F78*F$8</f>
        <v>0</v>
      </c>
      <c r="G79" s="47" t="n">
        <f aca="false">'E2 CigadingExist Input'!$E$54*G78*G$8</f>
        <v>0.12964914</v>
      </c>
      <c r="H79" s="47" t="n">
        <f aca="false">'E2 CigadingExist Input'!$E$54*H78*H$8</f>
        <v>0.1322421228</v>
      </c>
      <c r="I79" s="47" t="n">
        <f aca="false">'E2 CigadingExist Input'!$E$54*I78*I$8</f>
        <v>0.134886965256</v>
      </c>
      <c r="J79" s="47" t="n">
        <f aca="false">'E2 CigadingExist Input'!$E$54*J78*J$8</f>
        <v>0.13758470456112</v>
      </c>
      <c r="K79" s="47" t="n">
        <f aca="false">'E2 CigadingExist Input'!$E$54*K78*K$8</f>
        <v>0.140336398652342</v>
      </c>
      <c r="L79" s="47" t="n">
        <f aca="false">'E2 CigadingExist Input'!$E$54*L78*L$8</f>
        <v>0.143143126625389</v>
      </c>
      <c r="M79" s="47" t="n">
        <f aca="false">'E2 CigadingExist Input'!$E$54*M78*M$8</f>
        <v>0.146005989157897</v>
      </c>
      <c r="N79" s="47" t="n">
        <f aca="false">'E2 CigadingExist Input'!$E$54*N78*N$8</f>
        <v>0.148926108941055</v>
      </c>
      <c r="O79" s="47" t="n">
        <f aca="false">'E2 CigadingExist Input'!$E$54*O78*O$8</f>
        <v>0.151904631119876</v>
      </c>
      <c r="P79" s="47" t="n">
        <f aca="false">'E2 CigadingExist Input'!$E$54*P78*P$8</f>
        <v>0.154942723742274</v>
      </c>
      <c r="Q79" s="47" t="n">
        <f aca="false">'E2 CigadingExist Input'!$E$54*Q78*Q$8</f>
        <v>0.158041578217119</v>
      </c>
      <c r="R79" s="47" t="n">
        <f aca="false">'E2 CigadingExist Input'!$E$54*R78*R$8</f>
        <v>0.161202409781461</v>
      </c>
      <c r="S79" s="47" t="n">
        <f aca="false">'E2 CigadingExist Input'!$E$54*S78*S$8</f>
        <v>0.164426457977091</v>
      </c>
    </row>
    <row r="80" customFormat="false" ht="15" hidden="false" customHeight="false" outlineLevel="0" collapsed="false">
      <c r="B80" s="69" t="s">
        <v>1088</v>
      </c>
      <c r="C80" s="25" t="s">
        <v>170</v>
      </c>
      <c r="E80" s="70" t="n">
        <f aca="false">SUM(F80:S80)</f>
        <v>556.682892356832</v>
      </c>
      <c r="F80" s="68" t="n">
        <f aca="false">F77+F79</f>
        <v>0</v>
      </c>
      <c r="G80" s="68" t="n">
        <f aca="false">G77+G79</f>
        <v>40.95884914</v>
      </c>
      <c r="H80" s="68" t="n">
        <f aca="false">H77+H79</f>
        <v>40.9614421228</v>
      </c>
      <c r="I80" s="68" t="n">
        <f aca="false">I77+I79</f>
        <v>41.964086965256</v>
      </c>
      <c r="J80" s="68" t="n">
        <f aca="false">J77+J79</f>
        <v>41.9667847045611</v>
      </c>
      <c r="K80" s="68" t="n">
        <f aca="false">K77+K79</f>
        <v>41.9695363986523</v>
      </c>
      <c r="L80" s="68" t="n">
        <f aca="false">L77+L79</f>
        <v>42.9723431266254</v>
      </c>
      <c r="M80" s="68" t="n">
        <f aca="false">M77+M79</f>
        <v>42.9752059891579</v>
      </c>
      <c r="N80" s="68" t="n">
        <f aca="false">N77+N79</f>
        <v>42.9781261089411</v>
      </c>
      <c r="O80" s="68" t="n">
        <f aca="false">O77+O79</f>
        <v>43.9811046311199</v>
      </c>
      <c r="P80" s="68" t="n">
        <f aca="false">P77+P79</f>
        <v>43.9841427237423</v>
      </c>
      <c r="Q80" s="68" t="n">
        <f aca="false">Q77+Q79</f>
        <v>43.9872415782171</v>
      </c>
      <c r="R80" s="68" t="n">
        <f aca="false">R77+R79</f>
        <v>43.9904024097815</v>
      </c>
      <c r="S80" s="68" t="n">
        <f aca="false">S77+S79</f>
        <v>43.9936264579771</v>
      </c>
    </row>
    <row r="82" customFormat="false" ht="15" hidden="false" customHeight="false" outlineLevel="0" collapsed="false">
      <c r="B82" s="22" t="s">
        <v>1089</v>
      </c>
      <c r="C82" s="23"/>
      <c r="D82" s="23"/>
      <c r="E82" s="23"/>
      <c r="F82" s="23"/>
      <c r="G82" s="23"/>
      <c r="H82" s="23"/>
      <c r="I82" s="23"/>
      <c r="J82" s="23"/>
      <c r="K82" s="23"/>
      <c r="L82" s="23"/>
      <c r="M82" s="23"/>
      <c r="N82" s="23"/>
      <c r="O82" s="23"/>
      <c r="P82" s="23"/>
      <c r="Q82" s="23"/>
      <c r="R82" s="23"/>
      <c r="S82" s="23"/>
    </row>
    <row r="83" customFormat="false" ht="15" hidden="false" customHeight="false" outlineLevel="0" collapsed="false">
      <c r="B83" s="24" t="s">
        <v>1090</v>
      </c>
      <c r="C83" s="25" t="s">
        <v>240</v>
      </c>
      <c r="F83" s="44" t="n">
        <f aca="false">0</f>
        <v>0</v>
      </c>
      <c r="G83" s="44" t="n">
        <f aca="false">0</f>
        <v>0</v>
      </c>
      <c r="H83" s="44" t="n">
        <f aca="false">0</f>
        <v>0</v>
      </c>
      <c r="I83" s="44" t="n">
        <f aca="false">0</f>
        <v>0</v>
      </c>
      <c r="J83" s="44" t="n">
        <f aca="false">0</f>
        <v>0</v>
      </c>
      <c r="K83" s="44" t="n">
        <f aca="false">0</f>
        <v>0</v>
      </c>
      <c r="L83" s="44" t="n">
        <f aca="false">0</f>
        <v>0</v>
      </c>
      <c r="M83" s="44" t="n">
        <f aca="false">0</f>
        <v>0</v>
      </c>
      <c r="N83" s="44" t="n">
        <f aca="false">0</f>
        <v>0</v>
      </c>
      <c r="O83" s="44" t="n">
        <f aca="false">0</f>
        <v>0</v>
      </c>
      <c r="P83" s="44" t="n">
        <f aca="false">0</f>
        <v>0</v>
      </c>
      <c r="Q83" s="44" t="n">
        <f aca="false">0</f>
        <v>0</v>
      </c>
      <c r="R83" s="44" t="n">
        <f aca="false">0</f>
        <v>0</v>
      </c>
      <c r="S83" s="44" t="n">
        <f aca="false">0</f>
        <v>0</v>
      </c>
    </row>
    <row r="84" customFormat="false" ht="15" hidden="false" customHeight="false" outlineLevel="0" collapsed="false">
      <c r="B84" s="24" t="s">
        <v>1091</v>
      </c>
      <c r="C84" s="25" t="s">
        <v>170</v>
      </c>
      <c r="F84" s="47" t="n">
        <f aca="false">0</f>
        <v>0</v>
      </c>
      <c r="G84" s="47" t="n">
        <f aca="false">0</f>
        <v>0</v>
      </c>
      <c r="H84" s="47" t="n">
        <f aca="false">0</f>
        <v>0</v>
      </c>
      <c r="I84" s="47" t="n">
        <f aca="false">0</f>
        <v>0</v>
      </c>
      <c r="J84" s="47" t="n">
        <f aca="false">0</f>
        <v>0</v>
      </c>
      <c r="K84" s="47" t="n">
        <f aca="false">0</f>
        <v>0</v>
      </c>
      <c r="L84" s="47" t="n">
        <f aca="false">0</f>
        <v>0</v>
      </c>
      <c r="M84" s="47" t="n">
        <f aca="false">0</f>
        <v>0</v>
      </c>
      <c r="N84" s="47" t="n">
        <f aca="false">0</f>
        <v>0</v>
      </c>
      <c r="O84" s="47" t="n">
        <f aca="false">0</f>
        <v>0</v>
      </c>
      <c r="P84" s="47" t="n">
        <f aca="false">0</f>
        <v>0</v>
      </c>
      <c r="Q84" s="47" t="n">
        <f aca="false">0</f>
        <v>0</v>
      </c>
      <c r="R84" s="47" t="n">
        <f aca="false">0</f>
        <v>0</v>
      </c>
      <c r="S84" s="47" t="n">
        <f aca="false">0</f>
        <v>0</v>
      </c>
    </row>
    <row r="85" customFormat="false" ht="15" hidden="false" customHeight="false" outlineLevel="0" collapsed="false">
      <c r="B85" s="24" t="s">
        <v>1092</v>
      </c>
      <c r="C85" s="25" t="s">
        <v>170</v>
      </c>
      <c r="F85" s="47" t="n">
        <f aca="false">0</f>
        <v>0</v>
      </c>
      <c r="G85" s="47" t="n">
        <f aca="false">0</f>
        <v>0</v>
      </c>
      <c r="H85" s="47" t="n">
        <f aca="false">0</f>
        <v>0</v>
      </c>
      <c r="I85" s="47" t="n">
        <f aca="false">0</f>
        <v>0</v>
      </c>
      <c r="J85" s="47" t="n">
        <f aca="false">0</f>
        <v>0</v>
      </c>
      <c r="K85" s="47" t="n">
        <f aca="false">0</f>
        <v>0</v>
      </c>
      <c r="L85" s="47" t="n">
        <f aca="false">0</f>
        <v>0</v>
      </c>
      <c r="M85" s="47" t="n">
        <f aca="false">0</f>
        <v>0</v>
      </c>
      <c r="N85" s="47" t="n">
        <f aca="false">0</f>
        <v>0</v>
      </c>
      <c r="O85" s="47" t="n">
        <f aca="false">0</f>
        <v>0</v>
      </c>
      <c r="P85" s="47" t="n">
        <f aca="false">0</f>
        <v>0</v>
      </c>
      <c r="Q85" s="47" t="n">
        <f aca="false">0</f>
        <v>0</v>
      </c>
      <c r="R85" s="47" t="n">
        <f aca="false">0</f>
        <v>0</v>
      </c>
      <c r="S85" s="47" t="n">
        <f aca="false">0</f>
        <v>0</v>
      </c>
    </row>
    <row r="86" customFormat="false" ht="15" hidden="false" customHeight="false" outlineLevel="0" collapsed="false">
      <c r="B86" s="24" t="s">
        <v>1093</v>
      </c>
      <c r="C86" s="25" t="s">
        <v>170</v>
      </c>
      <c r="F86" s="47" t="n">
        <f aca="false">0</f>
        <v>0</v>
      </c>
      <c r="G86" s="47" t="n">
        <f aca="false">0</f>
        <v>0</v>
      </c>
      <c r="H86" s="47" t="n">
        <f aca="false">0</f>
        <v>0</v>
      </c>
      <c r="I86" s="47" t="n">
        <f aca="false">0</f>
        <v>0</v>
      </c>
      <c r="J86" s="47" t="n">
        <f aca="false">0</f>
        <v>0</v>
      </c>
      <c r="K86" s="47" t="n">
        <f aca="false">0</f>
        <v>0</v>
      </c>
      <c r="L86" s="47" t="n">
        <f aca="false">0</f>
        <v>0</v>
      </c>
      <c r="M86" s="47" t="n">
        <f aca="false">0</f>
        <v>0</v>
      </c>
      <c r="N86" s="47" t="n">
        <f aca="false">0</f>
        <v>0</v>
      </c>
      <c r="O86" s="47" t="n">
        <f aca="false">0</f>
        <v>0</v>
      </c>
      <c r="P86" s="47" t="n">
        <f aca="false">0</f>
        <v>0</v>
      </c>
      <c r="Q86" s="47" t="n">
        <f aca="false">0</f>
        <v>0</v>
      </c>
      <c r="R86" s="47" t="n">
        <f aca="false">0</f>
        <v>0</v>
      </c>
      <c r="S86" s="47" t="n">
        <f aca="false">0</f>
        <v>0</v>
      </c>
    </row>
    <row r="87" customFormat="false" ht="15" hidden="false" customHeight="false" outlineLevel="0" collapsed="false">
      <c r="B87" s="69" t="s">
        <v>1094</v>
      </c>
      <c r="C87" s="25" t="s">
        <v>170</v>
      </c>
      <c r="E87" s="70" t="n">
        <f aca="false">SUM(F87:S87)</f>
        <v>556.682892356832</v>
      </c>
      <c r="F87" s="68" t="n">
        <f aca="false">F85+F80</f>
        <v>0</v>
      </c>
      <c r="G87" s="68" t="n">
        <f aca="false">G85+G80</f>
        <v>40.95884914</v>
      </c>
      <c r="H87" s="68" t="n">
        <f aca="false">H85+H80</f>
        <v>40.9614421228</v>
      </c>
      <c r="I87" s="68" t="n">
        <f aca="false">I85+I80</f>
        <v>41.964086965256</v>
      </c>
      <c r="J87" s="68" t="n">
        <f aca="false">J85+J80</f>
        <v>41.9667847045611</v>
      </c>
      <c r="K87" s="68" t="n">
        <f aca="false">K85+K80</f>
        <v>41.9695363986523</v>
      </c>
      <c r="L87" s="68" t="n">
        <f aca="false">L85+L80</f>
        <v>42.9723431266254</v>
      </c>
      <c r="M87" s="68" t="n">
        <f aca="false">M85+M80</f>
        <v>42.9752059891579</v>
      </c>
      <c r="N87" s="68" t="n">
        <f aca="false">N85+N80</f>
        <v>42.9781261089411</v>
      </c>
      <c r="O87" s="68" t="n">
        <f aca="false">O85+O80</f>
        <v>43.9811046311199</v>
      </c>
      <c r="P87" s="68" t="n">
        <f aca="false">P85+P80</f>
        <v>43.9841427237423</v>
      </c>
      <c r="Q87" s="68" t="n">
        <f aca="false">Q85+Q80</f>
        <v>43.9872415782171</v>
      </c>
      <c r="R87" s="68" t="n">
        <f aca="false">R85+R80</f>
        <v>43.9904024097815</v>
      </c>
      <c r="S87" s="68" t="n">
        <f aca="false">S85+S80</f>
        <v>43.9936264579771</v>
      </c>
    </row>
    <row r="89" customFormat="false" ht="15" hidden="false" customHeight="false" outlineLevel="0" collapsed="false">
      <c r="B89" s="22" t="s">
        <v>1095</v>
      </c>
      <c r="C89" s="23"/>
      <c r="D89" s="23"/>
      <c r="E89" s="23"/>
      <c r="F89" s="23"/>
      <c r="G89" s="23"/>
      <c r="H89" s="23"/>
      <c r="I89" s="23"/>
      <c r="J89" s="23"/>
      <c r="K89" s="23"/>
      <c r="L89" s="23"/>
      <c r="M89" s="23"/>
      <c r="N89" s="23"/>
      <c r="O89" s="23"/>
      <c r="P89" s="23"/>
      <c r="Q89" s="23"/>
      <c r="R89" s="23"/>
      <c r="S89" s="23"/>
    </row>
    <row r="90" customFormat="false" ht="15" hidden="false" customHeight="false" outlineLevel="0" collapsed="false">
      <c r="B90" s="24" t="s">
        <v>1096</v>
      </c>
      <c r="C90" s="25" t="s">
        <v>170</v>
      </c>
      <c r="F90" s="47" t="n">
        <f aca="false">'Global Inputs'!$E$60*$G$17/('Global Inputs'!$E$106)</f>
        <v>5.69824510058487</v>
      </c>
      <c r="G90" s="47" t="n">
        <f aca="false">G17*'Global Inputs'!$E$28/G$7</f>
        <v>4.75302786885246</v>
      </c>
      <c r="H90" s="47" t="n">
        <f aca="false">H17*'Global Inputs'!$E$28/H$7</f>
        <v>5.71925983561644</v>
      </c>
      <c r="I90" s="47" t="n">
        <f aca="false">I17*'Global Inputs'!$E$28/I$7</f>
        <v>5.89083763068493</v>
      </c>
      <c r="J90" s="47" t="n">
        <f aca="false">J17*'Global Inputs'!$E$28/J$7</f>
        <v>7.28107531152658</v>
      </c>
      <c r="K90" s="47" t="n">
        <f aca="false">K17*'Global Inputs'!$E$28/K$7</f>
        <v>7.47901711302846</v>
      </c>
      <c r="L90" s="47" t="n">
        <f aca="false">L17*'Global Inputs'!$E$28/L$7</f>
        <v>8.4969420777984</v>
      </c>
      <c r="M90" s="47" t="n">
        <f aca="false">M17*'Global Inputs'!$E$28/M$7</f>
        <v>8.75185034013235</v>
      </c>
      <c r="N90" s="47" t="n">
        <f aca="false">N17*'Global Inputs'!$E$28/N$7</f>
        <v>9.5552702013565</v>
      </c>
      <c r="O90" s="47" t="n">
        <f aca="false">O17*'Global Inputs'!$E$28/O$7</f>
        <v>9.81503779289611</v>
      </c>
      <c r="P90" s="47" t="n">
        <f aca="false">P17*'Global Inputs'!$E$28/P$7</f>
        <v>10.7454173260163</v>
      </c>
      <c r="Q90" s="47" t="n">
        <f aca="false">Q17*'Global Inputs'!$E$28/Q$7</f>
        <v>11.0677798457967</v>
      </c>
      <c r="R90" s="47" t="n">
        <f aca="false">R17*'Global Inputs'!$E$28/R$7</f>
        <v>11.3998132411707</v>
      </c>
      <c r="S90" s="47" t="n">
        <f aca="false">S17*'Global Inputs'!$E$28/S$7</f>
        <v>11.7097261967708</v>
      </c>
      <c r="U90" s="5" t="s">
        <v>1097</v>
      </c>
    </row>
    <row r="91" customFormat="false" ht="15" hidden="false" customHeight="false" outlineLevel="0" collapsed="false">
      <c r="B91" s="24" t="s">
        <v>1098</v>
      </c>
      <c r="C91" s="25" t="s">
        <v>170</v>
      </c>
      <c r="F91" s="47" t="n">
        <f aca="false">'Global Inputs'!$E$63*$G$51/('Global Inputs'!$E$107)</f>
        <v>1.60697070234504</v>
      </c>
      <c r="G91" s="47" t="n">
        <f aca="false">G51*'Global Inputs'!$E$29/G$7</f>
        <v>1.10013978233645</v>
      </c>
      <c r="H91" s="47" t="n">
        <f aca="false">H51*'Global Inputs'!$E$29/H$7</f>
        <v>1.14662013229574</v>
      </c>
      <c r="I91" s="47" t="n">
        <f aca="false">I51*'Global Inputs'!$E$29/I$7</f>
        <v>1.19486413230925</v>
      </c>
      <c r="J91" s="47" t="n">
        <f aca="false">J51*'Global Inputs'!$E$29/J$7</f>
        <v>1.24253767142726</v>
      </c>
      <c r="K91" s="47" t="n">
        <f aca="false">K51*'Global Inputs'!$E$29/K$7</f>
        <v>1.28894508431115</v>
      </c>
      <c r="L91" s="47" t="n">
        <f aca="false">L51*'Global Inputs'!$E$29/L$7</f>
        <v>1.34752204344192</v>
      </c>
      <c r="M91" s="47" t="n">
        <f aca="false">M51*'Global Inputs'!$E$29/M$7</f>
        <v>1.40234404209642</v>
      </c>
      <c r="N91" s="47" t="n">
        <f aca="false">N51*'Global Inputs'!$E$29/N$7</f>
        <v>1.45979688392359</v>
      </c>
      <c r="O91" s="47" t="n">
        <f aca="false">O51*'Global Inputs'!$E$29/O$7</f>
        <v>1.51858149056707</v>
      </c>
      <c r="P91" s="47" t="n">
        <f aca="false">P51*'Global Inputs'!$E$29/P$7</f>
        <v>1.58586985281097</v>
      </c>
      <c r="Q91" s="47" t="n">
        <f aca="false">Q51*'Global Inputs'!$E$29/Q$7</f>
        <v>1.65205704916404</v>
      </c>
      <c r="R91" s="47" t="n">
        <f aca="false">R51*'Global Inputs'!$E$29/R$7</f>
        <v>1.72146227874195</v>
      </c>
      <c r="S91" s="47" t="n">
        <f aca="false">S51*'Global Inputs'!$E$29/S$7</f>
        <v>1.78935060845088</v>
      </c>
    </row>
    <row r="92" customFormat="false" ht="15" hidden="false" customHeight="false" outlineLevel="0" collapsed="false">
      <c r="B92" s="24" t="s">
        <v>1099</v>
      </c>
      <c r="C92" s="25" t="s">
        <v>170</v>
      </c>
      <c r="F92" s="47" t="n">
        <f aca="false">F90-F91</f>
        <v>4.09127439823984</v>
      </c>
      <c r="G92" s="47" t="n">
        <f aca="false">G90-G91</f>
        <v>3.65288808651601</v>
      </c>
      <c r="H92" s="47" t="n">
        <f aca="false">H90-H91</f>
        <v>4.5726397033207</v>
      </c>
      <c r="I92" s="47" t="n">
        <f aca="false">I90-I91</f>
        <v>4.69597349837568</v>
      </c>
      <c r="J92" s="47" t="n">
        <f aca="false">J90-J91</f>
        <v>6.03853764009931</v>
      </c>
      <c r="K92" s="47" t="n">
        <f aca="false">K90-K91</f>
        <v>6.19007202871731</v>
      </c>
      <c r="L92" s="47" t="n">
        <f aca="false">L90-L91</f>
        <v>7.14942003435647</v>
      </c>
      <c r="M92" s="47" t="n">
        <f aca="false">M90-M91</f>
        <v>7.34950629803593</v>
      </c>
      <c r="N92" s="47" t="n">
        <f aca="false">N90-N91</f>
        <v>8.09547331743291</v>
      </c>
      <c r="O92" s="47" t="n">
        <f aca="false">O90-O91</f>
        <v>8.29645630232904</v>
      </c>
      <c r="P92" s="47" t="n">
        <f aca="false">P90-P91</f>
        <v>9.15954747320529</v>
      </c>
      <c r="Q92" s="47" t="n">
        <f aca="false">Q90-Q91</f>
        <v>9.41572279663271</v>
      </c>
      <c r="R92" s="47" t="n">
        <f aca="false">R90-R91</f>
        <v>9.6783509624287</v>
      </c>
      <c r="S92" s="47" t="n">
        <f aca="false">S90-S91</f>
        <v>9.92037558831991</v>
      </c>
    </row>
    <row r="93" customFormat="false" ht="15" hidden="false" customHeight="false" outlineLevel="0" collapsed="false">
      <c r="B93" s="24" t="s">
        <v>1100</v>
      </c>
      <c r="C93" s="25" t="s">
        <v>170</v>
      </c>
      <c r="E93" s="47" t="n">
        <f aca="false">SUM(F93:S93)</f>
        <v>5.82910119008007</v>
      </c>
      <c r="F93" s="47" t="n">
        <f aca="false">0</f>
        <v>0</v>
      </c>
      <c r="G93" s="47" t="n">
        <f aca="false">G92-F92</f>
        <v>-0.438386311723827</v>
      </c>
      <c r="H93" s="47" t="n">
        <f aca="false">H92-G92</f>
        <v>0.91975161680469</v>
      </c>
      <c r="I93" s="47" t="n">
        <f aca="false">I92-H92</f>
        <v>0.123333795054978</v>
      </c>
      <c r="J93" s="47" t="n">
        <f aca="false">J92-I92</f>
        <v>1.34256414172363</v>
      </c>
      <c r="K93" s="47" t="n">
        <f aca="false">K92-J92</f>
        <v>0.151534388617997</v>
      </c>
      <c r="L93" s="47" t="n">
        <f aca="false">L92-K92</f>
        <v>0.959348005639164</v>
      </c>
      <c r="M93" s="47" t="n">
        <f aca="false">M92-L92</f>
        <v>0.200086263679455</v>
      </c>
      <c r="N93" s="47" t="n">
        <f aca="false">N92-M92</f>
        <v>0.745967019396987</v>
      </c>
      <c r="O93" s="47" t="n">
        <f aca="false">O92-N92</f>
        <v>0.200982984896127</v>
      </c>
      <c r="P93" s="47" t="n">
        <f aca="false">P92-O92</f>
        <v>0.863091170876249</v>
      </c>
      <c r="Q93" s="47" t="n">
        <f aca="false">Q92-P92</f>
        <v>0.256175323427415</v>
      </c>
      <c r="R93" s="47" t="n">
        <f aca="false">R92-Q92</f>
        <v>0.262628165795999</v>
      </c>
      <c r="S93" s="47" t="n">
        <f aca="false">S92-R92</f>
        <v>0.242024625891201</v>
      </c>
    </row>
  </sheetData>
  <hyperlinks>
    <hyperlink ref="C3" r:id="rId1" location="'E2%20CigadingExist%20Input'!A1" display="Input"/>
    <hyperlink ref="D3" r:id="rId2" location="'E2%20CigadingExist%20Calc'!A1" display="Calc"/>
    <hyperlink ref="E3" r:id="rId3" location="'E2%20CigadingExist%20Output'!A1" display="Output"/>
    <hyperlink ref="F3" r:id="rId4" location="'Navigation'!A1" display="Navigation"/>
    <hyperlink ref="G3" r:id="rId5" location="'Global%20Inputs'!A1" display="Global Inputs"/>
    <hyperlink ref="H3" r:id="rId6" location="'Project%20Summary'!A1" display="Project Summary"/>
    <hyperlink ref="I3" r:id="rId7" location="'Funding%20Requirement'!A1" display="Funding"/>
    <hyperlink ref="J3" r:id="rId8" location="'FSL%20Financials%20—%20Without%20BUMN'!A1" display="FSL w/o BUMN"/>
    <hyperlink ref="K3" r:id="rId9" location="'FSL%20Financials%20—%20With%20BUMN'!A1" display="FSL w/ BUMN"/>
    <hyperlink ref="L3" r:id="rId10" location="'Valuation%20—%20Without%20BUMN'!A1" display="Val w/o BUMN"/>
    <hyperlink ref="M3" r:id="rId11" location="'Valuation%20—%20With%20BUMN'!A1" display="Val w/ BUMN"/>
    <hyperlink ref="N3" r:id="rId12" location="'Checks'!A1" display="Checks"/>
    <hyperlink ref="O3" r:id="rId13" location="'Model%20Flow'!A1" display="Model Flow"/>
  </hyperlink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9D08E"/>
    <pageSetUpPr fitToPage="true"/>
  </sheetPr>
  <dimension ref="B1:U6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5" ySplit="9" topLeftCell="F10" activePane="bottomRight" state="frozen"/>
      <selection pane="topLeft" activeCell="A1" activeCellId="0" sqref="A1"/>
      <selection pane="topRight" activeCell="F1" activeCellId="0" sqref="F1"/>
      <selection pane="bottomLeft" activeCell="A10" activeCellId="0" sqref="A10"/>
      <selection pane="bottomRigh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66"/>
    <col collapsed="false" customWidth="true" hidden="false" outlineLevel="0" max="3" min="3" style="0" width="11"/>
    <col collapsed="false" customWidth="true" hidden="false" outlineLevel="0" max="4" min="4" style="0" width="12"/>
    <col collapsed="false" customWidth="true" hidden="false" outlineLevel="0" max="5" min="5" style="0" width="13"/>
    <col collapsed="false" customWidth="true" hidden="false" outlineLevel="0" max="19" min="6" style="0" width="11.5"/>
    <col collapsed="false" customWidth="true" hidden="false" outlineLevel="0" max="20" min="20" style="0" width="40"/>
    <col collapsed="false" customWidth="true" hidden="false" outlineLevel="0" max="21" min="21" style="0" width="48"/>
  </cols>
  <sheetData>
    <row r="1" customFormat="false" ht="21.75" hidden="false" customHeight="true" outlineLevel="0" collapsed="false">
      <c r="B1" s="1" t="s">
        <v>1213</v>
      </c>
    </row>
    <row r="2" customFormat="false" ht="15" hidden="false" customHeight="false" outlineLevel="0" collapsed="false">
      <c r="B2" s="2" t="s">
        <v>1102</v>
      </c>
    </row>
    <row r="3" customFormat="false" ht="15" hidden="false" customHeight="false" outlineLevel="0" collapsed="false">
      <c r="B3" s="5" t="s">
        <v>112</v>
      </c>
      <c r="C3" s="17" t="s">
        <v>27</v>
      </c>
      <c r="D3" s="17" t="s">
        <v>28</v>
      </c>
      <c r="E3" s="17" t="s">
        <v>29</v>
      </c>
      <c r="F3" s="17" t="s">
        <v>113</v>
      </c>
      <c r="G3" s="17" t="s">
        <v>5</v>
      </c>
      <c r="H3" s="17" t="s">
        <v>7</v>
      </c>
      <c r="I3" s="17" t="s">
        <v>114</v>
      </c>
      <c r="J3" s="17" t="s">
        <v>115</v>
      </c>
      <c r="K3" s="17" t="s">
        <v>116</v>
      </c>
      <c r="L3" s="17" t="s">
        <v>117</v>
      </c>
      <c r="M3" s="17" t="s">
        <v>118</v>
      </c>
      <c r="N3" s="17" t="s">
        <v>21</v>
      </c>
      <c r="O3" s="17" t="s">
        <v>3</v>
      </c>
    </row>
    <row r="5" customFormat="false" ht="15" hidden="false" customHeight="false" outlineLevel="0" collapsed="false">
      <c r="B5" s="6" t="s">
        <v>119</v>
      </c>
      <c r="C5" s="6" t="s">
        <v>120</v>
      </c>
      <c r="D5" s="6" t="s">
        <v>121</v>
      </c>
      <c r="E5" s="6" t="s">
        <v>122</v>
      </c>
      <c r="F5" s="18" t="n">
        <f aca="false">'Global Inputs'!F$5</f>
        <v>2023</v>
      </c>
      <c r="G5" s="18" t="n">
        <f aca="false">'Global Inputs'!G$5</f>
        <v>2024</v>
      </c>
      <c r="H5" s="18" t="n">
        <f aca="false">'Global Inputs'!H$5</f>
        <v>2025</v>
      </c>
      <c r="I5" s="18" t="n">
        <f aca="false">'Global Inputs'!I$5</f>
        <v>2026</v>
      </c>
      <c r="J5" s="18" t="n">
        <f aca="false">'Global Inputs'!J$5</f>
        <v>2027</v>
      </c>
      <c r="K5" s="18" t="n">
        <f aca="false">'Global Inputs'!K$5</f>
        <v>2028</v>
      </c>
      <c r="L5" s="18" t="n">
        <f aca="false">'Global Inputs'!L$5</f>
        <v>2029</v>
      </c>
      <c r="M5" s="18" t="n">
        <f aca="false">'Global Inputs'!M$5</f>
        <v>2030</v>
      </c>
      <c r="N5" s="18" t="n">
        <f aca="false">'Global Inputs'!N$5</f>
        <v>2031</v>
      </c>
      <c r="O5" s="18" t="n">
        <f aca="false">'Global Inputs'!O$5</f>
        <v>2032</v>
      </c>
      <c r="P5" s="18" t="n">
        <f aca="false">'Global Inputs'!P$5</f>
        <v>2033</v>
      </c>
      <c r="Q5" s="18" t="n">
        <f aca="false">'Global Inputs'!Q$5</f>
        <v>2034</v>
      </c>
      <c r="R5" s="18" t="n">
        <f aca="false">'Global Inputs'!R$5</f>
        <v>2035</v>
      </c>
      <c r="S5" s="18" t="n">
        <f aca="false">'Global Inputs'!S$5</f>
        <v>2036</v>
      </c>
      <c r="T5" s="6" t="s">
        <v>123</v>
      </c>
      <c r="U5" s="6" t="s">
        <v>124</v>
      </c>
    </row>
    <row r="6" customFormat="false" ht="15" hidden="false" customHeight="false" outlineLevel="0" collapsed="false">
      <c r="B6" s="19" t="s">
        <v>125</v>
      </c>
      <c r="F6" s="20" t="n">
        <f aca="false">'Global Inputs'!F$6</f>
        <v>45291</v>
      </c>
      <c r="G6" s="20" t="n">
        <f aca="false">'Global Inputs'!G$6</f>
        <v>45657</v>
      </c>
      <c r="H6" s="20" t="n">
        <f aca="false">'Global Inputs'!H$6</f>
        <v>46022</v>
      </c>
      <c r="I6" s="20" t="n">
        <f aca="false">'Global Inputs'!I$6</f>
        <v>46387</v>
      </c>
      <c r="J6" s="20" t="n">
        <f aca="false">'Global Inputs'!J$6</f>
        <v>46752</v>
      </c>
      <c r="K6" s="20" t="n">
        <f aca="false">'Global Inputs'!K$6</f>
        <v>47118</v>
      </c>
      <c r="L6" s="20" t="n">
        <f aca="false">'Global Inputs'!L$6</f>
        <v>47483</v>
      </c>
      <c r="M6" s="20" t="n">
        <f aca="false">'Global Inputs'!M$6</f>
        <v>47848</v>
      </c>
      <c r="N6" s="20" t="n">
        <f aca="false">'Global Inputs'!N$6</f>
        <v>48213</v>
      </c>
      <c r="O6" s="20" t="n">
        <f aca="false">'Global Inputs'!O$6</f>
        <v>48579</v>
      </c>
      <c r="P6" s="20" t="n">
        <f aca="false">'Global Inputs'!P$6</f>
        <v>48944</v>
      </c>
      <c r="Q6" s="20" t="n">
        <f aca="false">'Global Inputs'!Q$6</f>
        <v>49309</v>
      </c>
      <c r="R6" s="20" t="n">
        <f aca="false">'Global Inputs'!R$6</f>
        <v>49674</v>
      </c>
      <c r="S6" s="20" t="n">
        <f aca="false">'Global Inputs'!S$6</f>
        <v>50040</v>
      </c>
    </row>
    <row r="7" customFormat="false" ht="15" hidden="false" customHeight="false" outlineLevel="0" collapsed="false">
      <c r="B7" s="19" t="s">
        <v>126</v>
      </c>
      <c r="F7" s="21" t="n">
        <f aca="false">'Global Inputs'!F$7</f>
        <v>365</v>
      </c>
      <c r="G7" s="21" t="n">
        <f aca="false">'Global Inputs'!G$7</f>
        <v>366</v>
      </c>
      <c r="H7" s="21" t="n">
        <f aca="false">'Global Inputs'!H$7</f>
        <v>365</v>
      </c>
      <c r="I7" s="21" t="n">
        <f aca="false">'Global Inputs'!I$7</f>
        <v>365</v>
      </c>
      <c r="J7" s="21" t="n">
        <f aca="false">'Global Inputs'!J$7</f>
        <v>365</v>
      </c>
      <c r="K7" s="21" t="n">
        <f aca="false">'Global Inputs'!K$7</f>
        <v>366</v>
      </c>
      <c r="L7" s="21" t="n">
        <f aca="false">'Global Inputs'!L$7</f>
        <v>365</v>
      </c>
      <c r="M7" s="21" t="n">
        <f aca="false">'Global Inputs'!M$7</f>
        <v>365</v>
      </c>
      <c r="N7" s="21" t="n">
        <f aca="false">'Global Inputs'!N$7</f>
        <v>365</v>
      </c>
      <c r="O7" s="21" t="n">
        <f aca="false">'Global Inputs'!O$7</f>
        <v>366</v>
      </c>
      <c r="P7" s="21" t="n">
        <f aca="false">'Global Inputs'!P$7</f>
        <v>365</v>
      </c>
      <c r="Q7" s="21" t="n">
        <f aca="false">'Global Inputs'!Q$7</f>
        <v>365</v>
      </c>
      <c r="R7" s="21" t="n">
        <f aca="false">'Global Inputs'!R$7</f>
        <v>365</v>
      </c>
      <c r="S7" s="21" t="n">
        <f aca="false">'Global Inputs'!S$7</f>
        <v>366</v>
      </c>
    </row>
    <row r="8" customFormat="false" ht="15" hidden="false" customHeight="false" outlineLevel="0" collapsed="false">
      <c r="B8" s="19" t="s">
        <v>127</v>
      </c>
      <c r="F8" s="21" t="n">
        <f aca="false">'Global Inputs'!F$8</f>
        <v>0</v>
      </c>
      <c r="G8" s="21" t="n">
        <f aca="false">'Global Inputs'!G$8</f>
        <v>1</v>
      </c>
      <c r="H8" s="21" t="n">
        <f aca="false">'Global Inputs'!H$8</f>
        <v>1</v>
      </c>
      <c r="I8" s="21" t="n">
        <f aca="false">'Global Inputs'!I$8</f>
        <v>1</v>
      </c>
      <c r="J8" s="21" t="n">
        <f aca="false">'Global Inputs'!J$8</f>
        <v>1</v>
      </c>
      <c r="K8" s="21" t="n">
        <f aca="false">'Global Inputs'!K$8</f>
        <v>1</v>
      </c>
      <c r="L8" s="21" t="n">
        <f aca="false">'Global Inputs'!L$8</f>
        <v>1</v>
      </c>
      <c r="M8" s="21" t="n">
        <f aca="false">'Global Inputs'!M$8</f>
        <v>1</v>
      </c>
      <c r="N8" s="21" t="n">
        <f aca="false">'Global Inputs'!N$8</f>
        <v>1</v>
      </c>
      <c r="O8" s="21" t="n">
        <f aca="false">'Global Inputs'!O$8</f>
        <v>1</v>
      </c>
      <c r="P8" s="21" t="n">
        <f aca="false">'Global Inputs'!P$8</f>
        <v>1</v>
      </c>
      <c r="Q8" s="21" t="n">
        <f aca="false">'Global Inputs'!Q$8</f>
        <v>1</v>
      </c>
      <c r="R8" s="21" t="n">
        <f aca="false">'Global Inputs'!R$8</f>
        <v>1</v>
      </c>
      <c r="S8" s="21" t="n">
        <f aca="false">'Global Inputs'!S$8</f>
        <v>1</v>
      </c>
    </row>
    <row r="10" customFormat="false" ht="15" hidden="false" customHeight="false" outlineLevel="0" collapsed="false">
      <c r="B10" s="22" t="s">
        <v>1103</v>
      </c>
      <c r="C10" s="23"/>
      <c r="D10" s="23"/>
      <c r="E10" s="23"/>
      <c r="F10" s="23"/>
      <c r="G10" s="23"/>
      <c r="H10" s="23"/>
      <c r="I10" s="23"/>
      <c r="J10" s="23"/>
      <c r="K10" s="23"/>
      <c r="L10" s="23"/>
      <c r="M10" s="23"/>
      <c r="N10" s="23"/>
      <c r="O10" s="23"/>
      <c r="P10" s="23"/>
      <c r="Q10" s="23"/>
      <c r="R10" s="23"/>
      <c r="S10" s="23"/>
    </row>
    <row r="11" customFormat="false" ht="15" hidden="false" customHeight="false" outlineLevel="0" collapsed="false">
      <c r="B11" s="24" t="s">
        <v>345</v>
      </c>
      <c r="C11" s="25" t="s">
        <v>170</v>
      </c>
      <c r="E11" s="47" t="n">
        <f aca="false">SUM(F11:S11)</f>
        <v>914.588928983835</v>
      </c>
      <c r="F11" s="47" t="n">
        <f aca="false">'E2 CigadingExist Calc'!F17</f>
        <v>0</v>
      </c>
      <c r="G11" s="47" t="n">
        <f aca="false">'E2 CigadingExist Calc'!G17</f>
        <v>38.65796</v>
      </c>
      <c r="H11" s="47" t="n">
        <f aca="false">'E2 CigadingExist Calc'!H17</f>
        <v>46.389552</v>
      </c>
      <c r="I11" s="47" t="n">
        <f aca="false">'E2 CigadingExist Calc'!I17</f>
        <v>47.78123856</v>
      </c>
      <c r="J11" s="47" t="n">
        <f aca="false">'E2 CigadingExist Calc'!J17</f>
        <v>59.05761086016</v>
      </c>
      <c r="K11" s="47" t="n">
        <f aca="false">'E2 CigadingExist Calc'!K17</f>
        <v>60.8293391859648</v>
      </c>
      <c r="L11" s="47" t="n">
        <f aca="false">'E2 CigadingExist Calc'!L17</f>
        <v>68.9196412976981</v>
      </c>
      <c r="M11" s="47" t="n">
        <f aca="false">'E2 CigadingExist Calc'!M17</f>
        <v>70.9872305366291</v>
      </c>
      <c r="N11" s="47" t="n">
        <f aca="false">'E2 CigadingExist Calc'!N17</f>
        <v>77.5038582998916</v>
      </c>
      <c r="O11" s="47" t="n">
        <f aca="false">'E2 CigadingExist Calc'!O17</f>
        <v>79.8289740488884</v>
      </c>
      <c r="P11" s="47" t="n">
        <f aca="false">'E2 CigadingExist Calc'!P17</f>
        <v>87.1572738665763</v>
      </c>
      <c r="Q11" s="47" t="n">
        <f aca="false">'E2 CigadingExist Calc'!Q17</f>
        <v>89.7719920825736</v>
      </c>
      <c r="R11" s="47" t="n">
        <f aca="false">'E2 CigadingExist Calc'!R17</f>
        <v>92.4651518450508</v>
      </c>
      <c r="S11" s="47" t="n">
        <f aca="false">'E2 CigadingExist Calc'!S17</f>
        <v>95.2391064004024</v>
      </c>
    </row>
    <row r="12" customFormat="false" ht="15" hidden="false" customHeight="false" outlineLevel="0" collapsed="false">
      <c r="B12" s="24" t="s">
        <v>391</v>
      </c>
      <c r="C12" s="25" t="s">
        <v>170</v>
      </c>
      <c r="E12" s="47" t="n">
        <f aca="false">SUM(F12:S12)</f>
        <v>-224.666008363355</v>
      </c>
      <c r="F12" s="47" t="n">
        <f aca="false">-'E2 CigadingExist Calc'!F51</f>
        <v>-0</v>
      </c>
      <c r="G12" s="47" t="n">
        <f aca="false">-'E2 CigadingExist Calc'!G51</f>
        <v>-13.4217053445047</v>
      </c>
      <c r="H12" s="47" t="n">
        <f aca="false">-'E2 CigadingExist Calc'!H51</f>
        <v>-13.9505449429315</v>
      </c>
      <c r="I12" s="47" t="n">
        <f aca="false">-'E2 CigadingExist Calc'!I51</f>
        <v>-14.5375136097626</v>
      </c>
      <c r="J12" s="47" t="n">
        <f aca="false">-'E2 CigadingExist Calc'!J51</f>
        <v>-15.1175416690317</v>
      </c>
      <c r="K12" s="47" t="n">
        <f aca="false">-'E2 CigadingExist Calc'!K51</f>
        <v>-15.7251300285961</v>
      </c>
      <c r="L12" s="47" t="n">
        <f aca="false">-'E2 CigadingExist Calc'!L51</f>
        <v>-16.3948515285434</v>
      </c>
      <c r="M12" s="47" t="n">
        <f aca="false">-'E2 CigadingExist Calc'!M51</f>
        <v>-17.0618525121731</v>
      </c>
      <c r="N12" s="47" t="n">
        <f aca="false">-'E2 CigadingExist Calc'!N51</f>
        <v>-17.760862087737</v>
      </c>
      <c r="O12" s="47" t="n">
        <f aca="false">-'E2 CigadingExist Calc'!O51</f>
        <v>-18.5266941849183</v>
      </c>
      <c r="P12" s="47" t="n">
        <f aca="false">-'E2 CigadingExist Calc'!P51</f>
        <v>-19.2947498758668</v>
      </c>
      <c r="Q12" s="47" t="n">
        <f aca="false">-'E2 CigadingExist Calc'!Q51</f>
        <v>-20.1000274314958</v>
      </c>
      <c r="R12" s="47" t="n">
        <f aca="false">-'E2 CigadingExist Calc'!R51</f>
        <v>-20.9444577246937</v>
      </c>
      <c r="S12" s="47" t="n">
        <f aca="false">-'E2 CigadingExist Calc'!S51</f>
        <v>-21.8300774231007</v>
      </c>
    </row>
    <row r="13" customFormat="false" ht="15" hidden="false" customHeight="false" outlineLevel="0" collapsed="false">
      <c r="B13" s="69" t="s">
        <v>392</v>
      </c>
      <c r="C13" s="25" t="s">
        <v>170</v>
      </c>
      <c r="E13" s="70" t="n">
        <f aca="false">SUM(F13:S13)</f>
        <v>689.92292062048</v>
      </c>
      <c r="F13" s="68" t="n">
        <f aca="false">F11+F12</f>
        <v>0</v>
      </c>
      <c r="G13" s="68" t="n">
        <f aca="false">G11+G12</f>
        <v>25.2362546554953</v>
      </c>
      <c r="H13" s="68" t="n">
        <f aca="false">H11+H12</f>
        <v>32.4390070570685</v>
      </c>
      <c r="I13" s="68" t="n">
        <f aca="false">I11+I12</f>
        <v>33.2437249502374</v>
      </c>
      <c r="J13" s="68" t="n">
        <f aca="false">J11+J12</f>
        <v>43.9400691911283</v>
      </c>
      <c r="K13" s="68" t="n">
        <f aca="false">K11+K12</f>
        <v>45.1042091573688</v>
      </c>
      <c r="L13" s="68" t="n">
        <f aca="false">L11+L12</f>
        <v>52.5247897691547</v>
      </c>
      <c r="M13" s="68" t="n">
        <f aca="false">M11+M12</f>
        <v>53.9253780244559</v>
      </c>
      <c r="N13" s="68" t="n">
        <f aca="false">N11+N12</f>
        <v>59.7429962121547</v>
      </c>
      <c r="O13" s="68" t="n">
        <f aca="false">O11+O12</f>
        <v>61.3022798639701</v>
      </c>
      <c r="P13" s="68" t="n">
        <f aca="false">P11+P12</f>
        <v>67.8625239907095</v>
      </c>
      <c r="Q13" s="68" t="n">
        <f aca="false">Q11+Q12</f>
        <v>69.6719646510778</v>
      </c>
      <c r="R13" s="68" t="n">
        <f aca="false">R11+R12</f>
        <v>71.5206941203572</v>
      </c>
      <c r="S13" s="68" t="n">
        <f aca="false">S11+S12</f>
        <v>73.4090289773017</v>
      </c>
    </row>
    <row r="14" customFormat="false" ht="15" hidden="false" customHeight="false" outlineLevel="0" collapsed="false">
      <c r="B14" s="24" t="s">
        <v>393</v>
      </c>
      <c r="C14" s="25" t="s">
        <v>170</v>
      </c>
      <c r="E14" s="47" t="n">
        <f aca="false">SUM(F14:S14)</f>
        <v>-145.086468787723</v>
      </c>
      <c r="F14" s="47" t="n">
        <f aca="false">-'E2 CigadingExist Calc'!F74</f>
        <v>-0</v>
      </c>
      <c r="G14" s="47" t="n">
        <f aca="false">-'E2 CigadingExist Calc'!G74</f>
        <v>-9.152664403</v>
      </c>
      <c r="H14" s="47" t="n">
        <f aca="false">-'E2 CigadingExist Calc'!H74</f>
        <v>-9.44884332667</v>
      </c>
      <c r="I14" s="47" t="n">
        <f aca="false">-'E2 CigadingExist Calc'!I74</f>
        <v>-9.7546713283192</v>
      </c>
      <c r="J14" s="47" t="n">
        <f aca="false">-'E2 CigadingExist Calc'!J74</f>
        <v>-10.0704647650577</v>
      </c>
      <c r="K14" s="47" t="n">
        <f aca="false">-'E2 CigadingExist Calc'!K74</f>
        <v>-10.396550428774</v>
      </c>
      <c r="L14" s="47" t="n">
        <f aca="false">-'E2 CigadingExist Calc'!L74</f>
        <v>-10.7332658922828</v>
      </c>
      <c r="M14" s="47" t="n">
        <f aca="false">-'E2 CigadingExist Calc'!M74</f>
        <v>-11.0809598670169</v>
      </c>
      <c r="N14" s="47" t="n">
        <f aca="false">-'E2 CigadingExist Calc'!N74</f>
        <v>-11.43999257265</v>
      </c>
      <c r="O14" s="47" t="n">
        <f aca="false">-'E2 CigadingExist Calc'!O74</f>
        <v>-11.8107361190519</v>
      </c>
      <c r="P14" s="47" t="n">
        <f aca="false">-'E2 CigadingExist Calc'!P74</f>
        <v>-12.1935749009866</v>
      </c>
      <c r="Q14" s="47" t="n">
        <f aca="false">-'E2 CigadingExist Calc'!Q74</f>
        <v>-12.5889060059847</v>
      </c>
      <c r="R14" s="47" t="n">
        <f aca="false">-'E2 CigadingExist Calc'!R74</f>
        <v>-12.9971396358273</v>
      </c>
      <c r="S14" s="47" t="n">
        <f aca="false">-'E2 CigadingExist Calc'!S74</f>
        <v>-13.4186995421024</v>
      </c>
    </row>
    <row r="15" customFormat="false" ht="15" hidden="false" customHeight="false" outlineLevel="0" collapsed="false">
      <c r="B15" s="69" t="s">
        <v>346</v>
      </c>
      <c r="C15" s="25" t="s">
        <v>170</v>
      </c>
      <c r="E15" s="70" t="n">
        <f aca="false">SUM(F15:S15)</f>
        <v>544.836451832756</v>
      </c>
      <c r="F15" s="68" t="n">
        <f aca="false">F13+F14</f>
        <v>0</v>
      </c>
      <c r="G15" s="68" t="n">
        <f aca="false">G13+G14</f>
        <v>16.0835902524953</v>
      </c>
      <c r="H15" s="68" t="n">
        <f aca="false">H13+H14</f>
        <v>22.9901637303985</v>
      </c>
      <c r="I15" s="68" t="n">
        <f aca="false">I13+I14</f>
        <v>23.4890536219182</v>
      </c>
      <c r="J15" s="68" t="n">
        <f aca="false">J13+J14</f>
        <v>33.8696044260706</v>
      </c>
      <c r="K15" s="68" t="n">
        <f aca="false">K13+K14</f>
        <v>34.7076587285948</v>
      </c>
      <c r="L15" s="68" t="n">
        <f aca="false">L13+L14</f>
        <v>41.7915238768719</v>
      </c>
      <c r="M15" s="68" t="n">
        <f aca="false">M13+M14</f>
        <v>42.8444181574391</v>
      </c>
      <c r="N15" s="68" t="n">
        <f aca="false">N13+N14</f>
        <v>48.3030036395046</v>
      </c>
      <c r="O15" s="68" t="n">
        <f aca="false">O13+O14</f>
        <v>49.4915437449182</v>
      </c>
      <c r="P15" s="68" t="n">
        <f aca="false">P13+P14</f>
        <v>55.6689490897229</v>
      </c>
      <c r="Q15" s="68" t="n">
        <f aca="false">Q13+Q14</f>
        <v>57.0830586450931</v>
      </c>
      <c r="R15" s="68" t="n">
        <f aca="false">R13+R14</f>
        <v>58.5235544845299</v>
      </c>
      <c r="S15" s="68" t="n">
        <f aca="false">S13+S14</f>
        <v>59.9903294351993</v>
      </c>
    </row>
    <row r="16" customFormat="false" ht="15" hidden="false" customHeight="false" outlineLevel="0" collapsed="false">
      <c r="B16" s="24" t="s">
        <v>349</v>
      </c>
      <c r="C16" s="25" t="s">
        <v>170</v>
      </c>
      <c r="E16" s="47" t="n">
        <f aca="false">SUM(F16:S16)</f>
        <v>-556.682892356832</v>
      </c>
      <c r="F16" s="47" t="n">
        <f aca="false">-'E2 CigadingExist Calc'!F87</f>
        <v>-0</v>
      </c>
      <c r="G16" s="47" t="n">
        <f aca="false">-'E2 CigadingExist Calc'!G87</f>
        <v>-40.95884914</v>
      </c>
      <c r="H16" s="47" t="n">
        <f aca="false">-'E2 CigadingExist Calc'!H87</f>
        <v>-40.9614421228</v>
      </c>
      <c r="I16" s="47" t="n">
        <f aca="false">-'E2 CigadingExist Calc'!I87</f>
        <v>-41.964086965256</v>
      </c>
      <c r="J16" s="47" t="n">
        <f aca="false">-'E2 CigadingExist Calc'!J87</f>
        <v>-41.9667847045611</v>
      </c>
      <c r="K16" s="47" t="n">
        <f aca="false">-'E2 CigadingExist Calc'!K87</f>
        <v>-41.9695363986523</v>
      </c>
      <c r="L16" s="47" t="n">
        <f aca="false">-'E2 CigadingExist Calc'!L87</f>
        <v>-42.9723431266254</v>
      </c>
      <c r="M16" s="47" t="n">
        <f aca="false">-'E2 CigadingExist Calc'!M87</f>
        <v>-42.9752059891579</v>
      </c>
      <c r="N16" s="47" t="n">
        <f aca="false">-'E2 CigadingExist Calc'!N87</f>
        <v>-42.9781261089411</v>
      </c>
      <c r="O16" s="47" t="n">
        <f aca="false">-'E2 CigadingExist Calc'!O87</f>
        <v>-43.9811046311199</v>
      </c>
      <c r="P16" s="47" t="n">
        <f aca="false">-'E2 CigadingExist Calc'!P87</f>
        <v>-43.9841427237423</v>
      </c>
      <c r="Q16" s="47" t="n">
        <f aca="false">-'E2 CigadingExist Calc'!Q87</f>
        <v>-43.9872415782171</v>
      </c>
      <c r="R16" s="47" t="n">
        <f aca="false">-'E2 CigadingExist Calc'!R87</f>
        <v>-43.9904024097815</v>
      </c>
      <c r="S16" s="47" t="n">
        <f aca="false">-'E2 CigadingExist Calc'!S87</f>
        <v>-43.9936264579771</v>
      </c>
    </row>
    <row r="17" customFormat="false" ht="15" hidden="false" customHeight="false" outlineLevel="0" collapsed="false">
      <c r="B17" s="69" t="s">
        <v>347</v>
      </c>
      <c r="C17" s="25" t="s">
        <v>170</v>
      </c>
      <c r="E17" s="70" t="n">
        <f aca="false">SUM(F17:S17)</f>
        <v>-11.8464405240752</v>
      </c>
      <c r="F17" s="68" t="n">
        <f aca="false">F15+F16</f>
        <v>0</v>
      </c>
      <c r="G17" s="68" t="n">
        <f aca="false">G15+G16</f>
        <v>-24.8752588875047</v>
      </c>
      <c r="H17" s="68" t="n">
        <f aca="false">H15+H16</f>
        <v>-17.9712783924015</v>
      </c>
      <c r="I17" s="68" t="n">
        <f aca="false">I15+I16</f>
        <v>-18.4750333433378</v>
      </c>
      <c r="J17" s="68" t="n">
        <f aca="false">J15+J16</f>
        <v>-8.09718027849051</v>
      </c>
      <c r="K17" s="68" t="n">
        <f aca="false">K15+K16</f>
        <v>-7.26187767005758</v>
      </c>
      <c r="L17" s="68" t="n">
        <f aca="false">L15+L16</f>
        <v>-1.1808192497535</v>
      </c>
      <c r="M17" s="68" t="n">
        <f aca="false">M15+M16</f>
        <v>-0.130787831718834</v>
      </c>
      <c r="N17" s="68" t="n">
        <f aca="false">N15+N16</f>
        <v>5.32487753056357</v>
      </c>
      <c r="O17" s="68" t="n">
        <f aca="false">O15+O16</f>
        <v>5.51043911379837</v>
      </c>
      <c r="P17" s="68" t="n">
        <f aca="false">P15+P16</f>
        <v>11.6848063659806</v>
      </c>
      <c r="Q17" s="68" t="n">
        <f aca="false">Q15+Q16</f>
        <v>13.095817066876</v>
      </c>
      <c r="R17" s="68" t="n">
        <f aca="false">R15+R16</f>
        <v>14.5331520747484</v>
      </c>
      <c r="S17" s="68" t="n">
        <f aca="false">S15+S16</f>
        <v>15.9967029772222</v>
      </c>
    </row>
    <row r="18" customFormat="false" ht="15" hidden="false" customHeight="false" outlineLevel="0" collapsed="false">
      <c r="B18" s="24" t="s">
        <v>1104</v>
      </c>
      <c r="C18" s="25" t="s">
        <v>170</v>
      </c>
      <c r="E18" s="47" t="n">
        <f aca="false">SUM(F18:S18)</f>
        <v>-14.5520749284216</v>
      </c>
      <c r="F18" s="47" t="n">
        <f aca="false">-MAX(0,F17)*'Global Inputs'!$E$27</f>
        <v>-0</v>
      </c>
      <c r="G18" s="47" t="n">
        <f aca="false">-MAX(0,G17)*'Global Inputs'!$E$27</f>
        <v>-0</v>
      </c>
      <c r="H18" s="47" t="n">
        <f aca="false">-MAX(0,H17)*'Global Inputs'!$E$27</f>
        <v>-0</v>
      </c>
      <c r="I18" s="47" t="n">
        <f aca="false">-MAX(0,I17)*'Global Inputs'!$E$27</f>
        <v>-0</v>
      </c>
      <c r="J18" s="47" t="n">
        <f aca="false">-MAX(0,J17)*'Global Inputs'!$E$27</f>
        <v>-0</v>
      </c>
      <c r="K18" s="47" t="n">
        <f aca="false">-MAX(0,K17)*'Global Inputs'!$E$27</f>
        <v>-0</v>
      </c>
      <c r="L18" s="47" t="n">
        <f aca="false">-MAX(0,L17)*'Global Inputs'!$E$27</f>
        <v>-0</v>
      </c>
      <c r="M18" s="47" t="n">
        <f aca="false">-MAX(0,M17)*'Global Inputs'!$E$27</f>
        <v>-0</v>
      </c>
      <c r="N18" s="47" t="n">
        <f aca="false">-MAX(0,N17)*'Global Inputs'!$E$27</f>
        <v>-1.17147305672399</v>
      </c>
      <c r="O18" s="47" t="n">
        <f aca="false">-MAX(0,O17)*'Global Inputs'!$E$27</f>
        <v>-1.21229660503564</v>
      </c>
      <c r="P18" s="47" t="n">
        <f aca="false">-MAX(0,P17)*'Global Inputs'!$E$27</f>
        <v>-2.57065740051574</v>
      </c>
      <c r="Q18" s="47" t="n">
        <f aca="false">-MAX(0,Q17)*'Global Inputs'!$E$27</f>
        <v>-2.88107975471272</v>
      </c>
      <c r="R18" s="47" t="n">
        <f aca="false">-MAX(0,R17)*'Global Inputs'!$E$27</f>
        <v>-3.19729345644466</v>
      </c>
      <c r="S18" s="47" t="n">
        <f aca="false">-MAX(0,S17)*'Global Inputs'!$E$27</f>
        <v>-3.51927465498888</v>
      </c>
    </row>
    <row r="19" customFormat="false" ht="15" hidden="false" customHeight="false" outlineLevel="0" collapsed="false">
      <c r="B19" s="69" t="s">
        <v>1105</v>
      </c>
      <c r="C19" s="25" t="s">
        <v>170</v>
      </c>
      <c r="E19" s="70" t="n">
        <f aca="false">SUM(F19:S19)</f>
        <v>-26.3985154524968</v>
      </c>
      <c r="F19" s="68" t="n">
        <f aca="false">F17+F18</f>
        <v>0</v>
      </c>
      <c r="G19" s="68" t="n">
        <f aca="false">G17+G18</f>
        <v>-24.8752588875047</v>
      </c>
      <c r="H19" s="68" t="n">
        <f aca="false">H17+H18</f>
        <v>-17.9712783924015</v>
      </c>
      <c r="I19" s="68" t="n">
        <f aca="false">I17+I18</f>
        <v>-18.4750333433378</v>
      </c>
      <c r="J19" s="68" t="n">
        <f aca="false">J17+J18</f>
        <v>-8.09718027849051</v>
      </c>
      <c r="K19" s="68" t="n">
        <f aca="false">K17+K18</f>
        <v>-7.26187767005758</v>
      </c>
      <c r="L19" s="68" t="n">
        <f aca="false">L17+L18</f>
        <v>-1.1808192497535</v>
      </c>
      <c r="M19" s="68" t="n">
        <f aca="false">M17+M18</f>
        <v>-0.130787831718834</v>
      </c>
      <c r="N19" s="68" t="n">
        <f aca="false">N17+N18</f>
        <v>4.15340447383958</v>
      </c>
      <c r="O19" s="68" t="n">
        <f aca="false">O17+O18</f>
        <v>4.29814250876273</v>
      </c>
      <c r="P19" s="68" t="n">
        <f aca="false">P17+P18</f>
        <v>9.11414896546488</v>
      </c>
      <c r="Q19" s="68" t="n">
        <f aca="false">Q17+Q18</f>
        <v>10.2147373121633</v>
      </c>
      <c r="R19" s="68" t="n">
        <f aca="false">R17+R18</f>
        <v>11.3358586183038</v>
      </c>
      <c r="S19" s="68" t="n">
        <f aca="false">S17+S18</f>
        <v>12.4774283222333</v>
      </c>
    </row>
    <row r="20" customFormat="false" ht="15" hidden="false" customHeight="false" outlineLevel="0" collapsed="false">
      <c r="B20" s="24" t="s">
        <v>402</v>
      </c>
      <c r="C20" s="25" t="s">
        <v>160</v>
      </c>
      <c r="F20" s="49" t="n">
        <f aca="false">IF(F11=0,0,F15/F11)</f>
        <v>0</v>
      </c>
      <c r="G20" s="49" t="n">
        <f aca="false">IF(G11=0,0,G15/G11)</f>
        <v>0.416048602991346</v>
      </c>
      <c r="H20" s="49" t="n">
        <f aca="false">IF(H11=0,0,H15/H11)</f>
        <v>0.495589259633258</v>
      </c>
      <c r="I20" s="49" t="n">
        <f aca="false">IF(I11=0,0,I15/I11)</f>
        <v>0.491595746150918</v>
      </c>
      <c r="J20" s="49" t="n">
        <f aca="false">IF(J11=0,0,J15/J11)</f>
        <v>0.573501093809382</v>
      </c>
      <c r="K20" s="49" t="n">
        <f aca="false">IF(K11=0,0,K15/K11)</f>
        <v>0.570574318134347</v>
      </c>
      <c r="L20" s="49" t="n">
        <f aca="false">IF(L11=0,0,L15/L11)</f>
        <v>0.606380461215019</v>
      </c>
      <c r="M20" s="49" t="n">
        <f aca="false">IF(M11=0,0,M15/M11)</f>
        <v>0.603551058881379</v>
      </c>
      <c r="N20" s="49" t="n">
        <f aca="false">IF(N11=0,0,N15/N11)</f>
        <v>0.623233535711243</v>
      </c>
      <c r="O20" s="49" t="n">
        <f aca="false">IF(O11=0,0,O15/O11)</f>
        <v>0.619969683120429</v>
      </c>
      <c r="P20" s="49" t="n">
        <f aca="false">IF(P11=0,0,P15/P11)</f>
        <v>0.638718337782605</v>
      </c>
      <c r="Q20" s="49" t="n">
        <f aca="false">IF(Q11=0,0,Q15/Q11)</f>
        <v>0.635867126492941</v>
      </c>
      <c r="R20" s="49" t="n">
        <f aca="false">IF(R11=0,0,R15/R11)</f>
        <v>0.632925521850666</v>
      </c>
      <c r="S20" s="49" t="n">
        <f aca="false">IF(S11=0,0,S15/S11)</f>
        <v>0.629891771380016</v>
      </c>
    </row>
    <row r="21" customFormat="false" ht="15" hidden="false" customHeight="false" outlineLevel="0" collapsed="false">
      <c r="B21" s="24" t="s">
        <v>1106</v>
      </c>
      <c r="C21" s="25" t="s">
        <v>160</v>
      </c>
      <c r="F21" s="49" t="n">
        <f aca="false">IF(F11=0,0,F17/F11)</f>
        <v>0</v>
      </c>
      <c r="G21" s="49" t="n">
        <f aca="false">IF(G11=0,0,G17/G11)</f>
        <v>-0.643470552701298</v>
      </c>
      <c r="H21" s="49" t="n">
        <f aca="false">IF(H11=0,0,H17/H11)</f>
        <v>-0.387399265946812</v>
      </c>
      <c r="I21" s="49" t="n">
        <f aca="false">IF(I11=0,0,I17/I11)</f>
        <v>-0.386658736778835</v>
      </c>
      <c r="J21" s="49" t="n">
        <f aca="false">IF(J11=0,0,J17/J11)</f>
        <v>-0.137106465374352</v>
      </c>
      <c r="K21" s="49" t="n">
        <f aca="false">IF(K11=0,0,K17/K11)</f>
        <v>-0.119381169797964</v>
      </c>
      <c r="L21" s="49" t="n">
        <f aca="false">IF(L11=0,0,L17/L11)</f>
        <v>-0.0171332761970272</v>
      </c>
      <c r="M21" s="49" t="n">
        <f aca="false">IF(M11=0,0,M17/M11)</f>
        <v>-0.0018424134978945</v>
      </c>
      <c r="N21" s="49" t="n">
        <f aca="false">IF(N11=0,0,N17/N11)</f>
        <v>0.068704676739571</v>
      </c>
      <c r="O21" s="49" t="n">
        <f aca="false">IF(O11=0,0,O17/O11)</f>
        <v>0.0690280587900791</v>
      </c>
      <c r="P21" s="49" t="n">
        <f aca="false">IF(P11=0,0,P17/P11)</f>
        <v>0.13406576235815</v>
      </c>
      <c r="Q21" s="49" t="n">
        <f aca="false">IF(Q11=0,0,Q17/Q11)</f>
        <v>0.145878650602186</v>
      </c>
      <c r="R21" s="49" t="n">
        <f aca="false">IF(R11=0,0,R17/R11)</f>
        <v>0.157174370936009</v>
      </c>
      <c r="S21" s="49" t="n">
        <f aca="false">IF(S11=0,0,S17/S11)</f>
        <v>0.167963597957011</v>
      </c>
    </row>
    <row r="23" customFormat="false" ht="15" hidden="false" customHeight="false" outlineLevel="0" collapsed="false">
      <c r="B23" s="22" t="s">
        <v>1107</v>
      </c>
      <c r="C23" s="23"/>
      <c r="D23" s="23"/>
      <c r="E23" s="23"/>
      <c r="F23" s="23"/>
      <c r="G23" s="23"/>
      <c r="H23" s="23"/>
      <c r="I23" s="23"/>
      <c r="J23" s="23"/>
      <c r="K23" s="23"/>
      <c r="L23" s="23"/>
      <c r="M23" s="23"/>
      <c r="N23" s="23"/>
      <c r="O23" s="23"/>
      <c r="P23" s="23"/>
      <c r="Q23" s="23"/>
      <c r="R23" s="23"/>
      <c r="S23" s="23"/>
    </row>
    <row r="24" customFormat="false" ht="15" hidden="false" customHeight="false" outlineLevel="0" collapsed="false">
      <c r="B24" s="24" t="s">
        <v>456</v>
      </c>
      <c r="C24" s="25" t="s">
        <v>170</v>
      </c>
      <c r="E24" s="47" t="n">
        <f aca="false">SUM(F24:S24)</f>
        <v>-26.3985154524968</v>
      </c>
      <c r="F24" s="47" t="n">
        <f aca="false">F19</f>
        <v>0</v>
      </c>
      <c r="G24" s="47" t="n">
        <f aca="false">G19</f>
        <v>-24.8752588875047</v>
      </c>
      <c r="H24" s="47" t="n">
        <f aca="false">H19</f>
        <v>-17.9712783924015</v>
      </c>
      <c r="I24" s="47" t="n">
        <f aca="false">I19</f>
        <v>-18.4750333433378</v>
      </c>
      <c r="J24" s="47" t="n">
        <f aca="false">J19</f>
        <v>-8.09718027849051</v>
      </c>
      <c r="K24" s="47" t="n">
        <f aca="false">K19</f>
        <v>-7.26187767005758</v>
      </c>
      <c r="L24" s="47" t="n">
        <f aca="false">L19</f>
        <v>-1.1808192497535</v>
      </c>
      <c r="M24" s="47" t="n">
        <f aca="false">M19</f>
        <v>-0.130787831718834</v>
      </c>
      <c r="N24" s="47" t="n">
        <f aca="false">N19</f>
        <v>4.15340447383958</v>
      </c>
      <c r="O24" s="47" t="n">
        <f aca="false">O19</f>
        <v>4.29814250876273</v>
      </c>
      <c r="P24" s="47" t="n">
        <f aca="false">P19</f>
        <v>9.11414896546488</v>
      </c>
      <c r="Q24" s="47" t="n">
        <f aca="false">Q19</f>
        <v>10.2147373121633</v>
      </c>
      <c r="R24" s="47" t="n">
        <f aca="false">R19</f>
        <v>11.3358586183038</v>
      </c>
      <c r="S24" s="47" t="n">
        <f aca="false">S19</f>
        <v>12.4774283222333</v>
      </c>
    </row>
    <row r="25" customFormat="false" ht="15" hidden="false" customHeight="false" outlineLevel="0" collapsed="false">
      <c r="B25" s="24" t="s">
        <v>419</v>
      </c>
      <c r="C25" s="25" t="s">
        <v>170</v>
      </c>
      <c r="E25" s="47" t="n">
        <f aca="false">SUM(F25:S25)</f>
        <v>556.682892356832</v>
      </c>
      <c r="F25" s="47" t="n">
        <f aca="false">-F16</f>
        <v>0</v>
      </c>
      <c r="G25" s="47" t="n">
        <f aca="false">-G16</f>
        <v>40.95884914</v>
      </c>
      <c r="H25" s="47" t="n">
        <f aca="false">-H16</f>
        <v>40.9614421228</v>
      </c>
      <c r="I25" s="47" t="n">
        <f aca="false">-I16</f>
        <v>41.964086965256</v>
      </c>
      <c r="J25" s="47" t="n">
        <f aca="false">-J16</f>
        <v>41.9667847045611</v>
      </c>
      <c r="K25" s="47" t="n">
        <f aca="false">-K16</f>
        <v>41.9695363986523</v>
      </c>
      <c r="L25" s="47" t="n">
        <f aca="false">-L16</f>
        <v>42.9723431266254</v>
      </c>
      <c r="M25" s="47" t="n">
        <f aca="false">-M16</f>
        <v>42.9752059891579</v>
      </c>
      <c r="N25" s="47" t="n">
        <f aca="false">-N16</f>
        <v>42.9781261089411</v>
      </c>
      <c r="O25" s="47" t="n">
        <f aca="false">-O16</f>
        <v>43.9811046311199</v>
      </c>
      <c r="P25" s="47" t="n">
        <f aca="false">-P16</f>
        <v>43.9841427237423</v>
      </c>
      <c r="Q25" s="47" t="n">
        <f aca="false">-Q16</f>
        <v>43.9872415782171</v>
      </c>
      <c r="R25" s="47" t="n">
        <f aca="false">-R16</f>
        <v>43.9904024097815</v>
      </c>
      <c r="S25" s="47" t="n">
        <f aca="false">-S16</f>
        <v>43.9936264579771</v>
      </c>
    </row>
    <row r="26" customFormat="false" ht="15" hidden="false" customHeight="false" outlineLevel="0" collapsed="false">
      <c r="B26" s="24" t="s">
        <v>1108</v>
      </c>
      <c r="C26" s="25" t="s">
        <v>170</v>
      </c>
      <c r="E26" s="47" t="n">
        <f aca="false">SUM(F26:S26)</f>
        <v>0</v>
      </c>
      <c r="F26" s="47" t="n">
        <f aca="false">-'E2 CigadingExist Calc'!F84</f>
        <v>-0</v>
      </c>
      <c r="G26" s="47" t="n">
        <f aca="false">-'E2 CigadingExist Calc'!G84</f>
        <v>-0</v>
      </c>
      <c r="H26" s="47" t="n">
        <f aca="false">-'E2 CigadingExist Calc'!H84</f>
        <v>-0</v>
      </c>
      <c r="I26" s="47" t="n">
        <f aca="false">-'E2 CigadingExist Calc'!I84</f>
        <v>-0</v>
      </c>
      <c r="J26" s="47" t="n">
        <f aca="false">-'E2 CigadingExist Calc'!J84</f>
        <v>-0</v>
      </c>
      <c r="K26" s="47" t="n">
        <f aca="false">-'E2 CigadingExist Calc'!K84</f>
        <v>-0</v>
      </c>
      <c r="L26" s="47" t="n">
        <f aca="false">-'E2 CigadingExist Calc'!L84</f>
        <v>-0</v>
      </c>
      <c r="M26" s="47" t="n">
        <f aca="false">-'E2 CigadingExist Calc'!M84</f>
        <v>-0</v>
      </c>
      <c r="N26" s="47" t="n">
        <f aca="false">-'E2 CigadingExist Calc'!N84</f>
        <v>-0</v>
      </c>
      <c r="O26" s="47" t="n">
        <f aca="false">-'E2 CigadingExist Calc'!O84</f>
        <v>-0</v>
      </c>
      <c r="P26" s="47" t="n">
        <f aca="false">-'E2 CigadingExist Calc'!P84</f>
        <v>-0</v>
      </c>
      <c r="Q26" s="47" t="n">
        <f aca="false">-'E2 CigadingExist Calc'!Q84</f>
        <v>-0</v>
      </c>
      <c r="R26" s="47" t="n">
        <f aca="false">-'E2 CigadingExist Calc'!R84</f>
        <v>-0</v>
      </c>
      <c r="S26" s="47" t="n">
        <f aca="false">-'E2 CigadingExist Calc'!S84</f>
        <v>-0</v>
      </c>
    </row>
    <row r="27" customFormat="false" ht="15" hidden="false" customHeight="false" outlineLevel="0" collapsed="false">
      <c r="B27" s="24" t="s">
        <v>651</v>
      </c>
      <c r="C27" s="25" t="s">
        <v>170</v>
      </c>
      <c r="E27" s="47" t="n">
        <f aca="false">SUM(F27:S27)</f>
        <v>-5.82910119008007</v>
      </c>
      <c r="F27" s="47" t="n">
        <f aca="false">-'E2 CigadingExist Calc'!F93</f>
        <v>-0</v>
      </c>
      <c r="G27" s="47" t="n">
        <f aca="false">-'E2 CigadingExist Calc'!G93</f>
        <v>0.438386311723827</v>
      </c>
      <c r="H27" s="47" t="n">
        <f aca="false">-'E2 CigadingExist Calc'!H93</f>
        <v>-0.91975161680469</v>
      </c>
      <c r="I27" s="47" t="n">
        <f aca="false">-'E2 CigadingExist Calc'!I93</f>
        <v>-0.123333795054978</v>
      </c>
      <c r="J27" s="47" t="n">
        <f aca="false">-'E2 CigadingExist Calc'!J93</f>
        <v>-1.34256414172363</v>
      </c>
      <c r="K27" s="47" t="n">
        <f aca="false">-'E2 CigadingExist Calc'!K93</f>
        <v>-0.151534388617997</v>
      </c>
      <c r="L27" s="47" t="n">
        <f aca="false">-'E2 CigadingExist Calc'!L93</f>
        <v>-0.959348005639164</v>
      </c>
      <c r="M27" s="47" t="n">
        <f aca="false">-'E2 CigadingExist Calc'!M93</f>
        <v>-0.200086263679455</v>
      </c>
      <c r="N27" s="47" t="n">
        <f aca="false">-'E2 CigadingExist Calc'!N93</f>
        <v>-0.745967019396987</v>
      </c>
      <c r="O27" s="47" t="n">
        <f aca="false">-'E2 CigadingExist Calc'!O93</f>
        <v>-0.200982984896127</v>
      </c>
      <c r="P27" s="47" t="n">
        <f aca="false">-'E2 CigadingExist Calc'!P93</f>
        <v>-0.863091170876249</v>
      </c>
      <c r="Q27" s="47" t="n">
        <f aca="false">-'E2 CigadingExist Calc'!Q93</f>
        <v>-0.256175323427415</v>
      </c>
      <c r="R27" s="47" t="n">
        <f aca="false">-'E2 CigadingExist Calc'!R93</f>
        <v>-0.262628165795999</v>
      </c>
      <c r="S27" s="47" t="n">
        <f aca="false">-'E2 CigadingExist Calc'!S93</f>
        <v>-0.242024625891201</v>
      </c>
    </row>
    <row r="28" customFormat="false" ht="15" hidden="false" customHeight="false" outlineLevel="0" collapsed="false">
      <c r="B28" s="69" t="s">
        <v>1109</v>
      </c>
      <c r="C28" s="25" t="s">
        <v>170</v>
      </c>
      <c r="E28" s="70" t="n">
        <f aca="false">SUM(F28:S28)</f>
        <v>524.455275714255</v>
      </c>
      <c r="F28" s="68" t="n">
        <f aca="false">F24+F25+F26+F27</f>
        <v>0</v>
      </c>
      <c r="G28" s="68" t="n">
        <f aca="false">G24+G25+G26+G27</f>
        <v>16.5219765642192</v>
      </c>
      <c r="H28" s="68" t="n">
        <f aca="false">H24+H25+H26+H27</f>
        <v>22.0704121135938</v>
      </c>
      <c r="I28" s="68" t="n">
        <f aca="false">I24+I25+I26+I27</f>
        <v>23.3657198268632</v>
      </c>
      <c r="J28" s="68" t="n">
        <f aca="false">J24+J25+J26+J27</f>
        <v>32.527040284347</v>
      </c>
      <c r="K28" s="68" t="n">
        <f aca="false">K24+K25+K26+K27</f>
        <v>34.5561243399768</v>
      </c>
      <c r="L28" s="68" t="n">
        <f aca="false">L24+L25+L26+L27</f>
        <v>40.8321758712327</v>
      </c>
      <c r="M28" s="68" t="n">
        <f aca="false">M24+M25+M26+M27</f>
        <v>42.6443318937596</v>
      </c>
      <c r="N28" s="68" t="n">
        <f aca="false">N24+N25+N26+N27</f>
        <v>46.3855635633837</v>
      </c>
      <c r="O28" s="68" t="n">
        <f aca="false">O24+O25+O26+O27</f>
        <v>48.0782641549865</v>
      </c>
      <c r="P28" s="68" t="n">
        <f aca="false">P24+P25+P26+P27</f>
        <v>52.2352005183309</v>
      </c>
      <c r="Q28" s="68" t="n">
        <f aca="false">Q24+Q25+Q26+Q27</f>
        <v>53.945803566953</v>
      </c>
      <c r="R28" s="68" t="n">
        <f aca="false">R24+R25+R26+R27</f>
        <v>55.0636328622892</v>
      </c>
      <c r="S28" s="68" t="n">
        <f aca="false">S24+S25+S26+S27</f>
        <v>56.2290301543192</v>
      </c>
    </row>
    <row r="29" customFormat="false" ht="15" hidden="false" customHeight="false" outlineLevel="0" collapsed="false">
      <c r="B29" s="24" t="s">
        <v>354</v>
      </c>
      <c r="C29" s="25" t="s">
        <v>170</v>
      </c>
      <c r="F29" s="47" t="n">
        <f aca="false">SUM($F$28:F28)</f>
        <v>0</v>
      </c>
      <c r="G29" s="47" t="n">
        <f aca="false">SUM($F$28:G28)</f>
        <v>16.5219765642192</v>
      </c>
      <c r="H29" s="47" t="n">
        <f aca="false">SUM($F$28:H28)</f>
        <v>38.592388677813</v>
      </c>
      <c r="I29" s="47" t="n">
        <f aca="false">SUM($F$28:I28)</f>
        <v>61.9581085046762</v>
      </c>
      <c r="J29" s="47" t="n">
        <f aca="false">SUM($F$28:J28)</f>
        <v>94.4851487890232</v>
      </c>
      <c r="K29" s="47" t="n">
        <f aca="false">SUM($F$28:K28)</f>
        <v>129.041273129</v>
      </c>
      <c r="L29" s="47" t="n">
        <f aca="false">SUM($F$28:L28)</f>
        <v>169.873449000233</v>
      </c>
      <c r="M29" s="47" t="n">
        <f aca="false">SUM($F$28:M28)</f>
        <v>212.517780893992</v>
      </c>
      <c r="N29" s="47" t="n">
        <f aca="false">SUM($F$28:N28)</f>
        <v>258.903344457376</v>
      </c>
      <c r="O29" s="47" t="n">
        <f aca="false">SUM($F$28:O28)</f>
        <v>306.981608612362</v>
      </c>
      <c r="P29" s="47" t="n">
        <f aca="false">SUM($F$28:P28)</f>
        <v>359.216809130693</v>
      </c>
      <c r="Q29" s="47" t="n">
        <f aca="false">SUM($F$28:Q28)</f>
        <v>413.162612697646</v>
      </c>
      <c r="R29" s="47" t="n">
        <f aca="false">SUM($F$28:R28)</f>
        <v>468.226245559936</v>
      </c>
      <c r="S29" s="47" t="n">
        <f aca="false">SUM($F$28:S28)</f>
        <v>524.455275714255</v>
      </c>
    </row>
    <row r="30" customFormat="false" ht="15" hidden="false" customHeight="false" outlineLevel="0" collapsed="false">
      <c r="B30" s="24" t="s">
        <v>1110</v>
      </c>
      <c r="C30" s="25" t="s">
        <v>170</v>
      </c>
      <c r="E30" s="47" t="n">
        <f aca="false">SUM(F30:S30)</f>
        <v>462.497167209579</v>
      </c>
      <c r="F30" s="47" t="n">
        <f aca="false">F28*'Global Inputs'!F16</f>
        <v>0</v>
      </c>
      <c r="G30" s="47" t="n">
        <f aca="false">G28*'Global Inputs'!G16</f>
        <v>0</v>
      </c>
      <c r="H30" s="47" t="n">
        <f aca="false">H28*'Global Inputs'!H16</f>
        <v>0</v>
      </c>
      <c r="I30" s="47" t="n">
        <f aca="false">I28*'Global Inputs'!I16</f>
        <v>0</v>
      </c>
      <c r="J30" s="47" t="n">
        <f aca="false">J28*'Global Inputs'!J16</f>
        <v>32.527040284347</v>
      </c>
      <c r="K30" s="47" t="n">
        <f aca="false">K28*'Global Inputs'!K16</f>
        <v>34.5561243399768</v>
      </c>
      <c r="L30" s="47" t="n">
        <f aca="false">L28*'Global Inputs'!L16</f>
        <v>40.8321758712327</v>
      </c>
      <c r="M30" s="47" t="n">
        <f aca="false">M28*'Global Inputs'!M16</f>
        <v>42.6443318937596</v>
      </c>
      <c r="N30" s="47" t="n">
        <f aca="false">N28*'Global Inputs'!N16</f>
        <v>46.3855635633837</v>
      </c>
      <c r="O30" s="47" t="n">
        <f aca="false">O28*'Global Inputs'!O16</f>
        <v>48.0782641549865</v>
      </c>
      <c r="P30" s="47" t="n">
        <f aca="false">P28*'Global Inputs'!P16</f>
        <v>52.2352005183309</v>
      </c>
      <c r="Q30" s="47" t="n">
        <f aca="false">Q28*'Global Inputs'!Q16</f>
        <v>53.945803566953</v>
      </c>
      <c r="R30" s="47" t="n">
        <f aca="false">R28*'Global Inputs'!R16</f>
        <v>55.0636328622892</v>
      </c>
      <c r="S30" s="47" t="n">
        <f aca="false">S28*'Global Inputs'!S16</f>
        <v>56.2290301543192</v>
      </c>
    </row>
    <row r="31" customFormat="false" ht="15" hidden="false" customHeight="false" outlineLevel="0" collapsed="false">
      <c r="B31" s="24" t="s">
        <v>1111</v>
      </c>
      <c r="C31" s="25" t="s">
        <v>170</v>
      </c>
      <c r="E31" s="47" t="n">
        <f aca="false">SUM(F31:S31)</f>
        <v>0</v>
      </c>
      <c r="F31" s="47" t="n">
        <f aca="false">MAX(0,-F28)</f>
        <v>-0</v>
      </c>
      <c r="G31" s="47" t="n">
        <f aca="false">MAX(0,-G28)</f>
        <v>0</v>
      </c>
      <c r="H31" s="47" t="n">
        <f aca="false">MAX(0,-H28)</f>
        <v>0</v>
      </c>
      <c r="I31" s="47" t="n">
        <f aca="false">MAX(0,-I28)</f>
        <v>0</v>
      </c>
      <c r="J31" s="47" t="n">
        <f aca="false">MAX(0,-J28)</f>
        <v>0</v>
      </c>
      <c r="K31" s="47" t="n">
        <f aca="false">MAX(0,-K28)</f>
        <v>0</v>
      </c>
      <c r="L31" s="47" t="n">
        <f aca="false">MAX(0,-L28)</f>
        <v>0</v>
      </c>
      <c r="M31" s="47" t="n">
        <f aca="false">MAX(0,-M28)</f>
        <v>0</v>
      </c>
      <c r="N31" s="47" t="n">
        <f aca="false">MAX(0,-N28)</f>
        <v>0</v>
      </c>
      <c r="O31" s="47" t="n">
        <f aca="false">MAX(0,-O28)</f>
        <v>0</v>
      </c>
      <c r="P31" s="47" t="n">
        <f aca="false">MAX(0,-P28)</f>
        <v>0</v>
      </c>
      <c r="Q31" s="47" t="n">
        <f aca="false">MAX(0,-Q28)</f>
        <v>0</v>
      </c>
      <c r="R31" s="47" t="n">
        <f aca="false">MAX(0,-R28)</f>
        <v>0</v>
      </c>
      <c r="S31" s="47" t="n">
        <f aca="false">MAX(0,-S28)</f>
        <v>0</v>
      </c>
    </row>
    <row r="33" customFormat="false" ht="15" hidden="false" customHeight="false" outlineLevel="0" collapsed="false">
      <c r="B33" s="22" t="s">
        <v>1112</v>
      </c>
      <c r="C33" s="23"/>
      <c r="D33" s="23"/>
      <c r="E33" s="23"/>
      <c r="F33" s="23"/>
      <c r="G33" s="23"/>
      <c r="H33" s="23"/>
      <c r="I33" s="23"/>
      <c r="J33" s="23"/>
      <c r="K33" s="23"/>
      <c r="L33" s="23"/>
      <c r="M33" s="23"/>
      <c r="N33" s="23"/>
      <c r="O33" s="23"/>
      <c r="P33" s="23"/>
      <c r="Q33" s="23"/>
      <c r="R33" s="23"/>
      <c r="S33" s="23"/>
    </row>
    <row r="34" customFormat="false" ht="15" hidden="false" customHeight="false" outlineLevel="0" collapsed="false">
      <c r="B34" s="24" t="s">
        <v>1113</v>
      </c>
      <c r="C34" s="25" t="s">
        <v>240</v>
      </c>
      <c r="E34" s="44" t="n">
        <f aca="false">SUM(F34:S34)</f>
        <v>0</v>
      </c>
      <c r="F34" s="44" t="n">
        <f aca="false">'E2 CigadingExist Calc'!F83</f>
        <v>0</v>
      </c>
      <c r="G34" s="44" t="n">
        <f aca="false">'E2 CigadingExist Calc'!G83</f>
        <v>0</v>
      </c>
      <c r="H34" s="44" t="n">
        <f aca="false">'E2 CigadingExist Calc'!H83</f>
        <v>0</v>
      </c>
      <c r="I34" s="44" t="n">
        <f aca="false">'E2 CigadingExist Calc'!I83</f>
        <v>0</v>
      </c>
      <c r="J34" s="44" t="n">
        <f aca="false">'E2 CigadingExist Calc'!J83</f>
        <v>0</v>
      </c>
      <c r="K34" s="44" t="n">
        <f aca="false">'E2 CigadingExist Calc'!K83</f>
        <v>0</v>
      </c>
      <c r="L34" s="44" t="n">
        <f aca="false">'E2 CigadingExist Calc'!L83</f>
        <v>0</v>
      </c>
      <c r="M34" s="44" t="n">
        <f aca="false">'E2 CigadingExist Calc'!M83</f>
        <v>0</v>
      </c>
      <c r="N34" s="44" t="n">
        <f aca="false">'E2 CigadingExist Calc'!N83</f>
        <v>0</v>
      </c>
      <c r="O34" s="44" t="n">
        <f aca="false">'E2 CigadingExist Calc'!O83</f>
        <v>0</v>
      </c>
      <c r="P34" s="44" t="n">
        <f aca="false">'E2 CigadingExist Calc'!P83</f>
        <v>0</v>
      </c>
      <c r="Q34" s="44" t="n">
        <f aca="false">'E2 CigadingExist Calc'!Q83</f>
        <v>0</v>
      </c>
      <c r="R34" s="44" t="n">
        <f aca="false">'E2 CigadingExist Calc'!R83</f>
        <v>0</v>
      </c>
      <c r="S34" s="44" t="n">
        <f aca="false">'E2 CigadingExist Calc'!S83</f>
        <v>0</v>
      </c>
    </row>
    <row r="35" customFormat="false" ht="15" hidden="false" customHeight="false" outlineLevel="0" collapsed="false">
      <c r="B35" s="24" t="s">
        <v>1114</v>
      </c>
      <c r="C35" s="25" t="s">
        <v>170</v>
      </c>
      <c r="E35" s="47" t="n">
        <f aca="false">SUM(F35:S35)</f>
        <v>0</v>
      </c>
      <c r="F35" s="47" t="n">
        <f aca="false">'E2 CigadingExist Calc'!F84</f>
        <v>0</v>
      </c>
      <c r="G35" s="47" t="n">
        <f aca="false">'E2 CigadingExist Calc'!G84</f>
        <v>0</v>
      </c>
      <c r="H35" s="47" t="n">
        <f aca="false">'E2 CigadingExist Calc'!H84</f>
        <v>0</v>
      </c>
      <c r="I35" s="47" t="n">
        <f aca="false">'E2 CigadingExist Calc'!I84</f>
        <v>0</v>
      </c>
      <c r="J35" s="47" t="n">
        <f aca="false">'E2 CigadingExist Calc'!J84</f>
        <v>0</v>
      </c>
      <c r="K35" s="47" t="n">
        <f aca="false">'E2 CigadingExist Calc'!K84</f>
        <v>0</v>
      </c>
      <c r="L35" s="47" t="n">
        <f aca="false">'E2 CigadingExist Calc'!L84</f>
        <v>0</v>
      </c>
      <c r="M35" s="47" t="n">
        <f aca="false">'E2 CigadingExist Calc'!M84</f>
        <v>0</v>
      </c>
      <c r="N35" s="47" t="n">
        <f aca="false">'E2 CigadingExist Calc'!N84</f>
        <v>0</v>
      </c>
      <c r="O35" s="47" t="n">
        <f aca="false">'E2 CigadingExist Calc'!O84</f>
        <v>0</v>
      </c>
      <c r="P35" s="47" t="n">
        <f aca="false">'E2 CigadingExist Calc'!P84</f>
        <v>0</v>
      </c>
      <c r="Q35" s="47" t="n">
        <f aca="false">'E2 CigadingExist Calc'!Q84</f>
        <v>0</v>
      </c>
      <c r="R35" s="47" t="n">
        <f aca="false">'E2 CigadingExist Calc'!R84</f>
        <v>0</v>
      </c>
      <c r="S35" s="47" t="n">
        <f aca="false">'E2 CigadingExist Calc'!S84</f>
        <v>0</v>
      </c>
    </row>
    <row r="36" customFormat="false" ht="15" hidden="false" customHeight="false" outlineLevel="0" collapsed="false">
      <c r="B36" s="24" t="s">
        <v>1115</v>
      </c>
      <c r="C36" s="25" t="s">
        <v>170</v>
      </c>
      <c r="F36" s="47" t="n">
        <f aca="false">'E2 CigadingExist Calc'!F86</f>
        <v>0</v>
      </c>
      <c r="G36" s="47" t="n">
        <f aca="false">'E2 CigadingExist Calc'!G86</f>
        <v>0</v>
      </c>
      <c r="H36" s="47" t="n">
        <f aca="false">'E2 CigadingExist Calc'!H86</f>
        <v>0</v>
      </c>
      <c r="I36" s="47" t="n">
        <f aca="false">'E2 CigadingExist Calc'!I86</f>
        <v>0</v>
      </c>
      <c r="J36" s="47" t="n">
        <f aca="false">'E2 CigadingExist Calc'!J86</f>
        <v>0</v>
      </c>
      <c r="K36" s="47" t="n">
        <f aca="false">'E2 CigadingExist Calc'!K86</f>
        <v>0</v>
      </c>
      <c r="L36" s="47" t="n">
        <f aca="false">'E2 CigadingExist Calc'!L86</f>
        <v>0</v>
      </c>
      <c r="M36" s="47" t="n">
        <f aca="false">'E2 CigadingExist Calc'!M86</f>
        <v>0</v>
      </c>
      <c r="N36" s="47" t="n">
        <f aca="false">'E2 CigadingExist Calc'!N86</f>
        <v>0</v>
      </c>
      <c r="O36" s="47" t="n">
        <f aca="false">'E2 CigadingExist Calc'!O86</f>
        <v>0</v>
      </c>
      <c r="P36" s="47" t="n">
        <f aca="false">'E2 CigadingExist Calc'!P86</f>
        <v>0</v>
      </c>
      <c r="Q36" s="47" t="n">
        <f aca="false">'E2 CigadingExist Calc'!Q86</f>
        <v>0</v>
      </c>
      <c r="R36" s="47" t="n">
        <f aca="false">'E2 CigadingExist Calc'!R86</f>
        <v>0</v>
      </c>
      <c r="S36" s="47" t="n">
        <f aca="false">'E2 CigadingExist Calc'!S86</f>
        <v>0</v>
      </c>
    </row>
    <row r="37" customFormat="false" ht="15" hidden="false" customHeight="false" outlineLevel="0" collapsed="false">
      <c r="B37" s="24" t="s">
        <v>463</v>
      </c>
      <c r="C37" s="25" t="s">
        <v>170</v>
      </c>
      <c r="F37" s="47" t="n">
        <f aca="false">'E2 CigadingExist Calc'!F90</f>
        <v>5.69824510058487</v>
      </c>
      <c r="G37" s="47" t="n">
        <f aca="false">'E2 CigadingExist Calc'!G90</f>
        <v>4.75302786885246</v>
      </c>
      <c r="H37" s="47" t="n">
        <f aca="false">'E2 CigadingExist Calc'!H90</f>
        <v>5.71925983561644</v>
      </c>
      <c r="I37" s="47" t="n">
        <f aca="false">'E2 CigadingExist Calc'!I90</f>
        <v>5.89083763068493</v>
      </c>
      <c r="J37" s="47" t="n">
        <f aca="false">'E2 CigadingExist Calc'!J90</f>
        <v>7.28107531152658</v>
      </c>
      <c r="K37" s="47" t="n">
        <f aca="false">'E2 CigadingExist Calc'!K90</f>
        <v>7.47901711302846</v>
      </c>
      <c r="L37" s="47" t="n">
        <f aca="false">'E2 CigadingExist Calc'!L90</f>
        <v>8.4969420777984</v>
      </c>
      <c r="M37" s="47" t="n">
        <f aca="false">'E2 CigadingExist Calc'!M90</f>
        <v>8.75185034013235</v>
      </c>
      <c r="N37" s="47" t="n">
        <f aca="false">'E2 CigadingExist Calc'!N90</f>
        <v>9.5552702013565</v>
      </c>
      <c r="O37" s="47" t="n">
        <f aca="false">'E2 CigadingExist Calc'!O90</f>
        <v>9.81503779289611</v>
      </c>
      <c r="P37" s="47" t="n">
        <f aca="false">'E2 CigadingExist Calc'!P90</f>
        <v>10.7454173260163</v>
      </c>
      <c r="Q37" s="47" t="n">
        <f aca="false">'E2 CigadingExist Calc'!Q90</f>
        <v>11.0677798457967</v>
      </c>
      <c r="R37" s="47" t="n">
        <f aca="false">'E2 CigadingExist Calc'!R90</f>
        <v>11.3998132411707</v>
      </c>
      <c r="S37" s="47" t="n">
        <f aca="false">'E2 CigadingExist Calc'!S90</f>
        <v>11.7097261967708</v>
      </c>
    </row>
    <row r="38" customFormat="false" ht="15" hidden="false" customHeight="false" outlineLevel="0" collapsed="false">
      <c r="B38" s="24" t="s">
        <v>1116</v>
      </c>
      <c r="C38" s="25" t="s">
        <v>170</v>
      </c>
      <c r="F38" s="47" t="n">
        <f aca="false">-'E2 CigadingExist Calc'!F91</f>
        <v>-1.60697070234504</v>
      </c>
      <c r="G38" s="47" t="n">
        <f aca="false">-'E2 CigadingExist Calc'!G91</f>
        <v>-1.10013978233645</v>
      </c>
      <c r="H38" s="47" t="n">
        <f aca="false">-'E2 CigadingExist Calc'!H91</f>
        <v>-1.14662013229574</v>
      </c>
      <c r="I38" s="47" t="n">
        <f aca="false">-'E2 CigadingExist Calc'!I91</f>
        <v>-1.19486413230925</v>
      </c>
      <c r="J38" s="47" t="n">
        <f aca="false">-'E2 CigadingExist Calc'!J91</f>
        <v>-1.24253767142726</v>
      </c>
      <c r="K38" s="47" t="n">
        <f aca="false">-'E2 CigadingExist Calc'!K91</f>
        <v>-1.28894508431115</v>
      </c>
      <c r="L38" s="47" t="n">
        <f aca="false">-'E2 CigadingExist Calc'!L91</f>
        <v>-1.34752204344192</v>
      </c>
      <c r="M38" s="47" t="n">
        <f aca="false">-'E2 CigadingExist Calc'!M91</f>
        <v>-1.40234404209642</v>
      </c>
      <c r="N38" s="47" t="n">
        <f aca="false">-'E2 CigadingExist Calc'!N91</f>
        <v>-1.45979688392359</v>
      </c>
      <c r="O38" s="47" t="n">
        <f aca="false">-'E2 CigadingExist Calc'!O91</f>
        <v>-1.51858149056707</v>
      </c>
      <c r="P38" s="47" t="n">
        <f aca="false">-'E2 CigadingExist Calc'!P91</f>
        <v>-1.58586985281097</v>
      </c>
      <c r="Q38" s="47" t="n">
        <f aca="false">-'E2 CigadingExist Calc'!Q91</f>
        <v>-1.65205704916404</v>
      </c>
      <c r="R38" s="47" t="n">
        <f aca="false">-'E2 CigadingExist Calc'!R91</f>
        <v>-1.72146227874195</v>
      </c>
      <c r="S38" s="47" t="n">
        <f aca="false">-'E2 CigadingExist Calc'!S91</f>
        <v>-1.78935060845088</v>
      </c>
    </row>
    <row r="39" customFormat="false" ht="15" hidden="false" customHeight="false" outlineLevel="0" collapsed="false">
      <c r="B39" s="69" t="s">
        <v>1117</v>
      </c>
      <c r="C39" s="25" t="s">
        <v>170</v>
      </c>
      <c r="F39" s="68" t="n">
        <f aca="false">F36+F37+F38</f>
        <v>4.09127439823984</v>
      </c>
      <c r="G39" s="68" t="n">
        <f aca="false">G36+G37+G38</f>
        <v>3.65288808651601</v>
      </c>
      <c r="H39" s="68" t="n">
        <f aca="false">H36+H37+H38</f>
        <v>4.5726397033207</v>
      </c>
      <c r="I39" s="68" t="n">
        <f aca="false">I36+I37+I38</f>
        <v>4.69597349837568</v>
      </c>
      <c r="J39" s="68" t="n">
        <f aca="false">J36+J37+J38</f>
        <v>6.03853764009931</v>
      </c>
      <c r="K39" s="68" t="n">
        <f aca="false">K36+K37+K38</f>
        <v>6.19007202871731</v>
      </c>
      <c r="L39" s="68" t="n">
        <f aca="false">L36+L37+L38</f>
        <v>7.14942003435647</v>
      </c>
      <c r="M39" s="68" t="n">
        <f aca="false">M36+M37+M38</f>
        <v>7.34950629803593</v>
      </c>
      <c r="N39" s="68" t="n">
        <f aca="false">N36+N37+N38</f>
        <v>8.09547331743291</v>
      </c>
      <c r="O39" s="68" t="n">
        <f aca="false">O36+O37+O38</f>
        <v>8.29645630232904</v>
      </c>
      <c r="P39" s="68" t="n">
        <f aca="false">P36+P37+P38</f>
        <v>9.15954747320529</v>
      </c>
      <c r="Q39" s="68" t="n">
        <f aca="false">Q36+Q37+Q38</f>
        <v>9.41572279663271</v>
      </c>
      <c r="R39" s="68" t="n">
        <f aca="false">R36+R37+R38</f>
        <v>9.6783509624287</v>
      </c>
      <c r="S39" s="68" t="n">
        <f aca="false">S36+S37+S38</f>
        <v>9.92037558831991</v>
      </c>
    </row>
    <row r="40" customFormat="false" ht="15" hidden="false" customHeight="false" outlineLevel="0" collapsed="false">
      <c r="B40" s="5" t="s">
        <v>1118</v>
      </c>
    </row>
    <row r="42" customFormat="false" ht="15" hidden="false" customHeight="false" outlineLevel="0" collapsed="false">
      <c r="B42" s="22" t="s">
        <v>1119</v>
      </c>
      <c r="C42" s="23"/>
      <c r="D42" s="23"/>
      <c r="E42" s="23"/>
      <c r="F42" s="23"/>
      <c r="G42" s="23"/>
      <c r="H42" s="23"/>
      <c r="I42" s="23"/>
      <c r="J42" s="23"/>
      <c r="K42" s="23"/>
      <c r="L42" s="23"/>
      <c r="M42" s="23"/>
      <c r="N42" s="23"/>
      <c r="O42" s="23"/>
      <c r="P42" s="23"/>
      <c r="Q42" s="23"/>
      <c r="R42" s="23"/>
      <c r="S42" s="23"/>
    </row>
    <row r="43" customFormat="false" ht="15" hidden="false" customHeight="false" outlineLevel="0" collapsed="false">
      <c r="B43" s="24" t="s">
        <v>1120</v>
      </c>
      <c r="C43" s="25" t="s">
        <v>143</v>
      </c>
      <c r="F43" s="30" t="n">
        <f aca="false">0</f>
        <v>0</v>
      </c>
      <c r="G43" s="30" t="n">
        <f aca="false">MIN(1,F43+F44)</f>
        <v>0</v>
      </c>
      <c r="H43" s="30" t="n">
        <f aca="false">MIN(1,G43+G44)</f>
        <v>0</v>
      </c>
      <c r="I43" s="30" t="n">
        <f aca="false">MIN(1,H43+H44)</f>
        <v>0</v>
      </c>
      <c r="J43" s="30" t="n">
        <f aca="false">MIN(1,I43+I44)</f>
        <v>0</v>
      </c>
      <c r="K43" s="30" t="n">
        <f aca="false">MIN(1,J43+J44)</f>
        <v>0</v>
      </c>
      <c r="L43" s="30" t="n">
        <f aca="false">MIN(1,K43+K44)</f>
        <v>0</v>
      </c>
      <c r="M43" s="30" t="n">
        <f aca="false">MIN(1,L43+L44)</f>
        <v>0</v>
      </c>
      <c r="N43" s="30" t="n">
        <f aca="false">MIN(1,M43+M44)</f>
        <v>0</v>
      </c>
      <c r="O43" s="30" t="n">
        <f aca="false">MIN(1,N43+N44)</f>
        <v>0</v>
      </c>
      <c r="P43" s="30" t="n">
        <f aca="false">MIN(1,O43+O44)</f>
        <v>0</v>
      </c>
      <c r="Q43" s="30" t="n">
        <f aca="false">MIN(1,P43+P44)</f>
        <v>0</v>
      </c>
      <c r="R43" s="30" t="n">
        <f aca="false">MIN(1,Q43+Q44)</f>
        <v>0</v>
      </c>
      <c r="S43" s="30" t="n">
        <f aca="false">MIN(1,R43+R44)</f>
        <v>0</v>
      </c>
    </row>
    <row r="44" customFormat="false" ht="15" hidden="false" customHeight="false" outlineLevel="0" collapsed="false">
      <c r="B44" s="24" t="s">
        <v>1121</v>
      </c>
      <c r="C44" s="25" t="s">
        <v>143</v>
      </c>
      <c r="F44" s="30" t="n">
        <f aca="false">0</f>
        <v>0</v>
      </c>
      <c r="G44" s="30" t="n">
        <f aca="false">IF(AND(G29&gt;=0,F29&lt;0,G43=0),1,0)</f>
        <v>0</v>
      </c>
      <c r="H44" s="30" t="n">
        <f aca="false">IF(AND(H29&gt;=0,G29&lt;0,H43=0),1,0)</f>
        <v>0</v>
      </c>
      <c r="I44" s="30" t="n">
        <f aca="false">IF(AND(I29&gt;=0,H29&lt;0,I43=0),1,0)</f>
        <v>0</v>
      </c>
      <c r="J44" s="30" t="n">
        <f aca="false">IF(AND(J29&gt;=0,I29&lt;0,J43=0),1,0)</f>
        <v>0</v>
      </c>
      <c r="K44" s="30" t="n">
        <f aca="false">IF(AND(K29&gt;=0,J29&lt;0,K43=0),1,0)</f>
        <v>0</v>
      </c>
      <c r="L44" s="30" t="n">
        <f aca="false">IF(AND(L29&gt;=0,K29&lt;0,L43=0),1,0)</f>
        <v>0</v>
      </c>
      <c r="M44" s="30" t="n">
        <f aca="false">IF(AND(M29&gt;=0,L29&lt;0,M43=0),1,0)</f>
        <v>0</v>
      </c>
      <c r="N44" s="30" t="n">
        <f aca="false">IF(AND(N29&gt;=0,M29&lt;0,N43=0),1,0)</f>
        <v>0</v>
      </c>
      <c r="O44" s="30" t="n">
        <f aca="false">IF(AND(O29&gt;=0,N29&lt;0,O43=0),1,0)</f>
        <v>0</v>
      </c>
      <c r="P44" s="30" t="n">
        <f aca="false">IF(AND(P29&gt;=0,O29&lt;0,P43=0),1,0)</f>
        <v>0</v>
      </c>
      <c r="Q44" s="30" t="n">
        <f aca="false">IF(AND(Q29&gt;=0,P29&lt;0,Q43=0),1,0)</f>
        <v>0</v>
      </c>
      <c r="R44" s="30" t="n">
        <f aca="false">IF(AND(R29&gt;=0,Q29&lt;0,R43=0),1,0)</f>
        <v>0</v>
      </c>
      <c r="S44" s="30" t="n">
        <f aca="false">IF(AND(S29&gt;=0,R29&lt;0,S43=0),1,0)</f>
        <v>0</v>
      </c>
    </row>
    <row r="45" customFormat="false" ht="15" hidden="false" customHeight="false" outlineLevel="0" collapsed="false">
      <c r="B45" s="24" t="s">
        <v>1122</v>
      </c>
      <c r="C45" s="25" t="s">
        <v>170</v>
      </c>
      <c r="F45" s="47" t="n">
        <f aca="false">IF(F$5='Global Inputs'!$E$14,F28*(1+'Global Inputs'!$E$54)/('Global Inputs'!$E$53-'Global Inputs'!$E$54),0)</f>
        <v>0</v>
      </c>
      <c r="G45" s="47" t="n">
        <f aca="false">IF(G$5='Global Inputs'!$E$14,G28*(1+'Global Inputs'!$E$54)/('Global Inputs'!$E$53-'Global Inputs'!$E$54),0)</f>
        <v>0</v>
      </c>
      <c r="H45" s="47" t="n">
        <f aca="false">IF(H$5='Global Inputs'!$E$14,H28*(1+'Global Inputs'!$E$54)/('Global Inputs'!$E$53-'Global Inputs'!$E$54),0)</f>
        <v>0</v>
      </c>
      <c r="I45" s="47" t="n">
        <f aca="false">IF(I$5='Global Inputs'!$E$14,I28*(1+'Global Inputs'!$E$54)/('Global Inputs'!$E$53-'Global Inputs'!$E$54),0)</f>
        <v>0</v>
      </c>
      <c r="J45" s="47" t="n">
        <f aca="false">IF(J$5='Global Inputs'!$E$14,J28*(1+'Global Inputs'!$E$54)/('Global Inputs'!$E$53-'Global Inputs'!$E$54),0)</f>
        <v>0</v>
      </c>
      <c r="K45" s="47" t="n">
        <f aca="false">IF(K$5='Global Inputs'!$E$14,K28*(1+'Global Inputs'!$E$54)/('Global Inputs'!$E$53-'Global Inputs'!$E$54),0)</f>
        <v>0</v>
      </c>
      <c r="L45" s="47" t="n">
        <f aca="false">IF(L$5='Global Inputs'!$E$14,L28*(1+'Global Inputs'!$E$54)/('Global Inputs'!$E$53-'Global Inputs'!$E$54),0)</f>
        <v>0</v>
      </c>
      <c r="M45" s="47" t="n">
        <f aca="false">IF(M$5='Global Inputs'!$E$14,M28*(1+'Global Inputs'!$E$54)/('Global Inputs'!$E$53-'Global Inputs'!$E$54),0)</f>
        <v>0</v>
      </c>
      <c r="N45" s="47" t="n">
        <f aca="false">IF(N$5='Global Inputs'!$E$14,N28*(1+'Global Inputs'!$E$54)/('Global Inputs'!$E$53-'Global Inputs'!$E$54),0)</f>
        <v>0</v>
      </c>
      <c r="O45" s="47" t="n">
        <f aca="false">IF(O$5='Global Inputs'!$E$14,O28*(1+'Global Inputs'!$E$54)/('Global Inputs'!$E$53-'Global Inputs'!$E$54),0)</f>
        <v>0</v>
      </c>
      <c r="P45" s="47" t="n">
        <f aca="false">IF(P$5='Global Inputs'!$E$14,P28*(1+'Global Inputs'!$E$54)/('Global Inputs'!$E$53-'Global Inputs'!$E$54),0)</f>
        <v>0</v>
      </c>
      <c r="Q45" s="47" t="n">
        <f aca="false">IF(Q$5='Global Inputs'!$E$14,Q28*(1+'Global Inputs'!$E$54)/('Global Inputs'!$E$53-'Global Inputs'!$E$54),0)</f>
        <v>0</v>
      </c>
      <c r="R45" s="47" t="n">
        <f aca="false">IF(R$5='Global Inputs'!$E$14,R28*(1+'Global Inputs'!$E$54)/('Global Inputs'!$E$53-'Global Inputs'!$E$54),0)</f>
        <v>0</v>
      </c>
      <c r="S45" s="47" t="n">
        <f aca="false">IF(S$5='Global Inputs'!$E$14,S28*(1+'Global Inputs'!$E$54)/('Global Inputs'!$E$53-'Global Inputs'!$E$54),0)</f>
        <v>653.19824818315</v>
      </c>
    </row>
    <row r="46" customFormat="false" ht="15" hidden="false" customHeight="false" outlineLevel="0" collapsed="false">
      <c r="B46" s="24" t="s">
        <v>1123</v>
      </c>
      <c r="C46" s="25" t="s">
        <v>170</v>
      </c>
      <c r="F46" s="47" t="n">
        <f aca="false">F28+F45</f>
        <v>0</v>
      </c>
      <c r="G46" s="47" t="n">
        <f aca="false">G28+G45</f>
        <v>16.5219765642192</v>
      </c>
      <c r="H46" s="47" t="n">
        <f aca="false">H28+H45</f>
        <v>22.0704121135938</v>
      </c>
      <c r="I46" s="47" t="n">
        <f aca="false">I28+I45</f>
        <v>23.3657198268632</v>
      </c>
      <c r="J46" s="47" t="n">
        <f aca="false">J28+J45</f>
        <v>32.527040284347</v>
      </c>
      <c r="K46" s="47" t="n">
        <f aca="false">K28+K45</f>
        <v>34.5561243399768</v>
      </c>
      <c r="L46" s="47" t="n">
        <f aca="false">L28+L45</f>
        <v>40.8321758712327</v>
      </c>
      <c r="M46" s="47" t="n">
        <f aca="false">M28+M45</f>
        <v>42.6443318937596</v>
      </c>
      <c r="N46" s="47" t="n">
        <f aca="false">N28+N45</f>
        <v>46.3855635633837</v>
      </c>
      <c r="O46" s="47" t="n">
        <f aca="false">O28+O45</f>
        <v>48.0782641549865</v>
      </c>
      <c r="P46" s="47" t="n">
        <f aca="false">P28+P45</f>
        <v>52.2352005183309</v>
      </c>
      <c r="Q46" s="47" t="n">
        <f aca="false">Q28+Q45</f>
        <v>53.945803566953</v>
      </c>
      <c r="R46" s="47" t="n">
        <f aca="false">R28+R45</f>
        <v>55.0636328622892</v>
      </c>
      <c r="S46" s="47" t="n">
        <f aca="false">S28+S45</f>
        <v>709.427278337469</v>
      </c>
    </row>
    <row r="47" customFormat="false" ht="15" hidden="false" customHeight="false" outlineLevel="0" collapsed="false">
      <c r="B47" s="24" t="s">
        <v>1124</v>
      </c>
      <c r="C47" s="25" t="s">
        <v>170</v>
      </c>
      <c r="E47" s="47" t="n">
        <f aca="false">SUM(F47:S47)</f>
        <v>461.150586479111</v>
      </c>
      <c r="F47" s="47" t="n">
        <f aca="false">F46*'Global Inputs'!F18</f>
        <v>0</v>
      </c>
      <c r="G47" s="47" t="n">
        <f aca="false">G46*'Global Inputs'!G18</f>
        <v>0</v>
      </c>
      <c r="H47" s="47" t="n">
        <f aca="false">H46*'Global Inputs'!H18</f>
        <v>0</v>
      </c>
      <c r="I47" s="47" t="n">
        <f aca="false">I46*'Global Inputs'!I18</f>
        <v>0</v>
      </c>
      <c r="J47" s="47" t="n">
        <f aca="false">J46*'Global Inputs'!J18</f>
        <v>29.0766554733976</v>
      </c>
      <c r="K47" s="47" t="n">
        <f aca="false">K46*'Global Inputs'!K18</f>
        <v>27.61371473609</v>
      </c>
      <c r="L47" s="47" t="n">
        <f aca="false">L46*'Global Inputs'!L18</f>
        <v>29.1677032158059</v>
      </c>
      <c r="M47" s="47" t="n">
        <f aca="false">M46*'Global Inputs'!M18</f>
        <v>27.2308330034022</v>
      </c>
      <c r="N47" s="47" t="n">
        <f aca="false">N46*'Global Inputs'!N18</f>
        <v>26.4778277484192</v>
      </c>
      <c r="O47" s="47" t="n">
        <f aca="false">O46*'Global Inputs'!O18</f>
        <v>24.5328609538824</v>
      </c>
      <c r="P47" s="47" t="n">
        <f aca="false">P46*'Global Inputs'!P18</f>
        <v>23.8266281644602</v>
      </c>
      <c r="Q47" s="47" t="n">
        <f aca="false">Q46*'Global Inputs'!Q18</f>
        <v>21.9966675356676</v>
      </c>
      <c r="R47" s="47" t="n">
        <f aca="false">R46*'Global Inputs'!R18</f>
        <v>20.0707678679002</v>
      </c>
      <c r="S47" s="47" t="n">
        <f aca="false">S46*'Global Inputs'!S18</f>
        <v>231.156927780086</v>
      </c>
    </row>
    <row r="48" customFormat="false" ht="15" hidden="false" customHeight="false" outlineLevel="0" collapsed="false">
      <c r="B48" s="24" t="s">
        <v>1125</v>
      </c>
      <c r="C48" s="25" t="s">
        <v>170</v>
      </c>
      <c r="E48" s="47" t="n">
        <f aca="false">SUM($F$47:$S$47)</f>
        <v>461.150586479111</v>
      </c>
    </row>
    <row r="49" customFormat="false" ht="15" hidden="false" customHeight="false" outlineLevel="0" collapsed="false">
      <c r="B49" s="24" t="s">
        <v>1126</v>
      </c>
      <c r="C49" s="25" t="s">
        <v>170</v>
      </c>
      <c r="E49" s="47" t="n">
        <f aca="false">SUMPRODUCT($F$28:$S$28,'Global Inputs'!$F$18:$S$18)</f>
        <v>248.315099471625</v>
      </c>
    </row>
    <row r="50" customFormat="false" ht="15" hidden="false" customHeight="false" outlineLevel="0" collapsed="false">
      <c r="B50" s="24" t="s">
        <v>360</v>
      </c>
      <c r="C50" s="25" t="s">
        <v>160</v>
      </c>
      <c r="E50" s="49" t="str">
        <f aca="false">"n/a — existing business (no entry cost / original investment data)"</f>
        <v>n/a — existing business (no entry cost / original investment data)</v>
      </c>
    </row>
    <row r="51" customFormat="false" ht="15" hidden="false" customHeight="false" outlineLevel="0" collapsed="false">
      <c r="B51" s="24" t="s">
        <v>1127</v>
      </c>
      <c r="C51" s="25" t="s">
        <v>160</v>
      </c>
      <c r="E51" s="49" t="str">
        <f aca="false">"n/a — existing business"</f>
        <v>n/a — existing business</v>
      </c>
    </row>
    <row r="52" customFormat="false" ht="15" hidden="false" customHeight="false" outlineLevel="0" collapsed="false">
      <c r="B52" s="24" t="s">
        <v>1128</v>
      </c>
      <c r="C52" s="25" t="s">
        <v>160</v>
      </c>
      <c r="E52" s="49" t="str">
        <f aca="false">"n/a — existing business"</f>
        <v>n/a — existing business</v>
      </c>
    </row>
    <row r="53" customFormat="false" ht="15" hidden="false" customHeight="false" outlineLevel="0" collapsed="false">
      <c r="B53" s="24" t="s">
        <v>1129</v>
      </c>
      <c r="C53" s="25" t="s">
        <v>135</v>
      </c>
      <c r="E53" s="29" t="str">
        <f aca="false">IF(SUM($F$44:$S$44)=0,"not within horizon",SUMPRODUCT($F$44:$S$44,'Global Inputs'!$F$15:$S$15))</f>
        <v>not within horizon</v>
      </c>
    </row>
    <row r="54" customFormat="false" ht="15" hidden="false" customHeight="false" outlineLevel="0" collapsed="false">
      <c r="B54" s="24" t="s">
        <v>1130</v>
      </c>
      <c r="C54" s="25" t="s">
        <v>135</v>
      </c>
      <c r="E54" s="29" t="str">
        <f aca="false">"n/a"</f>
        <v>n/a</v>
      </c>
    </row>
    <row r="55" customFormat="false" ht="15" hidden="false" customHeight="false" outlineLevel="0" collapsed="false">
      <c r="B55" s="24" t="s">
        <v>1131</v>
      </c>
      <c r="C55" s="25" t="s">
        <v>240</v>
      </c>
      <c r="E55" s="44" t="n">
        <f aca="false">0</f>
        <v>0</v>
      </c>
    </row>
    <row r="56" customFormat="false" ht="15" hidden="false" customHeight="false" outlineLevel="0" collapsed="false">
      <c r="B56" s="24" t="s">
        <v>1132</v>
      </c>
      <c r="C56" s="25" t="s">
        <v>240</v>
      </c>
      <c r="E56" s="44" t="n">
        <f aca="false">0</f>
        <v>0</v>
      </c>
    </row>
    <row r="58" customFormat="false" ht="15" hidden="false" customHeight="false" outlineLevel="0" collapsed="false">
      <c r="B58" s="22" t="s">
        <v>1133</v>
      </c>
      <c r="C58" s="23"/>
      <c r="D58" s="23"/>
      <c r="E58" s="23"/>
      <c r="F58" s="23"/>
      <c r="G58" s="23"/>
      <c r="H58" s="23"/>
      <c r="I58" s="23"/>
      <c r="J58" s="23"/>
      <c r="K58" s="23"/>
      <c r="L58" s="23"/>
      <c r="M58" s="23"/>
      <c r="N58" s="23"/>
      <c r="O58" s="23"/>
      <c r="P58" s="23"/>
      <c r="Q58" s="23"/>
      <c r="R58" s="23"/>
      <c r="S58" s="23"/>
    </row>
    <row r="59" customFormat="false" ht="15" hidden="false" customHeight="false" outlineLevel="0" collapsed="false">
      <c r="B59" s="24" t="s">
        <v>1134</v>
      </c>
      <c r="C59" s="25" t="s">
        <v>180</v>
      </c>
      <c r="E59" s="29" t="n">
        <f aca="false">'E2 CigadingExist Input'!$E$22*IF('E2 CigadingExist Input'!$E$23=1,1,0)</f>
        <v>1</v>
      </c>
    </row>
    <row r="60" customFormat="false" ht="15" hidden="false" customHeight="false" outlineLevel="0" collapsed="false">
      <c r="B60" s="24" t="s">
        <v>1135</v>
      </c>
      <c r="C60" s="25" t="s">
        <v>180</v>
      </c>
      <c r="E60" s="29" t="n">
        <f aca="false">'E2 CigadingExist Input'!$E$22</f>
        <v>1</v>
      </c>
    </row>
    <row r="61" customFormat="false" ht="15" hidden="false" customHeight="false" outlineLevel="0" collapsed="false">
      <c r="B61" s="24" t="s">
        <v>897</v>
      </c>
      <c r="C61" s="25" t="s">
        <v>160</v>
      </c>
      <c r="E61" s="49" t="n">
        <f aca="false">'E2 CigadingExist Input'!$E$24</f>
        <v>1</v>
      </c>
    </row>
  </sheetData>
  <hyperlinks>
    <hyperlink ref="C3" r:id="rId1" location="'E2%20CigadingExist%20Input'!A1" display="Input"/>
    <hyperlink ref="D3" r:id="rId2" location="'E2%20CigadingExist%20Calc'!A1" display="Calc"/>
    <hyperlink ref="E3" r:id="rId3" location="'E2%20CigadingExist%20Output'!A1" display="Output"/>
    <hyperlink ref="F3" r:id="rId4" location="'Navigation'!A1" display="Navigation"/>
    <hyperlink ref="G3" r:id="rId5" location="'Global%20Inputs'!A1" display="Global Inputs"/>
    <hyperlink ref="H3" r:id="rId6" location="'Project%20Summary'!A1" display="Project Summary"/>
    <hyperlink ref="I3" r:id="rId7" location="'Funding%20Requirement'!A1" display="Funding"/>
    <hyperlink ref="J3" r:id="rId8" location="'FSL%20Financials%20—%20Without%20BUMN'!A1" display="FSL w/o BUMN"/>
    <hyperlink ref="K3" r:id="rId9" location="'FSL%20Financials%20—%20With%20BUMN'!A1" display="FSL w/ BUMN"/>
    <hyperlink ref="L3" r:id="rId10" location="'Valuation%20—%20Without%20BUMN'!A1" display="Val w/o BUMN"/>
    <hyperlink ref="M3" r:id="rId11" location="'Valuation%20—%20With%20BUMN'!A1" display="Val w/ BUMN"/>
    <hyperlink ref="N3" r:id="rId12" location="'Checks'!A1" display="Checks"/>
    <hyperlink ref="O3" r:id="rId13" location="'Model%20Flow'!A1" display="Model Flow"/>
  </hyperlink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D966"/>
    <pageSetUpPr fitToPage="true"/>
  </sheetPr>
  <dimension ref="B1:U8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5" ySplit="9" topLeftCell="F10" activePane="bottomRight" state="frozen"/>
      <selection pane="topLeft" activeCell="A1" activeCellId="0" sqref="A1"/>
      <selection pane="topRight" activeCell="F1" activeCellId="0" sqref="F1"/>
      <selection pane="bottomLeft" activeCell="A10" activeCellId="0" sqref="A10"/>
      <selection pane="bottomRigh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66"/>
    <col collapsed="false" customWidth="true" hidden="false" outlineLevel="0" max="3" min="3" style="0" width="11"/>
    <col collapsed="false" customWidth="true" hidden="false" outlineLevel="0" max="4" min="4" style="0" width="12"/>
    <col collapsed="false" customWidth="true" hidden="false" outlineLevel="0" max="5" min="5" style="0" width="13"/>
    <col collapsed="false" customWidth="true" hidden="false" outlineLevel="0" max="19" min="6" style="0" width="11.5"/>
    <col collapsed="false" customWidth="true" hidden="false" outlineLevel="0" max="20" min="20" style="0" width="40"/>
    <col collapsed="false" customWidth="true" hidden="false" outlineLevel="0" max="21" min="21" style="0" width="48"/>
  </cols>
  <sheetData>
    <row r="1" customFormat="false" ht="21.75" hidden="false" customHeight="true" outlineLevel="0" collapsed="false">
      <c r="B1" s="1" t="s">
        <v>1214</v>
      </c>
    </row>
    <row r="2" customFormat="false" ht="15" hidden="false" customHeight="false" outlineLevel="0" collapsed="false">
      <c r="B2" s="2" t="s">
        <v>1215</v>
      </c>
    </row>
    <row r="3" customFormat="false" ht="15" hidden="false" customHeight="false" outlineLevel="0" collapsed="false">
      <c r="B3" s="5" t="s">
        <v>112</v>
      </c>
      <c r="C3" s="17" t="s">
        <v>27</v>
      </c>
      <c r="D3" s="17" t="s">
        <v>28</v>
      </c>
      <c r="E3" s="17" t="s">
        <v>29</v>
      </c>
      <c r="F3" s="17" t="s">
        <v>113</v>
      </c>
      <c r="G3" s="17" t="s">
        <v>5</v>
      </c>
      <c r="H3" s="17" t="s">
        <v>7</v>
      </c>
      <c r="I3" s="17" t="s">
        <v>114</v>
      </c>
      <c r="J3" s="17" t="s">
        <v>115</v>
      </c>
      <c r="K3" s="17" t="s">
        <v>116</v>
      </c>
      <c r="L3" s="17" t="s">
        <v>117</v>
      </c>
      <c r="M3" s="17" t="s">
        <v>118</v>
      </c>
      <c r="N3" s="17" t="s">
        <v>21</v>
      </c>
      <c r="O3" s="17" t="s">
        <v>3</v>
      </c>
    </row>
    <row r="5" customFormat="false" ht="15" hidden="false" customHeight="false" outlineLevel="0" collapsed="false">
      <c r="B5" s="6" t="s">
        <v>119</v>
      </c>
      <c r="C5" s="6" t="s">
        <v>120</v>
      </c>
      <c r="D5" s="6" t="s">
        <v>121</v>
      </c>
      <c r="E5" s="6" t="s">
        <v>122</v>
      </c>
      <c r="F5" s="18" t="n">
        <f aca="false">'Global Inputs'!F$5</f>
        <v>2023</v>
      </c>
      <c r="G5" s="18" t="n">
        <f aca="false">'Global Inputs'!G$5</f>
        <v>2024</v>
      </c>
      <c r="H5" s="18" t="n">
        <f aca="false">'Global Inputs'!H$5</f>
        <v>2025</v>
      </c>
      <c r="I5" s="18" t="n">
        <f aca="false">'Global Inputs'!I$5</f>
        <v>2026</v>
      </c>
      <c r="J5" s="18" t="n">
        <f aca="false">'Global Inputs'!J$5</f>
        <v>2027</v>
      </c>
      <c r="K5" s="18" t="n">
        <f aca="false">'Global Inputs'!K$5</f>
        <v>2028</v>
      </c>
      <c r="L5" s="18" t="n">
        <f aca="false">'Global Inputs'!L$5</f>
        <v>2029</v>
      </c>
      <c r="M5" s="18" t="n">
        <f aca="false">'Global Inputs'!M$5</f>
        <v>2030</v>
      </c>
      <c r="N5" s="18" t="n">
        <f aca="false">'Global Inputs'!N$5</f>
        <v>2031</v>
      </c>
      <c r="O5" s="18" t="n">
        <f aca="false">'Global Inputs'!O$5</f>
        <v>2032</v>
      </c>
      <c r="P5" s="18" t="n">
        <f aca="false">'Global Inputs'!P$5</f>
        <v>2033</v>
      </c>
      <c r="Q5" s="18" t="n">
        <f aca="false">'Global Inputs'!Q$5</f>
        <v>2034</v>
      </c>
      <c r="R5" s="18" t="n">
        <f aca="false">'Global Inputs'!R$5</f>
        <v>2035</v>
      </c>
      <c r="S5" s="18" t="n">
        <f aca="false">'Global Inputs'!S$5</f>
        <v>2036</v>
      </c>
      <c r="T5" s="6" t="s">
        <v>123</v>
      </c>
      <c r="U5" s="6" t="s">
        <v>124</v>
      </c>
    </row>
    <row r="6" customFormat="false" ht="15" hidden="false" customHeight="false" outlineLevel="0" collapsed="false">
      <c r="B6" s="19" t="s">
        <v>125</v>
      </c>
      <c r="F6" s="20" t="n">
        <f aca="false">'Global Inputs'!F$6</f>
        <v>45291</v>
      </c>
      <c r="G6" s="20" t="n">
        <f aca="false">'Global Inputs'!G$6</f>
        <v>45657</v>
      </c>
      <c r="H6" s="20" t="n">
        <f aca="false">'Global Inputs'!H$6</f>
        <v>46022</v>
      </c>
      <c r="I6" s="20" t="n">
        <f aca="false">'Global Inputs'!I$6</f>
        <v>46387</v>
      </c>
      <c r="J6" s="20" t="n">
        <f aca="false">'Global Inputs'!J$6</f>
        <v>46752</v>
      </c>
      <c r="K6" s="20" t="n">
        <f aca="false">'Global Inputs'!K$6</f>
        <v>47118</v>
      </c>
      <c r="L6" s="20" t="n">
        <f aca="false">'Global Inputs'!L$6</f>
        <v>47483</v>
      </c>
      <c r="M6" s="20" t="n">
        <f aca="false">'Global Inputs'!M$6</f>
        <v>47848</v>
      </c>
      <c r="N6" s="20" t="n">
        <f aca="false">'Global Inputs'!N$6</f>
        <v>48213</v>
      </c>
      <c r="O6" s="20" t="n">
        <f aca="false">'Global Inputs'!O$6</f>
        <v>48579</v>
      </c>
      <c r="P6" s="20" t="n">
        <f aca="false">'Global Inputs'!P$6</f>
        <v>48944</v>
      </c>
      <c r="Q6" s="20" t="n">
        <f aca="false">'Global Inputs'!Q$6</f>
        <v>49309</v>
      </c>
      <c r="R6" s="20" t="n">
        <f aca="false">'Global Inputs'!R$6</f>
        <v>49674</v>
      </c>
      <c r="S6" s="20" t="n">
        <f aca="false">'Global Inputs'!S$6</f>
        <v>50040</v>
      </c>
    </row>
    <row r="7" customFormat="false" ht="15" hidden="false" customHeight="false" outlineLevel="0" collapsed="false">
      <c r="B7" s="19" t="s">
        <v>126</v>
      </c>
      <c r="F7" s="21" t="n">
        <f aca="false">'Global Inputs'!F$7</f>
        <v>365</v>
      </c>
      <c r="G7" s="21" t="n">
        <f aca="false">'Global Inputs'!G$7</f>
        <v>366</v>
      </c>
      <c r="H7" s="21" t="n">
        <f aca="false">'Global Inputs'!H$7</f>
        <v>365</v>
      </c>
      <c r="I7" s="21" t="n">
        <f aca="false">'Global Inputs'!I$7</f>
        <v>365</v>
      </c>
      <c r="J7" s="21" t="n">
        <f aca="false">'Global Inputs'!J$7</f>
        <v>365</v>
      </c>
      <c r="K7" s="21" t="n">
        <f aca="false">'Global Inputs'!K$7</f>
        <v>366</v>
      </c>
      <c r="L7" s="21" t="n">
        <f aca="false">'Global Inputs'!L$7</f>
        <v>365</v>
      </c>
      <c r="M7" s="21" t="n">
        <f aca="false">'Global Inputs'!M$7</f>
        <v>365</v>
      </c>
      <c r="N7" s="21" t="n">
        <f aca="false">'Global Inputs'!N$7</f>
        <v>365</v>
      </c>
      <c r="O7" s="21" t="n">
        <f aca="false">'Global Inputs'!O$7</f>
        <v>366</v>
      </c>
      <c r="P7" s="21" t="n">
        <f aca="false">'Global Inputs'!P$7</f>
        <v>365</v>
      </c>
      <c r="Q7" s="21" t="n">
        <f aca="false">'Global Inputs'!Q$7</f>
        <v>365</v>
      </c>
      <c r="R7" s="21" t="n">
        <f aca="false">'Global Inputs'!R$7</f>
        <v>365</v>
      </c>
      <c r="S7" s="21" t="n">
        <f aca="false">'Global Inputs'!S$7</f>
        <v>366</v>
      </c>
    </row>
    <row r="8" customFormat="false" ht="15" hidden="false" customHeight="false" outlineLevel="0" collapsed="false">
      <c r="B8" s="19" t="s">
        <v>127</v>
      </c>
      <c r="F8" s="21" t="n">
        <f aca="false">'Global Inputs'!F$8</f>
        <v>0</v>
      </c>
      <c r="G8" s="21" t="n">
        <f aca="false">'Global Inputs'!G$8</f>
        <v>1</v>
      </c>
      <c r="H8" s="21" t="n">
        <f aca="false">'Global Inputs'!H$8</f>
        <v>1</v>
      </c>
      <c r="I8" s="21" t="n">
        <f aca="false">'Global Inputs'!I$8</f>
        <v>1</v>
      </c>
      <c r="J8" s="21" t="n">
        <f aca="false">'Global Inputs'!J$8</f>
        <v>1</v>
      </c>
      <c r="K8" s="21" t="n">
        <f aca="false">'Global Inputs'!K$8</f>
        <v>1</v>
      </c>
      <c r="L8" s="21" t="n">
        <f aca="false">'Global Inputs'!L$8</f>
        <v>1</v>
      </c>
      <c r="M8" s="21" t="n">
        <f aca="false">'Global Inputs'!M$8</f>
        <v>1</v>
      </c>
      <c r="N8" s="21" t="n">
        <f aca="false">'Global Inputs'!N$8</f>
        <v>1</v>
      </c>
      <c r="O8" s="21" t="n">
        <f aca="false">'Global Inputs'!O$8</f>
        <v>1</v>
      </c>
      <c r="P8" s="21" t="n">
        <f aca="false">'Global Inputs'!P$8</f>
        <v>1</v>
      </c>
      <c r="Q8" s="21" t="n">
        <f aca="false">'Global Inputs'!Q$8</f>
        <v>1</v>
      </c>
      <c r="R8" s="21" t="n">
        <f aca="false">'Global Inputs'!R$8</f>
        <v>1</v>
      </c>
      <c r="S8" s="21" t="n">
        <f aca="false">'Global Inputs'!S$8</f>
        <v>1</v>
      </c>
    </row>
    <row r="10" customFormat="false" ht="15" hidden="false" customHeight="false" outlineLevel="0" collapsed="false">
      <c r="B10" s="22" t="s">
        <v>878</v>
      </c>
      <c r="C10" s="23"/>
      <c r="D10" s="23"/>
      <c r="E10" s="23"/>
      <c r="F10" s="23"/>
      <c r="G10" s="23"/>
      <c r="H10" s="23"/>
      <c r="I10" s="23"/>
      <c r="J10" s="23"/>
      <c r="K10" s="23"/>
      <c r="L10" s="23"/>
      <c r="M10" s="23"/>
      <c r="N10" s="23"/>
      <c r="O10" s="23"/>
      <c r="P10" s="23"/>
      <c r="Q10" s="23"/>
      <c r="R10" s="23"/>
      <c r="S10" s="23"/>
    </row>
    <row r="11" customFormat="false" ht="15" hidden="false" customHeight="false" outlineLevel="0" collapsed="false">
      <c r="B11" s="24" t="s">
        <v>879</v>
      </c>
      <c r="E11" s="24" t="s">
        <v>1216</v>
      </c>
    </row>
    <row r="12" customFormat="false" ht="15" hidden="false" customHeight="false" outlineLevel="0" collapsed="false">
      <c r="B12" s="24" t="s">
        <v>25</v>
      </c>
      <c r="E12" s="24" t="s">
        <v>1217</v>
      </c>
    </row>
    <row r="13" customFormat="false" ht="15" hidden="false" customHeight="false" outlineLevel="0" collapsed="false">
      <c r="B13" s="24" t="s">
        <v>882</v>
      </c>
      <c r="E13" s="24" t="s">
        <v>1218</v>
      </c>
    </row>
    <row r="14" customFormat="false" ht="15" hidden="false" customHeight="false" outlineLevel="0" collapsed="false">
      <c r="B14" s="24" t="s">
        <v>275</v>
      </c>
      <c r="E14" s="24" t="s">
        <v>285</v>
      </c>
    </row>
    <row r="15" customFormat="false" ht="15" hidden="false" customHeight="false" outlineLevel="0" collapsed="false">
      <c r="B15" s="24" t="s">
        <v>386</v>
      </c>
      <c r="E15" s="24" t="s">
        <v>38</v>
      </c>
    </row>
    <row r="16" customFormat="false" ht="15" hidden="false" customHeight="false" outlineLevel="0" collapsed="false">
      <c r="B16" s="24" t="s">
        <v>884</v>
      </c>
      <c r="E16" s="24" t="s">
        <v>1219</v>
      </c>
    </row>
    <row r="17" customFormat="false" ht="15" hidden="false" customHeight="false" outlineLevel="0" collapsed="false">
      <c r="B17" s="24" t="s">
        <v>886</v>
      </c>
      <c r="E17" s="24" t="s">
        <v>1220</v>
      </c>
    </row>
    <row r="18" customFormat="false" ht="15" hidden="false" customHeight="false" outlineLevel="0" collapsed="false">
      <c r="B18" s="24" t="s">
        <v>888</v>
      </c>
      <c r="E18" s="24" t="s">
        <v>1221</v>
      </c>
    </row>
    <row r="19" customFormat="false" ht="15" hidden="false" customHeight="false" outlineLevel="0" collapsed="false">
      <c r="B19" s="24" t="s">
        <v>890</v>
      </c>
      <c r="E19" s="24" t="s">
        <v>1222</v>
      </c>
    </row>
    <row r="21" customFormat="false" ht="15" hidden="false" customHeight="false" outlineLevel="0" collapsed="false">
      <c r="B21" s="22" t="s">
        <v>892</v>
      </c>
      <c r="C21" s="23"/>
      <c r="D21" s="23"/>
      <c r="E21" s="23"/>
      <c r="F21" s="23"/>
      <c r="G21" s="23"/>
      <c r="H21" s="23"/>
      <c r="I21" s="23"/>
      <c r="J21" s="23"/>
      <c r="K21" s="23"/>
      <c r="L21" s="23"/>
      <c r="M21" s="23"/>
      <c r="N21" s="23"/>
      <c r="O21" s="23"/>
      <c r="P21" s="23"/>
      <c r="Q21" s="23"/>
      <c r="R21" s="23"/>
      <c r="S21" s="23"/>
    </row>
    <row r="22" customFormat="false" ht="15" hidden="false" customHeight="false" outlineLevel="0" collapsed="false">
      <c r="B22" s="24" t="s">
        <v>893</v>
      </c>
      <c r="C22" s="25" t="s">
        <v>180</v>
      </c>
      <c r="D22" s="25" t="s">
        <v>894</v>
      </c>
      <c r="E22" s="65" t="n">
        <f aca="false">'Global Inputs'!$E$91</f>
        <v>1</v>
      </c>
      <c r="T22" s="5" t="s">
        <v>895</v>
      </c>
    </row>
    <row r="23" customFormat="false" ht="15" hidden="false" customHeight="false" outlineLevel="0" collapsed="false">
      <c r="B23" s="24" t="s">
        <v>896</v>
      </c>
      <c r="C23" s="25" t="s">
        <v>175</v>
      </c>
      <c r="D23" s="25" t="s">
        <v>894</v>
      </c>
      <c r="E23" s="65" t="n">
        <f aca="false">'Global Inputs'!$F$91</f>
        <v>1</v>
      </c>
      <c r="T23" s="5" t="s">
        <v>895</v>
      </c>
    </row>
    <row r="24" customFormat="false" ht="15" hidden="false" customHeight="false" outlineLevel="0" collapsed="false">
      <c r="B24" s="24" t="s">
        <v>897</v>
      </c>
      <c r="C24" s="25" t="s">
        <v>160</v>
      </c>
      <c r="D24" s="25" t="s">
        <v>894</v>
      </c>
      <c r="E24" s="67" t="n">
        <f aca="false">'Global Inputs'!$G$91</f>
        <v>1</v>
      </c>
      <c r="T24" s="5" t="s">
        <v>895</v>
      </c>
    </row>
    <row r="26" customFormat="false" ht="15" hidden="false" customHeight="false" outlineLevel="0" collapsed="false">
      <c r="B26" s="22" t="s">
        <v>898</v>
      </c>
      <c r="C26" s="23"/>
      <c r="D26" s="23"/>
      <c r="E26" s="23"/>
      <c r="F26" s="23"/>
      <c r="G26" s="23"/>
      <c r="H26" s="23"/>
      <c r="I26" s="23"/>
      <c r="J26" s="23"/>
      <c r="K26" s="23"/>
      <c r="L26" s="23"/>
      <c r="M26" s="23"/>
      <c r="N26" s="23"/>
      <c r="O26" s="23"/>
      <c r="P26" s="23"/>
      <c r="Q26" s="23"/>
      <c r="R26" s="23"/>
      <c r="S26" s="23"/>
    </row>
    <row r="27" customFormat="false" ht="15" hidden="false" customHeight="false" outlineLevel="0" collapsed="false">
      <c r="B27" s="24" t="s">
        <v>1223</v>
      </c>
      <c r="C27" s="25" t="s">
        <v>900</v>
      </c>
      <c r="D27" s="28" t="s">
        <v>153</v>
      </c>
      <c r="E27" s="101" t="n">
        <v>750000</v>
      </c>
      <c r="T27" s="5" t="s">
        <v>1224</v>
      </c>
      <c r="U27" s="5" t="s">
        <v>1225</v>
      </c>
    </row>
    <row r="28" customFormat="false" ht="15" hidden="false" customHeight="false" outlineLevel="0" collapsed="false">
      <c r="B28" s="24" t="s">
        <v>1226</v>
      </c>
      <c r="C28" s="25" t="s">
        <v>160</v>
      </c>
      <c r="D28" s="28" t="s">
        <v>153</v>
      </c>
      <c r="G28" s="35" t="n">
        <v>0</v>
      </c>
      <c r="H28" s="35" t="n">
        <v>0.03</v>
      </c>
      <c r="I28" s="35" t="n">
        <v>0.03</v>
      </c>
      <c r="J28" s="35" t="n">
        <v>0.03</v>
      </c>
      <c r="K28" s="35" t="n">
        <v>0.03</v>
      </c>
      <c r="L28" s="35" t="n">
        <v>0.03</v>
      </c>
      <c r="M28" s="35" t="n">
        <v>0.03</v>
      </c>
      <c r="N28" s="35" t="n">
        <v>0.03</v>
      </c>
      <c r="O28" s="35" t="n">
        <v>0.03</v>
      </c>
      <c r="P28" s="35" t="n">
        <v>0.03</v>
      </c>
      <c r="Q28" s="35" t="n">
        <v>0.03</v>
      </c>
      <c r="R28" s="35" t="n">
        <v>0.03</v>
      </c>
      <c r="S28" s="35" t="n">
        <v>0.03</v>
      </c>
      <c r="T28" s="5" t="s">
        <v>1227</v>
      </c>
    </row>
    <row r="29" customFormat="false" ht="15" hidden="false" customHeight="false" outlineLevel="0" collapsed="false">
      <c r="B29" s="24" t="s">
        <v>1228</v>
      </c>
      <c r="C29" s="25" t="s">
        <v>900</v>
      </c>
      <c r="D29" s="28" t="s">
        <v>153</v>
      </c>
      <c r="G29" s="101" t="n">
        <v>0</v>
      </c>
      <c r="H29" s="101" t="n">
        <v>0</v>
      </c>
      <c r="I29" s="101" t="n">
        <v>0</v>
      </c>
      <c r="J29" s="101" t="n">
        <v>200000</v>
      </c>
      <c r="K29" s="101" t="n">
        <v>250000</v>
      </c>
      <c r="L29" s="101" t="n">
        <v>300000</v>
      </c>
      <c r="M29" s="101" t="n">
        <v>350000</v>
      </c>
      <c r="N29" s="101" t="n">
        <v>400000</v>
      </c>
      <c r="O29" s="101" t="n">
        <v>450000</v>
      </c>
      <c r="P29" s="101" t="n">
        <v>500000</v>
      </c>
      <c r="Q29" s="101" t="n">
        <v>550000</v>
      </c>
      <c r="R29" s="101" t="n">
        <v>0</v>
      </c>
      <c r="S29" s="101" t="n">
        <v>0</v>
      </c>
      <c r="T29" s="5" t="s">
        <v>1229</v>
      </c>
      <c r="U29" s="5" t="s">
        <v>1230</v>
      </c>
    </row>
    <row r="30" customFormat="false" ht="15" hidden="false" customHeight="false" outlineLevel="0" collapsed="false">
      <c r="B30" s="24" t="s">
        <v>1231</v>
      </c>
      <c r="C30" s="25" t="s">
        <v>905</v>
      </c>
      <c r="D30" s="28" t="s">
        <v>153</v>
      </c>
      <c r="G30" s="101" t="n">
        <v>29658</v>
      </c>
      <c r="H30" s="101" t="n">
        <v>29658</v>
      </c>
      <c r="I30" s="101" t="n">
        <v>43947.5</v>
      </c>
      <c r="J30" s="101" t="n">
        <v>43947.5</v>
      </c>
      <c r="K30" s="101" t="n">
        <v>45265.925</v>
      </c>
      <c r="L30" s="101" t="n">
        <v>46623.90275</v>
      </c>
      <c r="M30" s="101" t="n">
        <v>48022.6198325</v>
      </c>
      <c r="N30" s="101" t="n">
        <v>49463.298427475</v>
      </c>
      <c r="O30" s="101" t="n">
        <v>50947.1973797993</v>
      </c>
      <c r="P30" s="101" t="n">
        <v>52475.6133011932</v>
      </c>
      <c r="Q30" s="101" t="n">
        <v>54049.981700229</v>
      </c>
      <c r="R30" s="101" t="n">
        <v>55671.4811512359</v>
      </c>
      <c r="S30" s="101" t="n">
        <v>57341.625585773</v>
      </c>
      <c r="T30" s="5" t="s">
        <v>1232</v>
      </c>
    </row>
    <row r="31" customFormat="false" ht="15" hidden="false" customHeight="false" outlineLevel="0" collapsed="false">
      <c r="B31" s="22" t="s">
        <v>918</v>
      </c>
      <c r="C31" s="23"/>
      <c r="D31" s="23"/>
      <c r="E31" s="23"/>
      <c r="F31" s="23"/>
      <c r="G31" s="23"/>
      <c r="H31" s="23"/>
      <c r="I31" s="23"/>
      <c r="J31" s="23"/>
      <c r="K31" s="23"/>
      <c r="L31" s="23"/>
      <c r="M31" s="23"/>
      <c r="N31" s="23"/>
      <c r="O31" s="23"/>
      <c r="P31" s="23"/>
      <c r="Q31" s="23"/>
      <c r="R31" s="23"/>
      <c r="S31" s="23"/>
    </row>
    <row r="32" customFormat="false" ht="15" hidden="false" customHeight="false" outlineLevel="0" collapsed="false">
      <c r="B32" s="24" t="s">
        <v>1233</v>
      </c>
      <c r="C32" s="25" t="s">
        <v>170</v>
      </c>
      <c r="D32" s="28" t="s">
        <v>153</v>
      </c>
      <c r="E32" s="45" t="n">
        <v>3.279620518</v>
      </c>
      <c r="T32" s="5" t="s">
        <v>1234</v>
      </c>
    </row>
    <row r="33" customFormat="false" ht="15" hidden="false" customHeight="false" outlineLevel="0" collapsed="false">
      <c r="B33" s="24" t="s">
        <v>921</v>
      </c>
      <c r="C33" s="25" t="s">
        <v>160</v>
      </c>
      <c r="D33" s="28" t="s">
        <v>153</v>
      </c>
      <c r="G33" s="35" t="n">
        <v>0.035</v>
      </c>
      <c r="H33" s="35" t="n">
        <v>0.035</v>
      </c>
      <c r="I33" s="35" t="n">
        <v>0.035</v>
      </c>
      <c r="J33" s="35" t="n">
        <v>0.035</v>
      </c>
      <c r="K33" s="35" t="n">
        <v>0.035</v>
      </c>
      <c r="L33" s="35" t="n">
        <v>0.035</v>
      </c>
      <c r="M33" s="35" t="n">
        <v>0.035</v>
      </c>
      <c r="N33" s="35" t="n">
        <v>0.035</v>
      </c>
      <c r="O33" s="35" t="n">
        <v>0.035</v>
      </c>
      <c r="P33" s="35" t="n">
        <v>0.035</v>
      </c>
      <c r="Q33" s="35" t="n">
        <v>0.035</v>
      </c>
      <c r="R33" s="35" t="n">
        <v>0.035</v>
      </c>
      <c r="S33" s="35" t="n">
        <v>0.035</v>
      </c>
      <c r="T33" s="5" t="s">
        <v>1235</v>
      </c>
    </row>
    <row r="34" customFormat="false" ht="15" hidden="false" customHeight="false" outlineLevel="0" collapsed="false">
      <c r="B34" s="24" t="s">
        <v>935</v>
      </c>
      <c r="C34" s="25" t="s">
        <v>170</v>
      </c>
      <c r="D34" s="28" t="s">
        <v>153</v>
      </c>
      <c r="E34" s="45" t="n">
        <v>1.930177428</v>
      </c>
      <c r="T34" s="5" t="s">
        <v>1236</v>
      </c>
    </row>
    <row r="35" customFormat="false" ht="15" hidden="false" customHeight="false" outlineLevel="0" collapsed="false">
      <c r="B35" s="24" t="s">
        <v>937</v>
      </c>
      <c r="C35" s="25" t="s">
        <v>160</v>
      </c>
      <c r="D35" s="28" t="s">
        <v>153</v>
      </c>
      <c r="G35" s="35" t="n">
        <v>0.035</v>
      </c>
      <c r="H35" s="35" t="n">
        <v>0.035</v>
      </c>
      <c r="I35" s="35" t="n">
        <v>0.035</v>
      </c>
      <c r="J35" s="35" t="n">
        <v>0.035</v>
      </c>
      <c r="K35" s="35" t="n">
        <v>0.035</v>
      </c>
      <c r="L35" s="35" t="n">
        <v>0.035</v>
      </c>
      <c r="M35" s="35" t="n">
        <v>0.035</v>
      </c>
      <c r="N35" s="35" t="n">
        <v>0.035</v>
      </c>
      <c r="O35" s="35" t="n">
        <v>0.035</v>
      </c>
      <c r="P35" s="35" t="n">
        <v>0.035</v>
      </c>
      <c r="Q35" s="35" t="n">
        <v>0.035</v>
      </c>
      <c r="R35" s="35" t="n">
        <v>0.035</v>
      </c>
      <c r="S35" s="35" t="n">
        <v>0.035</v>
      </c>
      <c r="T35" s="5" t="s">
        <v>1237</v>
      </c>
    </row>
    <row r="36" customFormat="false" ht="15" hidden="false" customHeight="false" outlineLevel="0" collapsed="false">
      <c r="B36" s="24" t="s">
        <v>923</v>
      </c>
      <c r="C36" s="25" t="s">
        <v>900</v>
      </c>
      <c r="D36" s="28" t="s">
        <v>153</v>
      </c>
      <c r="E36" s="101" t="n">
        <v>922782</v>
      </c>
      <c r="T36" s="5" t="s">
        <v>1238</v>
      </c>
    </row>
    <row r="37" customFormat="false" ht="15" hidden="false" customHeight="false" outlineLevel="0" collapsed="false">
      <c r="B37" s="24" t="s">
        <v>931</v>
      </c>
      <c r="C37" s="25" t="s">
        <v>170</v>
      </c>
      <c r="D37" s="28" t="s">
        <v>153</v>
      </c>
      <c r="E37" s="45" t="n">
        <v>0.82569621188</v>
      </c>
      <c r="T37" s="5" t="s">
        <v>1239</v>
      </c>
    </row>
    <row r="38" customFormat="false" ht="15" hidden="false" customHeight="false" outlineLevel="0" collapsed="false">
      <c r="B38" s="24" t="s">
        <v>933</v>
      </c>
      <c r="C38" s="25" t="s">
        <v>160</v>
      </c>
      <c r="D38" s="28" t="s">
        <v>153</v>
      </c>
      <c r="G38" s="35" t="n">
        <v>0.03</v>
      </c>
      <c r="H38" s="35" t="n">
        <v>0.03</v>
      </c>
      <c r="I38" s="35" t="n">
        <v>0.03</v>
      </c>
      <c r="J38" s="35" t="n">
        <v>0.03</v>
      </c>
      <c r="K38" s="35" t="n">
        <v>0.03</v>
      </c>
      <c r="L38" s="35" t="n">
        <v>0.03</v>
      </c>
      <c r="M38" s="35" t="n">
        <v>0.03</v>
      </c>
      <c r="N38" s="35" t="n">
        <v>0.03</v>
      </c>
      <c r="O38" s="35" t="n">
        <v>0.03</v>
      </c>
      <c r="P38" s="35" t="n">
        <v>0.03</v>
      </c>
      <c r="Q38" s="35" t="n">
        <v>0.03</v>
      </c>
      <c r="R38" s="35" t="n">
        <v>0.03</v>
      </c>
      <c r="S38" s="35" t="n">
        <v>0.03</v>
      </c>
      <c r="T38" s="5" t="s">
        <v>1240</v>
      </c>
    </row>
    <row r="39" customFormat="false" ht="15" hidden="false" customHeight="false" outlineLevel="0" collapsed="false">
      <c r="B39" s="24" t="s">
        <v>1241</v>
      </c>
      <c r="C39" s="25" t="s">
        <v>170</v>
      </c>
      <c r="D39" s="28" t="s">
        <v>153</v>
      </c>
      <c r="E39" s="45" t="n">
        <v>0.631021441</v>
      </c>
      <c r="T39" s="5" t="s">
        <v>1242</v>
      </c>
    </row>
    <row r="40" customFormat="false" ht="15" hidden="false" customHeight="false" outlineLevel="0" collapsed="false">
      <c r="B40" s="24" t="s">
        <v>1243</v>
      </c>
      <c r="C40" s="25" t="s">
        <v>160</v>
      </c>
      <c r="D40" s="28" t="s">
        <v>153</v>
      </c>
      <c r="G40" s="35" t="n">
        <v>0.03</v>
      </c>
      <c r="H40" s="35" t="n">
        <v>0.03</v>
      </c>
      <c r="I40" s="35" t="n">
        <v>0.03</v>
      </c>
      <c r="J40" s="35" t="n">
        <v>0.03</v>
      </c>
      <c r="K40" s="35" t="n">
        <v>0.03</v>
      </c>
      <c r="L40" s="35" t="n">
        <v>0.03</v>
      </c>
      <c r="M40" s="35" t="n">
        <v>0.03</v>
      </c>
      <c r="N40" s="35" t="n">
        <v>0.03</v>
      </c>
      <c r="O40" s="35" t="n">
        <v>0.03</v>
      </c>
      <c r="P40" s="35" t="n">
        <v>0.03</v>
      </c>
      <c r="Q40" s="35" t="n">
        <v>0.03</v>
      </c>
      <c r="R40" s="35" t="n">
        <v>0.03</v>
      </c>
      <c r="S40" s="35" t="n">
        <v>0.03</v>
      </c>
      <c r="T40" s="5" t="s">
        <v>1244</v>
      </c>
    </row>
    <row r="41" customFormat="false" ht="15" hidden="false" customHeight="false" outlineLevel="0" collapsed="false">
      <c r="B41" s="24" t="s">
        <v>1245</v>
      </c>
      <c r="C41" s="25" t="s">
        <v>160</v>
      </c>
      <c r="D41" s="28" t="s">
        <v>153</v>
      </c>
      <c r="G41" s="103" t="n">
        <v>0.025</v>
      </c>
      <c r="H41" s="103" t="n">
        <v>0.025</v>
      </c>
      <c r="I41" s="103" t="n">
        <v>0.025</v>
      </c>
      <c r="J41" s="103" t="n">
        <v>0.025</v>
      </c>
      <c r="K41" s="103" t="n">
        <v>0.025</v>
      </c>
      <c r="L41" s="103" t="n">
        <v>0.025</v>
      </c>
      <c r="M41" s="103" t="n">
        <v>0.025</v>
      </c>
      <c r="N41" s="103" t="n">
        <v>0.025</v>
      </c>
      <c r="O41" s="103" t="n">
        <v>0.025</v>
      </c>
      <c r="P41" s="103" t="n">
        <v>0.025</v>
      </c>
      <c r="Q41" s="103" t="n">
        <v>0.025</v>
      </c>
      <c r="R41" s="103" t="n">
        <v>0.025</v>
      </c>
      <c r="S41" s="103" t="n">
        <v>0.025</v>
      </c>
      <c r="T41" s="5" t="s">
        <v>1246</v>
      </c>
      <c r="U41" s="5" t="s">
        <v>1247</v>
      </c>
    </row>
    <row r="42" customFormat="false" ht="15" hidden="false" customHeight="false" outlineLevel="0" collapsed="false">
      <c r="B42" s="24" t="s">
        <v>953</v>
      </c>
      <c r="C42" s="25" t="s">
        <v>170</v>
      </c>
      <c r="D42" s="28" t="s">
        <v>153</v>
      </c>
      <c r="E42" s="45" t="n">
        <v>0.41230965056</v>
      </c>
      <c r="T42" s="5" t="s">
        <v>1248</v>
      </c>
    </row>
    <row r="43" customFormat="false" ht="15" hidden="false" customHeight="false" outlineLevel="0" collapsed="false">
      <c r="B43" s="24" t="s">
        <v>955</v>
      </c>
      <c r="C43" s="25" t="s">
        <v>160</v>
      </c>
      <c r="D43" s="28" t="s">
        <v>153</v>
      </c>
      <c r="G43" s="35" t="n">
        <v>0.03</v>
      </c>
      <c r="H43" s="35" t="n">
        <v>0.03</v>
      </c>
      <c r="I43" s="35" t="n">
        <v>0.03</v>
      </c>
      <c r="J43" s="35" t="n">
        <v>0.03</v>
      </c>
      <c r="K43" s="35" t="n">
        <v>0.03</v>
      </c>
      <c r="L43" s="35" t="n">
        <v>0.03</v>
      </c>
      <c r="M43" s="35" t="n">
        <v>0.03</v>
      </c>
      <c r="N43" s="35" t="n">
        <v>0.03</v>
      </c>
      <c r="O43" s="35" t="n">
        <v>0.03</v>
      </c>
      <c r="P43" s="35" t="n">
        <v>0.03</v>
      </c>
      <c r="Q43" s="35" t="n">
        <v>0.03</v>
      </c>
      <c r="R43" s="35" t="n">
        <v>0.03</v>
      </c>
      <c r="S43" s="35" t="n">
        <v>0.03</v>
      </c>
      <c r="T43" s="5" t="s">
        <v>1249</v>
      </c>
    </row>
    <row r="44" customFormat="false" ht="15" hidden="false" customHeight="false" outlineLevel="0" collapsed="false">
      <c r="B44" s="24" t="s">
        <v>939</v>
      </c>
      <c r="C44" s="25" t="s">
        <v>170</v>
      </c>
      <c r="D44" s="28" t="s">
        <v>153</v>
      </c>
      <c r="E44" s="45" t="n">
        <v>0.28658186344</v>
      </c>
      <c r="T44" s="5" t="s">
        <v>1250</v>
      </c>
    </row>
    <row r="45" customFormat="false" ht="15" hidden="false" customHeight="false" outlineLevel="0" collapsed="false">
      <c r="B45" s="24" t="s">
        <v>941</v>
      </c>
      <c r="C45" s="25" t="s">
        <v>160</v>
      </c>
      <c r="D45" s="28" t="s">
        <v>153</v>
      </c>
      <c r="G45" s="35" t="n">
        <v>0.03</v>
      </c>
      <c r="H45" s="35" t="n">
        <v>0.03</v>
      </c>
      <c r="I45" s="35" t="n">
        <v>0.03</v>
      </c>
      <c r="J45" s="35" t="n">
        <v>0.03</v>
      </c>
      <c r="K45" s="35" t="n">
        <v>0.03</v>
      </c>
      <c r="L45" s="35" t="n">
        <v>0.03</v>
      </c>
      <c r="M45" s="35" t="n">
        <v>0.03</v>
      </c>
      <c r="N45" s="35" t="n">
        <v>0.03</v>
      </c>
      <c r="O45" s="35" t="n">
        <v>0.03</v>
      </c>
      <c r="P45" s="35" t="n">
        <v>0.03</v>
      </c>
      <c r="Q45" s="35" t="n">
        <v>0.03</v>
      </c>
      <c r="R45" s="35" t="n">
        <v>0.03</v>
      </c>
      <c r="S45" s="35" t="n">
        <v>0.03</v>
      </c>
      <c r="T45" s="5" t="s">
        <v>1251</v>
      </c>
    </row>
    <row r="46" customFormat="false" ht="15" hidden="false" customHeight="false" outlineLevel="0" collapsed="false">
      <c r="B46" s="24" t="s">
        <v>943</v>
      </c>
      <c r="C46" s="25" t="s">
        <v>170</v>
      </c>
      <c r="D46" s="28" t="s">
        <v>153</v>
      </c>
      <c r="E46" s="45" t="n">
        <v>0.245423178</v>
      </c>
      <c r="T46" s="5" t="s">
        <v>1252</v>
      </c>
    </row>
    <row r="47" customFormat="false" ht="15" hidden="false" customHeight="false" outlineLevel="0" collapsed="false">
      <c r="B47" s="24" t="s">
        <v>945</v>
      </c>
      <c r="C47" s="25" t="s">
        <v>160</v>
      </c>
      <c r="D47" s="28" t="s">
        <v>153</v>
      </c>
      <c r="G47" s="35" t="n">
        <v>0.035</v>
      </c>
      <c r="H47" s="35" t="n">
        <v>0.035</v>
      </c>
      <c r="I47" s="35" t="n">
        <v>0.035</v>
      </c>
      <c r="J47" s="35" t="n">
        <v>0.035</v>
      </c>
      <c r="K47" s="35" t="n">
        <v>0.035</v>
      </c>
      <c r="L47" s="35" t="n">
        <v>0.035</v>
      </c>
      <c r="M47" s="35" t="n">
        <v>0.035</v>
      </c>
      <c r="N47" s="35" t="n">
        <v>0.035</v>
      </c>
      <c r="O47" s="35" t="n">
        <v>0.035</v>
      </c>
      <c r="P47" s="35" t="n">
        <v>0.035</v>
      </c>
      <c r="Q47" s="35" t="n">
        <v>0.035</v>
      </c>
      <c r="R47" s="35" t="n">
        <v>0.035</v>
      </c>
      <c r="S47" s="35" t="n">
        <v>0.035</v>
      </c>
      <c r="T47" s="5" t="s">
        <v>1253</v>
      </c>
    </row>
    <row r="48" customFormat="false" ht="15" hidden="false" customHeight="false" outlineLevel="0" collapsed="false">
      <c r="B48" s="24" t="s">
        <v>1254</v>
      </c>
      <c r="C48" s="25" t="s">
        <v>160</v>
      </c>
      <c r="D48" s="28" t="s">
        <v>153</v>
      </c>
      <c r="G48" s="103" t="n">
        <v>0.0109192790544046</v>
      </c>
      <c r="H48" s="103" t="n">
        <v>0.0109192790544046</v>
      </c>
      <c r="I48" s="103" t="n">
        <v>0.0109192790544046</v>
      </c>
      <c r="J48" s="103" t="n">
        <v>0.002</v>
      </c>
      <c r="K48" s="103" t="n">
        <v>0.002</v>
      </c>
      <c r="L48" s="103" t="n">
        <v>0.002</v>
      </c>
      <c r="M48" s="103" t="n">
        <v>0.002</v>
      </c>
      <c r="N48" s="103" t="n">
        <v>0.002</v>
      </c>
      <c r="O48" s="103" t="n">
        <v>0.002</v>
      </c>
      <c r="P48" s="103" t="n">
        <v>0.002</v>
      </c>
      <c r="Q48" s="103" t="n">
        <v>0.002</v>
      </c>
      <c r="R48" s="103" t="n">
        <v>0.002</v>
      </c>
      <c r="S48" s="103" t="n">
        <v>0.002</v>
      </c>
      <c r="T48" s="5" t="s">
        <v>1255</v>
      </c>
      <c r="U48" s="5" t="s">
        <v>1256</v>
      </c>
    </row>
    <row r="49" customFormat="false" ht="15" hidden="false" customHeight="false" outlineLevel="0" collapsed="false">
      <c r="B49" s="24" t="s">
        <v>1257</v>
      </c>
      <c r="C49" s="25" t="s">
        <v>160</v>
      </c>
      <c r="D49" s="28" t="s">
        <v>153</v>
      </c>
      <c r="G49" s="103" t="n">
        <v>0</v>
      </c>
      <c r="H49" s="103" t="n">
        <v>0</v>
      </c>
      <c r="I49" s="103" t="n">
        <v>0.002</v>
      </c>
      <c r="J49" s="103" t="n">
        <v>0.002</v>
      </c>
      <c r="K49" s="103" t="n">
        <v>0.002</v>
      </c>
      <c r="L49" s="103" t="n">
        <v>0.002</v>
      </c>
      <c r="M49" s="103" t="n">
        <v>0.002</v>
      </c>
      <c r="N49" s="103" t="n">
        <v>0.002</v>
      </c>
      <c r="O49" s="103" t="n">
        <v>0.002</v>
      </c>
      <c r="P49" s="103" t="n">
        <v>0.002</v>
      </c>
      <c r="Q49" s="103" t="n">
        <v>0.002</v>
      </c>
      <c r="R49" s="103" t="n">
        <v>0.002</v>
      </c>
      <c r="S49" s="103" t="n">
        <v>0.002</v>
      </c>
      <c r="T49" s="5" t="s">
        <v>1258</v>
      </c>
      <c r="U49" s="5" t="s">
        <v>1259</v>
      </c>
    </row>
    <row r="50" customFormat="false" ht="15" hidden="false" customHeight="false" outlineLevel="0" collapsed="false">
      <c r="B50" s="24" t="s">
        <v>949</v>
      </c>
      <c r="C50" s="25" t="s">
        <v>170</v>
      </c>
      <c r="D50" s="28" t="s">
        <v>153</v>
      </c>
      <c r="E50" s="45" t="n">
        <v>0.0116</v>
      </c>
      <c r="T50" s="5" t="s">
        <v>1260</v>
      </c>
    </row>
    <row r="51" customFormat="false" ht="15" hidden="false" customHeight="false" outlineLevel="0" collapsed="false">
      <c r="B51" s="24" t="s">
        <v>951</v>
      </c>
      <c r="C51" s="25" t="s">
        <v>160</v>
      </c>
      <c r="D51" s="28" t="s">
        <v>153</v>
      </c>
      <c r="G51" s="35" t="n">
        <v>0.035</v>
      </c>
      <c r="H51" s="35" t="n">
        <v>0.035</v>
      </c>
      <c r="I51" s="35" t="n">
        <v>0.035</v>
      </c>
      <c r="J51" s="35" t="n">
        <v>0.035</v>
      </c>
      <c r="K51" s="35" t="n">
        <v>0.035</v>
      </c>
      <c r="L51" s="35" t="n">
        <v>0.035</v>
      </c>
      <c r="M51" s="35" t="n">
        <v>0.035</v>
      </c>
      <c r="N51" s="35" t="n">
        <v>0.035</v>
      </c>
      <c r="O51" s="35" t="n">
        <v>0.035</v>
      </c>
      <c r="P51" s="35" t="n">
        <v>0.035</v>
      </c>
      <c r="Q51" s="35" t="n">
        <v>0.035</v>
      </c>
      <c r="R51" s="35" t="n">
        <v>0.035</v>
      </c>
      <c r="S51" s="35" t="n">
        <v>0.035</v>
      </c>
      <c r="T51" s="5" t="s">
        <v>1261</v>
      </c>
    </row>
    <row r="52" customFormat="false" ht="15" hidden="false" customHeight="false" outlineLevel="0" collapsed="false">
      <c r="B52" s="22" t="s">
        <v>957</v>
      </c>
      <c r="C52" s="23"/>
      <c r="D52" s="23"/>
      <c r="E52" s="23"/>
      <c r="F52" s="23"/>
      <c r="G52" s="23"/>
      <c r="H52" s="23"/>
      <c r="I52" s="23"/>
      <c r="J52" s="23"/>
      <c r="K52" s="23"/>
      <c r="L52" s="23"/>
      <c r="M52" s="23"/>
      <c r="N52" s="23"/>
      <c r="O52" s="23"/>
      <c r="P52" s="23"/>
      <c r="Q52" s="23"/>
      <c r="R52" s="23"/>
      <c r="S52" s="23"/>
    </row>
    <row r="53" customFormat="false" ht="15" hidden="false" customHeight="false" outlineLevel="0" collapsed="false">
      <c r="B53" s="24" t="s">
        <v>958</v>
      </c>
      <c r="C53" s="25" t="s">
        <v>170</v>
      </c>
      <c r="D53" s="28" t="s">
        <v>153</v>
      </c>
      <c r="G53" s="45" t="n">
        <v>5.23397421343</v>
      </c>
      <c r="H53" s="45" t="n">
        <v>5.23397421343</v>
      </c>
      <c r="I53" s="45" t="n">
        <v>2.616987106715</v>
      </c>
      <c r="J53" s="45" t="n">
        <v>0</v>
      </c>
      <c r="K53" s="45" t="n">
        <v>0</v>
      </c>
      <c r="L53" s="45" t="n">
        <v>0</v>
      </c>
      <c r="M53" s="45" t="n">
        <v>0</v>
      </c>
      <c r="N53" s="45" t="n">
        <v>0</v>
      </c>
      <c r="O53" s="45" t="n">
        <v>0</v>
      </c>
      <c r="P53" s="45" t="n">
        <v>0</v>
      </c>
      <c r="Q53" s="45" t="n">
        <v>0</v>
      </c>
      <c r="R53" s="45" t="n">
        <v>0</v>
      </c>
      <c r="S53" s="45" t="n">
        <v>0</v>
      </c>
      <c r="T53" s="5" t="s">
        <v>1262</v>
      </c>
      <c r="U53" s="5" t="s">
        <v>1263</v>
      </c>
    </row>
    <row r="54" customFormat="false" ht="15" hidden="false" customHeight="false" outlineLevel="0" collapsed="false">
      <c r="B54" s="24" t="s">
        <v>961</v>
      </c>
      <c r="C54" s="25" t="s">
        <v>170</v>
      </c>
      <c r="D54" s="28" t="s">
        <v>153</v>
      </c>
      <c r="G54" s="45" t="n">
        <v>0</v>
      </c>
      <c r="H54" s="45" t="n">
        <v>0</v>
      </c>
      <c r="I54" s="45" t="n">
        <v>0</v>
      </c>
      <c r="J54" s="45" t="n">
        <v>0</v>
      </c>
      <c r="K54" s="45" t="n">
        <v>0</v>
      </c>
      <c r="L54" s="45" t="n">
        <v>0</v>
      </c>
      <c r="M54" s="45" t="n">
        <v>0</v>
      </c>
      <c r="N54" s="45" t="n">
        <v>0</v>
      </c>
      <c r="O54" s="45" t="n">
        <v>0</v>
      </c>
      <c r="P54" s="45" t="n">
        <v>0</v>
      </c>
      <c r="Q54" s="45" t="n">
        <v>0</v>
      </c>
      <c r="R54" s="45" t="n">
        <v>0</v>
      </c>
      <c r="S54" s="45" t="n">
        <v>0</v>
      </c>
      <c r="T54" s="5" t="s">
        <v>1264</v>
      </c>
      <c r="U54" s="5" t="s">
        <v>1265</v>
      </c>
    </row>
    <row r="55" customFormat="false" ht="15" hidden="false" customHeight="false" outlineLevel="0" collapsed="false">
      <c r="B55" s="22" t="s">
        <v>968</v>
      </c>
      <c r="C55" s="23"/>
      <c r="D55" s="23"/>
      <c r="E55" s="23"/>
      <c r="F55" s="23"/>
      <c r="G55" s="23"/>
      <c r="H55" s="23"/>
      <c r="I55" s="23"/>
      <c r="J55" s="23"/>
      <c r="K55" s="23"/>
      <c r="L55" s="23"/>
      <c r="M55" s="23"/>
      <c r="N55" s="23"/>
      <c r="O55" s="23"/>
      <c r="P55" s="23"/>
      <c r="Q55" s="23"/>
      <c r="R55" s="23"/>
      <c r="S55" s="23"/>
    </row>
    <row r="56" customFormat="false" ht="15" hidden="false" customHeight="false" outlineLevel="0" collapsed="false">
      <c r="B56" s="24" t="s">
        <v>969</v>
      </c>
      <c r="C56" s="25" t="s">
        <v>170</v>
      </c>
      <c r="D56" s="28" t="s">
        <v>153</v>
      </c>
      <c r="E56" s="45" t="n">
        <v>1.702367004</v>
      </c>
      <c r="T56" s="5" t="s">
        <v>1266</v>
      </c>
    </row>
    <row r="57" customFormat="false" ht="15" hidden="false" customHeight="false" outlineLevel="0" collapsed="false">
      <c r="B57" s="24" t="s">
        <v>971</v>
      </c>
      <c r="C57" s="25" t="s">
        <v>160</v>
      </c>
      <c r="D57" s="28" t="s">
        <v>153</v>
      </c>
      <c r="G57" s="35" t="n">
        <v>0.03</v>
      </c>
      <c r="H57" s="35" t="n">
        <v>0.03</v>
      </c>
      <c r="I57" s="35" t="n">
        <v>0.03</v>
      </c>
      <c r="J57" s="35" t="n">
        <v>0.03</v>
      </c>
      <c r="K57" s="35" t="n">
        <v>0.03</v>
      </c>
      <c r="L57" s="35" t="n">
        <v>0.03</v>
      </c>
      <c r="M57" s="35" t="n">
        <v>0.03</v>
      </c>
      <c r="N57" s="35" t="n">
        <v>0.03</v>
      </c>
      <c r="O57" s="35" t="n">
        <v>0.03</v>
      </c>
      <c r="P57" s="35" t="n">
        <v>0.03</v>
      </c>
      <c r="Q57" s="35" t="n">
        <v>0.03</v>
      </c>
      <c r="R57" s="35" t="n">
        <v>0.03</v>
      </c>
      <c r="S57" s="35" t="n">
        <v>0.03</v>
      </c>
      <c r="T57" s="5" t="s">
        <v>1267</v>
      </c>
    </row>
    <row r="58" customFormat="false" ht="15" hidden="false" customHeight="false" outlineLevel="0" collapsed="false">
      <c r="B58" s="24" t="s">
        <v>985</v>
      </c>
      <c r="C58" s="25" t="s">
        <v>170</v>
      </c>
      <c r="D58" s="28" t="s">
        <v>153</v>
      </c>
      <c r="E58" s="45" t="n">
        <v>0.25867063399</v>
      </c>
      <c r="T58" s="5" t="s">
        <v>1268</v>
      </c>
    </row>
    <row r="59" customFormat="false" ht="15" hidden="false" customHeight="false" outlineLevel="0" collapsed="false">
      <c r="B59" s="24" t="s">
        <v>987</v>
      </c>
      <c r="C59" s="25" t="s">
        <v>160</v>
      </c>
      <c r="D59" s="28" t="s">
        <v>153</v>
      </c>
      <c r="G59" s="35" t="n">
        <v>0.02</v>
      </c>
      <c r="H59" s="35" t="n">
        <v>0.02</v>
      </c>
      <c r="I59" s="35" t="n">
        <v>0.02</v>
      </c>
      <c r="J59" s="35" t="n">
        <v>0.02</v>
      </c>
      <c r="K59" s="35" t="n">
        <v>0.02</v>
      </c>
      <c r="L59" s="35" t="n">
        <v>0.02</v>
      </c>
      <c r="M59" s="35" t="n">
        <v>0.02</v>
      </c>
      <c r="N59" s="35" t="n">
        <v>0.02</v>
      </c>
      <c r="O59" s="35" t="n">
        <v>0.02</v>
      </c>
      <c r="P59" s="35" t="n">
        <v>0.02</v>
      </c>
      <c r="Q59" s="35" t="n">
        <v>0.02</v>
      </c>
      <c r="R59" s="35" t="n">
        <v>0.02</v>
      </c>
      <c r="S59" s="35" t="n">
        <v>0.02</v>
      </c>
      <c r="T59" s="5" t="s">
        <v>1269</v>
      </c>
    </row>
    <row r="60" customFormat="false" ht="15" hidden="false" customHeight="false" outlineLevel="0" collapsed="false">
      <c r="B60" s="24" t="s">
        <v>981</v>
      </c>
      <c r="C60" s="25" t="s">
        <v>170</v>
      </c>
      <c r="D60" s="28" t="s">
        <v>153</v>
      </c>
      <c r="E60" s="45" t="n">
        <v>0.23960182308</v>
      </c>
      <c r="T60" s="5" t="s">
        <v>1270</v>
      </c>
    </row>
    <row r="61" customFormat="false" ht="15" hidden="false" customHeight="false" outlineLevel="0" collapsed="false">
      <c r="B61" s="24" t="s">
        <v>983</v>
      </c>
      <c r="C61" s="25" t="s">
        <v>160</v>
      </c>
      <c r="D61" s="28" t="s">
        <v>153</v>
      </c>
      <c r="G61" s="35" t="n">
        <v>0.03</v>
      </c>
      <c r="H61" s="35" t="n">
        <v>0.03</v>
      </c>
      <c r="I61" s="35" t="n">
        <v>0.03</v>
      </c>
      <c r="J61" s="35" t="n">
        <v>0.03</v>
      </c>
      <c r="K61" s="35" t="n">
        <v>0.03</v>
      </c>
      <c r="L61" s="35" t="n">
        <v>0.03</v>
      </c>
      <c r="M61" s="35" t="n">
        <v>0.03</v>
      </c>
      <c r="N61" s="35" t="n">
        <v>0.03</v>
      </c>
      <c r="O61" s="35" t="n">
        <v>0.03</v>
      </c>
      <c r="P61" s="35" t="n">
        <v>0.03</v>
      </c>
      <c r="Q61" s="35" t="n">
        <v>0.03</v>
      </c>
      <c r="R61" s="35" t="n">
        <v>0.03</v>
      </c>
      <c r="S61" s="35" t="n">
        <v>0.03</v>
      </c>
      <c r="T61" s="5" t="s">
        <v>1271</v>
      </c>
    </row>
    <row r="62" customFormat="false" ht="15" hidden="false" customHeight="false" outlineLevel="0" collapsed="false">
      <c r="B62" s="24" t="s">
        <v>1005</v>
      </c>
      <c r="C62" s="25" t="s">
        <v>170</v>
      </c>
      <c r="D62" s="28" t="s">
        <v>153</v>
      </c>
      <c r="E62" s="45" t="n">
        <v>0.17580518882</v>
      </c>
      <c r="T62" s="5" t="s">
        <v>1272</v>
      </c>
    </row>
    <row r="63" customFormat="false" ht="15" hidden="false" customHeight="false" outlineLevel="0" collapsed="false">
      <c r="B63" s="24" t="s">
        <v>1007</v>
      </c>
      <c r="C63" s="25" t="s">
        <v>160</v>
      </c>
      <c r="D63" s="28" t="s">
        <v>153</v>
      </c>
      <c r="G63" s="35" t="n">
        <v>0.03</v>
      </c>
      <c r="H63" s="35" t="n">
        <v>0.03</v>
      </c>
      <c r="I63" s="35" t="n">
        <v>0.03</v>
      </c>
      <c r="J63" s="35" t="n">
        <v>0.03</v>
      </c>
      <c r="K63" s="35" t="n">
        <v>0.03</v>
      </c>
      <c r="L63" s="35" t="n">
        <v>0.03</v>
      </c>
      <c r="M63" s="35" t="n">
        <v>0.03</v>
      </c>
      <c r="N63" s="35" t="n">
        <v>0.03</v>
      </c>
      <c r="O63" s="35" t="n">
        <v>0.03</v>
      </c>
      <c r="P63" s="35" t="n">
        <v>0.03</v>
      </c>
      <c r="Q63" s="35" t="n">
        <v>0.03</v>
      </c>
      <c r="R63" s="35" t="n">
        <v>0.03</v>
      </c>
      <c r="S63" s="35" t="n">
        <v>0.03</v>
      </c>
      <c r="T63" s="5" t="s">
        <v>1273</v>
      </c>
    </row>
    <row r="64" customFormat="false" ht="15" hidden="false" customHeight="false" outlineLevel="0" collapsed="false">
      <c r="B64" s="24" t="s">
        <v>993</v>
      </c>
      <c r="C64" s="25" t="s">
        <v>170</v>
      </c>
      <c r="D64" s="28" t="s">
        <v>153</v>
      </c>
      <c r="E64" s="45" t="n">
        <v>0.147776114</v>
      </c>
      <c r="T64" s="5" t="s">
        <v>1274</v>
      </c>
    </row>
    <row r="65" customFormat="false" ht="15" hidden="false" customHeight="false" outlineLevel="0" collapsed="false">
      <c r="B65" s="24" t="s">
        <v>995</v>
      </c>
      <c r="C65" s="25" t="s">
        <v>160</v>
      </c>
      <c r="D65" s="28" t="s">
        <v>153</v>
      </c>
      <c r="G65" s="35" t="n">
        <v>0.02</v>
      </c>
      <c r="H65" s="35" t="n">
        <v>0.02</v>
      </c>
      <c r="I65" s="35" t="n">
        <v>0.02</v>
      </c>
      <c r="J65" s="35" t="n">
        <v>0.02</v>
      </c>
      <c r="K65" s="35" t="n">
        <v>0.02</v>
      </c>
      <c r="L65" s="35" t="n">
        <v>0.02</v>
      </c>
      <c r="M65" s="35" t="n">
        <v>0.02</v>
      </c>
      <c r="N65" s="35" t="n">
        <v>0.02</v>
      </c>
      <c r="O65" s="35" t="n">
        <v>0.02</v>
      </c>
      <c r="P65" s="35" t="n">
        <v>0.02</v>
      </c>
      <c r="Q65" s="35" t="n">
        <v>0.02</v>
      </c>
      <c r="R65" s="35" t="n">
        <v>0.02</v>
      </c>
      <c r="S65" s="35" t="n">
        <v>0.02</v>
      </c>
      <c r="T65" s="5" t="s">
        <v>1275</v>
      </c>
    </row>
    <row r="66" customFormat="false" ht="15" hidden="false" customHeight="false" outlineLevel="0" collapsed="false">
      <c r="B66" s="24" t="s">
        <v>997</v>
      </c>
      <c r="C66" s="25" t="s">
        <v>170</v>
      </c>
      <c r="D66" s="28" t="s">
        <v>153</v>
      </c>
      <c r="E66" s="45" t="n">
        <v>0.146392455</v>
      </c>
      <c r="T66" s="5" t="s">
        <v>1276</v>
      </c>
    </row>
    <row r="67" customFormat="false" ht="15" hidden="false" customHeight="false" outlineLevel="0" collapsed="false">
      <c r="B67" s="24" t="s">
        <v>999</v>
      </c>
      <c r="C67" s="25" t="s">
        <v>160</v>
      </c>
      <c r="D67" s="28" t="s">
        <v>153</v>
      </c>
      <c r="G67" s="35" t="n">
        <v>0.02</v>
      </c>
      <c r="H67" s="35" t="n">
        <v>0.02</v>
      </c>
      <c r="I67" s="35" t="n">
        <v>0.02</v>
      </c>
      <c r="J67" s="35" t="n">
        <v>0.02</v>
      </c>
      <c r="K67" s="35" t="n">
        <v>0.02</v>
      </c>
      <c r="L67" s="35" t="n">
        <v>0.02</v>
      </c>
      <c r="M67" s="35" t="n">
        <v>0.02</v>
      </c>
      <c r="N67" s="35" t="n">
        <v>0.02</v>
      </c>
      <c r="O67" s="35" t="n">
        <v>0.02</v>
      </c>
      <c r="P67" s="35" t="n">
        <v>0.02</v>
      </c>
      <c r="Q67" s="35" t="n">
        <v>0.02</v>
      </c>
      <c r="R67" s="35" t="n">
        <v>0.02</v>
      </c>
      <c r="S67" s="35" t="n">
        <v>0.02</v>
      </c>
      <c r="T67" s="5" t="s">
        <v>1277</v>
      </c>
    </row>
    <row r="68" customFormat="false" ht="15" hidden="false" customHeight="false" outlineLevel="0" collapsed="false">
      <c r="B68" s="24" t="s">
        <v>973</v>
      </c>
      <c r="C68" s="25" t="s">
        <v>170</v>
      </c>
      <c r="D68" s="28" t="s">
        <v>153</v>
      </c>
      <c r="E68" s="45" t="n">
        <v>0.140993213</v>
      </c>
      <c r="T68" s="5" t="s">
        <v>1278</v>
      </c>
    </row>
    <row r="69" customFormat="false" ht="15" hidden="false" customHeight="false" outlineLevel="0" collapsed="false">
      <c r="B69" s="24" t="s">
        <v>975</v>
      </c>
      <c r="C69" s="25" t="s">
        <v>160</v>
      </c>
      <c r="D69" s="28" t="s">
        <v>153</v>
      </c>
      <c r="G69" s="35" t="n">
        <v>0.035</v>
      </c>
      <c r="H69" s="35" t="n">
        <v>0.035</v>
      </c>
      <c r="I69" s="35" t="n">
        <v>0.035</v>
      </c>
      <c r="J69" s="35" t="n">
        <v>0.035</v>
      </c>
      <c r="K69" s="35" t="n">
        <v>0.035</v>
      </c>
      <c r="L69" s="35" t="n">
        <v>0.035</v>
      </c>
      <c r="M69" s="35" t="n">
        <v>0.035</v>
      </c>
      <c r="N69" s="35" t="n">
        <v>0.035</v>
      </c>
      <c r="O69" s="35" t="n">
        <v>0.035</v>
      </c>
      <c r="P69" s="35" t="n">
        <v>0.035</v>
      </c>
      <c r="Q69" s="35" t="n">
        <v>0.035</v>
      </c>
      <c r="R69" s="35" t="n">
        <v>0.035</v>
      </c>
      <c r="S69" s="35" t="n">
        <v>0.035</v>
      </c>
      <c r="T69" s="5" t="s">
        <v>1279</v>
      </c>
    </row>
    <row r="70" customFormat="false" ht="15" hidden="false" customHeight="false" outlineLevel="0" collapsed="false">
      <c r="B70" s="24" t="s">
        <v>1001</v>
      </c>
      <c r="C70" s="25" t="s">
        <v>170</v>
      </c>
      <c r="D70" s="28" t="s">
        <v>153</v>
      </c>
      <c r="E70" s="45" t="n">
        <v>0.13922671138</v>
      </c>
      <c r="T70" s="5" t="s">
        <v>1280</v>
      </c>
    </row>
    <row r="71" customFormat="false" ht="15" hidden="false" customHeight="false" outlineLevel="0" collapsed="false">
      <c r="B71" s="24" t="s">
        <v>1003</v>
      </c>
      <c r="C71" s="25" t="s">
        <v>160</v>
      </c>
      <c r="D71" s="28" t="s">
        <v>153</v>
      </c>
      <c r="G71" s="35" t="n">
        <v>0.03</v>
      </c>
      <c r="H71" s="35" t="n">
        <v>0.03</v>
      </c>
      <c r="I71" s="35" t="n">
        <v>0.03</v>
      </c>
      <c r="J71" s="35" t="n">
        <v>0.03</v>
      </c>
      <c r="K71" s="35" t="n">
        <v>0.03</v>
      </c>
      <c r="L71" s="35" t="n">
        <v>0.03</v>
      </c>
      <c r="M71" s="35" t="n">
        <v>0.03</v>
      </c>
      <c r="N71" s="35" t="n">
        <v>0.03</v>
      </c>
      <c r="O71" s="35" t="n">
        <v>0.03</v>
      </c>
      <c r="P71" s="35" t="n">
        <v>0.03</v>
      </c>
      <c r="Q71" s="35" t="n">
        <v>0.03</v>
      </c>
      <c r="R71" s="35" t="n">
        <v>0.03</v>
      </c>
      <c r="S71" s="35" t="n">
        <v>0.03</v>
      </c>
      <c r="T71" s="5" t="s">
        <v>1281</v>
      </c>
    </row>
    <row r="72" customFormat="false" ht="15" hidden="false" customHeight="false" outlineLevel="0" collapsed="false">
      <c r="B72" s="24" t="s">
        <v>1282</v>
      </c>
      <c r="C72" s="25" t="s">
        <v>170</v>
      </c>
      <c r="D72" s="28" t="s">
        <v>153</v>
      </c>
      <c r="E72" s="45" t="n">
        <v>0.036134992</v>
      </c>
      <c r="T72" s="5" t="s">
        <v>1283</v>
      </c>
    </row>
    <row r="73" customFormat="false" ht="15" hidden="false" customHeight="false" outlineLevel="0" collapsed="false">
      <c r="B73" s="24" t="s">
        <v>1284</v>
      </c>
      <c r="C73" s="25" t="s">
        <v>160</v>
      </c>
      <c r="D73" s="28" t="s">
        <v>153</v>
      </c>
      <c r="G73" s="35" t="n">
        <v>0.03</v>
      </c>
      <c r="H73" s="35" t="n">
        <v>0.03</v>
      </c>
      <c r="I73" s="35" t="n">
        <v>0.03</v>
      </c>
      <c r="J73" s="35" t="n">
        <v>0.03</v>
      </c>
      <c r="K73" s="35" t="n">
        <v>0.03</v>
      </c>
      <c r="L73" s="35" t="n">
        <v>0.03</v>
      </c>
      <c r="M73" s="35" t="n">
        <v>0.03</v>
      </c>
      <c r="N73" s="35" t="n">
        <v>0.03</v>
      </c>
      <c r="O73" s="35" t="n">
        <v>0.03</v>
      </c>
      <c r="P73" s="35" t="n">
        <v>0.03</v>
      </c>
      <c r="Q73" s="35" t="n">
        <v>0.03</v>
      </c>
      <c r="R73" s="35" t="n">
        <v>0.03</v>
      </c>
      <c r="S73" s="35" t="n">
        <v>0.03</v>
      </c>
      <c r="T73" s="5" t="s">
        <v>1285</v>
      </c>
    </row>
    <row r="75" customFormat="false" ht="15" hidden="false" customHeight="false" outlineLevel="0" collapsed="false">
      <c r="B75" s="22" t="s">
        <v>1286</v>
      </c>
      <c r="C75" s="23"/>
      <c r="D75" s="23"/>
      <c r="E75" s="23"/>
      <c r="F75" s="23"/>
      <c r="G75" s="23"/>
      <c r="H75" s="23"/>
      <c r="I75" s="23"/>
      <c r="J75" s="23"/>
      <c r="K75" s="23"/>
      <c r="L75" s="23"/>
      <c r="M75" s="23"/>
      <c r="N75" s="23"/>
      <c r="O75" s="23"/>
      <c r="P75" s="23"/>
      <c r="Q75" s="23"/>
      <c r="R75" s="23"/>
      <c r="S75" s="23"/>
    </row>
    <row r="76" customFormat="false" ht="15" hidden="false" customHeight="false" outlineLevel="0" collapsed="false">
      <c r="B76" s="24" t="s">
        <v>1287</v>
      </c>
      <c r="C76" s="25" t="s">
        <v>240</v>
      </c>
      <c r="D76" s="28" t="s">
        <v>153</v>
      </c>
      <c r="E76" s="37" t="n">
        <v>14.0245926836766</v>
      </c>
      <c r="T76" s="5" t="s">
        <v>1288</v>
      </c>
      <c r="U76" s="5" t="s">
        <v>1289</v>
      </c>
    </row>
    <row r="77" customFormat="false" ht="15" hidden="false" customHeight="false" outlineLevel="0" collapsed="false">
      <c r="B77" s="24" t="s">
        <v>1290</v>
      </c>
      <c r="C77" s="25" t="s">
        <v>160</v>
      </c>
      <c r="D77" s="28" t="s">
        <v>153</v>
      </c>
      <c r="E77" s="85" t="n">
        <f aca="false">SUM(F77:S77)</f>
        <v>1</v>
      </c>
      <c r="F77" s="35" t="n">
        <v>0</v>
      </c>
      <c r="G77" s="35" t="n">
        <v>0</v>
      </c>
      <c r="H77" s="35" t="n">
        <v>0</v>
      </c>
      <c r="I77" s="35" t="n">
        <v>0.500876769979396</v>
      </c>
      <c r="J77" s="35" t="n">
        <v>0.499123230020604</v>
      </c>
      <c r="K77" s="35" t="n">
        <v>0</v>
      </c>
      <c r="L77" s="35" t="n">
        <v>0</v>
      </c>
      <c r="M77" s="35" t="n">
        <v>0</v>
      </c>
      <c r="N77" s="35" t="n">
        <v>0</v>
      </c>
      <c r="O77" s="35" t="n">
        <v>0</v>
      </c>
      <c r="P77" s="35" t="n">
        <v>0</v>
      </c>
      <c r="Q77" s="35" t="n">
        <v>0</v>
      </c>
      <c r="R77" s="35" t="n">
        <v>0</v>
      </c>
      <c r="S77" s="35" t="n">
        <v>0</v>
      </c>
      <c r="T77" s="5" t="s">
        <v>1291</v>
      </c>
      <c r="U77" s="5" t="s">
        <v>1292</v>
      </c>
    </row>
    <row r="78" customFormat="false" ht="15" hidden="false" customHeight="false" outlineLevel="0" collapsed="false">
      <c r="B78" s="24" t="s">
        <v>1293</v>
      </c>
      <c r="C78" s="25" t="s">
        <v>240</v>
      </c>
      <c r="E78" s="44" t="n">
        <f aca="false">SUM(F78:S78)</f>
        <v>14.0245926836766</v>
      </c>
      <c r="F78" s="44" t="n">
        <f aca="false">$E$76*F77</f>
        <v>0</v>
      </c>
      <c r="G78" s="44" t="n">
        <f aca="false">$E$76*G77</f>
        <v>0</v>
      </c>
      <c r="H78" s="44" t="n">
        <f aca="false">$E$76*H77</f>
        <v>0</v>
      </c>
      <c r="I78" s="44" t="n">
        <f aca="false">$E$76*I77</f>
        <v>7.02459268367661</v>
      </c>
      <c r="J78" s="44" t="n">
        <f aca="false">$E$76*J77</f>
        <v>7</v>
      </c>
      <c r="K78" s="44" t="n">
        <f aca="false">$E$76*K77</f>
        <v>0</v>
      </c>
      <c r="L78" s="44" t="n">
        <f aca="false">$E$76*L77</f>
        <v>0</v>
      </c>
      <c r="M78" s="44" t="n">
        <f aca="false">$E$76*M77</f>
        <v>0</v>
      </c>
      <c r="N78" s="44" t="n">
        <f aca="false">$E$76*N77</f>
        <v>0</v>
      </c>
      <c r="O78" s="44" t="n">
        <f aca="false">$E$76*O77</f>
        <v>0</v>
      </c>
      <c r="P78" s="44" t="n">
        <f aca="false">$E$76*P77</f>
        <v>0</v>
      </c>
      <c r="Q78" s="44" t="n">
        <f aca="false">$E$76*Q77</f>
        <v>0</v>
      </c>
      <c r="R78" s="44" t="n">
        <f aca="false">$E$76*R77</f>
        <v>0</v>
      </c>
      <c r="S78" s="44" t="n">
        <f aca="false">$E$76*S77</f>
        <v>0</v>
      </c>
    </row>
    <row r="79" customFormat="false" ht="15" hidden="false" customHeight="false" outlineLevel="0" collapsed="false">
      <c r="B79" s="24" t="s">
        <v>1294</v>
      </c>
      <c r="C79" s="25" t="s">
        <v>152</v>
      </c>
      <c r="F79" s="107" t="n">
        <f aca="false">'Global Inputs'!F22</f>
        <v>16265</v>
      </c>
      <c r="G79" s="107" t="n">
        <f aca="false">'Global Inputs'!G22</f>
        <v>16265</v>
      </c>
      <c r="H79" s="107" t="n">
        <f aca="false">'Global Inputs'!H22</f>
        <v>16265</v>
      </c>
      <c r="I79" s="107" t="n">
        <f aca="false">'Global Inputs'!I22</f>
        <v>16265</v>
      </c>
      <c r="J79" s="107" t="n">
        <f aca="false">'Global Inputs'!J22</f>
        <v>16265</v>
      </c>
      <c r="K79" s="107" t="n">
        <f aca="false">'Global Inputs'!K22</f>
        <v>16265</v>
      </c>
      <c r="L79" s="107" t="n">
        <f aca="false">'Global Inputs'!L22</f>
        <v>16265</v>
      </c>
      <c r="M79" s="107" t="n">
        <f aca="false">'Global Inputs'!M22</f>
        <v>16265</v>
      </c>
      <c r="N79" s="107" t="n">
        <f aca="false">'Global Inputs'!N22</f>
        <v>16265</v>
      </c>
      <c r="O79" s="107" t="n">
        <f aca="false">'Global Inputs'!O22</f>
        <v>16265</v>
      </c>
      <c r="P79" s="107" t="n">
        <f aca="false">'Global Inputs'!P22</f>
        <v>16265</v>
      </c>
      <c r="Q79" s="107" t="n">
        <f aca="false">'Global Inputs'!Q22</f>
        <v>16265</v>
      </c>
      <c r="R79" s="107" t="n">
        <f aca="false">'Global Inputs'!R22</f>
        <v>16265</v>
      </c>
      <c r="S79" s="107" t="n">
        <f aca="false">'Global Inputs'!S22</f>
        <v>16265</v>
      </c>
    </row>
    <row r="80" customFormat="false" ht="15" hidden="false" customHeight="false" outlineLevel="0" collapsed="false">
      <c r="B80" s="24" t="s">
        <v>1295</v>
      </c>
      <c r="C80" s="25" t="s">
        <v>170</v>
      </c>
      <c r="E80" s="47" t="n">
        <f aca="false">SUM(F80:S80)</f>
        <v>228.11</v>
      </c>
      <c r="F80" s="47" t="n">
        <f aca="false">F78*F79/1000</f>
        <v>0</v>
      </c>
      <c r="G80" s="47" t="n">
        <f aca="false">G78*G79/1000</f>
        <v>0</v>
      </c>
      <c r="H80" s="47" t="n">
        <f aca="false">H78*H79/1000</f>
        <v>0</v>
      </c>
      <c r="I80" s="47" t="n">
        <f aca="false">I78*I79/1000</f>
        <v>114.255</v>
      </c>
      <c r="J80" s="47" t="n">
        <f aca="false">J78*J79/1000</f>
        <v>113.855</v>
      </c>
      <c r="K80" s="47" t="n">
        <f aca="false">K78*K79/1000</f>
        <v>0</v>
      </c>
      <c r="L80" s="47" t="n">
        <f aca="false">L78*L79/1000</f>
        <v>0</v>
      </c>
      <c r="M80" s="47" t="n">
        <f aca="false">M78*M79/1000</f>
        <v>0</v>
      </c>
      <c r="N80" s="47" t="n">
        <f aca="false">N78*N79/1000</f>
        <v>0</v>
      </c>
      <c r="O80" s="47" t="n">
        <f aca="false">O78*O79/1000</f>
        <v>0</v>
      </c>
      <c r="P80" s="47" t="n">
        <f aca="false">P78*P79/1000</f>
        <v>0</v>
      </c>
      <c r="Q80" s="47" t="n">
        <f aca="false">Q78*Q79/1000</f>
        <v>0</v>
      </c>
      <c r="R80" s="47" t="n">
        <f aca="false">R78*R79/1000</f>
        <v>0</v>
      </c>
      <c r="S80" s="47" t="n">
        <f aca="false">S78*S79/1000</f>
        <v>0</v>
      </c>
    </row>
    <row r="81" customFormat="false" ht="15" hidden="false" customHeight="false" outlineLevel="0" collapsed="false">
      <c r="B81" s="24" t="s">
        <v>1296</v>
      </c>
      <c r="C81" s="25" t="s">
        <v>240</v>
      </c>
      <c r="E81" s="44" t="n">
        <f aca="false">SUMPRODUCT($F$78:$S$78,--('Global Inputs'!$F$15:$S$15&lt;='Global Inputs'!$E$12))</f>
        <v>7.02459268367661</v>
      </c>
    </row>
    <row r="82" customFormat="false" ht="15" hidden="false" customHeight="false" outlineLevel="0" collapsed="false">
      <c r="B82" s="24" t="s">
        <v>1297</v>
      </c>
      <c r="C82" s="25" t="s">
        <v>240</v>
      </c>
      <c r="E82" s="44" t="n">
        <f aca="false">SUMPRODUCT($F$78:$S$78,--('Global Inputs'!$F$15:$S$15&gt;'Global Inputs'!$E$12))</f>
        <v>7</v>
      </c>
    </row>
    <row r="83" customFormat="false" ht="15" hidden="false" customHeight="false" outlineLevel="0" collapsed="false">
      <c r="B83" s="24" t="s">
        <v>1298</v>
      </c>
      <c r="C83" s="25" t="s">
        <v>240</v>
      </c>
      <c r="E83" s="44" t="n">
        <f aca="false">$E$76-SUM($F$78:$S$78)</f>
        <v>0</v>
      </c>
    </row>
    <row r="84" customFormat="false" ht="15" hidden="false" customHeight="false" outlineLevel="0" collapsed="false">
      <c r="B84" s="24" t="s">
        <v>1299</v>
      </c>
      <c r="C84" s="25" t="s">
        <v>527</v>
      </c>
      <c r="E84" s="108" t="str">
        <f aca="false">IF(ABS(SUM($F$77:$S$77)-1)&lt;0.000001,"PASS","CHECK: % not 100%")</f>
        <v>PASS</v>
      </c>
    </row>
    <row r="85" customFormat="false" ht="15" hidden="false" customHeight="false" outlineLevel="0" collapsed="false">
      <c r="B85" s="24" t="s">
        <v>1300</v>
      </c>
      <c r="C85" s="25" t="s">
        <v>135</v>
      </c>
      <c r="D85" s="28" t="s">
        <v>153</v>
      </c>
      <c r="E85" s="36" t="n">
        <v>2026</v>
      </c>
      <c r="T85" s="5" t="s">
        <v>1301</v>
      </c>
    </row>
    <row r="86" customFormat="false" ht="15" hidden="false" customHeight="false" outlineLevel="0" collapsed="false">
      <c r="B86" s="24" t="s">
        <v>1302</v>
      </c>
      <c r="C86" s="25" t="s">
        <v>180</v>
      </c>
      <c r="D86" s="26" t="s">
        <v>190</v>
      </c>
      <c r="E86" s="39" t="n">
        <v>0</v>
      </c>
      <c r="T86" s="5" t="s">
        <v>1303</v>
      </c>
      <c r="U86" s="5" t="s">
        <v>1304</v>
      </c>
    </row>
    <row r="87" customFormat="false" ht="15" hidden="false" customHeight="false" outlineLevel="0" collapsed="false">
      <c r="B87" s="24" t="s">
        <v>1305</v>
      </c>
      <c r="C87" s="25" t="s">
        <v>160</v>
      </c>
      <c r="D87" s="28" t="s">
        <v>153</v>
      </c>
      <c r="E87" s="35" t="n">
        <v>0.9</v>
      </c>
      <c r="T87" s="5" t="s">
        <v>1306</v>
      </c>
    </row>
    <row r="88" customFormat="false" ht="15" hidden="false" customHeight="false" outlineLevel="0" collapsed="false">
      <c r="B88" s="24" t="s">
        <v>1307</v>
      </c>
      <c r="C88" s="25" t="s">
        <v>145</v>
      </c>
      <c r="D88" s="28" t="s">
        <v>153</v>
      </c>
      <c r="E88" s="36" t="n">
        <v>20</v>
      </c>
      <c r="T88" s="5" t="s">
        <v>1308</v>
      </c>
    </row>
    <row r="89" customFormat="false" ht="15" hidden="false" customHeight="false" outlineLevel="0" collapsed="false">
      <c r="B89" s="24" t="s">
        <v>1309</v>
      </c>
      <c r="C89" s="25" t="s">
        <v>145</v>
      </c>
      <c r="D89" s="28" t="s">
        <v>153</v>
      </c>
      <c r="E89" s="36" t="n">
        <v>8</v>
      </c>
      <c r="T89" s="5" t="s">
        <v>1308</v>
      </c>
    </row>
  </sheetData>
  <hyperlinks>
    <hyperlink ref="C3" r:id="rId1" location="'E3%20Belawan%20Input'!A1" display="Input"/>
    <hyperlink ref="D3" r:id="rId2" location="'E3%20Belawan%20Calc'!A1" display="Calc"/>
    <hyperlink ref="E3" r:id="rId3" location="'E3%20Belawan%20Output'!A1" display="Output"/>
    <hyperlink ref="F3" r:id="rId4" location="'Navigation'!A1" display="Navigation"/>
    <hyperlink ref="G3" r:id="rId5" location="'Global%20Inputs'!A1" display="Global Inputs"/>
    <hyperlink ref="H3" r:id="rId6" location="'Project%20Summary'!A1" display="Project Summary"/>
    <hyperlink ref="I3" r:id="rId7" location="'Funding%20Requirement'!A1" display="Funding"/>
    <hyperlink ref="J3" r:id="rId8" location="'FSL%20Financials%20—%20Without%20BUMN'!A1" display="FSL w/o BUMN"/>
    <hyperlink ref="K3" r:id="rId9" location="'FSL%20Financials%20—%20With%20BUMN'!A1" display="FSL w/ BUMN"/>
    <hyperlink ref="L3" r:id="rId10" location="'Valuation%20—%20Without%20BUMN'!A1" display="Val w/o BUMN"/>
    <hyperlink ref="M3" r:id="rId11" location="'Valuation%20—%20With%20BUMN'!A1" display="Val w/ BUMN"/>
    <hyperlink ref="N3" r:id="rId12" location="'Checks'!A1" display="Checks"/>
    <hyperlink ref="O3" r:id="rId13" location="'Model%20Flow'!A1" display="Model Flow"/>
  </hyperlink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BFBF"/>
    <pageSetUpPr fitToPage="true"/>
  </sheetPr>
  <dimension ref="B1:U9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5" ySplit="9" topLeftCell="F10" activePane="bottomRight" state="frozen"/>
      <selection pane="topLeft" activeCell="A1" activeCellId="0" sqref="A1"/>
      <selection pane="topRight" activeCell="F1" activeCellId="0" sqref="F1"/>
      <selection pane="bottomLeft" activeCell="A10" activeCellId="0" sqref="A10"/>
      <selection pane="bottomRigh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66"/>
    <col collapsed="false" customWidth="true" hidden="false" outlineLevel="0" max="3" min="3" style="0" width="11"/>
    <col collapsed="false" customWidth="true" hidden="false" outlineLevel="0" max="4" min="4" style="0" width="12"/>
    <col collapsed="false" customWidth="true" hidden="false" outlineLevel="0" max="5" min="5" style="0" width="13"/>
    <col collapsed="false" customWidth="true" hidden="false" outlineLevel="0" max="19" min="6" style="0" width="11.5"/>
    <col collapsed="false" customWidth="true" hidden="false" outlineLevel="0" max="20" min="20" style="0" width="40"/>
    <col collapsed="false" customWidth="true" hidden="false" outlineLevel="0" max="21" min="21" style="0" width="48"/>
  </cols>
  <sheetData>
    <row r="1" customFormat="false" ht="21.75" hidden="false" customHeight="true" outlineLevel="0" collapsed="false">
      <c r="B1" s="1" t="s">
        <v>1310</v>
      </c>
    </row>
    <row r="2" customFormat="false" ht="15" hidden="false" customHeight="false" outlineLevel="0" collapsed="false">
      <c r="B2" s="2" t="s">
        <v>1014</v>
      </c>
    </row>
    <row r="3" customFormat="false" ht="15" hidden="false" customHeight="false" outlineLevel="0" collapsed="false">
      <c r="B3" s="5" t="s">
        <v>112</v>
      </c>
      <c r="C3" s="17" t="s">
        <v>27</v>
      </c>
      <c r="D3" s="17" t="s">
        <v>28</v>
      </c>
      <c r="E3" s="17" t="s">
        <v>29</v>
      </c>
      <c r="F3" s="17" t="s">
        <v>113</v>
      </c>
      <c r="G3" s="17" t="s">
        <v>5</v>
      </c>
      <c r="H3" s="17" t="s">
        <v>7</v>
      </c>
      <c r="I3" s="17" t="s">
        <v>114</v>
      </c>
      <c r="J3" s="17" t="s">
        <v>115</v>
      </c>
      <c r="K3" s="17" t="s">
        <v>116</v>
      </c>
      <c r="L3" s="17" t="s">
        <v>117</v>
      </c>
      <c r="M3" s="17" t="s">
        <v>118</v>
      </c>
      <c r="N3" s="17" t="s">
        <v>21</v>
      </c>
      <c r="O3" s="17" t="s">
        <v>3</v>
      </c>
    </row>
    <row r="5" customFormat="false" ht="15" hidden="false" customHeight="false" outlineLevel="0" collapsed="false">
      <c r="B5" s="6" t="s">
        <v>119</v>
      </c>
      <c r="C5" s="6" t="s">
        <v>120</v>
      </c>
      <c r="D5" s="6" t="s">
        <v>121</v>
      </c>
      <c r="E5" s="6" t="s">
        <v>122</v>
      </c>
      <c r="F5" s="18" t="n">
        <f aca="false">'Global Inputs'!F$5</f>
        <v>2023</v>
      </c>
      <c r="G5" s="18" t="n">
        <f aca="false">'Global Inputs'!G$5</f>
        <v>2024</v>
      </c>
      <c r="H5" s="18" t="n">
        <f aca="false">'Global Inputs'!H$5</f>
        <v>2025</v>
      </c>
      <c r="I5" s="18" t="n">
        <f aca="false">'Global Inputs'!I$5</f>
        <v>2026</v>
      </c>
      <c r="J5" s="18" t="n">
        <f aca="false">'Global Inputs'!J$5</f>
        <v>2027</v>
      </c>
      <c r="K5" s="18" t="n">
        <f aca="false">'Global Inputs'!K$5</f>
        <v>2028</v>
      </c>
      <c r="L5" s="18" t="n">
        <f aca="false">'Global Inputs'!L$5</f>
        <v>2029</v>
      </c>
      <c r="M5" s="18" t="n">
        <f aca="false">'Global Inputs'!M$5</f>
        <v>2030</v>
      </c>
      <c r="N5" s="18" t="n">
        <f aca="false">'Global Inputs'!N$5</f>
        <v>2031</v>
      </c>
      <c r="O5" s="18" t="n">
        <f aca="false">'Global Inputs'!O$5</f>
        <v>2032</v>
      </c>
      <c r="P5" s="18" t="n">
        <f aca="false">'Global Inputs'!P$5</f>
        <v>2033</v>
      </c>
      <c r="Q5" s="18" t="n">
        <f aca="false">'Global Inputs'!Q$5</f>
        <v>2034</v>
      </c>
      <c r="R5" s="18" t="n">
        <f aca="false">'Global Inputs'!R$5</f>
        <v>2035</v>
      </c>
      <c r="S5" s="18" t="n">
        <f aca="false">'Global Inputs'!S$5</f>
        <v>2036</v>
      </c>
      <c r="T5" s="6" t="s">
        <v>123</v>
      </c>
      <c r="U5" s="6" t="s">
        <v>124</v>
      </c>
    </row>
    <row r="6" customFormat="false" ht="15" hidden="false" customHeight="false" outlineLevel="0" collapsed="false">
      <c r="B6" s="19" t="s">
        <v>125</v>
      </c>
      <c r="F6" s="20" t="n">
        <f aca="false">'Global Inputs'!F$6</f>
        <v>45291</v>
      </c>
      <c r="G6" s="20" t="n">
        <f aca="false">'Global Inputs'!G$6</f>
        <v>45657</v>
      </c>
      <c r="H6" s="20" t="n">
        <f aca="false">'Global Inputs'!H$6</f>
        <v>46022</v>
      </c>
      <c r="I6" s="20" t="n">
        <f aca="false">'Global Inputs'!I$6</f>
        <v>46387</v>
      </c>
      <c r="J6" s="20" t="n">
        <f aca="false">'Global Inputs'!J$6</f>
        <v>46752</v>
      </c>
      <c r="K6" s="20" t="n">
        <f aca="false">'Global Inputs'!K$6</f>
        <v>47118</v>
      </c>
      <c r="L6" s="20" t="n">
        <f aca="false">'Global Inputs'!L$6</f>
        <v>47483</v>
      </c>
      <c r="M6" s="20" t="n">
        <f aca="false">'Global Inputs'!M$6</f>
        <v>47848</v>
      </c>
      <c r="N6" s="20" t="n">
        <f aca="false">'Global Inputs'!N$6</f>
        <v>48213</v>
      </c>
      <c r="O6" s="20" t="n">
        <f aca="false">'Global Inputs'!O$6</f>
        <v>48579</v>
      </c>
      <c r="P6" s="20" t="n">
        <f aca="false">'Global Inputs'!P$6</f>
        <v>48944</v>
      </c>
      <c r="Q6" s="20" t="n">
        <f aca="false">'Global Inputs'!Q$6</f>
        <v>49309</v>
      </c>
      <c r="R6" s="20" t="n">
        <f aca="false">'Global Inputs'!R$6</f>
        <v>49674</v>
      </c>
      <c r="S6" s="20" t="n">
        <f aca="false">'Global Inputs'!S$6</f>
        <v>50040</v>
      </c>
    </row>
    <row r="7" customFormat="false" ht="15" hidden="false" customHeight="false" outlineLevel="0" collapsed="false">
      <c r="B7" s="19" t="s">
        <v>126</v>
      </c>
      <c r="F7" s="21" t="n">
        <f aca="false">'Global Inputs'!F$7</f>
        <v>365</v>
      </c>
      <c r="G7" s="21" t="n">
        <f aca="false">'Global Inputs'!G$7</f>
        <v>366</v>
      </c>
      <c r="H7" s="21" t="n">
        <f aca="false">'Global Inputs'!H$7</f>
        <v>365</v>
      </c>
      <c r="I7" s="21" t="n">
        <f aca="false">'Global Inputs'!I$7</f>
        <v>365</v>
      </c>
      <c r="J7" s="21" t="n">
        <f aca="false">'Global Inputs'!J$7</f>
        <v>365</v>
      </c>
      <c r="K7" s="21" t="n">
        <f aca="false">'Global Inputs'!K$7</f>
        <v>366</v>
      </c>
      <c r="L7" s="21" t="n">
        <f aca="false">'Global Inputs'!L$7</f>
        <v>365</v>
      </c>
      <c r="M7" s="21" t="n">
        <f aca="false">'Global Inputs'!M$7</f>
        <v>365</v>
      </c>
      <c r="N7" s="21" t="n">
        <f aca="false">'Global Inputs'!N$7</f>
        <v>365</v>
      </c>
      <c r="O7" s="21" t="n">
        <f aca="false">'Global Inputs'!O$7</f>
        <v>366</v>
      </c>
      <c r="P7" s="21" t="n">
        <f aca="false">'Global Inputs'!P$7</f>
        <v>365</v>
      </c>
      <c r="Q7" s="21" t="n">
        <f aca="false">'Global Inputs'!Q$7</f>
        <v>365</v>
      </c>
      <c r="R7" s="21" t="n">
        <f aca="false">'Global Inputs'!R$7</f>
        <v>365</v>
      </c>
      <c r="S7" s="21" t="n">
        <f aca="false">'Global Inputs'!S$7</f>
        <v>366</v>
      </c>
    </row>
    <row r="8" customFormat="false" ht="15" hidden="false" customHeight="false" outlineLevel="0" collapsed="false">
      <c r="B8" s="19" t="s">
        <v>127</v>
      </c>
      <c r="F8" s="21" t="n">
        <f aca="false">'Global Inputs'!F$8</f>
        <v>0</v>
      </c>
      <c r="G8" s="21" t="n">
        <f aca="false">'Global Inputs'!G$8</f>
        <v>1</v>
      </c>
      <c r="H8" s="21" t="n">
        <f aca="false">'Global Inputs'!H$8</f>
        <v>1</v>
      </c>
      <c r="I8" s="21" t="n">
        <f aca="false">'Global Inputs'!I$8</f>
        <v>1</v>
      </c>
      <c r="J8" s="21" t="n">
        <f aca="false">'Global Inputs'!J$8</f>
        <v>1</v>
      </c>
      <c r="K8" s="21" t="n">
        <f aca="false">'Global Inputs'!K$8</f>
        <v>1</v>
      </c>
      <c r="L8" s="21" t="n">
        <f aca="false">'Global Inputs'!L$8</f>
        <v>1</v>
      </c>
      <c r="M8" s="21" t="n">
        <f aca="false">'Global Inputs'!M$8</f>
        <v>1</v>
      </c>
      <c r="N8" s="21" t="n">
        <f aca="false">'Global Inputs'!N$8</f>
        <v>1</v>
      </c>
      <c r="O8" s="21" t="n">
        <f aca="false">'Global Inputs'!O$8</f>
        <v>1</v>
      </c>
      <c r="P8" s="21" t="n">
        <f aca="false">'Global Inputs'!P$8</f>
        <v>1</v>
      </c>
      <c r="Q8" s="21" t="n">
        <f aca="false">'Global Inputs'!Q$8</f>
        <v>1</v>
      </c>
      <c r="R8" s="21" t="n">
        <f aca="false">'Global Inputs'!R$8</f>
        <v>1</v>
      </c>
      <c r="S8" s="21" t="n">
        <f aca="false">'Global Inputs'!S$8</f>
        <v>1</v>
      </c>
    </row>
    <row r="10" customFormat="false" ht="15" hidden="false" customHeight="false" outlineLevel="0" collapsed="false">
      <c r="B10" s="22" t="s">
        <v>1015</v>
      </c>
      <c r="C10" s="23"/>
      <c r="D10" s="23"/>
      <c r="E10" s="23"/>
      <c r="F10" s="23"/>
      <c r="G10" s="23"/>
      <c r="H10" s="23"/>
      <c r="I10" s="23"/>
      <c r="J10" s="23"/>
      <c r="K10" s="23"/>
      <c r="L10" s="23"/>
      <c r="M10" s="23"/>
      <c r="N10" s="23"/>
      <c r="O10" s="23"/>
      <c r="P10" s="23"/>
      <c r="Q10" s="23"/>
      <c r="R10" s="23"/>
      <c r="S10" s="23"/>
    </row>
    <row r="11" customFormat="false" ht="15" hidden="false" customHeight="false" outlineLevel="0" collapsed="false">
      <c r="B11" s="24" t="s">
        <v>1016</v>
      </c>
      <c r="C11" s="25" t="s">
        <v>143</v>
      </c>
      <c r="F11" s="30" t="n">
        <f aca="false">F$8</f>
        <v>0</v>
      </c>
      <c r="G11" s="30" t="n">
        <f aca="false">G$8</f>
        <v>1</v>
      </c>
      <c r="H11" s="30" t="n">
        <f aca="false">H$8</f>
        <v>1</v>
      </c>
      <c r="I11" s="30" t="n">
        <f aca="false">I$8</f>
        <v>1</v>
      </c>
      <c r="J11" s="30" t="n">
        <f aca="false">J$8</f>
        <v>1</v>
      </c>
      <c r="K11" s="30" t="n">
        <f aca="false">K$8</f>
        <v>1</v>
      </c>
      <c r="L11" s="30" t="n">
        <f aca="false">L$8</f>
        <v>1</v>
      </c>
      <c r="M11" s="30" t="n">
        <f aca="false">M$8</f>
        <v>1</v>
      </c>
      <c r="N11" s="30" t="n">
        <f aca="false">N$8</f>
        <v>1</v>
      </c>
      <c r="O11" s="30" t="n">
        <f aca="false">O$8</f>
        <v>1</v>
      </c>
      <c r="P11" s="30" t="n">
        <f aca="false">P$8</f>
        <v>1</v>
      </c>
      <c r="Q11" s="30" t="n">
        <f aca="false">Q$8</f>
        <v>1</v>
      </c>
      <c r="R11" s="30" t="n">
        <f aca="false">R$8</f>
        <v>1</v>
      </c>
      <c r="S11" s="30" t="n">
        <f aca="false">S$8</f>
        <v>1</v>
      </c>
    </row>
    <row r="13" customFormat="false" ht="15" hidden="false" customHeight="false" outlineLevel="0" collapsed="false">
      <c r="B13" s="22" t="s">
        <v>1017</v>
      </c>
      <c r="C13" s="23"/>
      <c r="D13" s="23"/>
      <c r="E13" s="23"/>
      <c r="F13" s="23"/>
      <c r="G13" s="23"/>
      <c r="H13" s="23"/>
      <c r="I13" s="23"/>
      <c r="J13" s="23"/>
      <c r="K13" s="23"/>
      <c r="L13" s="23"/>
      <c r="M13" s="23"/>
      <c r="N13" s="23"/>
      <c r="O13" s="23"/>
      <c r="P13" s="23"/>
      <c r="Q13" s="23"/>
      <c r="R13" s="23"/>
      <c r="S13" s="23"/>
    </row>
    <row r="14" customFormat="false" ht="15" hidden="false" customHeight="false" outlineLevel="0" collapsed="false">
      <c r="B14" s="24" t="s">
        <v>1311</v>
      </c>
      <c r="C14" s="25" t="s">
        <v>1019</v>
      </c>
      <c r="F14" s="104" t="n">
        <f aca="false">1</f>
        <v>1</v>
      </c>
      <c r="G14" s="104" t="n">
        <f aca="false">F14*(1+'E3 Belawan Input'!G28)*G$8</f>
        <v>1</v>
      </c>
      <c r="H14" s="104" t="n">
        <f aca="false">G14*(1+'E3 Belawan Input'!H28)*H$8</f>
        <v>1.03</v>
      </c>
      <c r="I14" s="104" t="n">
        <f aca="false">H14*(1+'E3 Belawan Input'!I28)*I$8</f>
        <v>1.0609</v>
      </c>
      <c r="J14" s="104" t="n">
        <f aca="false">I14*(1+'E3 Belawan Input'!J28)*J$8</f>
        <v>1.092727</v>
      </c>
      <c r="K14" s="104" t="n">
        <f aca="false">J14*(1+'E3 Belawan Input'!K28)*K$8</f>
        <v>1.12550881</v>
      </c>
      <c r="L14" s="104" t="n">
        <f aca="false">K14*(1+'E3 Belawan Input'!L28)*L$8</f>
        <v>1.1592740743</v>
      </c>
      <c r="M14" s="104" t="n">
        <f aca="false">L14*(1+'E3 Belawan Input'!M28)*M$8</f>
        <v>1.194052296529</v>
      </c>
      <c r="N14" s="104" t="n">
        <f aca="false">M14*(1+'E3 Belawan Input'!N28)*N$8</f>
        <v>1.22987386542487</v>
      </c>
      <c r="O14" s="104" t="n">
        <f aca="false">N14*(1+'E3 Belawan Input'!O28)*O$8</f>
        <v>1.26677008138762</v>
      </c>
      <c r="P14" s="104" t="n">
        <f aca="false">O14*(1+'E3 Belawan Input'!P28)*P$8</f>
        <v>1.30477318382925</v>
      </c>
      <c r="Q14" s="104" t="n">
        <f aca="false">P14*(1+'E3 Belawan Input'!Q28)*Q$8</f>
        <v>1.34391637934412</v>
      </c>
      <c r="R14" s="104" t="n">
        <f aca="false">Q14*(1+'E3 Belawan Input'!R28)*R$8</f>
        <v>1.38423387072445</v>
      </c>
      <c r="S14" s="104" t="n">
        <f aca="false">R14*(1+'E3 Belawan Input'!S28)*S$8</f>
        <v>1.42576088684618</v>
      </c>
    </row>
    <row r="15" customFormat="false" ht="15" hidden="false" customHeight="false" outlineLevel="0" collapsed="false">
      <c r="B15" s="24" t="s">
        <v>1312</v>
      </c>
      <c r="C15" s="25" t="s">
        <v>900</v>
      </c>
      <c r="E15" s="31" t="n">
        <f aca="false">SUM(F15:S15)</f>
        <v>11713342.8362891</v>
      </c>
      <c r="F15" s="31" t="n">
        <f aca="false">'E3 Belawan Input'!$E$27*F14*F$8</f>
        <v>0</v>
      </c>
      <c r="G15" s="31" t="n">
        <f aca="false">'E3 Belawan Input'!$E$27*G14*G$8</f>
        <v>750000</v>
      </c>
      <c r="H15" s="31" t="n">
        <f aca="false">'E3 Belawan Input'!$E$27*H14*H$8</f>
        <v>772500</v>
      </c>
      <c r="I15" s="31" t="n">
        <f aca="false">'E3 Belawan Input'!$E$27*I14*I$8</f>
        <v>795675</v>
      </c>
      <c r="J15" s="31" t="n">
        <f aca="false">'E3 Belawan Input'!$E$27*J14*J$8</f>
        <v>819545.25</v>
      </c>
      <c r="K15" s="31" t="n">
        <f aca="false">'E3 Belawan Input'!$E$27*K14*K$8</f>
        <v>844131.6075</v>
      </c>
      <c r="L15" s="31" t="n">
        <f aca="false">'E3 Belawan Input'!$E$27*L14*L$8</f>
        <v>869455.555725</v>
      </c>
      <c r="M15" s="31" t="n">
        <f aca="false">'E3 Belawan Input'!$E$27*M14*M$8</f>
        <v>895539.22239675</v>
      </c>
      <c r="N15" s="31" t="n">
        <f aca="false">'E3 Belawan Input'!$E$27*N14*N$8</f>
        <v>922405.399068653</v>
      </c>
      <c r="O15" s="31" t="n">
        <f aca="false">'E3 Belawan Input'!$E$27*O14*O$8</f>
        <v>950077.561040712</v>
      </c>
      <c r="P15" s="31" t="n">
        <f aca="false">'E3 Belawan Input'!$E$27*P14*P$8</f>
        <v>978579.887871934</v>
      </c>
      <c r="Q15" s="31" t="n">
        <f aca="false">'E3 Belawan Input'!$E$27*Q14*Q$8</f>
        <v>1007937.28450809</v>
      </c>
      <c r="R15" s="31" t="n">
        <f aca="false">'E3 Belawan Input'!$E$27*R14*R$8</f>
        <v>1038175.40304333</v>
      </c>
      <c r="S15" s="31" t="n">
        <f aca="false">'E3 Belawan Input'!$E$27*S14*S$8</f>
        <v>1069320.66513463</v>
      </c>
    </row>
    <row r="16" customFormat="false" ht="15" hidden="false" customHeight="false" outlineLevel="0" collapsed="false">
      <c r="B16" s="24" t="s">
        <v>1313</v>
      </c>
      <c r="C16" s="25" t="s">
        <v>900</v>
      </c>
      <c r="E16" s="31" t="n">
        <f aca="false">SUM(F16:S16)</f>
        <v>3000000</v>
      </c>
      <c r="F16" s="31" t="n">
        <f aca="false">'E3 Belawan Input'!F29*F$8</f>
        <v>0</v>
      </c>
      <c r="G16" s="31" t="n">
        <f aca="false">'E3 Belawan Input'!G29*G$8</f>
        <v>0</v>
      </c>
      <c r="H16" s="31" t="n">
        <f aca="false">'E3 Belawan Input'!H29*H$8</f>
        <v>0</v>
      </c>
      <c r="I16" s="31" t="n">
        <f aca="false">'E3 Belawan Input'!I29*I$8</f>
        <v>0</v>
      </c>
      <c r="J16" s="31" t="n">
        <f aca="false">'E3 Belawan Input'!J29*J$8</f>
        <v>200000</v>
      </c>
      <c r="K16" s="31" t="n">
        <f aca="false">'E3 Belawan Input'!K29*K$8</f>
        <v>250000</v>
      </c>
      <c r="L16" s="31" t="n">
        <f aca="false">'E3 Belawan Input'!L29*L$8</f>
        <v>300000</v>
      </c>
      <c r="M16" s="31" t="n">
        <f aca="false">'E3 Belawan Input'!M29*M$8</f>
        <v>350000</v>
      </c>
      <c r="N16" s="31" t="n">
        <f aca="false">'E3 Belawan Input'!N29*N$8</f>
        <v>400000</v>
      </c>
      <c r="O16" s="31" t="n">
        <f aca="false">'E3 Belawan Input'!O29*O$8</f>
        <v>450000</v>
      </c>
      <c r="P16" s="31" t="n">
        <f aca="false">'E3 Belawan Input'!P29*P$8</f>
        <v>500000</v>
      </c>
      <c r="Q16" s="31" t="n">
        <f aca="false">'E3 Belawan Input'!Q29*Q$8</f>
        <v>550000</v>
      </c>
      <c r="R16" s="31" t="n">
        <f aca="false">'E3 Belawan Input'!R29*R$8</f>
        <v>0</v>
      </c>
      <c r="S16" s="31" t="n">
        <f aca="false">'E3 Belawan Input'!S29*S$8</f>
        <v>0</v>
      </c>
    </row>
    <row r="17" customFormat="false" ht="15" hidden="false" customHeight="false" outlineLevel="0" collapsed="false">
      <c r="B17" s="69" t="s">
        <v>1314</v>
      </c>
      <c r="C17" s="25" t="s">
        <v>900</v>
      </c>
      <c r="E17" s="105" t="n">
        <f aca="false">SUM(F17:S17)</f>
        <v>14713342.8362891</v>
      </c>
      <c r="F17" s="106" t="n">
        <f aca="false">F15+F16</f>
        <v>0</v>
      </c>
      <c r="G17" s="106" t="n">
        <f aca="false">G15+G16</f>
        <v>750000</v>
      </c>
      <c r="H17" s="106" t="n">
        <f aca="false">H15+H16</f>
        <v>772500</v>
      </c>
      <c r="I17" s="106" t="n">
        <f aca="false">I15+I16</f>
        <v>795675</v>
      </c>
      <c r="J17" s="106" t="n">
        <f aca="false">J15+J16</f>
        <v>1019545.25</v>
      </c>
      <c r="K17" s="106" t="n">
        <f aca="false">K15+K16</f>
        <v>1094131.6075</v>
      </c>
      <c r="L17" s="106" t="n">
        <f aca="false">L15+L16</f>
        <v>1169455.555725</v>
      </c>
      <c r="M17" s="106" t="n">
        <f aca="false">M15+M16</f>
        <v>1245539.22239675</v>
      </c>
      <c r="N17" s="106" t="n">
        <f aca="false">N15+N16</f>
        <v>1322405.39906865</v>
      </c>
      <c r="O17" s="106" t="n">
        <f aca="false">O15+O16</f>
        <v>1400077.56104071</v>
      </c>
      <c r="P17" s="106" t="n">
        <f aca="false">P15+P16</f>
        <v>1478579.88787193</v>
      </c>
      <c r="Q17" s="106" t="n">
        <f aca="false">Q15+Q16</f>
        <v>1557937.28450809</v>
      </c>
      <c r="R17" s="106" t="n">
        <f aca="false">R15+R16</f>
        <v>1038175.40304333</v>
      </c>
      <c r="S17" s="106" t="n">
        <f aca="false">S15+S16</f>
        <v>1069320.66513463</v>
      </c>
    </row>
    <row r="18" customFormat="false" ht="15" hidden="false" customHeight="false" outlineLevel="0" collapsed="false">
      <c r="B18" s="24" t="s">
        <v>1231</v>
      </c>
      <c r="C18" s="25" t="s">
        <v>905</v>
      </c>
      <c r="F18" s="31" t="n">
        <f aca="false">'E3 Belawan Input'!F30</f>
        <v>0</v>
      </c>
      <c r="G18" s="31" t="n">
        <f aca="false">'E3 Belawan Input'!G30</f>
        <v>29658</v>
      </c>
      <c r="H18" s="31" t="n">
        <f aca="false">'E3 Belawan Input'!H30</f>
        <v>29658</v>
      </c>
      <c r="I18" s="31" t="n">
        <f aca="false">'E3 Belawan Input'!I30</f>
        <v>43947.5</v>
      </c>
      <c r="J18" s="31" t="n">
        <f aca="false">'E3 Belawan Input'!J30</f>
        <v>43947.5</v>
      </c>
      <c r="K18" s="31" t="n">
        <f aca="false">'E3 Belawan Input'!K30</f>
        <v>45265.925</v>
      </c>
      <c r="L18" s="31" t="n">
        <f aca="false">'E3 Belawan Input'!L30</f>
        <v>46623.90275</v>
      </c>
      <c r="M18" s="31" t="n">
        <f aca="false">'E3 Belawan Input'!M30</f>
        <v>48022.6198325</v>
      </c>
      <c r="N18" s="31" t="n">
        <f aca="false">'E3 Belawan Input'!N30</f>
        <v>49463.298427475</v>
      </c>
      <c r="O18" s="31" t="n">
        <f aca="false">'E3 Belawan Input'!O30</f>
        <v>50947.1973797993</v>
      </c>
      <c r="P18" s="31" t="n">
        <f aca="false">'E3 Belawan Input'!P30</f>
        <v>52475.6133011932</v>
      </c>
      <c r="Q18" s="31" t="n">
        <f aca="false">'E3 Belawan Input'!Q30</f>
        <v>54049.981700229</v>
      </c>
      <c r="R18" s="31" t="n">
        <f aca="false">'E3 Belawan Input'!R30</f>
        <v>55671.4811512359</v>
      </c>
      <c r="S18" s="31" t="n">
        <f aca="false">'E3 Belawan Input'!S30</f>
        <v>57341.625585773</v>
      </c>
    </row>
    <row r="19" customFormat="false" ht="15" hidden="false" customHeight="false" outlineLevel="0" collapsed="false">
      <c r="B19" s="69" t="s">
        <v>1315</v>
      </c>
      <c r="C19" s="25" t="s">
        <v>170</v>
      </c>
      <c r="E19" s="70" t="n">
        <f aca="false">SUM(F19:S19)</f>
        <v>706.443991374042</v>
      </c>
      <c r="F19" s="68" t="n">
        <f aca="false">F17*F18/10^9</f>
        <v>0</v>
      </c>
      <c r="G19" s="68" t="n">
        <f aca="false">G17*G18/10^9</f>
        <v>22.2435</v>
      </c>
      <c r="H19" s="68" t="n">
        <f aca="false">H17*H18/10^9</f>
        <v>22.910805</v>
      </c>
      <c r="I19" s="68" t="n">
        <f aca="false">I17*I18/10^9</f>
        <v>34.9679270625</v>
      </c>
      <c r="J19" s="68" t="n">
        <f aca="false">J17*J18/10^9</f>
        <v>44.806464874375</v>
      </c>
      <c r="K19" s="68" t="n">
        <f aca="false">K17*K18/10^9</f>
        <v>49.5268792852244</v>
      </c>
      <c r="L19" s="68" t="n">
        <f aca="false">L17*L18/10^9</f>
        <v>54.5245821005696</v>
      </c>
      <c r="M19" s="68" t="n">
        <f aca="false">M17*M18/10^9</f>
        <v>59.8140565636268</v>
      </c>
      <c r="N19" s="68" t="n">
        <f aca="false">N17*N18/10^9</f>
        <v>65.4105328962369</v>
      </c>
      <c r="O19" s="68" t="n">
        <f aca="false">O17*O18/10^9</f>
        <v>71.3300278493691</v>
      </c>
      <c r="P19" s="68" t="n">
        <f aca="false">P17*P18/10^9</f>
        <v>77.5893864308892</v>
      </c>
      <c r="Q19" s="68" t="n">
        <f aca="false">Q17*Q18/10^9</f>
        <v>84.2064817177669</v>
      </c>
      <c r="R19" s="68" t="n">
        <f aca="false">R17*R18/10^9</f>
        <v>57.7967623822037</v>
      </c>
      <c r="S19" s="68" t="n">
        <f aca="false">S17*S18/10^9</f>
        <v>61.3165852112799</v>
      </c>
    </row>
    <row r="21" customFormat="false" ht="15" hidden="false" customHeight="false" outlineLevel="0" collapsed="false">
      <c r="B21" s="22" t="s">
        <v>1029</v>
      </c>
      <c r="C21" s="23"/>
      <c r="D21" s="23"/>
      <c r="E21" s="23"/>
      <c r="F21" s="23"/>
      <c r="G21" s="23"/>
      <c r="H21" s="23"/>
      <c r="I21" s="23"/>
      <c r="J21" s="23"/>
      <c r="K21" s="23"/>
      <c r="L21" s="23"/>
      <c r="M21" s="23"/>
      <c r="N21" s="23"/>
      <c r="O21" s="23"/>
      <c r="P21" s="23"/>
      <c r="Q21" s="23"/>
      <c r="R21" s="23"/>
      <c r="S21" s="23"/>
    </row>
    <row r="22" customFormat="false" ht="15" hidden="false" customHeight="false" outlineLevel="0" collapsed="false">
      <c r="B22" s="24" t="s">
        <v>1316</v>
      </c>
      <c r="C22" s="25" t="s">
        <v>1019</v>
      </c>
      <c r="F22" s="104" t="n">
        <f aca="false">1</f>
        <v>1</v>
      </c>
      <c r="G22" s="104" t="n">
        <f aca="false">F22*(1+'E3 Belawan Input'!G33)*G$8</f>
        <v>1.035</v>
      </c>
      <c r="H22" s="104" t="n">
        <f aca="false">G22*(1+'E3 Belawan Input'!H33)*H$8</f>
        <v>1.071225</v>
      </c>
      <c r="I22" s="104" t="n">
        <f aca="false">H22*(1+'E3 Belawan Input'!I33)*I$8</f>
        <v>1.108717875</v>
      </c>
      <c r="J22" s="104" t="n">
        <f aca="false">I22*(1+'E3 Belawan Input'!J33)*J$8</f>
        <v>1.147523000625</v>
      </c>
      <c r="K22" s="104" t="n">
        <f aca="false">J22*(1+'E3 Belawan Input'!K33)*K$8</f>
        <v>1.18768630564687</v>
      </c>
      <c r="L22" s="104" t="n">
        <f aca="false">K22*(1+'E3 Belawan Input'!L33)*L$8</f>
        <v>1.22925532634452</v>
      </c>
      <c r="M22" s="104" t="n">
        <f aca="false">L22*(1+'E3 Belawan Input'!M33)*M$8</f>
        <v>1.27227926276657</v>
      </c>
      <c r="N22" s="104" t="n">
        <f aca="false">M22*(1+'E3 Belawan Input'!N33)*N$8</f>
        <v>1.3168090369634</v>
      </c>
      <c r="O22" s="104" t="n">
        <f aca="false">N22*(1+'E3 Belawan Input'!O33)*O$8</f>
        <v>1.36289735325712</v>
      </c>
      <c r="P22" s="104" t="n">
        <f aca="false">O22*(1+'E3 Belawan Input'!P33)*P$8</f>
        <v>1.41059876062112</v>
      </c>
      <c r="Q22" s="104" t="n">
        <f aca="false">P22*(1+'E3 Belawan Input'!Q33)*Q$8</f>
        <v>1.45996971724286</v>
      </c>
      <c r="R22" s="104" t="n">
        <f aca="false">Q22*(1+'E3 Belawan Input'!R33)*R$8</f>
        <v>1.51106865734636</v>
      </c>
      <c r="S22" s="104" t="n">
        <f aca="false">R22*(1+'E3 Belawan Input'!S33)*S$8</f>
        <v>1.56395606035348</v>
      </c>
    </row>
    <row r="23" customFormat="false" ht="15" hidden="false" customHeight="false" outlineLevel="0" collapsed="false">
      <c r="B23" s="24" t="s">
        <v>1317</v>
      </c>
      <c r="C23" s="25" t="s">
        <v>170</v>
      </c>
      <c r="E23" s="47" t="n">
        <f aca="false">SUM(F23:S23)</f>
        <v>54.6941866320924</v>
      </c>
      <c r="F23" s="47" t="n">
        <f aca="false">'E3 Belawan Input'!$E$32*F22*F$8</f>
        <v>0</v>
      </c>
      <c r="G23" s="47" t="n">
        <f aca="false">'E3 Belawan Input'!$E$32*G22*G$8</f>
        <v>3.39440723613</v>
      </c>
      <c r="H23" s="47" t="n">
        <f aca="false">'E3 Belawan Input'!$E$32*H22*H$8</f>
        <v>3.51321148939455</v>
      </c>
      <c r="I23" s="47" t="n">
        <f aca="false">'E3 Belawan Input'!$E$32*I22*I$8</f>
        <v>3.63617389152336</v>
      </c>
      <c r="J23" s="47" t="n">
        <f aca="false">'E3 Belawan Input'!$E$32*J22*J$8</f>
        <v>3.76343997772668</v>
      </c>
      <c r="K23" s="47" t="n">
        <f aca="false">'E3 Belawan Input'!$E$32*K22*K$8</f>
        <v>3.89516037694711</v>
      </c>
      <c r="L23" s="47" t="n">
        <f aca="false">'E3 Belawan Input'!$E$32*L22*L$8</f>
        <v>4.03149099014026</v>
      </c>
      <c r="M23" s="47" t="n">
        <f aca="false">'E3 Belawan Input'!$E$32*M22*M$8</f>
        <v>4.17259317479517</v>
      </c>
      <c r="N23" s="47" t="n">
        <f aca="false">'E3 Belawan Input'!$E$32*N22*N$8</f>
        <v>4.318633935913</v>
      </c>
      <c r="O23" s="47" t="n">
        <f aca="false">'E3 Belawan Input'!$E$32*O22*O$8</f>
        <v>4.46978612366995</v>
      </c>
      <c r="P23" s="47" t="n">
        <f aca="false">'E3 Belawan Input'!$E$32*P22*P$8</f>
        <v>4.6262286379984</v>
      </c>
      <c r="Q23" s="47" t="n">
        <f aca="false">'E3 Belawan Input'!$E$32*Q22*Q$8</f>
        <v>4.78814664032834</v>
      </c>
      <c r="R23" s="47" t="n">
        <f aca="false">'E3 Belawan Input'!$E$32*R22*R$8</f>
        <v>4.95573177273983</v>
      </c>
      <c r="S23" s="47" t="n">
        <f aca="false">'E3 Belawan Input'!$E$32*S22*S$8</f>
        <v>5.12918238478573</v>
      </c>
    </row>
    <row r="24" customFormat="false" ht="15" hidden="false" customHeight="false" outlineLevel="0" collapsed="false">
      <c r="B24" s="24" t="s">
        <v>1040</v>
      </c>
      <c r="C24" s="25" t="s">
        <v>1019</v>
      </c>
      <c r="F24" s="104" t="n">
        <f aca="false">1</f>
        <v>1</v>
      </c>
      <c r="G24" s="104" t="n">
        <f aca="false">F24*(1+'E3 Belawan Input'!G35)*G$8</f>
        <v>1.035</v>
      </c>
      <c r="H24" s="104" t="n">
        <f aca="false">G24*(1+'E3 Belawan Input'!H35)*H$8</f>
        <v>1.071225</v>
      </c>
      <c r="I24" s="104" t="n">
        <f aca="false">H24*(1+'E3 Belawan Input'!I35)*I$8</f>
        <v>1.108717875</v>
      </c>
      <c r="J24" s="104" t="n">
        <f aca="false">I24*(1+'E3 Belawan Input'!J35)*J$8</f>
        <v>1.147523000625</v>
      </c>
      <c r="K24" s="104" t="n">
        <f aca="false">J24*(1+'E3 Belawan Input'!K35)*K$8</f>
        <v>1.18768630564687</v>
      </c>
      <c r="L24" s="104" t="n">
        <f aca="false">K24*(1+'E3 Belawan Input'!L35)*L$8</f>
        <v>1.22925532634452</v>
      </c>
      <c r="M24" s="104" t="n">
        <f aca="false">L24*(1+'E3 Belawan Input'!M35)*M$8</f>
        <v>1.27227926276657</v>
      </c>
      <c r="N24" s="104" t="n">
        <f aca="false">M24*(1+'E3 Belawan Input'!N35)*N$8</f>
        <v>1.3168090369634</v>
      </c>
      <c r="O24" s="104" t="n">
        <f aca="false">N24*(1+'E3 Belawan Input'!O35)*O$8</f>
        <v>1.36289735325712</v>
      </c>
      <c r="P24" s="104" t="n">
        <f aca="false">O24*(1+'E3 Belawan Input'!P35)*P$8</f>
        <v>1.41059876062112</v>
      </c>
      <c r="Q24" s="104" t="n">
        <f aca="false">P24*(1+'E3 Belawan Input'!Q35)*Q$8</f>
        <v>1.45996971724286</v>
      </c>
      <c r="R24" s="104" t="n">
        <f aca="false">Q24*(1+'E3 Belawan Input'!R35)*R$8</f>
        <v>1.51106865734636</v>
      </c>
      <c r="S24" s="104" t="n">
        <f aca="false">R24*(1+'E3 Belawan Input'!S35)*S$8</f>
        <v>1.56395606035348</v>
      </c>
    </row>
    <row r="25" customFormat="false" ht="15" hidden="false" customHeight="false" outlineLevel="0" collapsed="false">
      <c r="B25" s="24" t="s">
        <v>1041</v>
      </c>
      <c r="C25" s="25" t="s">
        <v>170</v>
      </c>
      <c r="E25" s="47" t="n">
        <f aca="false">SUM(F25:S25)</f>
        <v>32.1895426317381</v>
      </c>
      <c r="F25" s="47" t="n">
        <f aca="false">'E3 Belawan Input'!$E$34*F24*F$8</f>
        <v>0</v>
      </c>
      <c r="G25" s="47" t="n">
        <f aca="false">'E3 Belawan Input'!$E$34*G24*G$8</f>
        <v>1.99773363798</v>
      </c>
      <c r="H25" s="47" t="n">
        <f aca="false">'E3 Belawan Input'!$E$34*H24*H$8</f>
        <v>2.0676543153093</v>
      </c>
      <c r="I25" s="47" t="n">
        <f aca="false">'E3 Belawan Input'!$E$34*I24*I$8</f>
        <v>2.14002221634513</v>
      </c>
      <c r="J25" s="47" t="n">
        <f aca="false">'E3 Belawan Input'!$E$34*J24*J$8</f>
        <v>2.2149229939172</v>
      </c>
      <c r="K25" s="47" t="n">
        <f aca="false">'E3 Belawan Input'!$E$34*K24*K$8</f>
        <v>2.29244529870431</v>
      </c>
      <c r="L25" s="47" t="n">
        <f aca="false">'E3 Belawan Input'!$E$34*L24*L$8</f>
        <v>2.37268088415896</v>
      </c>
      <c r="M25" s="47" t="n">
        <f aca="false">'E3 Belawan Input'!$E$34*M24*M$8</f>
        <v>2.45572471510452</v>
      </c>
      <c r="N25" s="47" t="n">
        <f aca="false">'E3 Belawan Input'!$E$34*N24*N$8</f>
        <v>2.54167508013318</v>
      </c>
      <c r="O25" s="47" t="n">
        <f aca="false">'E3 Belawan Input'!$E$34*O24*O$8</f>
        <v>2.63063370793784</v>
      </c>
      <c r="P25" s="47" t="n">
        <f aca="false">'E3 Belawan Input'!$E$34*P24*P$8</f>
        <v>2.72270588771566</v>
      </c>
      <c r="Q25" s="47" t="n">
        <f aca="false">'E3 Belawan Input'!$E$34*Q24*Q$8</f>
        <v>2.81800059378571</v>
      </c>
      <c r="R25" s="47" t="n">
        <f aca="false">'E3 Belawan Input'!$E$34*R24*R$8</f>
        <v>2.91663061456821</v>
      </c>
      <c r="S25" s="47" t="n">
        <f aca="false">'E3 Belawan Input'!$E$34*S24*S$8</f>
        <v>3.0187126860781</v>
      </c>
    </row>
    <row r="26" customFormat="false" ht="15" hidden="false" customHeight="false" outlineLevel="0" collapsed="false">
      <c r="B26" s="24" t="s">
        <v>1036</v>
      </c>
      <c r="C26" s="25" t="s">
        <v>905</v>
      </c>
      <c r="F26" s="31" t="n">
        <f aca="false">'E3 Belawan Input'!$E$37/'E3 Belawan Input'!$E$36*10^9</f>
        <v>894.790114978402</v>
      </c>
      <c r="G26" s="31" t="n">
        <f aca="false">'E3 Belawan Input'!$E$37/'E3 Belawan Input'!$E$36*10^9</f>
        <v>894.790114978402</v>
      </c>
      <c r="H26" s="31" t="n">
        <f aca="false">'E3 Belawan Input'!$E$37/'E3 Belawan Input'!$E$36*10^9</f>
        <v>894.790114978402</v>
      </c>
      <c r="I26" s="31" t="n">
        <f aca="false">'E3 Belawan Input'!$E$37/'E3 Belawan Input'!$E$36*10^9</f>
        <v>894.790114978402</v>
      </c>
      <c r="J26" s="31" t="n">
        <f aca="false">'E3 Belawan Input'!$E$37/'E3 Belawan Input'!$E$36*10^9</f>
        <v>894.790114978402</v>
      </c>
      <c r="K26" s="31" t="n">
        <f aca="false">'E3 Belawan Input'!$E$37/'E3 Belawan Input'!$E$36*10^9</f>
        <v>894.790114978402</v>
      </c>
      <c r="L26" s="31" t="n">
        <f aca="false">'E3 Belawan Input'!$E$37/'E3 Belawan Input'!$E$36*10^9</f>
        <v>894.790114978402</v>
      </c>
      <c r="M26" s="31" t="n">
        <f aca="false">'E3 Belawan Input'!$E$37/'E3 Belawan Input'!$E$36*10^9</f>
        <v>894.790114978402</v>
      </c>
      <c r="N26" s="31" t="n">
        <f aca="false">'E3 Belawan Input'!$E$37/'E3 Belawan Input'!$E$36*10^9</f>
        <v>894.790114978402</v>
      </c>
      <c r="O26" s="31" t="n">
        <f aca="false">'E3 Belawan Input'!$E$37/'E3 Belawan Input'!$E$36*10^9</f>
        <v>894.790114978402</v>
      </c>
      <c r="P26" s="31" t="n">
        <f aca="false">'E3 Belawan Input'!$E$37/'E3 Belawan Input'!$E$36*10^9</f>
        <v>894.790114978402</v>
      </c>
      <c r="Q26" s="31" t="n">
        <f aca="false">'E3 Belawan Input'!$E$37/'E3 Belawan Input'!$E$36*10^9</f>
        <v>894.790114978402</v>
      </c>
      <c r="R26" s="31" t="n">
        <f aca="false">'E3 Belawan Input'!$E$37/'E3 Belawan Input'!$E$36*10^9</f>
        <v>894.790114978402</v>
      </c>
      <c r="S26" s="31" t="n">
        <f aca="false">'E3 Belawan Input'!$E$37/'E3 Belawan Input'!$E$36*10^9</f>
        <v>894.790114978402</v>
      </c>
    </row>
    <row r="27" customFormat="false" ht="15" hidden="false" customHeight="false" outlineLevel="0" collapsed="false">
      <c r="B27" s="24" t="s">
        <v>1037</v>
      </c>
      <c r="C27" s="25" t="s">
        <v>1019</v>
      </c>
      <c r="F27" s="104" t="n">
        <f aca="false">1</f>
        <v>1</v>
      </c>
      <c r="G27" s="104" t="n">
        <f aca="false">F27*(1+'E3 Belawan Input'!G38)*G$8</f>
        <v>1.03</v>
      </c>
      <c r="H27" s="104" t="n">
        <f aca="false">G27*(1+'E3 Belawan Input'!H38)*H$8</f>
        <v>1.0609</v>
      </c>
      <c r="I27" s="104" t="n">
        <f aca="false">H27*(1+'E3 Belawan Input'!I38)*I$8</f>
        <v>1.092727</v>
      </c>
      <c r="J27" s="104" t="n">
        <f aca="false">I27*(1+'E3 Belawan Input'!J38)*J$8</f>
        <v>1.12550881</v>
      </c>
      <c r="K27" s="104" t="n">
        <f aca="false">J27*(1+'E3 Belawan Input'!K38)*K$8</f>
        <v>1.1592740743</v>
      </c>
      <c r="L27" s="104" t="n">
        <f aca="false">K27*(1+'E3 Belawan Input'!L38)*L$8</f>
        <v>1.194052296529</v>
      </c>
      <c r="M27" s="104" t="n">
        <f aca="false">L27*(1+'E3 Belawan Input'!M38)*M$8</f>
        <v>1.22987386542487</v>
      </c>
      <c r="N27" s="104" t="n">
        <f aca="false">M27*(1+'E3 Belawan Input'!N38)*N$8</f>
        <v>1.26677008138762</v>
      </c>
      <c r="O27" s="104" t="n">
        <f aca="false">N27*(1+'E3 Belawan Input'!O38)*O$8</f>
        <v>1.30477318382925</v>
      </c>
      <c r="P27" s="104" t="n">
        <f aca="false">O27*(1+'E3 Belawan Input'!P38)*P$8</f>
        <v>1.34391637934412</v>
      </c>
      <c r="Q27" s="104" t="n">
        <f aca="false">P27*(1+'E3 Belawan Input'!Q38)*Q$8</f>
        <v>1.38423387072445</v>
      </c>
      <c r="R27" s="104" t="n">
        <f aca="false">Q27*(1+'E3 Belawan Input'!R38)*R$8</f>
        <v>1.42576088684618</v>
      </c>
      <c r="S27" s="104" t="n">
        <f aca="false">R27*(1+'E3 Belawan Input'!S38)*S$8</f>
        <v>1.46853371345156</v>
      </c>
    </row>
    <row r="28" customFormat="false" ht="15" hidden="false" customHeight="false" outlineLevel="0" collapsed="false">
      <c r="B28" s="24" t="s">
        <v>1038</v>
      </c>
      <c r="C28" s="25" t="s">
        <v>905</v>
      </c>
      <c r="F28" s="31" t="n">
        <f aca="false">F26*F27</f>
        <v>894.790114978402</v>
      </c>
      <c r="G28" s="31" t="n">
        <f aca="false">G26*G27</f>
        <v>921.633818427754</v>
      </c>
      <c r="H28" s="31" t="n">
        <f aca="false">H26*H27</f>
        <v>949.282832980587</v>
      </c>
      <c r="I28" s="31" t="n">
        <f aca="false">I26*I27</f>
        <v>977.761317970005</v>
      </c>
      <c r="J28" s="31" t="n">
        <f aca="false">J26*J27</f>
        <v>1007.0941575091</v>
      </c>
      <c r="K28" s="31" t="n">
        <f aca="false">K26*K27</f>
        <v>1037.30698223438</v>
      </c>
      <c r="L28" s="31" t="n">
        <f aca="false">L26*L27</f>
        <v>1068.42619170141</v>
      </c>
      <c r="M28" s="31" t="n">
        <f aca="false">M26*M27</f>
        <v>1100.47897745245</v>
      </c>
      <c r="N28" s="31" t="n">
        <f aca="false">N26*N27</f>
        <v>1133.49334677603</v>
      </c>
      <c r="O28" s="31" t="n">
        <f aca="false">O26*O27</f>
        <v>1167.49814717931</v>
      </c>
      <c r="P28" s="31" t="n">
        <f aca="false">P26*P27</f>
        <v>1202.52309159469</v>
      </c>
      <c r="Q28" s="31" t="n">
        <f aca="false">Q26*Q27</f>
        <v>1238.59878434253</v>
      </c>
      <c r="R28" s="31" t="n">
        <f aca="false">R26*R27</f>
        <v>1275.7567478728</v>
      </c>
      <c r="S28" s="31" t="n">
        <f aca="false">S26*S27</f>
        <v>1314.02945030899</v>
      </c>
    </row>
    <row r="29" customFormat="false" ht="15" hidden="false" customHeight="false" outlineLevel="0" collapsed="false">
      <c r="B29" s="24" t="s">
        <v>1039</v>
      </c>
      <c r="C29" s="25" t="s">
        <v>170</v>
      </c>
      <c r="E29" s="47" t="n">
        <f aca="false">SUM(F29:S29)</f>
        <v>16.5552111714492</v>
      </c>
      <c r="F29" s="47" t="n">
        <f aca="false">F28*F17/10^9</f>
        <v>0</v>
      </c>
      <c r="G29" s="47" t="n">
        <f aca="false">G28*G17/10^9</f>
        <v>0.691225363820816</v>
      </c>
      <c r="H29" s="47" t="n">
        <f aca="false">H28*H17/10^9</f>
        <v>0.733320988477503</v>
      </c>
      <c r="I29" s="47" t="n">
        <f aca="false">I28*I17/10^9</f>
        <v>0.777980236675783</v>
      </c>
      <c r="J29" s="47" t="n">
        <f aca="false">J28*J17/10^9</f>
        <v>1.02677806459116</v>
      </c>
      <c r="K29" s="47" t="n">
        <f aca="false">K28*K17/10^9</f>
        <v>1.13495035594307</v>
      </c>
      <c r="L29" s="47" t="n">
        <f aca="false">L28*L17/10^9</f>
        <v>1.24947694576732</v>
      </c>
      <c r="M29" s="47" t="n">
        <f aca="false">M28*M17/10^9</f>
        <v>1.3706897298401</v>
      </c>
      <c r="N29" s="47" t="n">
        <f aca="false">N28*N17/10^9</f>
        <v>1.49893772158501</v>
      </c>
      <c r="O29" s="47" t="n">
        <f aca="false">O28*O17/10^9</f>
        <v>1.63458795842235</v>
      </c>
      <c r="P29" s="47" t="n">
        <f aca="false">P28*P17/10^9</f>
        <v>1.77802645793348</v>
      </c>
      <c r="Q29" s="47" t="n">
        <f aca="false">Q28*Q17/10^9</f>
        <v>1.92965922667362</v>
      </c>
      <c r="R29" s="47" t="n">
        <f aca="false">R28*R17/10^9</f>
        <v>1.3244592759081</v>
      </c>
      <c r="S29" s="47" t="n">
        <f aca="false">S28*S17/10^9</f>
        <v>1.4051188458109</v>
      </c>
    </row>
    <row r="30" customFormat="false" ht="15" hidden="false" customHeight="false" outlineLevel="0" collapsed="false">
      <c r="B30" s="24" t="s">
        <v>1318</v>
      </c>
      <c r="C30" s="25" t="s">
        <v>905</v>
      </c>
      <c r="F30" s="31" t="n">
        <f aca="false">'E3 Belawan Input'!$E$39/'E3 Belawan Input'!$E$36*10^9</f>
        <v>683.825043184631</v>
      </c>
      <c r="G30" s="31" t="n">
        <f aca="false">'E3 Belawan Input'!$E$39/'E3 Belawan Input'!$E$36*10^9</f>
        <v>683.825043184631</v>
      </c>
      <c r="H30" s="31" t="n">
        <f aca="false">'E3 Belawan Input'!$E$39/'E3 Belawan Input'!$E$36*10^9</f>
        <v>683.825043184631</v>
      </c>
      <c r="I30" s="31" t="n">
        <f aca="false">'E3 Belawan Input'!$E$39/'E3 Belawan Input'!$E$36*10^9</f>
        <v>683.825043184631</v>
      </c>
      <c r="J30" s="31" t="n">
        <f aca="false">'E3 Belawan Input'!$E$39/'E3 Belawan Input'!$E$36*10^9</f>
        <v>683.825043184631</v>
      </c>
      <c r="K30" s="31" t="n">
        <f aca="false">'E3 Belawan Input'!$E$39/'E3 Belawan Input'!$E$36*10^9</f>
        <v>683.825043184631</v>
      </c>
      <c r="L30" s="31" t="n">
        <f aca="false">'E3 Belawan Input'!$E$39/'E3 Belawan Input'!$E$36*10^9</f>
        <v>683.825043184631</v>
      </c>
      <c r="M30" s="31" t="n">
        <f aca="false">'E3 Belawan Input'!$E$39/'E3 Belawan Input'!$E$36*10^9</f>
        <v>683.825043184631</v>
      </c>
      <c r="N30" s="31" t="n">
        <f aca="false">'E3 Belawan Input'!$E$39/'E3 Belawan Input'!$E$36*10^9</f>
        <v>683.825043184631</v>
      </c>
      <c r="O30" s="31" t="n">
        <f aca="false">'E3 Belawan Input'!$E$39/'E3 Belawan Input'!$E$36*10^9</f>
        <v>683.825043184631</v>
      </c>
      <c r="P30" s="31" t="n">
        <f aca="false">'E3 Belawan Input'!$E$39/'E3 Belawan Input'!$E$36*10^9</f>
        <v>683.825043184631</v>
      </c>
      <c r="Q30" s="31" t="n">
        <f aca="false">'E3 Belawan Input'!$E$39/'E3 Belawan Input'!$E$36*10^9</f>
        <v>683.825043184631</v>
      </c>
      <c r="R30" s="31" t="n">
        <f aca="false">'E3 Belawan Input'!$E$39/'E3 Belawan Input'!$E$36*10^9</f>
        <v>683.825043184631</v>
      </c>
      <c r="S30" s="31" t="n">
        <f aca="false">'E3 Belawan Input'!$E$39/'E3 Belawan Input'!$E$36*10^9</f>
        <v>683.825043184631</v>
      </c>
    </row>
    <row r="31" customFormat="false" ht="15" hidden="false" customHeight="false" outlineLevel="0" collapsed="false">
      <c r="B31" s="24" t="s">
        <v>1319</v>
      </c>
      <c r="C31" s="25" t="s">
        <v>1019</v>
      </c>
      <c r="F31" s="104" t="n">
        <f aca="false">1</f>
        <v>1</v>
      </c>
      <c r="G31" s="104" t="n">
        <f aca="false">F31*(1+'E3 Belawan Input'!G40)*G$8</f>
        <v>1.03</v>
      </c>
      <c r="H31" s="104" t="n">
        <f aca="false">G31*(1+'E3 Belawan Input'!H40)*H$8</f>
        <v>1.0609</v>
      </c>
      <c r="I31" s="104" t="n">
        <f aca="false">H31*(1+'E3 Belawan Input'!I40)*I$8</f>
        <v>1.092727</v>
      </c>
      <c r="J31" s="104" t="n">
        <f aca="false">I31*(1+'E3 Belawan Input'!J40)*J$8</f>
        <v>1.12550881</v>
      </c>
      <c r="K31" s="104" t="n">
        <f aca="false">J31*(1+'E3 Belawan Input'!K40)*K$8</f>
        <v>1.1592740743</v>
      </c>
      <c r="L31" s="104" t="n">
        <f aca="false">K31*(1+'E3 Belawan Input'!L40)*L$8</f>
        <v>1.194052296529</v>
      </c>
      <c r="M31" s="104" t="n">
        <f aca="false">L31*(1+'E3 Belawan Input'!M40)*M$8</f>
        <v>1.22987386542487</v>
      </c>
      <c r="N31" s="104" t="n">
        <f aca="false">M31*(1+'E3 Belawan Input'!N40)*N$8</f>
        <v>1.26677008138762</v>
      </c>
      <c r="O31" s="104" t="n">
        <f aca="false">N31*(1+'E3 Belawan Input'!O40)*O$8</f>
        <v>1.30477318382925</v>
      </c>
      <c r="P31" s="104" t="n">
        <f aca="false">O31*(1+'E3 Belawan Input'!P40)*P$8</f>
        <v>1.34391637934412</v>
      </c>
      <c r="Q31" s="104" t="n">
        <f aca="false">P31*(1+'E3 Belawan Input'!Q40)*Q$8</f>
        <v>1.38423387072445</v>
      </c>
      <c r="R31" s="104" t="n">
        <f aca="false">Q31*(1+'E3 Belawan Input'!R40)*R$8</f>
        <v>1.42576088684618</v>
      </c>
      <c r="S31" s="104" t="n">
        <f aca="false">R31*(1+'E3 Belawan Input'!S40)*S$8</f>
        <v>1.46853371345156</v>
      </c>
    </row>
    <row r="32" customFormat="false" ht="15" hidden="false" customHeight="false" outlineLevel="0" collapsed="false">
      <c r="B32" s="24" t="s">
        <v>1320</v>
      </c>
      <c r="C32" s="25" t="s">
        <v>905</v>
      </c>
      <c r="F32" s="31" t="n">
        <f aca="false">F30*F31</f>
        <v>683.825043184631</v>
      </c>
      <c r="G32" s="31" t="n">
        <f aca="false">G30*G31</f>
        <v>704.33979448017</v>
      </c>
      <c r="H32" s="31" t="n">
        <f aca="false">H30*H31</f>
        <v>725.469988314575</v>
      </c>
      <c r="I32" s="31" t="n">
        <f aca="false">I30*I31</f>
        <v>747.234087964012</v>
      </c>
      <c r="J32" s="31" t="n">
        <f aca="false">J30*J31</f>
        <v>769.651110602933</v>
      </c>
      <c r="K32" s="31" t="n">
        <f aca="false">K30*K31</f>
        <v>792.740643921021</v>
      </c>
      <c r="L32" s="31" t="n">
        <f aca="false">L30*L31</f>
        <v>816.522863238651</v>
      </c>
      <c r="M32" s="31" t="n">
        <f aca="false">M30*M31</f>
        <v>841.018549135811</v>
      </c>
      <c r="N32" s="31" t="n">
        <f aca="false">N30*N31</f>
        <v>866.249105609885</v>
      </c>
      <c r="O32" s="31" t="n">
        <f aca="false">O30*O31</f>
        <v>892.236578778182</v>
      </c>
      <c r="P32" s="31" t="n">
        <f aca="false">P30*P31</f>
        <v>919.003676141527</v>
      </c>
      <c r="Q32" s="31" t="n">
        <f aca="false">Q30*Q31</f>
        <v>946.573786425773</v>
      </c>
      <c r="R32" s="31" t="n">
        <f aca="false">R30*R31</f>
        <v>974.971000018546</v>
      </c>
      <c r="S32" s="31" t="n">
        <f aca="false">S30*S31</f>
        <v>1004.2201300191</v>
      </c>
    </row>
    <row r="33" customFormat="false" ht="15" hidden="false" customHeight="false" outlineLevel="0" collapsed="false">
      <c r="B33" s="24" t="s">
        <v>1321</v>
      </c>
      <c r="C33" s="25" t="s">
        <v>170</v>
      </c>
      <c r="E33" s="47" t="n">
        <f aca="false">SUM(F33:S33)</f>
        <v>12.6519815147044</v>
      </c>
      <c r="F33" s="47" t="n">
        <f aca="false">F32*F17/10^9</f>
        <v>0</v>
      </c>
      <c r="G33" s="47" t="n">
        <f aca="false">G32*G17/10^9</f>
        <v>0.528254845860127</v>
      </c>
      <c r="H33" s="47" t="n">
        <f aca="false">H32*H17/10^9</f>
        <v>0.560425565973009</v>
      </c>
      <c r="I33" s="47" t="n">
        <f aca="false">I32*I17/10^9</f>
        <v>0.594555482940765</v>
      </c>
      <c r="J33" s="47" t="n">
        <f aca="false">J32*J17/10^9</f>
        <v>0.784694133972445</v>
      </c>
      <c r="K33" s="47" t="n">
        <f aca="false">K32*K17/10^9</f>
        <v>0.867362595063892</v>
      </c>
      <c r="L33" s="47" t="n">
        <f aca="false">L32*L17/10^9</f>
        <v>0.954887198790925</v>
      </c>
      <c r="M33" s="47" t="n">
        <f aca="false">M32*M17/10^9</f>
        <v>1.04752158971186</v>
      </c>
      <c r="N33" s="47" t="n">
        <f aca="false">N32*N17/10^9</f>
        <v>1.1455324941969</v>
      </c>
      <c r="O33" s="47" t="n">
        <f aca="false">O32*O17/10^9</f>
        <v>1.24920041308707</v>
      </c>
      <c r="P33" s="47" t="n">
        <f aca="false">P32*P17/10^9</f>
        <v>1.35882035242323</v>
      </c>
      <c r="Q33" s="47" t="n">
        <f aca="false">Q32*Q17/10^9</f>
        <v>1.47470259441071</v>
      </c>
      <c r="R33" s="47" t="n">
        <f aca="false">R32*R17/10^9</f>
        <v>1.01219091089982</v>
      </c>
      <c r="S33" s="47" t="n">
        <f aca="false">S32*S17/10^9</f>
        <v>1.07383333737362</v>
      </c>
    </row>
    <row r="34" customFormat="false" ht="15" hidden="false" customHeight="false" outlineLevel="0" collapsed="false">
      <c r="B34" s="24" t="s">
        <v>1322</v>
      </c>
      <c r="C34" s="25" t="s">
        <v>170</v>
      </c>
      <c r="E34" s="47" t="n">
        <f aca="false">SUM(F34:S34)</f>
        <v>17.661099784351</v>
      </c>
      <c r="F34" s="47" t="n">
        <f aca="false">F19*'E3 Belawan Input'!F41</f>
        <v>0</v>
      </c>
      <c r="G34" s="47" t="n">
        <f aca="false">G19*'E3 Belawan Input'!G41</f>
        <v>0.5560875</v>
      </c>
      <c r="H34" s="47" t="n">
        <f aca="false">H19*'E3 Belawan Input'!H41</f>
        <v>0.572770125</v>
      </c>
      <c r="I34" s="47" t="n">
        <f aca="false">I19*'E3 Belawan Input'!I41</f>
        <v>0.8741981765625</v>
      </c>
      <c r="J34" s="47" t="n">
        <f aca="false">J19*'E3 Belawan Input'!J41</f>
        <v>1.12016162185938</v>
      </c>
      <c r="K34" s="47" t="n">
        <f aca="false">K19*'E3 Belawan Input'!K41</f>
        <v>1.23817198213061</v>
      </c>
      <c r="L34" s="47" t="n">
        <f aca="false">L19*'E3 Belawan Input'!L41</f>
        <v>1.36311455251424</v>
      </c>
      <c r="M34" s="47" t="n">
        <f aca="false">M19*'E3 Belawan Input'!M41</f>
        <v>1.49535141409067</v>
      </c>
      <c r="N34" s="47" t="n">
        <f aca="false">N19*'E3 Belawan Input'!N41</f>
        <v>1.63526332240592</v>
      </c>
      <c r="O34" s="47" t="n">
        <f aca="false">O19*'E3 Belawan Input'!O41</f>
        <v>1.78325069623423</v>
      </c>
      <c r="P34" s="47" t="n">
        <f aca="false">P19*'E3 Belawan Input'!P41</f>
        <v>1.93973466077223</v>
      </c>
      <c r="Q34" s="47" t="n">
        <f aca="false">Q19*'E3 Belawan Input'!Q41</f>
        <v>2.10516204294417</v>
      </c>
      <c r="R34" s="47" t="n">
        <f aca="false">R19*'E3 Belawan Input'!R41</f>
        <v>1.44491905955509</v>
      </c>
      <c r="S34" s="47" t="n">
        <f aca="false">S19*'E3 Belawan Input'!S41</f>
        <v>1.532914630282</v>
      </c>
    </row>
    <row r="35" customFormat="false" ht="15" hidden="false" customHeight="false" outlineLevel="0" collapsed="false">
      <c r="B35" s="24" t="s">
        <v>1055</v>
      </c>
      <c r="C35" s="25" t="s">
        <v>905</v>
      </c>
      <c r="F35" s="31" t="n">
        <f aca="false">'E3 Belawan Input'!$E$42/'E3 Belawan Input'!$E$36*10^9</f>
        <v>446.811544395101</v>
      </c>
      <c r="G35" s="31" t="n">
        <f aca="false">'E3 Belawan Input'!$E$42/'E3 Belawan Input'!$E$36*10^9</f>
        <v>446.811544395101</v>
      </c>
      <c r="H35" s="31" t="n">
        <f aca="false">'E3 Belawan Input'!$E$42/'E3 Belawan Input'!$E$36*10^9</f>
        <v>446.811544395101</v>
      </c>
      <c r="I35" s="31" t="n">
        <f aca="false">'E3 Belawan Input'!$E$42/'E3 Belawan Input'!$E$36*10^9</f>
        <v>446.811544395101</v>
      </c>
      <c r="J35" s="31" t="n">
        <f aca="false">'E3 Belawan Input'!$E$42/'E3 Belawan Input'!$E$36*10^9</f>
        <v>446.811544395101</v>
      </c>
      <c r="K35" s="31" t="n">
        <f aca="false">'E3 Belawan Input'!$E$42/'E3 Belawan Input'!$E$36*10^9</f>
        <v>446.811544395101</v>
      </c>
      <c r="L35" s="31" t="n">
        <f aca="false">'E3 Belawan Input'!$E$42/'E3 Belawan Input'!$E$36*10^9</f>
        <v>446.811544395101</v>
      </c>
      <c r="M35" s="31" t="n">
        <f aca="false">'E3 Belawan Input'!$E$42/'E3 Belawan Input'!$E$36*10^9</f>
        <v>446.811544395101</v>
      </c>
      <c r="N35" s="31" t="n">
        <f aca="false">'E3 Belawan Input'!$E$42/'E3 Belawan Input'!$E$36*10^9</f>
        <v>446.811544395101</v>
      </c>
      <c r="O35" s="31" t="n">
        <f aca="false">'E3 Belawan Input'!$E$42/'E3 Belawan Input'!$E$36*10^9</f>
        <v>446.811544395101</v>
      </c>
      <c r="P35" s="31" t="n">
        <f aca="false">'E3 Belawan Input'!$E$42/'E3 Belawan Input'!$E$36*10^9</f>
        <v>446.811544395101</v>
      </c>
      <c r="Q35" s="31" t="n">
        <f aca="false">'E3 Belawan Input'!$E$42/'E3 Belawan Input'!$E$36*10^9</f>
        <v>446.811544395101</v>
      </c>
      <c r="R35" s="31" t="n">
        <f aca="false">'E3 Belawan Input'!$E$42/'E3 Belawan Input'!$E$36*10^9</f>
        <v>446.811544395101</v>
      </c>
      <c r="S35" s="31" t="n">
        <f aca="false">'E3 Belawan Input'!$E$42/'E3 Belawan Input'!$E$36*10^9</f>
        <v>446.811544395101</v>
      </c>
    </row>
    <row r="36" customFormat="false" ht="15" hidden="false" customHeight="false" outlineLevel="0" collapsed="false">
      <c r="B36" s="24" t="s">
        <v>1056</v>
      </c>
      <c r="C36" s="25" t="s">
        <v>1019</v>
      </c>
      <c r="F36" s="104" t="n">
        <f aca="false">1</f>
        <v>1</v>
      </c>
      <c r="G36" s="104" t="n">
        <f aca="false">F36*(1+'E3 Belawan Input'!G43)*G$8</f>
        <v>1.03</v>
      </c>
      <c r="H36" s="104" t="n">
        <f aca="false">G36*(1+'E3 Belawan Input'!H43)*H$8</f>
        <v>1.0609</v>
      </c>
      <c r="I36" s="104" t="n">
        <f aca="false">H36*(1+'E3 Belawan Input'!I43)*I$8</f>
        <v>1.092727</v>
      </c>
      <c r="J36" s="104" t="n">
        <f aca="false">I36*(1+'E3 Belawan Input'!J43)*J$8</f>
        <v>1.12550881</v>
      </c>
      <c r="K36" s="104" t="n">
        <f aca="false">J36*(1+'E3 Belawan Input'!K43)*K$8</f>
        <v>1.1592740743</v>
      </c>
      <c r="L36" s="104" t="n">
        <f aca="false">K36*(1+'E3 Belawan Input'!L43)*L$8</f>
        <v>1.194052296529</v>
      </c>
      <c r="M36" s="104" t="n">
        <f aca="false">L36*(1+'E3 Belawan Input'!M43)*M$8</f>
        <v>1.22987386542487</v>
      </c>
      <c r="N36" s="104" t="n">
        <f aca="false">M36*(1+'E3 Belawan Input'!N43)*N$8</f>
        <v>1.26677008138762</v>
      </c>
      <c r="O36" s="104" t="n">
        <f aca="false">N36*(1+'E3 Belawan Input'!O43)*O$8</f>
        <v>1.30477318382925</v>
      </c>
      <c r="P36" s="104" t="n">
        <f aca="false">O36*(1+'E3 Belawan Input'!P43)*P$8</f>
        <v>1.34391637934412</v>
      </c>
      <c r="Q36" s="104" t="n">
        <f aca="false">P36*(1+'E3 Belawan Input'!Q43)*Q$8</f>
        <v>1.38423387072445</v>
      </c>
      <c r="R36" s="104" t="n">
        <f aca="false">Q36*(1+'E3 Belawan Input'!R43)*R$8</f>
        <v>1.42576088684618</v>
      </c>
      <c r="S36" s="104" t="n">
        <f aca="false">R36*(1+'E3 Belawan Input'!S43)*S$8</f>
        <v>1.46853371345156</v>
      </c>
    </row>
    <row r="37" customFormat="false" ht="15" hidden="false" customHeight="false" outlineLevel="0" collapsed="false">
      <c r="B37" s="24" t="s">
        <v>1057</v>
      </c>
      <c r="C37" s="25" t="s">
        <v>905</v>
      </c>
      <c r="F37" s="31" t="n">
        <f aca="false">F35*F36</f>
        <v>446.811544395101</v>
      </c>
      <c r="G37" s="31" t="n">
        <f aca="false">G35*G36</f>
        <v>460.215890726954</v>
      </c>
      <c r="H37" s="31" t="n">
        <f aca="false">H35*H36</f>
        <v>474.022367448763</v>
      </c>
      <c r="I37" s="31" t="n">
        <f aca="false">I35*I36</f>
        <v>488.243038472225</v>
      </c>
      <c r="J37" s="31" t="n">
        <f aca="false">J35*J36</f>
        <v>502.890329626392</v>
      </c>
      <c r="K37" s="31" t="n">
        <f aca="false">K35*K36</f>
        <v>517.977039515184</v>
      </c>
      <c r="L37" s="31" t="n">
        <f aca="false">L35*L36</f>
        <v>533.51635070064</v>
      </c>
      <c r="M37" s="31" t="n">
        <f aca="false">M35*M36</f>
        <v>549.521841221659</v>
      </c>
      <c r="N37" s="31" t="n">
        <f aca="false">N35*N36</f>
        <v>566.007496458309</v>
      </c>
      <c r="O37" s="31" t="n">
        <f aca="false">O35*O36</f>
        <v>582.987721352058</v>
      </c>
      <c r="P37" s="31" t="n">
        <f aca="false">P35*P36</f>
        <v>600.47735299262</v>
      </c>
      <c r="Q37" s="31" t="n">
        <f aca="false">Q35*Q36</f>
        <v>618.491673582398</v>
      </c>
      <c r="R37" s="31" t="n">
        <f aca="false">R35*R36</f>
        <v>637.04642378987</v>
      </c>
      <c r="S37" s="31" t="n">
        <f aca="false">S35*S36</f>
        <v>656.157816503566</v>
      </c>
    </row>
    <row r="38" customFormat="false" ht="15" hidden="false" customHeight="false" outlineLevel="0" collapsed="false">
      <c r="B38" s="24" t="s">
        <v>1058</v>
      </c>
      <c r="C38" s="25" t="s">
        <v>170</v>
      </c>
      <c r="E38" s="47" t="n">
        <f aca="false">SUM(F38:S38)</f>
        <v>8.26680955397099</v>
      </c>
      <c r="F38" s="47" t="n">
        <f aca="false">F37*F17/10^9</f>
        <v>0</v>
      </c>
      <c r="G38" s="47" t="n">
        <f aca="false">G37*G17/10^9</f>
        <v>0.345161918045216</v>
      </c>
      <c r="H38" s="47" t="n">
        <f aca="false">H37*H17/10^9</f>
        <v>0.366182278854169</v>
      </c>
      <c r="I38" s="47" t="n">
        <f aca="false">I37*I17/10^9</f>
        <v>0.388482779636388</v>
      </c>
      <c r="J38" s="47" t="n">
        <f aca="false">J37*J17/10^9</f>
        <v>0.512719446841523</v>
      </c>
      <c r="K38" s="47" t="n">
        <f aca="false">K37*K17/10^9</f>
        <v>0.566735050892839</v>
      </c>
      <c r="L38" s="47" t="n">
        <f aca="false">L37*L17/10^9</f>
        <v>0.623923660396991</v>
      </c>
      <c r="M38" s="47" t="n">
        <f aca="false">M37*M17/10^9</f>
        <v>0.684451006805255</v>
      </c>
      <c r="N38" s="47" t="n">
        <f aca="false">N37*N17/10^9</f>
        <v>0.748491369229799</v>
      </c>
      <c r="O38" s="47" t="n">
        <f aca="false">O37*O17/10^9</f>
        <v>0.816228027027271</v>
      </c>
      <c r="P38" s="47" t="n">
        <f aca="false">P37*P17/10^9</f>
        <v>0.887853737257463</v>
      </c>
      <c r="Q38" s="47" t="n">
        <f aca="false">Q37*Q17/10^9</f>
        <v>0.963571238431826</v>
      </c>
      <c r="R38" s="47" t="n">
        <f aca="false">R37*R17/10^9</f>
        <v>0.661365927775363</v>
      </c>
      <c r="S38" s="47" t="n">
        <f aca="false">S37*S17/10^9</f>
        <v>0.701643112776883</v>
      </c>
    </row>
    <row r="39" customFormat="false" ht="15" hidden="false" customHeight="false" outlineLevel="0" collapsed="false">
      <c r="B39" s="24" t="s">
        <v>1042</v>
      </c>
      <c r="C39" s="25" t="s">
        <v>905</v>
      </c>
      <c r="F39" s="31" t="n">
        <f aca="false">'E3 Belawan Input'!$E$44/'E3 Belawan Input'!$E$36*10^9</f>
        <v>310.562910243156</v>
      </c>
      <c r="G39" s="31" t="n">
        <f aca="false">'E3 Belawan Input'!$E$44/'E3 Belawan Input'!$E$36*10^9</f>
        <v>310.562910243156</v>
      </c>
      <c r="H39" s="31" t="n">
        <f aca="false">'E3 Belawan Input'!$E$44/'E3 Belawan Input'!$E$36*10^9</f>
        <v>310.562910243156</v>
      </c>
      <c r="I39" s="31" t="n">
        <f aca="false">'E3 Belawan Input'!$E$44/'E3 Belawan Input'!$E$36*10^9</f>
        <v>310.562910243156</v>
      </c>
      <c r="J39" s="31" t="n">
        <f aca="false">'E3 Belawan Input'!$E$44/'E3 Belawan Input'!$E$36*10^9</f>
        <v>310.562910243156</v>
      </c>
      <c r="K39" s="31" t="n">
        <f aca="false">'E3 Belawan Input'!$E$44/'E3 Belawan Input'!$E$36*10^9</f>
        <v>310.562910243156</v>
      </c>
      <c r="L39" s="31" t="n">
        <f aca="false">'E3 Belawan Input'!$E$44/'E3 Belawan Input'!$E$36*10^9</f>
        <v>310.562910243156</v>
      </c>
      <c r="M39" s="31" t="n">
        <f aca="false">'E3 Belawan Input'!$E$44/'E3 Belawan Input'!$E$36*10^9</f>
        <v>310.562910243156</v>
      </c>
      <c r="N39" s="31" t="n">
        <f aca="false">'E3 Belawan Input'!$E$44/'E3 Belawan Input'!$E$36*10^9</f>
        <v>310.562910243156</v>
      </c>
      <c r="O39" s="31" t="n">
        <f aca="false">'E3 Belawan Input'!$E$44/'E3 Belawan Input'!$E$36*10^9</f>
        <v>310.562910243156</v>
      </c>
      <c r="P39" s="31" t="n">
        <f aca="false">'E3 Belawan Input'!$E$44/'E3 Belawan Input'!$E$36*10^9</f>
        <v>310.562910243156</v>
      </c>
      <c r="Q39" s="31" t="n">
        <f aca="false">'E3 Belawan Input'!$E$44/'E3 Belawan Input'!$E$36*10^9</f>
        <v>310.562910243156</v>
      </c>
      <c r="R39" s="31" t="n">
        <f aca="false">'E3 Belawan Input'!$E$44/'E3 Belawan Input'!$E$36*10^9</f>
        <v>310.562910243156</v>
      </c>
      <c r="S39" s="31" t="n">
        <f aca="false">'E3 Belawan Input'!$E$44/'E3 Belawan Input'!$E$36*10^9</f>
        <v>310.562910243156</v>
      </c>
    </row>
    <row r="40" customFormat="false" ht="15" hidden="false" customHeight="false" outlineLevel="0" collapsed="false">
      <c r="B40" s="24" t="s">
        <v>1043</v>
      </c>
      <c r="C40" s="25" t="s">
        <v>1019</v>
      </c>
      <c r="F40" s="104" t="n">
        <f aca="false">1</f>
        <v>1</v>
      </c>
      <c r="G40" s="104" t="n">
        <f aca="false">F40*(1+'E3 Belawan Input'!G45)*G$8</f>
        <v>1.03</v>
      </c>
      <c r="H40" s="104" t="n">
        <f aca="false">G40*(1+'E3 Belawan Input'!H45)*H$8</f>
        <v>1.0609</v>
      </c>
      <c r="I40" s="104" t="n">
        <f aca="false">H40*(1+'E3 Belawan Input'!I45)*I$8</f>
        <v>1.092727</v>
      </c>
      <c r="J40" s="104" t="n">
        <f aca="false">I40*(1+'E3 Belawan Input'!J45)*J$8</f>
        <v>1.12550881</v>
      </c>
      <c r="K40" s="104" t="n">
        <f aca="false">J40*(1+'E3 Belawan Input'!K45)*K$8</f>
        <v>1.1592740743</v>
      </c>
      <c r="L40" s="104" t="n">
        <f aca="false">K40*(1+'E3 Belawan Input'!L45)*L$8</f>
        <v>1.194052296529</v>
      </c>
      <c r="M40" s="104" t="n">
        <f aca="false">L40*(1+'E3 Belawan Input'!M45)*M$8</f>
        <v>1.22987386542487</v>
      </c>
      <c r="N40" s="104" t="n">
        <f aca="false">M40*(1+'E3 Belawan Input'!N45)*N$8</f>
        <v>1.26677008138762</v>
      </c>
      <c r="O40" s="104" t="n">
        <f aca="false">N40*(1+'E3 Belawan Input'!O45)*O$8</f>
        <v>1.30477318382925</v>
      </c>
      <c r="P40" s="104" t="n">
        <f aca="false">O40*(1+'E3 Belawan Input'!P45)*P$8</f>
        <v>1.34391637934412</v>
      </c>
      <c r="Q40" s="104" t="n">
        <f aca="false">P40*(1+'E3 Belawan Input'!Q45)*Q$8</f>
        <v>1.38423387072445</v>
      </c>
      <c r="R40" s="104" t="n">
        <f aca="false">Q40*(1+'E3 Belawan Input'!R45)*R$8</f>
        <v>1.42576088684618</v>
      </c>
      <c r="S40" s="104" t="n">
        <f aca="false">R40*(1+'E3 Belawan Input'!S45)*S$8</f>
        <v>1.46853371345156</v>
      </c>
    </row>
    <row r="41" customFormat="false" ht="15" hidden="false" customHeight="false" outlineLevel="0" collapsed="false">
      <c r="B41" s="24" t="s">
        <v>1044</v>
      </c>
      <c r="C41" s="25" t="s">
        <v>905</v>
      </c>
      <c r="F41" s="31" t="n">
        <f aca="false">F39*F40</f>
        <v>310.562910243156</v>
      </c>
      <c r="G41" s="31" t="n">
        <f aca="false">G39*G40</f>
        <v>319.879797550451</v>
      </c>
      <c r="H41" s="31" t="n">
        <f aca="false">H39*H40</f>
        <v>329.476191476964</v>
      </c>
      <c r="I41" s="31" t="n">
        <f aca="false">I39*I40</f>
        <v>339.360477221273</v>
      </c>
      <c r="J41" s="31" t="n">
        <f aca="false">J39*J40</f>
        <v>349.541291537911</v>
      </c>
      <c r="K41" s="31" t="n">
        <f aca="false">K39*K40</f>
        <v>360.027530284049</v>
      </c>
      <c r="L41" s="31" t="n">
        <f aca="false">L39*L40</f>
        <v>370.82835619257</v>
      </c>
      <c r="M41" s="31" t="n">
        <f aca="false">M39*M40</f>
        <v>381.953206878347</v>
      </c>
      <c r="N41" s="31" t="n">
        <f aca="false">N39*N40</f>
        <v>393.411803084698</v>
      </c>
      <c r="O41" s="31" t="n">
        <f aca="false">O39*O40</f>
        <v>405.214157177239</v>
      </c>
      <c r="P41" s="31" t="n">
        <f aca="false">P39*P40</f>
        <v>417.370581892556</v>
      </c>
      <c r="Q41" s="31" t="n">
        <f aca="false">Q39*Q40</f>
        <v>429.891699349333</v>
      </c>
      <c r="R41" s="31" t="n">
        <f aca="false">R39*R40</f>
        <v>442.788450329813</v>
      </c>
      <c r="S41" s="31" t="n">
        <f aca="false">S39*S40</f>
        <v>456.072103839707</v>
      </c>
    </row>
    <row r="42" customFormat="false" ht="15" hidden="false" customHeight="false" outlineLevel="0" collapsed="false">
      <c r="B42" s="24" t="s">
        <v>1045</v>
      </c>
      <c r="C42" s="25" t="s">
        <v>170</v>
      </c>
      <c r="E42" s="47" t="n">
        <f aca="false">SUM(F42:S42)</f>
        <v>5.74596709890942</v>
      </c>
      <c r="F42" s="47" t="n">
        <f aca="false">F41*F17/10^9</f>
        <v>0</v>
      </c>
      <c r="G42" s="47" t="n">
        <f aca="false">G41*G17/10^9</f>
        <v>0.239909848162838</v>
      </c>
      <c r="H42" s="47" t="n">
        <f aca="false">H41*H17/10^9</f>
        <v>0.254520357915955</v>
      </c>
      <c r="I42" s="47" t="n">
        <f aca="false">I41*I17/10^9</f>
        <v>0.270020647713036</v>
      </c>
      <c r="J42" s="47" t="n">
        <f aca="false">J41*J17/10^9</f>
        <v>0.356373163466343</v>
      </c>
      <c r="K42" s="47" t="n">
        <f aca="false">K41*K17/10^9</f>
        <v>0.393917500453941</v>
      </c>
      <c r="L42" s="47" t="n">
        <f aca="false">L41*L17/10^9</f>
        <v>0.43366728136977</v>
      </c>
      <c r="M42" s="47" t="n">
        <f aca="false">M41*M17/10^9</f>
        <v>0.475737700287202</v>
      </c>
      <c r="N42" s="47" t="n">
        <f aca="false">N41*N17/10^9</f>
        <v>0.520249892456538</v>
      </c>
      <c r="O42" s="47" t="n">
        <f aca="false">O41*O17/10^9</f>
        <v>0.567331248879876</v>
      </c>
      <c r="P42" s="47" t="n">
        <f aca="false">P41*P17/10^9</f>
        <v>0.617115748175739</v>
      </c>
      <c r="Q42" s="47" t="n">
        <f aca="false">Q41*Q17/10^9</f>
        <v>0.669744306716868</v>
      </c>
      <c r="R42" s="47" t="n">
        <f aca="false">R41*R17/10^9</f>
        <v>0.459692077884087</v>
      </c>
      <c r="S42" s="47" t="n">
        <f aca="false">S41*S17/10^9</f>
        <v>0.487687325427228</v>
      </c>
    </row>
    <row r="43" customFormat="false" ht="15" hidden="false" customHeight="false" outlineLevel="0" collapsed="false">
      <c r="B43" s="24" t="s">
        <v>1046</v>
      </c>
      <c r="C43" s="25" t="s">
        <v>905</v>
      </c>
      <c r="F43" s="31" t="n">
        <f aca="false">'E3 Belawan Input'!$E$46/'E3 Belawan Input'!$E$36*10^9</f>
        <v>265.960083746757</v>
      </c>
      <c r="G43" s="31" t="n">
        <f aca="false">'E3 Belawan Input'!$E$46/'E3 Belawan Input'!$E$36*10^9</f>
        <v>265.960083746757</v>
      </c>
      <c r="H43" s="31" t="n">
        <f aca="false">'E3 Belawan Input'!$E$46/'E3 Belawan Input'!$E$36*10^9</f>
        <v>265.960083746757</v>
      </c>
      <c r="I43" s="31" t="n">
        <f aca="false">'E3 Belawan Input'!$E$46/'E3 Belawan Input'!$E$36*10^9</f>
        <v>265.960083746757</v>
      </c>
      <c r="J43" s="31" t="n">
        <f aca="false">'E3 Belawan Input'!$E$46/'E3 Belawan Input'!$E$36*10^9</f>
        <v>265.960083746757</v>
      </c>
      <c r="K43" s="31" t="n">
        <f aca="false">'E3 Belawan Input'!$E$46/'E3 Belawan Input'!$E$36*10^9</f>
        <v>265.960083746757</v>
      </c>
      <c r="L43" s="31" t="n">
        <f aca="false">'E3 Belawan Input'!$E$46/'E3 Belawan Input'!$E$36*10^9</f>
        <v>265.960083746757</v>
      </c>
      <c r="M43" s="31" t="n">
        <f aca="false">'E3 Belawan Input'!$E$46/'E3 Belawan Input'!$E$36*10^9</f>
        <v>265.960083746757</v>
      </c>
      <c r="N43" s="31" t="n">
        <f aca="false">'E3 Belawan Input'!$E$46/'E3 Belawan Input'!$E$36*10^9</f>
        <v>265.960083746757</v>
      </c>
      <c r="O43" s="31" t="n">
        <f aca="false">'E3 Belawan Input'!$E$46/'E3 Belawan Input'!$E$36*10^9</f>
        <v>265.960083746757</v>
      </c>
      <c r="P43" s="31" t="n">
        <f aca="false">'E3 Belawan Input'!$E$46/'E3 Belawan Input'!$E$36*10^9</f>
        <v>265.960083746757</v>
      </c>
      <c r="Q43" s="31" t="n">
        <f aca="false">'E3 Belawan Input'!$E$46/'E3 Belawan Input'!$E$36*10^9</f>
        <v>265.960083746757</v>
      </c>
      <c r="R43" s="31" t="n">
        <f aca="false">'E3 Belawan Input'!$E$46/'E3 Belawan Input'!$E$36*10^9</f>
        <v>265.960083746757</v>
      </c>
      <c r="S43" s="31" t="n">
        <f aca="false">'E3 Belawan Input'!$E$46/'E3 Belawan Input'!$E$36*10^9</f>
        <v>265.960083746757</v>
      </c>
    </row>
    <row r="44" customFormat="false" ht="15" hidden="false" customHeight="false" outlineLevel="0" collapsed="false">
      <c r="B44" s="24" t="s">
        <v>1047</v>
      </c>
      <c r="C44" s="25" t="s">
        <v>1019</v>
      </c>
      <c r="F44" s="104" t="n">
        <f aca="false">1</f>
        <v>1</v>
      </c>
      <c r="G44" s="104" t="n">
        <f aca="false">F44*(1+'E3 Belawan Input'!G47)*G$8</f>
        <v>1.035</v>
      </c>
      <c r="H44" s="104" t="n">
        <f aca="false">G44*(1+'E3 Belawan Input'!H47)*H$8</f>
        <v>1.071225</v>
      </c>
      <c r="I44" s="104" t="n">
        <f aca="false">H44*(1+'E3 Belawan Input'!I47)*I$8</f>
        <v>1.108717875</v>
      </c>
      <c r="J44" s="104" t="n">
        <f aca="false">I44*(1+'E3 Belawan Input'!J47)*J$8</f>
        <v>1.147523000625</v>
      </c>
      <c r="K44" s="104" t="n">
        <f aca="false">J44*(1+'E3 Belawan Input'!K47)*K$8</f>
        <v>1.18768630564687</v>
      </c>
      <c r="L44" s="104" t="n">
        <f aca="false">K44*(1+'E3 Belawan Input'!L47)*L$8</f>
        <v>1.22925532634452</v>
      </c>
      <c r="M44" s="104" t="n">
        <f aca="false">L44*(1+'E3 Belawan Input'!M47)*M$8</f>
        <v>1.27227926276657</v>
      </c>
      <c r="N44" s="104" t="n">
        <f aca="false">M44*(1+'E3 Belawan Input'!N47)*N$8</f>
        <v>1.3168090369634</v>
      </c>
      <c r="O44" s="104" t="n">
        <f aca="false">N44*(1+'E3 Belawan Input'!O47)*O$8</f>
        <v>1.36289735325712</v>
      </c>
      <c r="P44" s="104" t="n">
        <f aca="false">O44*(1+'E3 Belawan Input'!P47)*P$8</f>
        <v>1.41059876062112</v>
      </c>
      <c r="Q44" s="104" t="n">
        <f aca="false">P44*(1+'E3 Belawan Input'!Q47)*Q$8</f>
        <v>1.45996971724286</v>
      </c>
      <c r="R44" s="104" t="n">
        <f aca="false">Q44*(1+'E3 Belawan Input'!R47)*R$8</f>
        <v>1.51106865734636</v>
      </c>
      <c r="S44" s="104" t="n">
        <f aca="false">R44*(1+'E3 Belawan Input'!S47)*S$8</f>
        <v>1.56395606035348</v>
      </c>
    </row>
    <row r="45" customFormat="false" ht="15" hidden="false" customHeight="false" outlineLevel="0" collapsed="false">
      <c r="B45" s="24" t="s">
        <v>1048</v>
      </c>
      <c r="C45" s="25" t="s">
        <v>905</v>
      </c>
      <c r="F45" s="31" t="n">
        <f aca="false">F43*F44</f>
        <v>265.960083746757</v>
      </c>
      <c r="G45" s="31" t="n">
        <f aca="false">G43*G44</f>
        <v>275.268686677894</v>
      </c>
      <c r="H45" s="31" t="n">
        <f aca="false">H43*H44</f>
        <v>284.90309071162</v>
      </c>
      <c r="I45" s="31" t="n">
        <f aca="false">I43*I44</f>
        <v>294.874698886526</v>
      </c>
      <c r="J45" s="31" t="n">
        <f aca="false">J43*J44</f>
        <v>305.195313347555</v>
      </c>
      <c r="K45" s="31" t="n">
        <f aca="false">K43*K44</f>
        <v>315.877149314719</v>
      </c>
      <c r="L45" s="31" t="n">
        <f aca="false">L43*L44</f>
        <v>326.932849540734</v>
      </c>
      <c r="M45" s="31" t="n">
        <f aca="false">M43*M44</f>
        <v>338.37549927466</v>
      </c>
      <c r="N45" s="31" t="n">
        <f aca="false">N43*N44</f>
        <v>350.218641749273</v>
      </c>
      <c r="O45" s="31" t="n">
        <f aca="false">O43*O44</f>
        <v>362.476294210498</v>
      </c>
      <c r="P45" s="31" t="n">
        <f aca="false">P43*P44</f>
        <v>375.162964507865</v>
      </c>
      <c r="Q45" s="31" t="n">
        <f aca="false">Q43*Q44</f>
        <v>388.29366826564</v>
      </c>
      <c r="R45" s="31" t="n">
        <f aca="false">R43*R44</f>
        <v>401.883946654938</v>
      </c>
      <c r="S45" s="31" t="n">
        <f aca="false">S43*S44</f>
        <v>415.94988478786</v>
      </c>
    </row>
    <row r="46" customFormat="false" ht="15" hidden="false" customHeight="false" outlineLevel="0" collapsed="false">
      <c r="B46" s="24" t="s">
        <v>1049</v>
      </c>
      <c r="C46" s="25" t="s">
        <v>170</v>
      </c>
      <c r="E46" s="47" t="n">
        <f aca="false">SUM(F46:S46)</f>
        <v>5.11400995882817</v>
      </c>
      <c r="F46" s="47" t="n">
        <f aca="false">F45*F17/10^9</f>
        <v>0</v>
      </c>
      <c r="G46" s="47" t="n">
        <f aca="false">G45*G17/10^9</f>
        <v>0.20645151500842</v>
      </c>
      <c r="H46" s="47" t="n">
        <f aca="false">H45*H17/10^9</f>
        <v>0.220087637574726</v>
      </c>
      <c r="I46" s="47" t="n">
        <f aca="false">I45*I17/10^9</f>
        <v>0.234624426036537</v>
      </c>
      <c r="J46" s="47" t="n">
        <f aca="false">J45*J17/10^9</f>
        <v>0.311160432045761</v>
      </c>
      <c r="K46" s="47" t="n">
        <f aca="false">K45*K17/10^9</f>
        <v>0.345611173152231</v>
      </c>
      <c r="L46" s="47" t="n">
        <f aca="false">L45*L17/10^9</f>
        <v>0.382333437244417</v>
      </c>
      <c r="M46" s="47" t="n">
        <f aca="false">M45*M17/10^9</f>
        <v>0.421459956244672</v>
      </c>
      <c r="N46" s="47" t="n">
        <f aca="false">N45*N17/10^9</f>
        <v>0.463131022703729</v>
      </c>
      <c r="O46" s="47" t="n">
        <f aca="false">O45*O17/10^9</f>
        <v>0.507494925933309</v>
      </c>
      <c r="P46" s="47" t="n">
        <f aca="false">P45*P17/10^9</f>
        <v>0.554708413995741</v>
      </c>
      <c r="Q46" s="47" t="n">
        <f aca="false">Q45*Q17/10^9</f>
        <v>0.604937183129457</v>
      </c>
      <c r="R46" s="47" t="n">
        <f aca="false">R45*R17/10^9</f>
        <v>0.417226028295136</v>
      </c>
      <c r="S46" s="47" t="n">
        <f aca="false">S45*S17/10^9</f>
        <v>0.44478380746403</v>
      </c>
    </row>
    <row r="47" customFormat="false" ht="15" hidden="false" customHeight="false" outlineLevel="0" collapsed="false">
      <c r="B47" s="24" t="s">
        <v>1323</v>
      </c>
      <c r="C47" s="25" t="s">
        <v>170</v>
      </c>
      <c r="E47" s="47" t="n">
        <f aca="false">SUM(F47:S47)</f>
        <v>0.1428780625</v>
      </c>
      <c r="F47" s="47" t="n">
        <f aca="false">'E3 Belawan Input'!F48*F77</f>
        <v>0</v>
      </c>
      <c r="G47" s="47" t="n">
        <f aca="false">'E3 Belawan Input'!G48*G77</f>
        <v>0.057151225</v>
      </c>
      <c r="H47" s="47" t="n">
        <f aca="false">'E3 Belawan Input'!H48*H77</f>
        <v>0.057151225</v>
      </c>
      <c r="I47" s="47" t="n">
        <f aca="false">'E3 Belawan Input'!I48*I77</f>
        <v>0.0285756125</v>
      </c>
      <c r="J47" s="47" t="n">
        <f aca="false">'E3 Belawan Input'!J48*J77</f>
        <v>0</v>
      </c>
      <c r="K47" s="47" t="n">
        <f aca="false">'E3 Belawan Input'!K48*K77</f>
        <v>0</v>
      </c>
      <c r="L47" s="47" t="n">
        <f aca="false">'E3 Belawan Input'!L48*L77</f>
        <v>0</v>
      </c>
      <c r="M47" s="47" t="n">
        <f aca="false">'E3 Belawan Input'!M48*M77</f>
        <v>0</v>
      </c>
      <c r="N47" s="47" t="n">
        <f aca="false">'E3 Belawan Input'!N48*N77</f>
        <v>0</v>
      </c>
      <c r="O47" s="47" t="n">
        <f aca="false">'E3 Belawan Input'!O48*O77</f>
        <v>0</v>
      </c>
      <c r="P47" s="47" t="n">
        <f aca="false">'E3 Belawan Input'!P48*P77</f>
        <v>0</v>
      </c>
      <c r="Q47" s="47" t="n">
        <f aca="false">'E3 Belawan Input'!Q48*Q77</f>
        <v>0</v>
      </c>
      <c r="R47" s="47" t="n">
        <f aca="false">'E3 Belawan Input'!R48*R77</f>
        <v>0</v>
      </c>
      <c r="S47" s="47" t="n">
        <f aca="false">'E3 Belawan Input'!S48*S77</f>
        <v>0</v>
      </c>
    </row>
    <row r="48" customFormat="false" ht="15" hidden="false" customHeight="false" outlineLevel="0" collapsed="false">
      <c r="B48" s="24" t="s">
        <v>1324</v>
      </c>
      <c r="C48" s="25" t="s">
        <v>170</v>
      </c>
      <c r="E48" s="47" t="n">
        <f aca="false">SUM(F48:S48)</f>
        <v>5.01842</v>
      </c>
      <c r="F48" s="47" t="n">
        <f aca="false">SUM($F$83:$S$83)*'E3 Belawan Input'!F49</f>
        <v>0</v>
      </c>
      <c r="G48" s="47" t="n">
        <f aca="false">SUM($F$83:$S$83)*'E3 Belawan Input'!G49</f>
        <v>0</v>
      </c>
      <c r="H48" s="47" t="n">
        <f aca="false">SUM($F$83:$S$83)*'E3 Belawan Input'!H49</f>
        <v>0</v>
      </c>
      <c r="I48" s="47" t="n">
        <f aca="false">SUM($F$83:$S$83)*'E3 Belawan Input'!I49</f>
        <v>0.45622</v>
      </c>
      <c r="J48" s="47" t="n">
        <f aca="false">SUM($F$83:$S$83)*'E3 Belawan Input'!J49</f>
        <v>0.45622</v>
      </c>
      <c r="K48" s="47" t="n">
        <f aca="false">SUM($F$83:$S$83)*'E3 Belawan Input'!K49</f>
        <v>0.45622</v>
      </c>
      <c r="L48" s="47" t="n">
        <f aca="false">SUM($F$83:$S$83)*'E3 Belawan Input'!L49</f>
        <v>0.45622</v>
      </c>
      <c r="M48" s="47" t="n">
        <f aca="false">SUM($F$83:$S$83)*'E3 Belawan Input'!M49</f>
        <v>0.45622</v>
      </c>
      <c r="N48" s="47" t="n">
        <f aca="false">SUM($F$83:$S$83)*'E3 Belawan Input'!N49</f>
        <v>0.45622</v>
      </c>
      <c r="O48" s="47" t="n">
        <f aca="false">SUM($F$83:$S$83)*'E3 Belawan Input'!O49</f>
        <v>0.45622</v>
      </c>
      <c r="P48" s="47" t="n">
        <f aca="false">SUM($F$83:$S$83)*'E3 Belawan Input'!P49</f>
        <v>0.45622</v>
      </c>
      <c r="Q48" s="47" t="n">
        <f aca="false">SUM($F$83:$S$83)*'E3 Belawan Input'!Q49</f>
        <v>0.45622</v>
      </c>
      <c r="R48" s="47" t="n">
        <f aca="false">SUM($F$83:$S$83)*'E3 Belawan Input'!R49</f>
        <v>0.45622</v>
      </c>
      <c r="S48" s="47" t="n">
        <f aca="false">SUM($F$83:$S$83)*'E3 Belawan Input'!S49</f>
        <v>0.45622</v>
      </c>
      <c r="U48" s="5" t="s">
        <v>1325</v>
      </c>
    </row>
    <row r="49" customFormat="false" ht="15" hidden="false" customHeight="false" outlineLevel="0" collapsed="false">
      <c r="B49" s="24" t="s">
        <v>1051</v>
      </c>
      <c r="C49" s="25" t="s">
        <v>905</v>
      </c>
      <c r="F49" s="31" t="n">
        <f aca="false">'E3 Belawan Input'!$E$50/'E3 Belawan Input'!$E$36*10^9</f>
        <v>12.5706829998851</v>
      </c>
      <c r="G49" s="31" t="n">
        <f aca="false">'E3 Belawan Input'!$E$50/'E3 Belawan Input'!$E$36*10^9</f>
        <v>12.5706829998851</v>
      </c>
      <c r="H49" s="31" t="n">
        <f aca="false">'E3 Belawan Input'!$E$50/'E3 Belawan Input'!$E$36*10^9</f>
        <v>12.5706829998851</v>
      </c>
      <c r="I49" s="31" t="n">
        <f aca="false">'E3 Belawan Input'!$E$50/'E3 Belawan Input'!$E$36*10^9</f>
        <v>12.5706829998851</v>
      </c>
      <c r="J49" s="31" t="n">
        <f aca="false">'E3 Belawan Input'!$E$50/'E3 Belawan Input'!$E$36*10^9</f>
        <v>12.5706829998851</v>
      </c>
      <c r="K49" s="31" t="n">
        <f aca="false">'E3 Belawan Input'!$E$50/'E3 Belawan Input'!$E$36*10^9</f>
        <v>12.5706829998851</v>
      </c>
      <c r="L49" s="31" t="n">
        <f aca="false">'E3 Belawan Input'!$E$50/'E3 Belawan Input'!$E$36*10^9</f>
        <v>12.5706829998851</v>
      </c>
      <c r="M49" s="31" t="n">
        <f aca="false">'E3 Belawan Input'!$E$50/'E3 Belawan Input'!$E$36*10^9</f>
        <v>12.5706829998851</v>
      </c>
      <c r="N49" s="31" t="n">
        <f aca="false">'E3 Belawan Input'!$E$50/'E3 Belawan Input'!$E$36*10^9</f>
        <v>12.5706829998851</v>
      </c>
      <c r="O49" s="31" t="n">
        <f aca="false">'E3 Belawan Input'!$E$50/'E3 Belawan Input'!$E$36*10^9</f>
        <v>12.5706829998851</v>
      </c>
      <c r="P49" s="31" t="n">
        <f aca="false">'E3 Belawan Input'!$E$50/'E3 Belawan Input'!$E$36*10^9</f>
        <v>12.5706829998851</v>
      </c>
      <c r="Q49" s="31" t="n">
        <f aca="false">'E3 Belawan Input'!$E$50/'E3 Belawan Input'!$E$36*10^9</f>
        <v>12.5706829998851</v>
      </c>
      <c r="R49" s="31" t="n">
        <f aca="false">'E3 Belawan Input'!$E$50/'E3 Belawan Input'!$E$36*10^9</f>
        <v>12.5706829998851</v>
      </c>
      <c r="S49" s="31" t="n">
        <f aca="false">'E3 Belawan Input'!$E$50/'E3 Belawan Input'!$E$36*10^9</f>
        <v>12.5706829998851</v>
      </c>
    </row>
    <row r="50" customFormat="false" ht="15" hidden="false" customHeight="false" outlineLevel="0" collapsed="false">
      <c r="B50" s="24" t="s">
        <v>1052</v>
      </c>
      <c r="C50" s="25" t="s">
        <v>1019</v>
      </c>
      <c r="F50" s="104" t="n">
        <f aca="false">1</f>
        <v>1</v>
      </c>
      <c r="G50" s="104" t="n">
        <f aca="false">F50*(1+'E3 Belawan Input'!G51)*G$8</f>
        <v>1.035</v>
      </c>
      <c r="H50" s="104" t="n">
        <f aca="false">G50*(1+'E3 Belawan Input'!H51)*H$8</f>
        <v>1.071225</v>
      </c>
      <c r="I50" s="104" t="n">
        <f aca="false">H50*(1+'E3 Belawan Input'!I51)*I$8</f>
        <v>1.108717875</v>
      </c>
      <c r="J50" s="104" t="n">
        <f aca="false">I50*(1+'E3 Belawan Input'!J51)*J$8</f>
        <v>1.147523000625</v>
      </c>
      <c r="K50" s="104" t="n">
        <f aca="false">J50*(1+'E3 Belawan Input'!K51)*K$8</f>
        <v>1.18768630564687</v>
      </c>
      <c r="L50" s="104" t="n">
        <f aca="false">K50*(1+'E3 Belawan Input'!L51)*L$8</f>
        <v>1.22925532634452</v>
      </c>
      <c r="M50" s="104" t="n">
        <f aca="false">L50*(1+'E3 Belawan Input'!M51)*M$8</f>
        <v>1.27227926276657</v>
      </c>
      <c r="N50" s="104" t="n">
        <f aca="false">M50*(1+'E3 Belawan Input'!N51)*N$8</f>
        <v>1.3168090369634</v>
      </c>
      <c r="O50" s="104" t="n">
        <f aca="false">N50*(1+'E3 Belawan Input'!O51)*O$8</f>
        <v>1.36289735325712</v>
      </c>
      <c r="P50" s="104" t="n">
        <f aca="false">O50*(1+'E3 Belawan Input'!P51)*P$8</f>
        <v>1.41059876062112</v>
      </c>
      <c r="Q50" s="104" t="n">
        <f aca="false">P50*(1+'E3 Belawan Input'!Q51)*Q$8</f>
        <v>1.45996971724286</v>
      </c>
      <c r="R50" s="104" t="n">
        <f aca="false">Q50*(1+'E3 Belawan Input'!R51)*R$8</f>
        <v>1.51106865734636</v>
      </c>
      <c r="S50" s="104" t="n">
        <f aca="false">R50*(1+'E3 Belawan Input'!S51)*S$8</f>
        <v>1.56395606035348</v>
      </c>
    </row>
    <row r="51" customFormat="false" ht="15" hidden="false" customHeight="false" outlineLevel="0" collapsed="false">
      <c r="B51" s="24" t="s">
        <v>1053</v>
      </c>
      <c r="C51" s="25" t="s">
        <v>905</v>
      </c>
      <c r="F51" s="31" t="n">
        <f aca="false">F49*F50</f>
        <v>12.5706829998851</v>
      </c>
      <c r="G51" s="31" t="n">
        <f aca="false">G49*G50</f>
        <v>13.0106569048811</v>
      </c>
      <c r="H51" s="31" t="n">
        <f aca="false">H49*H50</f>
        <v>13.4660298965519</v>
      </c>
      <c r="I51" s="31" t="n">
        <f aca="false">I49*I50</f>
        <v>13.9373409429313</v>
      </c>
      <c r="J51" s="31" t="n">
        <f aca="false">J49*J50</f>
        <v>14.4251478759339</v>
      </c>
      <c r="K51" s="31" t="n">
        <f aca="false">K49*K50</f>
        <v>14.9300280515915</v>
      </c>
      <c r="L51" s="31" t="n">
        <f aca="false">L49*L50</f>
        <v>15.4525790333972</v>
      </c>
      <c r="M51" s="31" t="n">
        <f aca="false">M49*M50</f>
        <v>15.9934192995661</v>
      </c>
      <c r="N51" s="31" t="n">
        <f aca="false">N49*N50</f>
        <v>16.553188975051</v>
      </c>
      <c r="O51" s="31" t="n">
        <f aca="false">O49*O50</f>
        <v>17.1325505891777</v>
      </c>
      <c r="P51" s="31" t="n">
        <f aca="false">P49*P50</f>
        <v>17.732189859799</v>
      </c>
      <c r="Q51" s="31" t="n">
        <f aca="false">Q49*Q50</f>
        <v>18.3528165048919</v>
      </c>
      <c r="R51" s="31" t="n">
        <f aca="false">R49*R50</f>
        <v>18.9951650825631</v>
      </c>
      <c r="S51" s="31" t="n">
        <f aca="false">S49*S50</f>
        <v>19.6599958604528</v>
      </c>
    </row>
    <row r="52" customFormat="false" ht="15" hidden="false" customHeight="false" outlineLevel="0" collapsed="false">
      <c r="B52" s="24" t="s">
        <v>1054</v>
      </c>
      <c r="C52" s="25" t="s">
        <v>170</v>
      </c>
      <c r="E52" s="47" t="n">
        <f aca="false">SUM(F52:S52)</f>
        <v>0.241715212091365</v>
      </c>
      <c r="F52" s="47" t="n">
        <f aca="false">F51*F17/10^9</f>
        <v>0</v>
      </c>
      <c r="G52" s="47" t="n">
        <f aca="false">G51*G17/10^9</f>
        <v>0.00975799267866083</v>
      </c>
      <c r="H52" s="47" t="n">
        <f aca="false">H51*H17/10^9</f>
        <v>0.0104025080950864</v>
      </c>
      <c r="I52" s="47" t="n">
        <f aca="false">I51*I17/10^9</f>
        <v>0.0110895937547668</v>
      </c>
      <c r="J52" s="47" t="n">
        <f aca="false">J51*J17/10^9</f>
        <v>0.014707090997456</v>
      </c>
      <c r="K52" s="47" t="n">
        <f aca="false">K51*K17/10^9</f>
        <v>0.0163354155921079</v>
      </c>
      <c r="L52" s="47" t="n">
        <f aca="false">L51*L17/10^9</f>
        <v>0.0180711044008861</v>
      </c>
      <c r="M52" s="47" t="n">
        <f aca="false">M51*M17/10^9</f>
        <v>0.0199204310378468</v>
      </c>
      <c r="N52" s="47" t="n">
        <f aca="false">N51*N17/10^9</f>
        <v>0.0218900264724111</v>
      </c>
      <c r="O52" s="47" t="n">
        <f aca="false">O51*O17/10^9</f>
        <v>0.0239868996433026</v>
      </c>
      <c r="P52" s="47" t="n">
        <f aca="false">P51*P17/10^9</f>
        <v>0.0262184592946254</v>
      </c>
      <c r="Q52" s="47" t="n">
        <f aca="false">Q51*Q17/10^9</f>
        <v>0.0285925371087066</v>
      </c>
      <c r="R52" s="47" t="n">
        <f aca="false">R51*R17/10^9</f>
        <v>0.0197203131654647</v>
      </c>
      <c r="S52" s="47" t="n">
        <f aca="false">S51*S17/10^9</f>
        <v>0.0210228398500436</v>
      </c>
    </row>
    <row r="53" customFormat="false" ht="15" hidden="false" customHeight="false" outlineLevel="0" collapsed="false">
      <c r="B53" s="69" t="s">
        <v>1059</v>
      </c>
      <c r="C53" s="25" t="s">
        <v>170</v>
      </c>
      <c r="E53" s="70" t="n">
        <f aca="false">SUM(F53:S53)</f>
        <v>158.281821620635</v>
      </c>
      <c r="F53" s="68" t="n">
        <f aca="false">F23+F25+F29+F33+F34+F38+F42+F46+F47+F48+F52</f>
        <v>0</v>
      </c>
      <c r="G53" s="68" t="n">
        <f aca="false">G23+G25+G29+G33+G34+G38+G42+G46+G47+G48+G52</f>
        <v>8.02614108268608</v>
      </c>
      <c r="H53" s="68" t="n">
        <f aca="false">H23+H25+H29+H33+H34+H38+H42+H46+H47+H48+H52</f>
        <v>8.3557264915943</v>
      </c>
      <c r="I53" s="68" t="n">
        <f aca="false">I23+I25+I29+I33+I34+I38+I42+I46+I47+I48+I52</f>
        <v>9.41194306368826</v>
      </c>
      <c r="J53" s="68" t="n">
        <f aca="false">J23+J25+J29+J33+J34+J38+J42+J46+J47+J48+J52</f>
        <v>10.5611769254179</v>
      </c>
      <c r="K53" s="68" t="n">
        <f aca="false">K23+K25+K29+K33+K34+K38+K42+K46+K47+K48+K52</f>
        <v>11.2069097488801</v>
      </c>
      <c r="L53" s="68" t="n">
        <f aca="false">L23+L25+L29+L33+L34+L38+L42+L46+L47+L48+L52</f>
        <v>11.8858660547838</v>
      </c>
      <c r="M53" s="68" t="n">
        <f aca="false">M23+M25+M29+M33+M34+M38+M42+M46+M47+M48+M52</f>
        <v>12.5996697179173</v>
      </c>
      <c r="N53" s="68" t="n">
        <f aca="false">N23+N25+N29+N33+N34+N38+N42+N46+N47+N48+N52</f>
        <v>13.3500248650965</v>
      </c>
      <c r="O53" s="68" t="n">
        <f aca="false">O23+O25+O29+O33+O34+O38+O42+O46+O47+O48+O52</f>
        <v>14.1387200008352</v>
      </c>
      <c r="P53" s="68" t="n">
        <f aca="false">P23+P25+P29+P33+P34+P38+P42+P46+P47+P48+P52</f>
        <v>14.9676323555666</v>
      </c>
      <c r="Q53" s="68" t="n">
        <f aca="false">Q23+Q25+Q29+Q33+Q34+Q38+Q42+Q46+Q47+Q48+Q52</f>
        <v>15.8387363635294</v>
      </c>
      <c r="R53" s="68" t="n">
        <f aca="false">R23+R25+R29+R33+R34+R38+R42+R46+R47+R48+R52</f>
        <v>13.6681559807911</v>
      </c>
      <c r="S53" s="68" t="n">
        <f aca="false">S23+S25+S29+S33+S34+S38+S42+S46+S47+S48+S52</f>
        <v>14.2711189698485</v>
      </c>
    </row>
    <row r="55" customFormat="false" ht="15" hidden="false" customHeight="false" outlineLevel="0" collapsed="false">
      <c r="B55" s="22" t="s">
        <v>1060</v>
      </c>
      <c r="C55" s="23"/>
      <c r="D55" s="23"/>
      <c r="E55" s="23"/>
      <c r="F55" s="23"/>
      <c r="G55" s="23"/>
      <c r="H55" s="23"/>
      <c r="I55" s="23"/>
      <c r="J55" s="23"/>
      <c r="K55" s="23"/>
      <c r="L55" s="23"/>
      <c r="M55" s="23"/>
      <c r="N55" s="23"/>
      <c r="O55" s="23"/>
      <c r="P55" s="23"/>
      <c r="Q55" s="23"/>
      <c r="R55" s="23"/>
      <c r="S55" s="23"/>
    </row>
    <row r="56" customFormat="false" ht="15" hidden="false" customHeight="false" outlineLevel="0" collapsed="false">
      <c r="B56" s="24" t="s">
        <v>1061</v>
      </c>
      <c r="C56" s="25" t="s">
        <v>1019</v>
      </c>
      <c r="F56" s="104" t="n">
        <f aca="false">1</f>
        <v>1</v>
      </c>
      <c r="G56" s="104" t="n">
        <f aca="false">F56*(1+'E3 Belawan Input'!G57)*G$8</f>
        <v>1.03</v>
      </c>
      <c r="H56" s="104" t="n">
        <f aca="false">G56*(1+'E3 Belawan Input'!H57)*H$8</f>
        <v>1.0609</v>
      </c>
      <c r="I56" s="104" t="n">
        <f aca="false">H56*(1+'E3 Belawan Input'!I57)*I$8</f>
        <v>1.092727</v>
      </c>
      <c r="J56" s="104" t="n">
        <f aca="false">I56*(1+'E3 Belawan Input'!J57)*J$8</f>
        <v>1.12550881</v>
      </c>
      <c r="K56" s="104" t="n">
        <f aca="false">J56*(1+'E3 Belawan Input'!K57)*K$8</f>
        <v>1.1592740743</v>
      </c>
      <c r="L56" s="104" t="n">
        <f aca="false">K56*(1+'E3 Belawan Input'!L57)*L$8</f>
        <v>1.194052296529</v>
      </c>
      <c r="M56" s="104" t="n">
        <f aca="false">L56*(1+'E3 Belawan Input'!M57)*M$8</f>
        <v>1.22987386542487</v>
      </c>
      <c r="N56" s="104" t="n">
        <f aca="false">M56*(1+'E3 Belawan Input'!N57)*N$8</f>
        <v>1.26677008138762</v>
      </c>
      <c r="O56" s="104" t="n">
        <f aca="false">N56*(1+'E3 Belawan Input'!O57)*O$8</f>
        <v>1.30477318382925</v>
      </c>
      <c r="P56" s="104" t="n">
        <f aca="false">O56*(1+'E3 Belawan Input'!P57)*P$8</f>
        <v>1.34391637934412</v>
      </c>
      <c r="Q56" s="104" t="n">
        <f aca="false">P56*(1+'E3 Belawan Input'!Q57)*Q$8</f>
        <v>1.38423387072445</v>
      </c>
      <c r="R56" s="104" t="n">
        <f aca="false">Q56*(1+'E3 Belawan Input'!R57)*R$8</f>
        <v>1.42576088684618</v>
      </c>
      <c r="S56" s="104" t="n">
        <f aca="false">R56*(1+'E3 Belawan Input'!S57)*S$8</f>
        <v>1.46853371345156</v>
      </c>
    </row>
    <row r="57" customFormat="false" ht="15" hidden="false" customHeight="false" outlineLevel="0" collapsed="false">
      <c r="B57" s="24" t="s">
        <v>1062</v>
      </c>
      <c r="C57" s="25" t="s">
        <v>170</v>
      </c>
      <c r="E57" s="47" t="n">
        <f aca="false">SUM(F57:S57)</f>
        <v>27.3848274687593</v>
      </c>
      <c r="F57" s="47" t="n">
        <f aca="false">'E3 Belawan Input'!$E$56*F56*F$8</f>
        <v>0</v>
      </c>
      <c r="G57" s="47" t="n">
        <f aca="false">'E3 Belawan Input'!$E$56*G56*G$8</f>
        <v>1.75343801412</v>
      </c>
      <c r="H57" s="47" t="n">
        <f aca="false">'E3 Belawan Input'!$E$56*H56*H$8</f>
        <v>1.8060411545436</v>
      </c>
      <c r="I57" s="47" t="n">
        <f aca="false">'E3 Belawan Input'!$E$56*I56*I$8</f>
        <v>1.86022238917991</v>
      </c>
      <c r="J57" s="47" t="n">
        <f aca="false">'E3 Belawan Input'!$E$56*J56*J$8</f>
        <v>1.91602906085531</v>
      </c>
      <c r="K57" s="47" t="n">
        <f aca="false">'E3 Belawan Input'!$E$56*K56*K$8</f>
        <v>1.97350993268096</v>
      </c>
      <c r="L57" s="47" t="n">
        <f aca="false">'E3 Belawan Input'!$E$56*L56*L$8</f>
        <v>2.03271523066139</v>
      </c>
      <c r="M57" s="47" t="n">
        <f aca="false">'E3 Belawan Input'!$E$56*M56*M$8</f>
        <v>2.09369668758124</v>
      </c>
      <c r="N57" s="47" t="n">
        <f aca="false">'E3 Belawan Input'!$E$56*N56*N$8</f>
        <v>2.15650758820867</v>
      </c>
      <c r="O57" s="47" t="n">
        <f aca="false">'E3 Belawan Input'!$E$56*O56*O$8</f>
        <v>2.22120281585493</v>
      </c>
      <c r="P57" s="47" t="n">
        <f aca="false">'E3 Belawan Input'!$E$56*P56*P$8</f>
        <v>2.28783890033058</v>
      </c>
      <c r="Q57" s="47" t="n">
        <f aca="false">'E3 Belawan Input'!$E$56*Q56*Q$8</f>
        <v>2.3564740673405</v>
      </c>
      <c r="R57" s="47" t="n">
        <f aca="false">'E3 Belawan Input'!$E$56*R56*R$8</f>
        <v>2.42716828936071</v>
      </c>
      <c r="S57" s="47" t="n">
        <f aca="false">'E3 Belawan Input'!$E$56*S56*S$8</f>
        <v>2.49998333804154</v>
      </c>
    </row>
    <row r="58" customFormat="false" ht="15" hidden="false" customHeight="false" outlineLevel="0" collapsed="false">
      <c r="B58" s="24" t="s">
        <v>1069</v>
      </c>
      <c r="C58" s="25" t="s">
        <v>1019</v>
      </c>
      <c r="F58" s="104" t="n">
        <f aca="false">1</f>
        <v>1</v>
      </c>
      <c r="G58" s="104" t="n">
        <f aca="false">F58*(1+'E3 Belawan Input'!G59)*G$8</f>
        <v>1.02</v>
      </c>
      <c r="H58" s="104" t="n">
        <f aca="false">G58*(1+'E3 Belawan Input'!H59)*H$8</f>
        <v>1.0404</v>
      </c>
      <c r="I58" s="104" t="n">
        <f aca="false">H58*(1+'E3 Belawan Input'!I59)*I$8</f>
        <v>1.061208</v>
      </c>
      <c r="J58" s="104" t="n">
        <f aca="false">I58*(1+'E3 Belawan Input'!J59)*J$8</f>
        <v>1.08243216</v>
      </c>
      <c r="K58" s="104" t="n">
        <f aca="false">J58*(1+'E3 Belawan Input'!K59)*K$8</f>
        <v>1.1040808032</v>
      </c>
      <c r="L58" s="104" t="n">
        <f aca="false">K58*(1+'E3 Belawan Input'!L59)*L$8</f>
        <v>1.126162419264</v>
      </c>
      <c r="M58" s="104" t="n">
        <f aca="false">L58*(1+'E3 Belawan Input'!M59)*M$8</f>
        <v>1.14868566764928</v>
      </c>
      <c r="N58" s="104" t="n">
        <f aca="false">M58*(1+'E3 Belawan Input'!N59)*N$8</f>
        <v>1.17165938100227</v>
      </c>
      <c r="O58" s="104" t="n">
        <f aca="false">N58*(1+'E3 Belawan Input'!O59)*O$8</f>
        <v>1.19509256862231</v>
      </c>
      <c r="P58" s="104" t="n">
        <f aca="false">O58*(1+'E3 Belawan Input'!P59)*P$8</f>
        <v>1.21899441999476</v>
      </c>
      <c r="Q58" s="104" t="n">
        <f aca="false">P58*(1+'E3 Belawan Input'!Q59)*Q$8</f>
        <v>1.24337430839465</v>
      </c>
      <c r="R58" s="104" t="n">
        <f aca="false">Q58*(1+'E3 Belawan Input'!R59)*R$8</f>
        <v>1.26824179456255</v>
      </c>
      <c r="S58" s="104" t="n">
        <f aca="false">R58*(1+'E3 Belawan Input'!S59)*S$8</f>
        <v>1.2936066304538</v>
      </c>
    </row>
    <row r="59" customFormat="false" ht="15" hidden="false" customHeight="false" outlineLevel="0" collapsed="false">
      <c r="B59" s="24" t="s">
        <v>1070</v>
      </c>
      <c r="C59" s="25" t="s">
        <v>170</v>
      </c>
      <c r="E59" s="47" t="n">
        <f aca="false">SUM(F59:S59)</f>
        <v>3.87331807540071</v>
      </c>
      <c r="F59" s="47" t="n">
        <f aca="false">'E3 Belawan Input'!$E$58*F58*F$8</f>
        <v>0</v>
      </c>
      <c r="G59" s="47" t="n">
        <f aca="false">'E3 Belawan Input'!$E$58*G58*G$8</f>
        <v>0.2638440466698</v>
      </c>
      <c r="H59" s="47" t="n">
        <f aca="false">'E3 Belawan Input'!$E$58*H58*H$8</f>
        <v>0.269120927603196</v>
      </c>
      <c r="I59" s="47" t="n">
        <f aca="false">'E3 Belawan Input'!$E$58*I58*I$8</f>
        <v>0.27450334615526</v>
      </c>
      <c r="J59" s="47" t="n">
        <f aca="false">'E3 Belawan Input'!$E$58*J58*J$8</f>
        <v>0.279993413078365</v>
      </c>
      <c r="K59" s="47" t="n">
        <f aca="false">'E3 Belawan Input'!$E$58*K58*K$8</f>
        <v>0.285593281339932</v>
      </c>
      <c r="L59" s="47" t="n">
        <f aca="false">'E3 Belawan Input'!$E$58*L58*L$8</f>
        <v>0.291305146966731</v>
      </c>
      <c r="M59" s="47" t="n">
        <f aca="false">'E3 Belawan Input'!$E$58*M58*M$8</f>
        <v>0.297131249906066</v>
      </c>
      <c r="N59" s="47" t="n">
        <f aca="false">'E3 Belawan Input'!$E$58*N58*N$8</f>
        <v>0.303073874904187</v>
      </c>
      <c r="O59" s="47" t="n">
        <f aca="false">'E3 Belawan Input'!$E$58*O58*O$8</f>
        <v>0.309135352402271</v>
      </c>
      <c r="P59" s="47" t="n">
        <f aca="false">'E3 Belawan Input'!$E$58*P58*P$8</f>
        <v>0.315318059450316</v>
      </c>
      <c r="Q59" s="47" t="n">
        <f aca="false">'E3 Belawan Input'!$E$58*Q58*Q$8</f>
        <v>0.321624420639323</v>
      </c>
      <c r="R59" s="47" t="n">
        <f aca="false">'E3 Belawan Input'!$E$58*R58*R$8</f>
        <v>0.328056909052109</v>
      </c>
      <c r="S59" s="47" t="n">
        <f aca="false">'E3 Belawan Input'!$E$58*S58*S$8</f>
        <v>0.334618047233151</v>
      </c>
    </row>
    <row r="60" customFormat="false" ht="15" hidden="false" customHeight="false" outlineLevel="0" collapsed="false">
      <c r="B60" s="24" t="s">
        <v>1067</v>
      </c>
      <c r="C60" s="25" t="s">
        <v>1019</v>
      </c>
      <c r="F60" s="104" t="n">
        <f aca="false">1</f>
        <v>1</v>
      </c>
      <c r="G60" s="104" t="n">
        <f aca="false">F60*(1+'E3 Belawan Input'!G61)*G$8</f>
        <v>1.03</v>
      </c>
      <c r="H60" s="104" t="n">
        <f aca="false">G60*(1+'E3 Belawan Input'!H61)*H$8</f>
        <v>1.0609</v>
      </c>
      <c r="I60" s="104" t="n">
        <f aca="false">H60*(1+'E3 Belawan Input'!I61)*I$8</f>
        <v>1.092727</v>
      </c>
      <c r="J60" s="104" t="n">
        <f aca="false">I60*(1+'E3 Belawan Input'!J61)*J$8</f>
        <v>1.12550881</v>
      </c>
      <c r="K60" s="104" t="n">
        <f aca="false">J60*(1+'E3 Belawan Input'!K61)*K$8</f>
        <v>1.1592740743</v>
      </c>
      <c r="L60" s="104" t="n">
        <f aca="false">K60*(1+'E3 Belawan Input'!L61)*L$8</f>
        <v>1.194052296529</v>
      </c>
      <c r="M60" s="104" t="n">
        <f aca="false">L60*(1+'E3 Belawan Input'!M61)*M$8</f>
        <v>1.22987386542487</v>
      </c>
      <c r="N60" s="104" t="n">
        <f aca="false">M60*(1+'E3 Belawan Input'!N61)*N$8</f>
        <v>1.26677008138762</v>
      </c>
      <c r="O60" s="104" t="n">
        <f aca="false">N60*(1+'E3 Belawan Input'!O61)*O$8</f>
        <v>1.30477318382925</v>
      </c>
      <c r="P60" s="104" t="n">
        <f aca="false">O60*(1+'E3 Belawan Input'!P61)*P$8</f>
        <v>1.34391637934412</v>
      </c>
      <c r="Q60" s="104" t="n">
        <f aca="false">P60*(1+'E3 Belawan Input'!Q61)*Q$8</f>
        <v>1.38423387072445</v>
      </c>
      <c r="R60" s="104" t="n">
        <f aca="false">Q60*(1+'E3 Belawan Input'!R61)*R$8</f>
        <v>1.42576088684618</v>
      </c>
      <c r="S60" s="104" t="n">
        <f aca="false">R60*(1+'E3 Belawan Input'!S61)*S$8</f>
        <v>1.46853371345156</v>
      </c>
    </row>
    <row r="61" customFormat="false" ht="15" hidden="false" customHeight="false" outlineLevel="0" collapsed="false">
      <c r="B61" s="24" t="s">
        <v>1068</v>
      </c>
      <c r="C61" s="25" t="s">
        <v>170</v>
      </c>
      <c r="E61" s="47" t="n">
        <f aca="false">SUM(F61:S61)</f>
        <v>3.85431259583201</v>
      </c>
      <c r="F61" s="47" t="n">
        <f aca="false">'E3 Belawan Input'!$E$60*F60*F$8</f>
        <v>0</v>
      </c>
      <c r="G61" s="47" t="n">
        <f aca="false">'E3 Belawan Input'!$E$60*G60*G$8</f>
        <v>0.2467898777724</v>
      </c>
      <c r="H61" s="47" t="n">
        <f aca="false">'E3 Belawan Input'!$E$60*H60*H$8</f>
        <v>0.254193574105572</v>
      </c>
      <c r="I61" s="47" t="n">
        <f aca="false">'E3 Belawan Input'!$E$60*I60*I$8</f>
        <v>0.261819381328739</v>
      </c>
      <c r="J61" s="47" t="n">
        <f aca="false">'E3 Belawan Input'!$E$60*J60*J$8</f>
        <v>0.269673962768601</v>
      </c>
      <c r="K61" s="47" t="n">
        <f aca="false">'E3 Belawan Input'!$E$60*K60*K$8</f>
        <v>0.277764181651659</v>
      </c>
      <c r="L61" s="47" t="n">
        <f aca="false">'E3 Belawan Input'!$E$60*L60*L$8</f>
        <v>0.286097107101209</v>
      </c>
      <c r="M61" s="47" t="n">
        <f aca="false">'E3 Belawan Input'!$E$60*M60*M$8</f>
        <v>0.294680020314245</v>
      </c>
      <c r="N61" s="47" t="n">
        <f aca="false">'E3 Belawan Input'!$E$60*N60*N$8</f>
        <v>0.303520420923673</v>
      </c>
      <c r="O61" s="47" t="n">
        <f aca="false">'E3 Belawan Input'!$E$60*O60*O$8</f>
        <v>0.312626033551383</v>
      </c>
      <c r="P61" s="47" t="n">
        <f aca="false">'E3 Belawan Input'!$E$60*P60*P$8</f>
        <v>0.322004814557925</v>
      </c>
      <c r="Q61" s="47" t="n">
        <f aca="false">'E3 Belawan Input'!$E$60*Q60*Q$8</f>
        <v>0.331664958994662</v>
      </c>
      <c r="R61" s="47" t="n">
        <f aca="false">'E3 Belawan Input'!$E$60*R60*R$8</f>
        <v>0.341614907764502</v>
      </c>
      <c r="S61" s="47" t="n">
        <f aca="false">'E3 Belawan Input'!$E$60*S60*S$8</f>
        <v>0.351863354997437</v>
      </c>
    </row>
    <row r="62" customFormat="false" ht="15" hidden="false" customHeight="false" outlineLevel="0" collapsed="false">
      <c r="B62" s="24" t="s">
        <v>1079</v>
      </c>
      <c r="C62" s="25" t="s">
        <v>1019</v>
      </c>
      <c r="F62" s="104" t="n">
        <f aca="false">1</f>
        <v>1</v>
      </c>
      <c r="G62" s="104" t="n">
        <f aca="false">F62*(1+'E3 Belawan Input'!G63)*G$8</f>
        <v>1.03</v>
      </c>
      <c r="H62" s="104" t="n">
        <f aca="false">G62*(1+'E3 Belawan Input'!H63)*H$8</f>
        <v>1.0609</v>
      </c>
      <c r="I62" s="104" t="n">
        <f aca="false">H62*(1+'E3 Belawan Input'!I63)*I$8</f>
        <v>1.092727</v>
      </c>
      <c r="J62" s="104" t="n">
        <f aca="false">I62*(1+'E3 Belawan Input'!J63)*J$8</f>
        <v>1.12550881</v>
      </c>
      <c r="K62" s="104" t="n">
        <f aca="false">J62*(1+'E3 Belawan Input'!K63)*K$8</f>
        <v>1.1592740743</v>
      </c>
      <c r="L62" s="104" t="n">
        <f aca="false">K62*(1+'E3 Belawan Input'!L63)*L$8</f>
        <v>1.194052296529</v>
      </c>
      <c r="M62" s="104" t="n">
        <f aca="false">L62*(1+'E3 Belawan Input'!M63)*M$8</f>
        <v>1.22987386542487</v>
      </c>
      <c r="N62" s="104" t="n">
        <f aca="false">M62*(1+'E3 Belawan Input'!N63)*N$8</f>
        <v>1.26677008138762</v>
      </c>
      <c r="O62" s="104" t="n">
        <f aca="false">N62*(1+'E3 Belawan Input'!O63)*O$8</f>
        <v>1.30477318382925</v>
      </c>
      <c r="P62" s="104" t="n">
        <f aca="false">O62*(1+'E3 Belawan Input'!P63)*P$8</f>
        <v>1.34391637934412</v>
      </c>
      <c r="Q62" s="104" t="n">
        <f aca="false">P62*(1+'E3 Belawan Input'!Q63)*Q$8</f>
        <v>1.38423387072445</v>
      </c>
      <c r="R62" s="104" t="n">
        <f aca="false">Q62*(1+'E3 Belawan Input'!R63)*R$8</f>
        <v>1.42576088684618</v>
      </c>
      <c r="S62" s="104" t="n">
        <f aca="false">R62*(1+'E3 Belawan Input'!S63)*S$8</f>
        <v>1.46853371345156</v>
      </c>
    </row>
    <row r="63" customFormat="false" ht="15" hidden="false" customHeight="false" outlineLevel="0" collapsed="false">
      <c r="B63" s="24" t="s">
        <v>1080</v>
      </c>
      <c r="C63" s="25" t="s">
        <v>170</v>
      </c>
      <c r="E63" s="47" t="n">
        <f aca="false">SUM(F63:S63)</f>
        <v>2.82805925669149</v>
      </c>
      <c r="F63" s="47" t="n">
        <f aca="false">'E3 Belawan Input'!$E$62*F62*F$8</f>
        <v>0</v>
      </c>
      <c r="G63" s="47" t="n">
        <f aca="false">'E3 Belawan Input'!$E$62*G62*G$8</f>
        <v>0.1810793444846</v>
      </c>
      <c r="H63" s="47" t="n">
        <f aca="false">'E3 Belawan Input'!$E$62*H62*H$8</f>
        <v>0.186511724819138</v>
      </c>
      <c r="I63" s="47" t="n">
        <f aca="false">'E3 Belawan Input'!$E$62*I62*I$8</f>
        <v>0.192107076563712</v>
      </c>
      <c r="J63" s="47" t="n">
        <f aca="false">'E3 Belawan Input'!$E$62*J62*J$8</f>
        <v>0.197870288860624</v>
      </c>
      <c r="K63" s="47" t="n">
        <f aca="false">'E3 Belawan Input'!$E$62*K62*K$8</f>
        <v>0.203806397526442</v>
      </c>
      <c r="L63" s="47" t="n">
        <f aca="false">'E3 Belawan Input'!$E$62*L62*L$8</f>
        <v>0.209920589452236</v>
      </c>
      <c r="M63" s="47" t="n">
        <f aca="false">'E3 Belawan Input'!$E$62*M62*M$8</f>
        <v>0.216218207135803</v>
      </c>
      <c r="N63" s="47" t="n">
        <f aca="false">'E3 Belawan Input'!$E$62*N62*N$8</f>
        <v>0.222704753349877</v>
      </c>
      <c r="O63" s="47" t="n">
        <f aca="false">'E3 Belawan Input'!$E$62*O62*O$8</f>
        <v>0.229385895950373</v>
      </c>
      <c r="P63" s="47" t="n">
        <f aca="false">'E3 Belawan Input'!$E$62*P62*P$8</f>
        <v>0.236267472828884</v>
      </c>
      <c r="Q63" s="47" t="n">
        <f aca="false">'E3 Belawan Input'!$E$62*Q62*Q$8</f>
        <v>0.243355497013751</v>
      </c>
      <c r="R63" s="47" t="n">
        <f aca="false">'E3 Belawan Input'!$E$62*R62*R$8</f>
        <v>0.250656161924163</v>
      </c>
      <c r="S63" s="47" t="n">
        <f aca="false">'E3 Belawan Input'!$E$62*S62*S$8</f>
        <v>0.258175846781888</v>
      </c>
    </row>
    <row r="64" customFormat="false" ht="15" hidden="false" customHeight="false" outlineLevel="0" collapsed="false">
      <c r="B64" s="24" t="s">
        <v>1073</v>
      </c>
      <c r="C64" s="25" t="s">
        <v>1019</v>
      </c>
      <c r="F64" s="104" t="n">
        <f aca="false">1</f>
        <v>1</v>
      </c>
      <c r="G64" s="104" t="n">
        <f aca="false">F64*(1+'E3 Belawan Input'!G65)*G$8</f>
        <v>1.02</v>
      </c>
      <c r="H64" s="104" t="n">
        <f aca="false">G64*(1+'E3 Belawan Input'!H65)*H$8</f>
        <v>1.0404</v>
      </c>
      <c r="I64" s="104" t="n">
        <f aca="false">H64*(1+'E3 Belawan Input'!I65)*I$8</f>
        <v>1.061208</v>
      </c>
      <c r="J64" s="104" t="n">
        <f aca="false">I64*(1+'E3 Belawan Input'!J65)*J$8</f>
        <v>1.08243216</v>
      </c>
      <c r="K64" s="104" t="n">
        <f aca="false">J64*(1+'E3 Belawan Input'!K65)*K$8</f>
        <v>1.1040808032</v>
      </c>
      <c r="L64" s="104" t="n">
        <f aca="false">K64*(1+'E3 Belawan Input'!L65)*L$8</f>
        <v>1.126162419264</v>
      </c>
      <c r="M64" s="104" t="n">
        <f aca="false">L64*(1+'E3 Belawan Input'!M65)*M$8</f>
        <v>1.14868566764928</v>
      </c>
      <c r="N64" s="104" t="n">
        <f aca="false">M64*(1+'E3 Belawan Input'!N65)*N$8</f>
        <v>1.17165938100227</v>
      </c>
      <c r="O64" s="104" t="n">
        <f aca="false">N64*(1+'E3 Belawan Input'!O65)*O$8</f>
        <v>1.19509256862231</v>
      </c>
      <c r="P64" s="104" t="n">
        <f aca="false">O64*(1+'E3 Belawan Input'!P65)*P$8</f>
        <v>1.21899441999476</v>
      </c>
      <c r="Q64" s="104" t="n">
        <f aca="false">P64*(1+'E3 Belawan Input'!Q65)*Q$8</f>
        <v>1.24337430839465</v>
      </c>
      <c r="R64" s="104" t="n">
        <f aca="false">Q64*(1+'E3 Belawan Input'!R65)*R$8</f>
        <v>1.26824179456255</v>
      </c>
      <c r="S64" s="104" t="n">
        <f aca="false">R64*(1+'E3 Belawan Input'!S65)*S$8</f>
        <v>1.2936066304538</v>
      </c>
    </row>
    <row r="65" customFormat="false" ht="15" hidden="false" customHeight="false" outlineLevel="0" collapsed="false">
      <c r="B65" s="24" t="s">
        <v>1074</v>
      </c>
      <c r="C65" s="25" t="s">
        <v>170</v>
      </c>
      <c r="E65" s="47" t="n">
        <f aca="false">SUM(F65:S65)</f>
        <v>2.2127903915479</v>
      </c>
      <c r="F65" s="47" t="n">
        <f aca="false">'E3 Belawan Input'!$E$64*F64*F$8</f>
        <v>0</v>
      </c>
      <c r="G65" s="47" t="n">
        <f aca="false">'E3 Belawan Input'!$E$64*G64*G$8</f>
        <v>0.15073163628</v>
      </c>
      <c r="H65" s="47" t="n">
        <f aca="false">'E3 Belawan Input'!$E$64*H64*H$8</f>
        <v>0.1537462690056</v>
      </c>
      <c r="I65" s="47" t="n">
        <f aca="false">'E3 Belawan Input'!$E$64*I64*I$8</f>
        <v>0.156821194385712</v>
      </c>
      <c r="J65" s="47" t="n">
        <f aca="false">'E3 Belawan Input'!$E$64*J64*J$8</f>
        <v>0.159957618273426</v>
      </c>
      <c r="K65" s="47" t="n">
        <f aca="false">'E3 Belawan Input'!$E$64*K64*K$8</f>
        <v>0.163156770638895</v>
      </c>
      <c r="L65" s="47" t="n">
        <f aca="false">'E3 Belawan Input'!$E$64*L64*L$8</f>
        <v>0.166419906051673</v>
      </c>
      <c r="M65" s="47" t="n">
        <f aca="false">'E3 Belawan Input'!$E$64*M64*M$8</f>
        <v>0.169748304172706</v>
      </c>
      <c r="N65" s="47" t="n">
        <f aca="false">'E3 Belawan Input'!$E$64*N64*N$8</f>
        <v>0.17314327025616</v>
      </c>
      <c r="O65" s="47" t="n">
        <f aca="false">'E3 Belawan Input'!$E$64*O64*O$8</f>
        <v>0.176606135661283</v>
      </c>
      <c r="P65" s="47" t="n">
        <f aca="false">'E3 Belawan Input'!$E$64*P64*P$8</f>
        <v>0.180138258374509</v>
      </c>
      <c r="Q65" s="47" t="n">
        <f aca="false">'E3 Belawan Input'!$E$64*Q64*Q$8</f>
        <v>0.183741023541999</v>
      </c>
      <c r="R65" s="47" t="n">
        <f aca="false">'E3 Belawan Input'!$E$64*R64*R$8</f>
        <v>0.187415844012839</v>
      </c>
      <c r="S65" s="47" t="n">
        <f aca="false">'E3 Belawan Input'!$E$64*S64*S$8</f>
        <v>0.191164160893096</v>
      </c>
    </row>
    <row r="66" customFormat="false" ht="15" hidden="false" customHeight="false" outlineLevel="0" collapsed="false">
      <c r="B66" s="24" t="s">
        <v>1075</v>
      </c>
      <c r="C66" s="25" t="s">
        <v>1019</v>
      </c>
      <c r="F66" s="104" t="n">
        <f aca="false">1</f>
        <v>1</v>
      </c>
      <c r="G66" s="104" t="n">
        <f aca="false">F66*(1+'E3 Belawan Input'!G67)*G$8</f>
        <v>1.02</v>
      </c>
      <c r="H66" s="104" t="n">
        <f aca="false">G66*(1+'E3 Belawan Input'!H67)*H$8</f>
        <v>1.0404</v>
      </c>
      <c r="I66" s="104" t="n">
        <f aca="false">H66*(1+'E3 Belawan Input'!I67)*I$8</f>
        <v>1.061208</v>
      </c>
      <c r="J66" s="104" t="n">
        <f aca="false">I66*(1+'E3 Belawan Input'!J67)*J$8</f>
        <v>1.08243216</v>
      </c>
      <c r="K66" s="104" t="n">
        <f aca="false">J66*(1+'E3 Belawan Input'!K67)*K$8</f>
        <v>1.1040808032</v>
      </c>
      <c r="L66" s="104" t="n">
        <f aca="false">K66*(1+'E3 Belawan Input'!L67)*L$8</f>
        <v>1.126162419264</v>
      </c>
      <c r="M66" s="104" t="n">
        <f aca="false">L66*(1+'E3 Belawan Input'!M67)*M$8</f>
        <v>1.14868566764928</v>
      </c>
      <c r="N66" s="104" t="n">
        <f aca="false">M66*(1+'E3 Belawan Input'!N67)*N$8</f>
        <v>1.17165938100227</v>
      </c>
      <c r="O66" s="104" t="n">
        <f aca="false">N66*(1+'E3 Belawan Input'!O67)*O$8</f>
        <v>1.19509256862231</v>
      </c>
      <c r="P66" s="104" t="n">
        <f aca="false">O66*(1+'E3 Belawan Input'!P67)*P$8</f>
        <v>1.21899441999476</v>
      </c>
      <c r="Q66" s="104" t="n">
        <f aca="false">P66*(1+'E3 Belawan Input'!Q67)*Q$8</f>
        <v>1.24337430839465</v>
      </c>
      <c r="R66" s="104" t="n">
        <f aca="false">Q66*(1+'E3 Belawan Input'!R67)*R$8</f>
        <v>1.26824179456255</v>
      </c>
      <c r="S66" s="104" t="n">
        <f aca="false">R66*(1+'E3 Belawan Input'!S67)*S$8</f>
        <v>1.2936066304538</v>
      </c>
    </row>
    <row r="67" customFormat="false" ht="15" hidden="false" customHeight="false" outlineLevel="0" collapsed="false">
      <c r="B67" s="24" t="s">
        <v>1076</v>
      </c>
      <c r="C67" s="25" t="s">
        <v>170</v>
      </c>
      <c r="E67" s="47" t="n">
        <f aca="false">SUM(F67:S67)</f>
        <v>2.19207156725686</v>
      </c>
      <c r="F67" s="47" t="n">
        <f aca="false">'E3 Belawan Input'!$E$66*F66*F$8</f>
        <v>0</v>
      </c>
      <c r="G67" s="47" t="n">
        <f aca="false">'E3 Belawan Input'!$E$66*G66*G$8</f>
        <v>0.1493203041</v>
      </c>
      <c r="H67" s="47" t="n">
        <f aca="false">'E3 Belawan Input'!$E$66*H66*H$8</f>
        <v>0.152306710182</v>
      </c>
      <c r="I67" s="47" t="n">
        <f aca="false">'E3 Belawan Input'!$E$66*I66*I$8</f>
        <v>0.15535284438564</v>
      </c>
      <c r="J67" s="47" t="n">
        <f aca="false">'E3 Belawan Input'!$E$66*J66*J$8</f>
        <v>0.158459901273353</v>
      </c>
      <c r="K67" s="47" t="n">
        <f aca="false">'E3 Belawan Input'!$E$66*K66*K$8</f>
        <v>0.16162909929882</v>
      </c>
      <c r="L67" s="47" t="n">
        <f aca="false">'E3 Belawan Input'!$E$66*L66*L$8</f>
        <v>0.164861681284796</v>
      </c>
      <c r="M67" s="47" t="n">
        <f aca="false">'E3 Belawan Input'!$E$66*M66*M$8</f>
        <v>0.168158914910492</v>
      </c>
      <c r="N67" s="47" t="n">
        <f aca="false">'E3 Belawan Input'!$E$66*N66*N$8</f>
        <v>0.171522093208702</v>
      </c>
      <c r="O67" s="47" t="n">
        <f aca="false">'E3 Belawan Input'!$E$66*O66*O$8</f>
        <v>0.174952535072876</v>
      </c>
      <c r="P67" s="47" t="n">
        <f aca="false">'E3 Belawan Input'!$E$66*P66*P$8</f>
        <v>0.178451585774334</v>
      </c>
      <c r="Q67" s="47" t="n">
        <f aca="false">'E3 Belawan Input'!$E$66*Q66*Q$8</f>
        <v>0.18202061748982</v>
      </c>
      <c r="R67" s="47" t="n">
        <f aca="false">'E3 Belawan Input'!$E$66*R66*R$8</f>
        <v>0.185661029839617</v>
      </c>
      <c r="S67" s="47" t="n">
        <f aca="false">'E3 Belawan Input'!$E$66*S66*S$8</f>
        <v>0.189374250436409</v>
      </c>
    </row>
    <row r="68" customFormat="false" ht="15" hidden="false" customHeight="false" outlineLevel="0" collapsed="false">
      <c r="B68" s="24" t="s">
        <v>1063</v>
      </c>
      <c r="C68" s="25" t="s">
        <v>1019</v>
      </c>
      <c r="F68" s="104" t="n">
        <f aca="false">1</f>
        <v>1</v>
      </c>
      <c r="G68" s="104" t="n">
        <f aca="false">F68*(1+'E3 Belawan Input'!G69)*G$8</f>
        <v>1.035</v>
      </c>
      <c r="H68" s="104" t="n">
        <f aca="false">G68*(1+'E3 Belawan Input'!H69)*H$8</f>
        <v>1.071225</v>
      </c>
      <c r="I68" s="104" t="n">
        <f aca="false">H68*(1+'E3 Belawan Input'!I69)*I$8</f>
        <v>1.108717875</v>
      </c>
      <c r="J68" s="104" t="n">
        <f aca="false">I68*(1+'E3 Belawan Input'!J69)*J$8</f>
        <v>1.147523000625</v>
      </c>
      <c r="K68" s="104" t="n">
        <f aca="false">J68*(1+'E3 Belawan Input'!K69)*K$8</f>
        <v>1.18768630564687</v>
      </c>
      <c r="L68" s="104" t="n">
        <f aca="false">K68*(1+'E3 Belawan Input'!L69)*L$8</f>
        <v>1.22925532634452</v>
      </c>
      <c r="M68" s="104" t="n">
        <f aca="false">L68*(1+'E3 Belawan Input'!M69)*M$8</f>
        <v>1.27227926276657</v>
      </c>
      <c r="N68" s="104" t="n">
        <f aca="false">M68*(1+'E3 Belawan Input'!N69)*N$8</f>
        <v>1.3168090369634</v>
      </c>
      <c r="O68" s="104" t="n">
        <f aca="false">N68*(1+'E3 Belawan Input'!O69)*O$8</f>
        <v>1.36289735325712</v>
      </c>
      <c r="P68" s="104" t="n">
        <f aca="false">O68*(1+'E3 Belawan Input'!P69)*P$8</f>
        <v>1.41059876062112</v>
      </c>
      <c r="Q68" s="104" t="n">
        <f aca="false">P68*(1+'E3 Belawan Input'!Q69)*Q$8</f>
        <v>1.45996971724286</v>
      </c>
      <c r="R68" s="104" t="n">
        <f aca="false">Q68*(1+'E3 Belawan Input'!R69)*R$8</f>
        <v>1.51106865734636</v>
      </c>
      <c r="S68" s="104" t="n">
        <f aca="false">R68*(1+'E3 Belawan Input'!S69)*S$8</f>
        <v>1.56395606035348</v>
      </c>
    </row>
    <row r="69" customFormat="false" ht="15" hidden="false" customHeight="false" outlineLevel="0" collapsed="false">
      <c r="B69" s="24" t="s">
        <v>1064</v>
      </c>
      <c r="C69" s="25" t="s">
        <v>170</v>
      </c>
      <c r="E69" s="47" t="n">
        <f aca="false">SUM(F69:S69)</f>
        <v>2.35134188951319</v>
      </c>
      <c r="F69" s="47" t="n">
        <f aca="false">'E3 Belawan Input'!$E$68*F68*F$8</f>
        <v>0</v>
      </c>
      <c r="G69" s="47" t="n">
        <f aca="false">'E3 Belawan Input'!$E$68*G68*G$8</f>
        <v>0.145927975455</v>
      </c>
      <c r="H69" s="47" t="n">
        <f aca="false">'E3 Belawan Input'!$E$68*H68*H$8</f>
        <v>0.151035454595925</v>
      </c>
      <c r="I69" s="47" t="n">
        <f aca="false">'E3 Belawan Input'!$E$68*I68*I$8</f>
        <v>0.156321695506782</v>
      </c>
      <c r="J69" s="47" t="n">
        <f aca="false">'E3 Belawan Input'!$E$68*J68*J$8</f>
        <v>0.16179295484952</v>
      </c>
      <c r="K69" s="47" t="n">
        <f aca="false">'E3 Belawan Input'!$E$68*K68*K$8</f>
        <v>0.167455708269253</v>
      </c>
      <c r="L69" s="47" t="n">
        <f aca="false">'E3 Belawan Input'!$E$68*L68*L$8</f>
        <v>0.173316658058677</v>
      </c>
      <c r="M69" s="47" t="n">
        <f aca="false">'E3 Belawan Input'!$E$68*M68*M$8</f>
        <v>0.17938274109073</v>
      </c>
      <c r="N69" s="47" t="n">
        <f aca="false">'E3 Belawan Input'!$E$68*N68*N$8</f>
        <v>0.185661137028906</v>
      </c>
      <c r="O69" s="47" t="n">
        <f aca="false">'E3 Belawan Input'!$E$68*O68*O$8</f>
        <v>0.192159276824918</v>
      </c>
      <c r="P69" s="47" t="n">
        <f aca="false">'E3 Belawan Input'!$E$68*P68*P$8</f>
        <v>0.19888485151379</v>
      </c>
      <c r="Q69" s="47" t="n">
        <f aca="false">'E3 Belawan Input'!$E$68*Q68*Q$8</f>
        <v>0.205845821316772</v>
      </c>
      <c r="R69" s="47" t="n">
        <f aca="false">'E3 Belawan Input'!$E$68*R68*R$8</f>
        <v>0.213050425062859</v>
      </c>
      <c r="S69" s="47" t="n">
        <f aca="false">'E3 Belawan Input'!$E$68*S68*S$8</f>
        <v>0.220507189940059</v>
      </c>
    </row>
    <row r="70" customFormat="false" ht="15" hidden="false" customHeight="false" outlineLevel="0" collapsed="false">
      <c r="B70" s="24" t="s">
        <v>1077</v>
      </c>
      <c r="C70" s="25" t="s">
        <v>1019</v>
      </c>
      <c r="F70" s="104" t="n">
        <f aca="false">1</f>
        <v>1</v>
      </c>
      <c r="G70" s="104" t="n">
        <f aca="false">F70*(1+'E3 Belawan Input'!G71)*G$8</f>
        <v>1.03</v>
      </c>
      <c r="H70" s="104" t="n">
        <f aca="false">G70*(1+'E3 Belawan Input'!H71)*H$8</f>
        <v>1.0609</v>
      </c>
      <c r="I70" s="104" t="n">
        <f aca="false">H70*(1+'E3 Belawan Input'!I71)*I$8</f>
        <v>1.092727</v>
      </c>
      <c r="J70" s="104" t="n">
        <f aca="false">I70*(1+'E3 Belawan Input'!J71)*J$8</f>
        <v>1.12550881</v>
      </c>
      <c r="K70" s="104" t="n">
        <f aca="false">J70*(1+'E3 Belawan Input'!K71)*K$8</f>
        <v>1.1592740743</v>
      </c>
      <c r="L70" s="104" t="n">
        <f aca="false">K70*(1+'E3 Belawan Input'!L71)*L$8</f>
        <v>1.194052296529</v>
      </c>
      <c r="M70" s="104" t="n">
        <f aca="false">L70*(1+'E3 Belawan Input'!M71)*M$8</f>
        <v>1.22987386542487</v>
      </c>
      <c r="N70" s="104" t="n">
        <f aca="false">M70*(1+'E3 Belawan Input'!N71)*N$8</f>
        <v>1.26677008138762</v>
      </c>
      <c r="O70" s="104" t="n">
        <f aca="false">N70*(1+'E3 Belawan Input'!O71)*O$8</f>
        <v>1.30477318382925</v>
      </c>
      <c r="P70" s="104" t="n">
        <f aca="false">O70*(1+'E3 Belawan Input'!P71)*P$8</f>
        <v>1.34391637934412</v>
      </c>
      <c r="Q70" s="104" t="n">
        <f aca="false">P70*(1+'E3 Belawan Input'!Q71)*Q$8</f>
        <v>1.38423387072445</v>
      </c>
      <c r="R70" s="104" t="n">
        <f aca="false">Q70*(1+'E3 Belawan Input'!R71)*R$8</f>
        <v>1.42576088684618</v>
      </c>
      <c r="S70" s="104" t="n">
        <f aca="false">R70*(1+'E3 Belawan Input'!S71)*S$8</f>
        <v>1.46853371345156</v>
      </c>
    </row>
    <row r="71" customFormat="false" ht="15" hidden="false" customHeight="false" outlineLevel="0" collapsed="false">
      <c r="B71" s="24" t="s">
        <v>1078</v>
      </c>
      <c r="C71" s="25" t="s">
        <v>170</v>
      </c>
      <c r="E71" s="47" t="n">
        <f aca="false">SUM(F71:S71)</f>
        <v>2.23964601124521</v>
      </c>
      <c r="F71" s="47" t="n">
        <f aca="false">'E3 Belawan Input'!$E$70*F70*F$8</f>
        <v>0</v>
      </c>
      <c r="G71" s="47" t="n">
        <f aca="false">'E3 Belawan Input'!$E$70*G70*G$8</f>
        <v>0.1434035127214</v>
      </c>
      <c r="H71" s="47" t="n">
        <f aca="false">'E3 Belawan Input'!$E$70*H70*H$8</f>
        <v>0.147705618103042</v>
      </c>
      <c r="I71" s="47" t="n">
        <f aca="false">'E3 Belawan Input'!$E$70*I70*I$8</f>
        <v>0.152136786646133</v>
      </c>
      <c r="J71" s="47" t="n">
        <f aca="false">'E3 Belawan Input'!$E$70*J70*J$8</f>
        <v>0.156700890245517</v>
      </c>
      <c r="K71" s="47" t="n">
        <f aca="false">'E3 Belawan Input'!$E$70*K70*K$8</f>
        <v>0.161401916952883</v>
      </c>
      <c r="L71" s="47" t="n">
        <f aca="false">'E3 Belawan Input'!$E$70*L70*L$8</f>
        <v>0.166243974461469</v>
      </c>
      <c r="M71" s="47" t="n">
        <f aca="false">'E3 Belawan Input'!$E$70*M70*M$8</f>
        <v>0.171231293695313</v>
      </c>
      <c r="N71" s="47" t="n">
        <f aca="false">'E3 Belawan Input'!$E$70*N70*N$8</f>
        <v>0.176368232506173</v>
      </c>
      <c r="O71" s="47" t="n">
        <f aca="false">'E3 Belawan Input'!$E$70*O70*O$8</f>
        <v>0.181659279481358</v>
      </c>
      <c r="P71" s="47" t="n">
        <f aca="false">'E3 Belawan Input'!$E$70*P70*P$8</f>
        <v>0.187109057865799</v>
      </c>
      <c r="Q71" s="47" t="n">
        <f aca="false">'E3 Belawan Input'!$E$70*Q70*Q$8</f>
        <v>0.192722329601773</v>
      </c>
      <c r="R71" s="47" t="n">
        <f aca="false">'E3 Belawan Input'!$E$70*R70*R$8</f>
        <v>0.198503999489826</v>
      </c>
      <c r="S71" s="47" t="n">
        <f aca="false">'E3 Belawan Input'!$E$70*S70*S$8</f>
        <v>0.204459119474521</v>
      </c>
    </row>
    <row r="72" customFormat="false" ht="15" hidden="false" customHeight="false" outlineLevel="0" collapsed="false">
      <c r="B72" s="24" t="s">
        <v>1326</v>
      </c>
      <c r="C72" s="25" t="s">
        <v>1019</v>
      </c>
      <c r="F72" s="104" t="n">
        <f aca="false">1</f>
        <v>1</v>
      </c>
      <c r="G72" s="104" t="n">
        <f aca="false">F72*(1+'E3 Belawan Input'!G73)*G$8</f>
        <v>1.03</v>
      </c>
      <c r="H72" s="104" t="n">
        <f aca="false">G72*(1+'E3 Belawan Input'!H73)*H$8</f>
        <v>1.0609</v>
      </c>
      <c r="I72" s="104" t="n">
        <f aca="false">H72*(1+'E3 Belawan Input'!I73)*I$8</f>
        <v>1.092727</v>
      </c>
      <c r="J72" s="104" t="n">
        <f aca="false">I72*(1+'E3 Belawan Input'!J73)*J$8</f>
        <v>1.12550881</v>
      </c>
      <c r="K72" s="104" t="n">
        <f aca="false">J72*(1+'E3 Belawan Input'!K73)*K$8</f>
        <v>1.1592740743</v>
      </c>
      <c r="L72" s="104" t="n">
        <f aca="false">K72*(1+'E3 Belawan Input'!L73)*L$8</f>
        <v>1.194052296529</v>
      </c>
      <c r="M72" s="104" t="n">
        <f aca="false">L72*(1+'E3 Belawan Input'!M73)*M$8</f>
        <v>1.22987386542487</v>
      </c>
      <c r="N72" s="104" t="n">
        <f aca="false">M72*(1+'E3 Belawan Input'!N73)*N$8</f>
        <v>1.26677008138762</v>
      </c>
      <c r="O72" s="104" t="n">
        <f aca="false">N72*(1+'E3 Belawan Input'!O73)*O$8</f>
        <v>1.30477318382925</v>
      </c>
      <c r="P72" s="104" t="n">
        <f aca="false">O72*(1+'E3 Belawan Input'!P73)*P$8</f>
        <v>1.34391637934412</v>
      </c>
      <c r="Q72" s="104" t="n">
        <f aca="false">P72*(1+'E3 Belawan Input'!Q73)*Q$8</f>
        <v>1.38423387072445</v>
      </c>
      <c r="R72" s="104" t="n">
        <f aca="false">Q72*(1+'E3 Belawan Input'!R73)*R$8</f>
        <v>1.42576088684618</v>
      </c>
      <c r="S72" s="104" t="n">
        <f aca="false">R72*(1+'E3 Belawan Input'!S73)*S$8</f>
        <v>1.46853371345156</v>
      </c>
    </row>
    <row r="73" customFormat="false" ht="15" hidden="false" customHeight="false" outlineLevel="0" collapsed="false">
      <c r="B73" s="24" t="s">
        <v>1327</v>
      </c>
      <c r="C73" s="25" t="s">
        <v>170</v>
      </c>
      <c r="E73" s="47" t="n">
        <f aca="false">SUM(F73:S73)</f>
        <v>0.581279194897388</v>
      </c>
      <c r="F73" s="47" t="n">
        <f aca="false">'E3 Belawan Input'!$E$72*F72*F$8</f>
        <v>0</v>
      </c>
      <c r="G73" s="47" t="n">
        <f aca="false">'E3 Belawan Input'!$E$72*G72*G$8</f>
        <v>0.03721904176</v>
      </c>
      <c r="H73" s="47" t="n">
        <f aca="false">'E3 Belawan Input'!$E$72*H72*H$8</f>
        <v>0.0383356130128</v>
      </c>
      <c r="I73" s="47" t="n">
        <f aca="false">'E3 Belawan Input'!$E$72*I72*I$8</f>
        <v>0.039485681403184</v>
      </c>
      <c r="J73" s="47" t="n">
        <f aca="false">'E3 Belawan Input'!$E$72*J72*J$8</f>
        <v>0.0406702518452795</v>
      </c>
      <c r="K73" s="47" t="n">
        <f aca="false">'E3 Belawan Input'!$E$72*K72*K$8</f>
        <v>0.0418903594006379</v>
      </c>
      <c r="L73" s="47" t="n">
        <f aca="false">'E3 Belawan Input'!$E$72*L72*L$8</f>
        <v>0.043147070182657</v>
      </c>
      <c r="M73" s="47" t="n">
        <f aca="false">'E3 Belawan Input'!$E$72*M72*M$8</f>
        <v>0.0444414822881368</v>
      </c>
      <c r="N73" s="47" t="n">
        <f aca="false">'E3 Belawan Input'!$E$72*N72*N$8</f>
        <v>0.0457747267567809</v>
      </c>
      <c r="O73" s="47" t="n">
        <f aca="false">'E3 Belawan Input'!$E$72*O72*O$8</f>
        <v>0.0471479685594843</v>
      </c>
      <c r="P73" s="47" t="n">
        <f aca="false">'E3 Belawan Input'!$E$72*P72*P$8</f>
        <v>0.0485624076162688</v>
      </c>
      <c r="Q73" s="47" t="n">
        <f aca="false">'E3 Belawan Input'!$E$72*Q72*Q$8</f>
        <v>0.0500192798447569</v>
      </c>
      <c r="R73" s="47" t="n">
        <f aca="false">'E3 Belawan Input'!$E$72*R72*R$8</f>
        <v>0.0515198582400996</v>
      </c>
      <c r="S73" s="47" t="n">
        <f aca="false">'E3 Belawan Input'!$E$72*S72*S$8</f>
        <v>0.0530654539873026</v>
      </c>
    </row>
    <row r="74" customFormat="false" ht="15" hidden="false" customHeight="false" outlineLevel="0" collapsed="false">
      <c r="B74" s="69" t="s">
        <v>1328</v>
      </c>
      <c r="C74" s="25" t="s">
        <v>170</v>
      </c>
      <c r="E74" s="70" t="n">
        <f aca="false">SUM(F74:S74)</f>
        <v>47.5176464511441</v>
      </c>
      <c r="F74" s="68" t="n">
        <f aca="false">F57+F59+F61+F63+F65+F67+F69+F71+F73</f>
        <v>0</v>
      </c>
      <c r="G74" s="68" t="n">
        <f aca="false">G57+G59+G61+G63+G65+G67+G69+G71+G73</f>
        <v>3.0717537533632</v>
      </c>
      <c r="H74" s="68" t="n">
        <f aca="false">H57+H59+H61+H63+H65+H67+H69+H71+H73</f>
        <v>3.15899704597087</v>
      </c>
      <c r="I74" s="68" t="n">
        <f aca="false">I57+I59+I61+I63+I65+I67+I69+I71+I73</f>
        <v>3.24877039555507</v>
      </c>
      <c r="J74" s="68" t="n">
        <f aca="false">J57+J59+J61+J63+J65+J67+J69+J71+J73</f>
        <v>3.34114834204999</v>
      </c>
      <c r="K74" s="68" t="n">
        <f aca="false">K57+K59+K61+K63+K65+K67+K69+K71+K73</f>
        <v>3.43620764775949</v>
      </c>
      <c r="L74" s="68" t="n">
        <f aca="false">L57+L59+L61+L63+L65+L67+L69+L71+L73</f>
        <v>3.53402736422084</v>
      </c>
      <c r="M74" s="68" t="n">
        <f aca="false">M57+M59+M61+M63+M65+M67+M69+M71+M73</f>
        <v>3.63468890109473</v>
      </c>
      <c r="N74" s="68" t="n">
        <f aca="false">N57+N59+N61+N63+N65+N67+N69+N71+N73</f>
        <v>3.73827609714313</v>
      </c>
      <c r="O74" s="68" t="n">
        <f aca="false">O57+O59+O61+O63+O65+O67+O69+O71+O73</f>
        <v>3.84487529335888</v>
      </c>
      <c r="P74" s="68" t="n">
        <f aca="false">P57+P59+P61+P63+P65+P67+P69+P71+P73</f>
        <v>3.95457540831241</v>
      </c>
      <c r="Q74" s="68" t="n">
        <f aca="false">Q57+Q59+Q61+Q63+Q65+Q67+Q69+Q71+Q73</f>
        <v>4.06746801578336</v>
      </c>
      <c r="R74" s="68" t="n">
        <f aca="false">R57+R59+R61+R63+R65+R67+R69+R71+R73</f>
        <v>4.18364742474673</v>
      </c>
      <c r="S74" s="68" t="n">
        <f aca="false">S57+S59+S61+S63+S65+S67+S69+S71+S73</f>
        <v>4.3032107617854</v>
      </c>
    </row>
    <row r="76" customFormat="false" ht="15" hidden="false" customHeight="false" outlineLevel="0" collapsed="false">
      <c r="B76" s="22" t="s">
        <v>1084</v>
      </c>
      <c r="C76" s="23"/>
      <c r="D76" s="23"/>
      <c r="E76" s="23"/>
      <c r="F76" s="23"/>
      <c r="G76" s="23"/>
      <c r="H76" s="23"/>
      <c r="I76" s="23"/>
      <c r="J76" s="23"/>
      <c r="K76" s="23"/>
      <c r="L76" s="23"/>
      <c r="M76" s="23"/>
      <c r="N76" s="23"/>
      <c r="O76" s="23"/>
      <c r="P76" s="23"/>
      <c r="Q76" s="23"/>
      <c r="R76" s="23"/>
      <c r="S76" s="23"/>
    </row>
    <row r="77" customFormat="false" ht="15" hidden="false" customHeight="false" outlineLevel="0" collapsed="false">
      <c r="B77" s="24" t="s">
        <v>1085</v>
      </c>
      <c r="C77" s="25" t="s">
        <v>170</v>
      </c>
      <c r="E77" s="47" t="n">
        <f aca="false">SUM(F77:S77)</f>
        <v>13.084935533575</v>
      </c>
      <c r="F77" s="47" t="n">
        <f aca="false">'E3 Belawan Input'!F53*F$8+'E3 Belawan Input'!F54</f>
        <v>0</v>
      </c>
      <c r="G77" s="47" t="n">
        <f aca="false">'E3 Belawan Input'!G53*G$8+'E3 Belawan Input'!G54</f>
        <v>5.23397421343</v>
      </c>
      <c r="H77" s="47" t="n">
        <f aca="false">'E3 Belawan Input'!H53*H$8+'E3 Belawan Input'!H54</f>
        <v>5.23397421343</v>
      </c>
      <c r="I77" s="47" t="n">
        <f aca="false">'E3 Belawan Input'!I53*I$8+'E3 Belawan Input'!I54</f>
        <v>2.616987106715</v>
      </c>
      <c r="J77" s="47" t="n">
        <f aca="false">'E3 Belawan Input'!J53*J$8+'E3 Belawan Input'!J54</f>
        <v>0</v>
      </c>
      <c r="K77" s="47" t="n">
        <f aca="false">'E3 Belawan Input'!K53*K$8+'E3 Belawan Input'!K54</f>
        <v>0</v>
      </c>
      <c r="L77" s="47" t="n">
        <f aca="false">'E3 Belawan Input'!L53*L$8+'E3 Belawan Input'!L54</f>
        <v>0</v>
      </c>
      <c r="M77" s="47" t="n">
        <f aca="false">'E3 Belawan Input'!M53*M$8+'E3 Belawan Input'!M54</f>
        <v>0</v>
      </c>
      <c r="N77" s="47" t="n">
        <f aca="false">'E3 Belawan Input'!N53*N$8+'E3 Belawan Input'!N54</f>
        <v>0</v>
      </c>
      <c r="O77" s="47" t="n">
        <f aca="false">'E3 Belawan Input'!O53*O$8+'E3 Belawan Input'!O54</f>
        <v>0</v>
      </c>
      <c r="P77" s="47" t="n">
        <f aca="false">'E3 Belawan Input'!P53*P$8+'E3 Belawan Input'!P54</f>
        <v>0</v>
      </c>
      <c r="Q77" s="47" t="n">
        <f aca="false">'E3 Belawan Input'!Q53*Q$8+'E3 Belawan Input'!Q54</f>
        <v>0</v>
      </c>
      <c r="R77" s="47" t="n">
        <f aca="false">'E3 Belawan Input'!R53*R$8+'E3 Belawan Input'!R54</f>
        <v>0</v>
      </c>
      <c r="S77" s="47" t="n">
        <f aca="false">'E3 Belawan Input'!S53*S$8+'E3 Belawan Input'!S54</f>
        <v>0</v>
      </c>
    </row>
    <row r="78" customFormat="false" ht="15" hidden="false" customHeight="false" outlineLevel="0" collapsed="false">
      <c r="B78" s="69" t="s">
        <v>1329</v>
      </c>
      <c r="C78" s="25" t="s">
        <v>170</v>
      </c>
      <c r="E78" s="70" t="n">
        <f aca="false">SUM(F78:S78)</f>
        <v>13.084935533575</v>
      </c>
      <c r="F78" s="68" t="n">
        <f aca="false">F77</f>
        <v>0</v>
      </c>
      <c r="G78" s="68" t="n">
        <f aca="false">G77</f>
        <v>5.23397421343</v>
      </c>
      <c r="H78" s="68" t="n">
        <f aca="false">H77</f>
        <v>5.23397421343</v>
      </c>
      <c r="I78" s="68" t="n">
        <f aca="false">I77</f>
        <v>2.616987106715</v>
      </c>
      <c r="J78" s="68" t="n">
        <f aca="false">J77</f>
        <v>0</v>
      </c>
      <c r="K78" s="68" t="n">
        <f aca="false">K77</f>
        <v>0</v>
      </c>
      <c r="L78" s="68" t="n">
        <f aca="false">L77</f>
        <v>0</v>
      </c>
      <c r="M78" s="68" t="n">
        <f aca="false">M77</f>
        <v>0</v>
      </c>
      <c r="N78" s="68" t="n">
        <f aca="false">N77</f>
        <v>0</v>
      </c>
      <c r="O78" s="68" t="n">
        <f aca="false">O77</f>
        <v>0</v>
      </c>
      <c r="P78" s="68" t="n">
        <f aca="false">P77</f>
        <v>0</v>
      </c>
      <c r="Q78" s="68" t="n">
        <f aca="false">Q77</f>
        <v>0</v>
      </c>
      <c r="R78" s="68" t="n">
        <f aca="false">R77</f>
        <v>0</v>
      </c>
      <c r="S78" s="68" t="n">
        <f aca="false">S77</f>
        <v>0</v>
      </c>
    </row>
    <row r="80" customFormat="false" ht="15" hidden="false" customHeight="false" outlineLevel="0" collapsed="false">
      <c r="B80" s="22" t="s">
        <v>1089</v>
      </c>
      <c r="C80" s="23"/>
      <c r="D80" s="23"/>
      <c r="E80" s="23"/>
      <c r="F80" s="23"/>
      <c r="G80" s="23"/>
      <c r="H80" s="23"/>
      <c r="I80" s="23"/>
      <c r="J80" s="23"/>
      <c r="K80" s="23"/>
      <c r="L80" s="23"/>
      <c r="M80" s="23"/>
      <c r="N80" s="23"/>
      <c r="O80" s="23"/>
      <c r="P80" s="23"/>
      <c r="Q80" s="23"/>
      <c r="R80" s="23"/>
      <c r="S80" s="23"/>
    </row>
    <row r="81" customFormat="false" ht="15" hidden="false" customHeight="false" outlineLevel="0" collapsed="false">
      <c r="B81" s="24" t="s">
        <v>1330</v>
      </c>
      <c r="C81" s="25" t="s">
        <v>240</v>
      </c>
      <c r="E81" s="44" t="n">
        <f aca="false">SUM(F81:S81)</f>
        <v>14.0245926836766</v>
      </c>
      <c r="F81" s="44" t="n">
        <f aca="false">'E3 Belawan Input'!F78</f>
        <v>0</v>
      </c>
      <c r="G81" s="44" t="n">
        <f aca="false">'E3 Belawan Input'!G78</f>
        <v>0</v>
      </c>
      <c r="H81" s="44" t="n">
        <f aca="false">'E3 Belawan Input'!H78</f>
        <v>0</v>
      </c>
      <c r="I81" s="44" t="n">
        <f aca="false">'E3 Belawan Input'!I78</f>
        <v>7.02459268367661</v>
      </c>
      <c r="J81" s="44" t="n">
        <f aca="false">'E3 Belawan Input'!J78</f>
        <v>7</v>
      </c>
      <c r="K81" s="44" t="n">
        <f aca="false">'E3 Belawan Input'!K78</f>
        <v>0</v>
      </c>
      <c r="L81" s="44" t="n">
        <f aca="false">'E3 Belawan Input'!L78</f>
        <v>0</v>
      </c>
      <c r="M81" s="44" t="n">
        <f aca="false">'E3 Belawan Input'!M78</f>
        <v>0</v>
      </c>
      <c r="N81" s="44" t="n">
        <f aca="false">'E3 Belawan Input'!N78</f>
        <v>0</v>
      </c>
      <c r="O81" s="44" t="n">
        <f aca="false">'E3 Belawan Input'!O78</f>
        <v>0</v>
      </c>
      <c r="P81" s="44" t="n">
        <f aca="false">'E3 Belawan Input'!P78</f>
        <v>0</v>
      </c>
      <c r="Q81" s="44" t="n">
        <f aca="false">'E3 Belawan Input'!Q78</f>
        <v>0</v>
      </c>
      <c r="R81" s="44" t="n">
        <f aca="false">'E3 Belawan Input'!R78</f>
        <v>0</v>
      </c>
      <c r="S81" s="44" t="n">
        <f aca="false">'E3 Belawan Input'!S78</f>
        <v>0</v>
      </c>
    </row>
    <row r="82" customFormat="false" ht="15" hidden="false" customHeight="false" outlineLevel="0" collapsed="false">
      <c r="B82" s="24" t="s">
        <v>1331</v>
      </c>
      <c r="C82" s="25" t="s">
        <v>152</v>
      </c>
      <c r="F82" s="34" t="n">
        <f aca="false">'Global Inputs'!F22</f>
        <v>16265</v>
      </c>
      <c r="G82" s="34" t="n">
        <f aca="false">'Global Inputs'!G22</f>
        <v>16265</v>
      </c>
      <c r="H82" s="34" t="n">
        <f aca="false">'Global Inputs'!H22</f>
        <v>16265</v>
      </c>
      <c r="I82" s="34" t="n">
        <f aca="false">'Global Inputs'!I22</f>
        <v>16265</v>
      </c>
      <c r="J82" s="34" t="n">
        <f aca="false">'Global Inputs'!J22</f>
        <v>16265</v>
      </c>
      <c r="K82" s="34" t="n">
        <f aca="false">'Global Inputs'!K22</f>
        <v>16265</v>
      </c>
      <c r="L82" s="34" t="n">
        <f aca="false">'Global Inputs'!L22</f>
        <v>16265</v>
      </c>
      <c r="M82" s="34" t="n">
        <f aca="false">'Global Inputs'!M22</f>
        <v>16265</v>
      </c>
      <c r="N82" s="34" t="n">
        <f aca="false">'Global Inputs'!N22</f>
        <v>16265</v>
      </c>
      <c r="O82" s="34" t="n">
        <f aca="false">'Global Inputs'!O22</f>
        <v>16265</v>
      </c>
      <c r="P82" s="34" t="n">
        <f aca="false">'Global Inputs'!P22</f>
        <v>16265</v>
      </c>
      <c r="Q82" s="34" t="n">
        <f aca="false">'Global Inputs'!Q22</f>
        <v>16265</v>
      </c>
      <c r="R82" s="34" t="n">
        <f aca="false">'Global Inputs'!R22</f>
        <v>16265</v>
      </c>
      <c r="S82" s="34" t="n">
        <f aca="false">'Global Inputs'!S22</f>
        <v>16265</v>
      </c>
    </row>
    <row r="83" customFormat="false" ht="15" hidden="false" customHeight="false" outlineLevel="0" collapsed="false">
      <c r="B83" s="24" t="s">
        <v>351</v>
      </c>
      <c r="C83" s="25" t="s">
        <v>170</v>
      </c>
      <c r="E83" s="47" t="n">
        <f aca="false">SUM(F83:S83)</f>
        <v>228.11</v>
      </c>
      <c r="F83" s="47" t="n">
        <f aca="false">'E3 Belawan Input'!F80</f>
        <v>0</v>
      </c>
      <c r="G83" s="47" t="n">
        <f aca="false">'E3 Belawan Input'!G80</f>
        <v>0</v>
      </c>
      <c r="H83" s="47" t="n">
        <f aca="false">'E3 Belawan Input'!H80</f>
        <v>0</v>
      </c>
      <c r="I83" s="47" t="n">
        <f aca="false">'E3 Belawan Input'!I80</f>
        <v>114.255</v>
      </c>
      <c r="J83" s="47" t="n">
        <f aca="false">'E3 Belawan Input'!J80</f>
        <v>113.855</v>
      </c>
      <c r="K83" s="47" t="n">
        <f aca="false">'E3 Belawan Input'!K80</f>
        <v>0</v>
      </c>
      <c r="L83" s="47" t="n">
        <f aca="false">'E3 Belawan Input'!L80</f>
        <v>0</v>
      </c>
      <c r="M83" s="47" t="n">
        <f aca="false">'E3 Belawan Input'!M80</f>
        <v>0</v>
      </c>
      <c r="N83" s="47" t="n">
        <f aca="false">'E3 Belawan Input'!N80</f>
        <v>0</v>
      </c>
      <c r="O83" s="47" t="n">
        <f aca="false">'E3 Belawan Input'!O80</f>
        <v>0</v>
      </c>
      <c r="P83" s="47" t="n">
        <f aca="false">'E3 Belawan Input'!P80</f>
        <v>0</v>
      </c>
      <c r="Q83" s="47" t="n">
        <f aca="false">'E3 Belawan Input'!Q80</f>
        <v>0</v>
      </c>
      <c r="R83" s="47" t="n">
        <f aca="false">'E3 Belawan Input'!R80</f>
        <v>0</v>
      </c>
      <c r="S83" s="47" t="n">
        <f aca="false">'E3 Belawan Input'!S80</f>
        <v>0</v>
      </c>
    </row>
    <row r="84" customFormat="false" ht="15" hidden="false" customHeight="false" outlineLevel="0" collapsed="false">
      <c r="B84" s="24" t="s">
        <v>1332</v>
      </c>
      <c r="C84" s="25" t="s">
        <v>170</v>
      </c>
      <c r="F84" s="47" t="n">
        <f aca="false">SUM($F$83:F83)</f>
        <v>0</v>
      </c>
      <c r="G84" s="47" t="n">
        <f aca="false">SUM($F$83:G83)</f>
        <v>0</v>
      </c>
      <c r="H84" s="47" t="n">
        <f aca="false">SUM($F$83:H83)</f>
        <v>0</v>
      </c>
      <c r="I84" s="47" t="n">
        <f aca="false">SUM($F$83:I83)</f>
        <v>114.255</v>
      </c>
      <c r="J84" s="47" t="n">
        <f aca="false">SUM($F$83:J83)</f>
        <v>228.11</v>
      </c>
      <c r="K84" s="47" t="n">
        <f aca="false">SUM($F$83:K83)</f>
        <v>228.11</v>
      </c>
      <c r="L84" s="47" t="n">
        <f aca="false">SUM($F$83:L83)</f>
        <v>228.11</v>
      </c>
      <c r="M84" s="47" t="n">
        <f aca="false">SUM($F$83:M83)</f>
        <v>228.11</v>
      </c>
      <c r="N84" s="47" t="n">
        <f aca="false">SUM($F$83:N83)</f>
        <v>228.11</v>
      </c>
      <c r="O84" s="47" t="n">
        <f aca="false">SUM($F$83:O83)</f>
        <v>228.11</v>
      </c>
      <c r="P84" s="47" t="n">
        <f aca="false">SUM($F$83:P83)</f>
        <v>228.11</v>
      </c>
      <c r="Q84" s="47" t="n">
        <f aca="false">SUM($F$83:Q83)</f>
        <v>228.11</v>
      </c>
      <c r="R84" s="47" t="n">
        <f aca="false">SUM($F$83:R83)</f>
        <v>228.11</v>
      </c>
      <c r="S84" s="47" t="n">
        <f aca="false">SUM($F$83:S83)</f>
        <v>228.11</v>
      </c>
    </row>
    <row r="85" customFormat="false" ht="15" hidden="false" customHeight="false" outlineLevel="0" collapsed="false">
      <c r="B85" s="24" t="s">
        <v>1333</v>
      </c>
      <c r="C85" s="25" t="s">
        <v>143</v>
      </c>
      <c r="F85" s="30" t="n">
        <f aca="false">IF(F$5&gt;='E3 Belawan Input'!$E$85,1,0)*F$8</f>
        <v>0</v>
      </c>
      <c r="G85" s="30" t="n">
        <f aca="false">IF(G$5&gt;='E3 Belawan Input'!$E$85,1,0)*G$8</f>
        <v>0</v>
      </c>
      <c r="H85" s="30" t="n">
        <f aca="false">IF(H$5&gt;='E3 Belawan Input'!$E$85,1,0)*H$8</f>
        <v>0</v>
      </c>
      <c r="I85" s="30" t="n">
        <f aca="false">IF(I$5&gt;='E3 Belawan Input'!$E$85,1,0)*I$8</f>
        <v>1</v>
      </c>
      <c r="J85" s="30" t="n">
        <f aca="false">IF(J$5&gt;='E3 Belawan Input'!$E$85,1,0)*J$8</f>
        <v>1</v>
      </c>
      <c r="K85" s="30" t="n">
        <f aca="false">IF(K$5&gt;='E3 Belawan Input'!$E$85,1,0)*K$8</f>
        <v>1</v>
      </c>
      <c r="L85" s="30" t="n">
        <f aca="false">IF(L$5&gt;='E3 Belawan Input'!$E$85,1,0)*L$8</f>
        <v>1</v>
      </c>
      <c r="M85" s="30" t="n">
        <f aca="false">IF(M$5&gt;='E3 Belawan Input'!$E$85,1,0)*M$8</f>
        <v>1</v>
      </c>
      <c r="N85" s="30" t="n">
        <f aca="false">IF(N$5&gt;='E3 Belawan Input'!$E$85,1,0)*N$8</f>
        <v>1</v>
      </c>
      <c r="O85" s="30" t="n">
        <f aca="false">IF(O$5&gt;='E3 Belawan Input'!$E$85,1,0)*O$8</f>
        <v>1</v>
      </c>
      <c r="P85" s="30" t="n">
        <f aca="false">IF(P$5&gt;='E3 Belawan Input'!$E$85,1,0)*P$8</f>
        <v>1</v>
      </c>
      <c r="Q85" s="30" t="n">
        <f aca="false">IF(Q$5&gt;='E3 Belawan Input'!$E$85,1,0)*Q$8</f>
        <v>1</v>
      </c>
      <c r="R85" s="30" t="n">
        <f aca="false">IF(R$5&gt;='E3 Belawan Input'!$E$85,1,0)*R$8</f>
        <v>1</v>
      </c>
      <c r="S85" s="30" t="n">
        <f aca="false">IF(S$5&gt;='E3 Belawan Input'!$E$85,1,0)*S$8</f>
        <v>1</v>
      </c>
    </row>
    <row r="86" customFormat="false" ht="15" hidden="false" customHeight="false" outlineLevel="0" collapsed="false">
      <c r="B86" s="24" t="s">
        <v>1334</v>
      </c>
      <c r="C86" s="25" t="s">
        <v>135</v>
      </c>
      <c r="F86" s="29" t="n">
        <f aca="false">MAX(F$5,'E3 Belawan Input'!$E$85)</f>
        <v>2026</v>
      </c>
      <c r="G86" s="29" t="n">
        <f aca="false">MAX(G$5,'E3 Belawan Input'!$E$85)</f>
        <v>2026</v>
      </c>
      <c r="H86" s="29" t="n">
        <f aca="false">MAX(H$5,'E3 Belawan Input'!$E$85)</f>
        <v>2026</v>
      </c>
      <c r="I86" s="29" t="n">
        <f aca="false">MAX(I$5,'E3 Belawan Input'!$E$85)</f>
        <v>2026</v>
      </c>
      <c r="J86" s="29" t="n">
        <f aca="false">MAX(J$5,'E3 Belawan Input'!$E$85)</f>
        <v>2027</v>
      </c>
      <c r="K86" s="29" t="n">
        <f aca="false">MAX(K$5,'E3 Belawan Input'!$E$85)</f>
        <v>2028</v>
      </c>
      <c r="L86" s="29" t="n">
        <f aca="false">MAX(L$5,'E3 Belawan Input'!$E$85)</f>
        <v>2029</v>
      </c>
      <c r="M86" s="29" t="n">
        <f aca="false">MAX(M$5,'E3 Belawan Input'!$E$85)</f>
        <v>2030</v>
      </c>
      <c r="N86" s="29" t="n">
        <f aca="false">MAX(N$5,'E3 Belawan Input'!$E$85)</f>
        <v>2031</v>
      </c>
      <c r="O86" s="29" t="n">
        <f aca="false">MAX(O$5,'E3 Belawan Input'!$E$85)</f>
        <v>2032</v>
      </c>
      <c r="P86" s="29" t="n">
        <f aca="false">MAX(P$5,'E3 Belawan Input'!$E$85)</f>
        <v>2033</v>
      </c>
      <c r="Q86" s="29" t="n">
        <f aca="false">MAX(Q$5,'E3 Belawan Input'!$E$85)</f>
        <v>2034</v>
      </c>
      <c r="R86" s="29" t="n">
        <f aca="false">MAX(R$5,'E3 Belawan Input'!$E$85)</f>
        <v>2035</v>
      </c>
      <c r="S86" s="29" t="n">
        <f aca="false">MAX(S$5,'E3 Belawan Input'!$E$85)</f>
        <v>2036</v>
      </c>
    </row>
    <row r="87" customFormat="false" ht="15" hidden="false" customHeight="false" outlineLevel="0" collapsed="false">
      <c r="B87" s="24" t="s">
        <v>1335</v>
      </c>
      <c r="C87" s="25" t="s">
        <v>170</v>
      </c>
      <c r="E87" s="47" t="n">
        <f aca="false">SUM(F87:S87)</f>
        <v>107.790975</v>
      </c>
      <c r="F87" s="47" t="n">
        <f aca="false">IF('Global Inputs'!$E$33=1,SUM($F$83:$S$83)*'E3 Belawan Input'!$E$87/'E3 Belawan Input'!$E$88*F85,SUMPRODUCT($F$83:$S$83,--($F$86:$S$86&lt;=F$5),--(F$5&lt;$F$86:$S$86+'E3 Belawan Input'!$E$88))*'E3 Belawan Input'!$E$87/'E3 Belawan Input'!$E$88)</f>
        <v>0</v>
      </c>
      <c r="G87" s="47" t="n">
        <f aca="false">IF('Global Inputs'!$E$33=1,SUM($F$83:$S$83)*'E3 Belawan Input'!$E$87/'E3 Belawan Input'!$E$88*G85,SUMPRODUCT($F$83:$S$83,--($F$86:$S$86&lt;=G$5),--(G$5&lt;$F$86:$S$86+'E3 Belawan Input'!$E$88))*'E3 Belawan Input'!$E$87/'E3 Belawan Input'!$E$88)</f>
        <v>0</v>
      </c>
      <c r="H87" s="47" t="n">
        <f aca="false">IF('Global Inputs'!$E$33=1,SUM($F$83:$S$83)*'E3 Belawan Input'!$E$87/'E3 Belawan Input'!$E$88*H85,SUMPRODUCT($F$83:$S$83,--($F$86:$S$86&lt;=H$5),--(H$5&lt;$F$86:$S$86+'E3 Belawan Input'!$E$88))*'E3 Belawan Input'!$E$87/'E3 Belawan Input'!$E$88)</f>
        <v>0</v>
      </c>
      <c r="I87" s="47" t="n">
        <f aca="false">IF('Global Inputs'!$E$33=1,SUM($F$83:$S$83)*'E3 Belawan Input'!$E$87/'E3 Belawan Input'!$E$88*I85,SUMPRODUCT($F$83:$S$83,--($F$86:$S$86&lt;=I$5),--(I$5&lt;$F$86:$S$86+'E3 Belawan Input'!$E$88))*'E3 Belawan Input'!$E$87/'E3 Belawan Input'!$E$88)</f>
        <v>5.141475</v>
      </c>
      <c r="J87" s="47" t="n">
        <f aca="false">IF('Global Inputs'!$E$33=1,SUM($F$83:$S$83)*'E3 Belawan Input'!$E$87/'E3 Belawan Input'!$E$88*J85,SUMPRODUCT($F$83:$S$83,--($F$86:$S$86&lt;=J$5),--(J$5&lt;$F$86:$S$86+'E3 Belawan Input'!$E$88))*'E3 Belawan Input'!$E$87/'E3 Belawan Input'!$E$88)</f>
        <v>10.26495</v>
      </c>
      <c r="K87" s="47" t="n">
        <f aca="false">IF('Global Inputs'!$E$33=1,SUM($F$83:$S$83)*'E3 Belawan Input'!$E$87/'E3 Belawan Input'!$E$88*K85,SUMPRODUCT($F$83:$S$83,--($F$86:$S$86&lt;=K$5),--(K$5&lt;$F$86:$S$86+'E3 Belawan Input'!$E$88))*'E3 Belawan Input'!$E$87/'E3 Belawan Input'!$E$88)</f>
        <v>10.26495</v>
      </c>
      <c r="L87" s="47" t="n">
        <f aca="false">IF('Global Inputs'!$E$33=1,SUM($F$83:$S$83)*'E3 Belawan Input'!$E$87/'E3 Belawan Input'!$E$88*L85,SUMPRODUCT($F$83:$S$83,--($F$86:$S$86&lt;=L$5),--(L$5&lt;$F$86:$S$86+'E3 Belawan Input'!$E$88))*'E3 Belawan Input'!$E$87/'E3 Belawan Input'!$E$88)</f>
        <v>10.26495</v>
      </c>
      <c r="M87" s="47" t="n">
        <f aca="false">IF('Global Inputs'!$E$33=1,SUM($F$83:$S$83)*'E3 Belawan Input'!$E$87/'E3 Belawan Input'!$E$88*M85,SUMPRODUCT($F$83:$S$83,--($F$86:$S$86&lt;=M$5),--(M$5&lt;$F$86:$S$86+'E3 Belawan Input'!$E$88))*'E3 Belawan Input'!$E$87/'E3 Belawan Input'!$E$88)</f>
        <v>10.26495</v>
      </c>
      <c r="N87" s="47" t="n">
        <f aca="false">IF('Global Inputs'!$E$33=1,SUM($F$83:$S$83)*'E3 Belawan Input'!$E$87/'E3 Belawan Input'!$E$88*N85,SUMPRODUCT($F$83:$S$83,--($F$86:$S$86&lt;=N$5),--(N$5&lt;$F$86:$S$86+'E3 Belawan Input'!$E$88))*'E3 Belawan Input'!$E$87/'E3 Belawan Input'!$E$88)</f>
        <v>10.26495</v>
      </c>
      <c r="O87" s="47" t="n">
        <f aca="false">IF('Global Inputs'!$E$33=1,SUM($F$83:$S$83)*'E3 Belawan Input'!$E$87/'E3 Belawan Input'!$E$88*O85,SUMPRODUCT($F$83:$S$83,--($F$86:$S$86&lt;=O$5),--(O$5&lt;$F$86:$S$86+'E3 Belawan Input'!$E$88))*'E3 Belawan Input'!$E$87/'E3 Belawan Input'!$E$88)</f>
        <v>10.26495</v>
      </c>
      <c r="P87" s="47" t="n">
        <f aca="false">IF('Global Inputs'!$E$33=1,SUM($F$83:$S$83)*'E3 Belawan Input'!$E$87/'E3 Belawan Input'!$E$88*P85,SUMPRODUCT($F$83:$S$83,--($F$86:$S$86&lt;=P$5),--(P$5&lt;$F$86:$S$86+'E3 Belawan Input'!$E$88))*'E3 Belawan Input'!$E$87/'E3 Belawan Input'!$E$88)</f>
        <v>10.26495</v>
      </c>
      <c r="Q87" s="47" t="n">
        <f aca="false">IF('Global Inputs'!$E$33=1,SUM($F$83:$S$83)*'E3 Belawan Input'!$E$87/'E3 Belawan Input'!$E$88*Q85,SUMPRODUCT($F$83:$S$83,--($F$86:$S$86&lt;=Q$5),--(Q$5&lt;$F$86:$S$86+'E3 Belawan Input'!$E$88))*'E3 Belawan Input'!$E$87/'E3 Belawan Input'!$E$88)</f>
        <v>10.26495</v>
      </c>
      <c r="R87" s="47" t="n">
        <f aca="false">IF('Global Inputs'!$E$33=1,SUM($F$83:$S$83)*'E3 Belawan Input'!$E$87/'E3 Belawan Input'!$E$88*R85,SUMPRODUCT($F$83:$S$83,--($F$86:$S$86&lt;=R$5),--(R$5&lt;$F$86:$S$86+'E3 Belawan Input'!$E$88))*'E3 Belawan Input'!$E$87/'E3 Belawan Input'!$E$88)</f>
        <v>10.26495</v>
      </c>
      <c r="S87" s="47" t="n">
        <f aca="false">IF('Global Inputs'!$E$33=1,SUM($F$83:$S$83)*'E3 Belawan Input'!$E$87/'E3 Belawan Input'!$E$88*S85,SUMPRODUCT($F$83:$S$83,--($F$86:$S$86&lt;=S$5),--(S$5&lt;$F$86:$S$86+'E3 Belawan Input'!$E$88))*'E3 Belawan Input'!$E$87/'E3 Belawan Input'!$E$88)</f>
        <v>10.26495</v>
      </c>
      <c r="T87" s="5" t="s">
        <v>1336</v>
      </c>
    </row>
    <row r="88" customFormat="false" ht="15" hidden="false" customHeight="false" outlineLevel="0" collapsed="false">
      <c r="B88" s="24" t="s">
        <v>1337</v>
      </c>
      <c r="C88" s="25" t="s">
        <v>170</v>
      </c>
      <c r="E88" s="47" t="n">
        <f aca="false">SUM(F88:S88)</f>
        <v>22.811</v>
      </c>
      <c r="F88" s="47" t="n">
        <f aca="false">IF('Global Inputs'!$E$33=1,SUM($F$83:$S$83)*(1-'E3 Belawan Input'!$E$87)/'E3 Belawan Input'!$E$89*F85,SUMPRODUCT($F$83:$S$83,--($F$86:$S$86&lt;=F$5),--(F$5&lt;$F$86:$S$86+'E3 Belawan Input'!$E$89))*(1-'E3 Belawan Input'!$E$87)/'E3 Belawan Input'!$E$89)</f>
        <v>0</v>
      </c>
      <c r="G88" s="47" t="n">
        <f aca="false">IF('Global Inputs'!$E$33=1,SUM($F$83:$S$83)*(1-'E3 Belawan Input'!$E$87)/'E3 Belawan Input'!$E$89*G85,SUMPRODUCT($F$83:$S$83,--($F$86:$S$86&lt;=G$5),--(G$5&lt;$F$86:$S$86+'E3 Belawan Input'!$E$89))*(1-'E3 Belawan Input'!$E$87)/'E3 Belawan Input'!$E$89)</f>
        <v>0</v>
      </c>
      <c r="H88" s="47" t="n">
        <f aca="false">IF('Global Inputs'!$E$33=1,SUM($F$83:$S$83)*(1-'E3 Belawan Input'!$E$87)/'E3 Belawan Input'!$E$89*H85,SUMPRODUCT($F$83:$S$83,--($F$86:$S$86&lt;=H$5),--(H$5&lt;$F$86:$S$86+'E3 Belawan Input'!$E$89))*(1-'E3 Belawan Input'!$E$87)/'E3 Belawan Input'!$E$89)</f>
        <v>0</v>
      </c>
      <c r="I88" s="47" t="n">
        <f aca="false">IF('Global Inputs'!$E$33=1,SUM($F$83:$S$83)*(1-'E3 Belawan Input'!$E$87)/'E3 Belawan Input'!$E$89*I85,SUMPRODUCT($F$83:$S$83,--($F$86:$S$86&lt;=I$5),--(I$5&lt;$F$86:$S$86+'E3 Belawan Input'!$E$89))*(1-'E3 Belawan Input'!$E$87)/'E3 Belawan Input'!$E$89)</f>
        <v>1.4281875</v>
      </c>
      <c r="J88" s="47" t="n">
        <f aca="false">IF('Global Inputs'!$E$33=1,SUM($F$83:$S$83)*(1-'E3 Belawan Input'!$E$87)/'E3 Belawan Input'!$E$89*J85,SUMPRODUCT($F$83:$S$83,--($F$86:$S$86&lt;=J$5),--(J$5&lt;$F$86:$S$86+'E3 Belawan Input'!$E$89))*(1-'E3 Belawan Input'!$E$87)/'E3 Belawan Input'!$E$89)</f>
        <v>2.851375</v>
      </c>
      <c r="K88" s="47" t="n">
        <f aca="false">IF('Global Inputs'!$E$33=1,SUM($F$83:$S$83)*(1-'E3 Belawan Input'!$E$87)/'E3 Belawan Input'!$E$89*K85,SUMPRODUCT($F$83:$S$83,--($F$86:$S$86&lt;=K$5),--(K$5&lt;$F$86:$S$86+'E3 Belawan Input'!$E$89))*(1-'E3 Belawan Input'!$E$87)/'E3 Belawan Input'!$E$89)</f>
        <v>2.851375</v>
      </c>
      <c r="L88" s="47" t="n">
        <f aca="false">IF('Global Inputs'!$E$33=1,SUM($F$83:$S$83)*(1-'E3 Belawan Input'!$E$87)/'E3 Belawan Input'!$E$89*L85,SUMPRODUCT($F$83:$S$83,--($F$86:$S$86&lt;=L$5),--(L$5&lt;$F$86:$S$86+'E3 Belawan Input'!$E$89))*(1-'E3 Belawan Input'!$E$87)/'E3 Belawan Input'!$E$89)</f>
        <v>2.851375</v>
      </c>
      <c r="M88" s="47" t="n">
        <f aca="false">IF('Global Inputs'!$E$33=1,SUM($F$83:$S$83)*(1-'E3 Belawan Input'!$E$87)/'E3 Belawan Input'!$E$89*M85,SUMPRODUCT($F$83:$S$83,--($F$86:$S$86&lt;=M$5),--(M$5&lt;$F$86:$S$86+'E3 Belawan Input'!$E$89))*(1-'E3 Belawan Input'!$E$87)/'E3 Belawan Input'!$E$89)</f>
        <v>2.851375</v>
      </c>
      <c r="N88" s="47" t="n">
        <f aca="false">IF('Global Inputs'!$E$33=1,SUM($F$83:$S$83)*(1-'E3 Belawan Input'!$E$87)/'E3 Belawan Input'!$E$89*N85,SUMPRODUCT($F$83:$S$83,--($F$86:$S$86&lt;=N$5),--(N$5&lt;$F$86:$S$86+'E3 Belawan Input'!$E$89))*(1-'E3 Belawan Input'!$E$87)/'E3 Belawan Input'!$E$89)</f>
        <v>2.851375</v>
      </c>
      <c r="O88" s="47" t="n">
        <f aca="false">IF('Global Inputs'!$E$33=1,SUM($F$83:$S$83)*(1-'E3 Belawan Input'!$E$87)/'E3 Belawan Input'!$E$89*O85,SUMPRODUCT($F$83:$S$83,--($F$86:$S$86&lt;=O$5),--(O$5&lt;$F$86:$S$86+'E3 Belawan Input'!$E$89))*(1-'E3 Belawan Input'!$E$87)/'E3 Belawan Input'!$E$89)</f>
        <v>2.851375</v>
      </c>
      <c r="P88" s="47" t="n">
        <f aca="false">IF('Global Inputs'!$E$33=1,SUM($F$83:$S$83)*(1-'E3 Belawan Input'!$E$87)/'E3 Belawan Input'!$E$89*P85,SUMPRODUCT($F$83:$S$83,--($F$86:$S$86&lt;=P$5),--(P$5&lt;$F$86:$S$86+'E3 Belawan Input'!$E$89))*(1-'E3 Belawan Input'!$E$87)/'E3 Belawan Input'!$E$89)</f>
        <v>2.851375</v>
      </c>
      <c r="Q88" s="47" t="n">
        <f aca="false">IF('Global Inputs'!$E$33=1,SUM($F$83:$S$83)*(1-'E3 Belawan Input'!$E$87)/'E3 Belawan Input'!$E$89*Q85,SUMPRODUCT($F$83:$S$83,--($F$86:$S$86&lt;=Q$5),--(Q$5&lt;$F$86:$S$86+'E3 Belawan Input'!$E$89))*(1-'E3 Belawan Input'!$E$87)/'E3 Belawan Input'!$E$89)</f>
        <v>1.4231875</v>
      </c>
      <c r="R88" s="47" t="n">
        <f aca="false">IF('Global Inputs'!$E$33=1,SUM($F$83:$S$83)*(1-'E3 Belawan Input'!$E$87)/'E3 Belawan Input'!$E$89*R85,SUMPRODUCT($F$83:$S$83,--($F$86:$S$86&lt;=R$5),--(R$5&lt;$F$86:$S$86+'E3 Belawan Input'!$E$89))*(1-'E3 Belawan Input'!$E$87)/'E3 Belawan Input'!$E$89)</f>
        <v>0</v>
      </c>
      <c r="S88" s="47" t="n">
        <f aca="false">IF('Global Inputs'!$E$33=1,SUM($F$83:$S$83)*(1-'E3 Belawan Input'!$E$87)/'E3 Belawan Input'!$E$89*S85,SUMPRODUCT($F$83:$S$83,--($F$86:$S$86&lt;=S$5),--(S$5&lt;$F$86:$S$86+'E3 Belawan Input'!$E$89))*(1-'E3 Belawan Input'!$E$87)/'E3 Belawan Input'!$E$89)</f>
        <v>0</v>
      </c>
    </row>
    <row r="89" customFormat="false" ht="15" hidden="false" customHeight="false" outlineLevel="0" collapsed="false">
      <c r="B89" s="24" t="s">
        <v>1338</v>
      </c>
      <c r="C89" s="25" t="s">
        <v>170</v>
      </c>
      <c r="E89" s="47" t="n">
        <f aca="false">SUM(F89:S89)</f>
        <v>130.601975</v>
      </c>
      <c r="F89" s="47" t="n">
        <f aca="false">F87+F88</f>
        <v>0</v>
      </c>
      <c r="G89" s="47" t="n">
        <f aca="false">G87+G88</f>
        <v>0</v>
      </c>
      <c r="H89" s="47" t="n">
        <f aca="false">H87+H88</f>
        <v>0</v>
      </c>
      <c r="I89" s="47" t="n">
        <f aca="false">I87+I88</f>
        <v>6.5696625</v>
      </c>
      <c r="J89" s="47" t="n">
        <f aca="false">J87+J88</f>
        <v>13.116325</v>
      </c>
      <c r="K89" s="47" t="n">
        <f aca="false">K87+K88</f>
        <v>13.116325</v>
      </c>
      <c r="L89" s="47" t="n">
        <f aca="false">L87+L88</f>
        <v>13.116325</v>
      </c>
      <c r="M89" s="47" t="n">
        <f aca="false">M87+M88</f>
        <v>13.116325</v>
      </c>
      <c r="N89" s="47" t="n">
        <f aca="false">N87+N88</f>
        <v>13.116325</v>
      </c>
      <c r="O89" s="47" t="n">
        <f aca="false">O87+O88</f>
        <v>13.116325</v>
      </c>
      <c r="P89" s="47" t="n">
        <f aca="false">P87+P88</f>
        <v>13.116325</v>
      </c>
      <c r="Q89" s="47" t="n">
        <f aca="false">Q87+Q88</f>
        <v>11.6881375</v>
      </c>
      <c r="R89" s="47" t="n">
        <f aca="false">R87+R88</f>
        <v>10.26495</v>
      </c>
      <c r="S89" s="47" t="n">
        <f aca="false">S87+S88</f>
        <v>10.26495</v>
      </c>
    </row>
    <row r="90" customFormat="false" ht="15" hidden="false" customHeight="false" outlineLevel="0" collapsed="false">
      <c r="B90" s="24" t="s">
        <v>1339</v>
      </c>
      <c r="C90" s="25" t="s">
        <v>170</v>
      </c>
      <c r="F90" s="47" t="n">
        <f aca="false">F83</f>
        <v>0</v>
      </c>
      <c r="G90" s="47" t="n">
        <f aca="false">F90+G83-G89</f>
        <v>0</v>
      </c>
      <c r="H90" s="47" t="n">
        <f aca="false">G90+H83-H89</f>
        <v>0</v>
      </c>
      <c r="I90" s="47" t="n">
        <f aca="false">H90+I83-I89</f>
        <v>107.6853375</v>
      </c>
      <c r="J90" s="47" t="n">
        <f aca="false">I90+J83-J89</f>
        <v>208.4240125</v>
      </c>
      <c r="K90" s="47" t="n">
        <f aca="false">J90+K83-K89</f>
        <v>195.3076875</v>
      </c>
      <c r="L90" s="47" t="n">
        <f aca="false">K90+L83-L89</f>
        <v>182.1913625</v>
      </c>
      <c r="M90" s="47" t="n">
        <f aca="false">L90+M83-M89</f>
        <v>169.0750375</v>
      </c>
      <c r="N90" s="47" t="n">
        <f aca="false">M90+N83-N89</f>
        <v>155.9587125</v>
      </c>
      <c r="O90" s="47" t="n">
        <f aca="false">N90+O83-O89</f>
        <v>142.8423875</v>
      </c>
      <c r="P90" s="47" t="n">
        <f aca="false">O90+P83-P89</f>
        <v>129.7260625</v>
      </c>
      <c r="Q90" s="47" t="n">
        <f aca="false">P90+Q83-Q89</f>
        <v>118.037925</v>
      </c>
      <c r="R90" s="47" t="n">
        <f aca="false">Q90+R83-R89</f>
        <v>107.772975</v>
      </c>
      <c r="S90" s="47" t="n">
        <f aca="false">R90+S83-S89</f>
        <v>97.508025</v>
      </c>
    </row>
    <row r="91" customFormat="false" ht="15" hidden="false" customHeight="false" outlineLevel="0" collapsed="false">
      <c r="B91" s="24" t="s">
        <v>1340</v>
      </c>
      <c r="C91" s="25" t="s">
        <v>143</v>
      </c>
      <c r="F91" s="30" t="n">
        <f aca="false">IF(F83&gt;0,1,0)</f>
        <v>0</v>
      </c>
      <c r="G91" s="30" t="n">
        <f aca="false">IF(AND(G84&gt;0,F84=0),1,0)</f>
        <v>0</v>
      </c>
      <c r="H91" s="30" t="n">
        <f aca="false">IF(AND(H84&gt;0,G84=0),1,0)</f>
        <v>0</v>
      </c>
      <c r="I91" s="30" t="n">
        <f aca="false">IF(AND(I84&gt;0,H84=0),1,0)</f>
        <v>1</v>
      </c>
      <c r="J91" s="30" t="n">
        <f aca="false">IF(AND(J84&gt;0,I84=0),1,0)</f>
        <v>0</v>
      </c>
      <c r="K91" s="30" t="n">
        <f aca="false">IF(AND(K84&gt;0,J84=0),1,0)</f>
        <v>0</v>
      </c>
      <c r="L91" s="30" t="n">
        <f aca="false">IF(AND(L84&gt;0,K84=0),1,0)</f>
        <v>0</v>
      </c>
      <c r="M91" s="30" t="n">
        <f aca="false">IF(AND(M84&gt;0,L84=0),1,0)</f>
        <v>0</v>
      </c>
      <c r="N91" s="30" t="n">
        <f aca="false">IF(AND(N84&gt;0,M84=0),1,0)</f>
        <v>0</v>
      </c>
      <c r="O91" s="30" t="n">
        <f aca="false">IF(AND(O84&gt;0,N84=0),1,0)</f>
        <v>0</v>
      </c>
      <c r="P91" s="30" t="n">
        <f aca="false">IF(AND(P84&gt;0,O84=0),1,0)</f>
        <v>0</v>
      </c>
      <c r="Q91" s="30" t="n">
        <f aca="false">IF(AND(Q84&gt;0,P84=0),1,0)</f>
        <v>0</v>
      </c>
      <c r="R91" s="30" t="n">
        <f aca="false">IF(AND(R84&gt;0,Q84=0),1,0)</f>
        <v>0</v>
      </c>
      <c r="S91" s="30" t="n">
        <f aca="false">IF(AND(S84&gt;0,R84=0),1,0)</f>
        <v>0</v>
      </c>
    </row>
    <row r="92" customFormat="false" ht="15" hidden="false" customHeight="false" outlineLevel="0" collapsed="false">
      <c r="B92" s="69" t="s">
        <v>1094</v>
      </c>
      <c r="C92" s="25" t="s">
        <v>170</v>
      </c>
      <c r="E92" s="70" t="n">
        <f aca="false">SUM(F92:S92)</f>
        <v>143.686910533575</v>
      </c>
      <c r="F92" s="68" t="n">
        <f aca="false">F89+F78</f>
        <v>0</v>
      </c>
      <c r="G92" s="68" t="n">
        <f aca="false">G89+G78</f>
        <v>5.23397421343</v>
      </c>
      <c r="H92" s="68" t="n">
        <f aca="false">H89+H78</f>
        <v>5.23397421343</v>
      </c>
      <c r="I92" s="68" t="n">
        <f aca="false">I89+I78</f>
        <v>9.186649606715</v>
      </c>
      <c r="J92" s="68" t="n">
        <f aca="false">J89+J78</f>
        <v>13.116325</v>
      </c>
      <c r="K92" s="68" t="n">
        <f aca="false">K89+K78</f>
        <v>13.116325</v>
      </c>
      <c r="L92" s="68" t="n">
        <f aca="false">L89+L78</f>
        <v>13.116325</v>
      </c>
      <c r="M92" s="68" t="n">
        <f aca="false">M89+M78</f>
        <v>13.116325</v>
      </c>
      <c r="N92" s="68" t="n">
        <f aca="false">N89+N78</f>
        <v>13.116325</v>
      </c>
      <c r="O92" s="68" t="n">
        <f aca="false">O89+O78</f>
        <v>13.116325</v>
      </c>
      <c r="P92" s="68" t="n">
        <f aca="false">P89+P78</f>
        <v>13.116325</v>
      </c>
      <c r="Q92" s="68" t="n">
        <f aca="false">Q89+Q78</f>
        <v>11.6881375</v>
      </c>
      <c r="R92" s="68" t="n">
        <f aca="false">R89+R78</f>
        <v>10.26495</v>
      </c>
      <c r="S92" s="68" t="n">
        <f aca="false">S89+S78</f>
        <v>10.26495</v>
      </c>
    </row>
    <row r="94" customFormat="false" ht="15" hidden="false" customHeight="false" outlineLevel="0" collapsed="false">
      <c r="B94" s="22" t="s">
        <v>1095</v>
      </c>
      <c r="C94" s="23"/>
      <c r="D94" s="23"/>
      <c r="E94" s="23"/>
      <c r="F94" s="23"/>
      <c r="G94" s="23"/>
      <c r="H94" s="23"/>
      <c r="I94" s="23"/>
      <c r="J94" s="23"/>
      <c r="K94" s="23"/>
      <c r="L94" s="23"/>
      <c r="M94" s="23"/>
      <c r="N94" s="23"/>
      <c r="O94" s="23"/>
      <c r="P94" s="23"/>
      <c r="Q94" s="23"/>
      <c r="R94" s="23"/>
      <c r="S94" s="23"/>
    </row>
    <row r="95" customFormat="false" ht="15" hidden="false" customHeight="false" outlineLevel="0" collapsed="false">
      <c r="B95" s="24" t="s">
        <v>1096</v>
      </c>
      <c r="C95" s="25" t="s">
        <v>170</v>
      </c>
      <c r="F95" s="47" t="n">
        <f aca="false">'Global Inputs'!$E$60*$G$19/('Global Inputs'!$E$106)</f>
        <v>3.27872745729106</v>
      </c>
      <c r="G95" s="47" t="n">
        <f aca="false">G19*'Global Inputs'!$E$28/G$7</f>
        <v>2.73485655737705</v>
      </c>
      <c r="H95" s="47" t="n">
        <f aca="false">H19*'Global Inputs'!$E$28/H$7</f>
        <v>2.82461979452055</v>
      </c>
      <c r="I95" s="47" t="n">
        <f aca="false">I19*'Global Inputs'!$E$28/I$7</f>
        <v>4.31111429537671</v>
      </c>
      <c r="J95" s="47" t="n">
        <f aca="false">J19*'Global Inputs'!$E$28/J$7</f>
        <v>5.52408471053938</v>
      </c>
      <c r="K95" s="47" t="n">
        <f aca="false">K19*'Global Inputs'!$E$28/K$7</f>
        <v>6.08937040392104</v>
      </c>
      <c r="L95" s="47" t="n">
        <f aca="false">L19*'Global Inputs'!$E$28/L$7</f>
        <v>6.72220875212502</v>
      </c>
      <c r="M95" s="47" t="n">
        <f aca="false">M19*'Global Inputs'!$E$28/M$7</f>
        <v>7.37433574072111</v>
      </c>
      <c r="N95" s="47" t="n">
        <f aca="false">N19*'Global Inputs'!$E$28/N$7</f>
        <v>8.06431227487853</v>
      </c>
      <c r="O95" s="47" t="n">
        <f aca="false">O19*'Global Inputs'!$E$28/O$7</f>
        <v>8.77008539131587</v>
      </c>
      <c r="P95" s="47" t="n">
        <f aca="false">P19*'Global Inputs'!$E$28/P$7</f>
        <v>9.5658147654521</v>
      </c>
      <c r="Q95" s="47" t="n">
        <f aca="false">Q19*'Global Inputs'!$E$28/Q$7</f>
        <v>10.3816210336973</v>
      </c>
      <c r="R95" s="47" t="n">
        <f aca="false">R19*'Global Inputs'!$E$28/R$7</f>
        <v>7.12562823890183</v>
      </c>
      <c r="S95" s="47" t="n">
        <f aca="false">S19*'Global Inputs'!$E$28/S$7</f>
        <v>7.53892441122294</v>
      </c>
      <c r="U95" s="5" t="s">
        <v>1097</v>
      </c>
    </row>
    <row r="96" customFormat="false" ht="15" hidden="false" customHeight="false" outlineLevel="0" collapsed="false">
      <c r="B96" s="24" t="s">
        <v>1098</v>
      </c>
      <c r="C96" s="25" t="s">
        <v>170</v>
      </c>
      <c r="F96" s="47" t="n">
        <f aca="false">'Global Inputs'!$E$63*$G$53/('Global Inputs'!$E$107)</f>
        <v>0.960963844884674</v>
      </c>
      <c r="G96" s="47" t="n">
        <f aca="false">G53*'Global Inputs'!$E$29/G$7</f>
        <v>0.657880416613613</v>
      </c>
      <c r="H96" s="47" t="n">
        <f aca="false">H53*'Global Inputs'!$E$29/H$7</f>
        <v>0.686772040405011</v>
      </c>
      <c r="I96" s="47" t="n">
        <f aca="false">I53*'Global Inputs'!$E$29/I$7</f>
        <v>0.773584361399035</v>
      </c>
      <c r="J96" s="47" t="n">
        <f aca="false">J53*'Global Inputs'!$E$29/J$7</f>
        <v>0.868041939075447</v>
      </c>
      <c r="K96" s="47" t="n">
        <f aca="false">K53*'Global Inputs'!$E$29/K$7</f>
        <v>0.918599159744272</v>
      </c>
      <c r="L96" s="47" t="n">
        <f aca="false">L53*'Global Inputs'!$E$29/L$7</f>
        <v>0.97692049765346</v>
      </c>
      <c r="M96" s="47" t="n">
        <f aca="false">M53*'Global Inputs'!$E$29/M$7</f>
        <v>1.03558929188361</v>
      </c>
      <c r="N96" s="47" t="n">
        <f aca="false">N53*'Global Inputs'!$E$29/N$7</f>
        <v>1.09726231767916</v>
      </c>
      <c r="O96" s="47" t="n">
        <f aca="false">O53*'Global Inputs'!$E$29/O$7</f>
        <v>1.15891147547829</v>
      </c>
      <c r="P96" s="47" t="n">
        <f aca="false">P53*'Global Inputs'!$E$29/P$7</f>
        <v>1.23021635799177</v>
      </c>
      <c r="Q96" s="47" t="n">
        <f aca="false">Q53*'Global Inputs'!$E$29/Q$7</f>
        <v>1.30181394768735</v>
      </c>
      <c r="R96" s="47" t="n">
        <f aca="false">R53*'Global Inputs'!$E$29/R$7</f>
        <v>1.12341008061297</v>
      </c>
      <c r="S96" s="47" t="n">
        <f aca="false">S53*'Global Inputs'!$E$29/S$7</f>
        <v>1.16976384998758</v>
      </c>
    </row>
    <row r="97" customFormat="false" ht="15" hidden="false" customHeight="false" outlineLevel="0" collapsed="false">
      <c r="B97" s="24" t="s">
        <v>1099</v>
      </c>
      <c r="C97" s="25" t="s">
        <v>170</v>
      </c>
      <c r="F97" s="47" t="n">
        <f aca="false">F95-F96</f>
        <v>2.31776361240639</v>
      </c>
      <c r="G97" s="47" t="n">
        <f aca="false">G95-G96</f>
        <v>2.07697614076344</v>
      </c>
      <c r="H97" s="47" t="n">
        <f aca="false">H95-H96</f>
        <v>2.13784775411554</v>
      </c>
      <c r="I97" s="47" t="n">
        <f aca="false">I95-I96</f>
        <v>3.53752993397768</v>
      </c>
      <c r="J97" s="47" t="n">
        <f aca="false">J95-J96</f>
        <v>4.65604277146394</v>
      </c>
      <c r="K97" s="47" t="n">
        <f aca="false">K95-K96</f>
        <v>5.17077124417677</v>
      </c>
      <c r="L97" s="47" t="n">
        <f aca="false">L95-L96</f>
        <v>5.74528825447156</v>
      </c>
      <c r="M97" s="47" t="n">
        <f aca="false">M95-M96</f>
        <v>6.3387464488375</v>
      </c>
      <c r="N97" s="47" t="n">
        <f aca="false">N95-N96</f>
        <v>6.96704995719936</v>
      </c>
      <c r="O97" s="47" t="n">
        <f aca="false">O95-O96</f>
        <v>7.61117391583758</v>
      </c>
      <c r="P97" s="47" t="n">
        <f aca="false">P95-P96</f>
        <v>8.33559840746032</v>
      </c>
      <c r="Q97" s="47" t="n">
        <f aca="false">Q95-Q96</f>
        <v>9.07980708600993</v>
      </c>
      <c r="R97" s="47" t="n">
        <f aca="false">R95-R96</f>
        <v>6.00221815828886</v>
      </c>
      <c r="S97" s="47" t="n">
        <f aca="false">S95-S96</f>
        <v>6.36916056123536</v>
      </c>
    </row>
    <row r="98" customFormat="false" ht="15" hidden="false" customHeight="false" outlineLevel="0" collapsed="false">
      <c r="B98" s="24" t="s">
        <v>1100</v>
      </c>
      <c r="C98" s="25" t="s">
        <v>170</v>
      </c>
      <c r="E98" s="47" t="n">
        <f aca="false">SUM(F98:S98)</f>
        <v>4.05139694882897</v>
      </c>
      <c r="F98" s="47" t="n">
        <f aca="false">0</f>
        <v>0</v>
      </c>
      <c r="G98" s="47" t="n">
        <f aca="false">G97-F97</f>
        <v>-0.240787471642953</v>
      </c>
      <c r="H98" s="47" t="n">
        <f aca="false">H97-G97</f>
        <v>0.0608716133521008</v>
      </c>
      <c r="I98" s="47" t="n">
        <f aca="false">I97-H97</f>
        <v>1.39968217986214</v>
      </c>
      <c r="J98" s="47" t="n">
        <f aca="false">J97-I97</f>
        <v>1.11851283748626</v>
      </c>
      <c r="K98" s="47" t="n">
        <f aca="false">K97-J97</f>
        <v>0.514728472712831</v>
      </c>
      <c r="L98" s="47" t="n">
        <f aca="false">L97-K97</f>
        <v>0.574517010294794</v>
      </c>
      <c r="M98" s="47" t="n">
        <f aca="false">M97-L97</f>
        <v>0.593458194365939</v>
      </c>
      <c r="N98" s="47" t="n">
        <f aca="false">N97-M97</f>
        <v>0.628303508361864</v>
      </c>
      <c r="O98" s="47" t="n">
        <f aca="false">O97-N97</f>
        <v>0.644123958638215</v>
      </c>
      <c r="P98" s="47" t="n">
        <f aca="false">P97-O97</f>
        <v>0.724424491622747</v>
      </c>
      <c r="Q98" s="47" t="n">
        <f aca="false">Q97-P97</f>
        <v>0.744208678549608</v>
      </c>
      <c r="R98" s="47" t="n">
        <f aca="false">R97-Q97</f>
        <v>-3.07758892772107</v>
      </c>
      <c r="S98" s="47" t="n">
        <f aca="false">S97-R97</f>
        <v>0.366942402946497</v>
      </c>
    </row>
  </sheetData>
  <hyperlinks>
    <hyperlink ref="C3" r:id="rId1" location="'E3%20Belawan%20Input'!A1" display="Input"/>
    <hyperlink ref="D3" r:id="rId2" location="'E3%20Belawan%20Calc'!A1" display="Calc"/>
    <hyperlink ref="E3" r:id="rId3" location="'E3%20Belawan%20Output'!A1" display="Output"/>
    <hyperlink ref="F3" r:id="rId4" location="'Navigation'!A1" display="Navigation"/>
    <hyperlink ref="G3" r:id="rId5" location="'Global%20Inputs'!A1" display="Global Inputs"/>
    <hyperlink ref="H3" r:id="rId6" location="'Project%20Summary'!A1" display="Project Summary"/>
    <hyperlink ref="I3" r:id="rId7" location="'Funding%20Requirement'!A1" display="Funding"/>
    <hyperlink ref="J3" r:id="rId8" location="'FSL%20Financials%20—%20Without%20BUMN'!A1" display="FSL w/o BUMN"/>
    <hyperlink ref="K3" r:id="rId9" location="'FSL%20Financials%20—%20With%20BUMN'!A1" display="FSL w/ BUMN"/>
    <hyperlink ref="L3" r:id="rId10" location="'Valuation%20—%20Without%20BUMN'!A1" display="Val w/o BUMN"/>
    <hyperlink ref="M3" r:id="rId11" location="'Valuation%20—%20With%20BUMN'!A1" display="Val w/ BUMN"/>
    <hyperlink ref="N3" r:id="rId12" location="'Checks'!A1" display="Checks"/>
    <hyperlink ref="O3" r:id="rId13" location="'Model%20Flow'!A1" display="Model Flow"/>
  </hyperlink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9D08E"/>
    <pageSetUpPr fitToPage="true"/>
  </sheetPr>
  <dimension ref="B1:U6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5" ySplit="9" topLeftCell="F10" activePane="bottomRight" state="frozen"/>
      <selection pane="topLeft" activeCell="A1" activeCellId="0" sqref="A1"/>
      <selection pane="topRight" activeCell="F1" activeCellId="0" sqref="F1"/>
      <selection pane="bottomLeft" activeCell="A10" activeCellId="0" sqref="A10"/>
      <selection pane="bottomRigh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66"/>
    <col collapsed="false" customWidth="true" hidden="false" outlineLevel="0" max="3" min="3" style="0" width="11"/>
    <col collapsed="false" customWidth="true" hidden="false" outlineLevel="0" max="4" min="4" style="0" width="12"/>
    <col collapsed="false" customWidth="true" hidden="false" outlineLevel="0" max="5" min="5" style="0" width="13"/>
    <col collapsed="false" customWidth="true" hidden="false" outlineLevel="0" max="19" min="6" style="0" width="11.5"/>
    <col collapsed="false" customWidth="true" hidden="false" outlineLevel="0" max="20" min="20" style="0" width="40"/>
    <col collapsed="false" customWidth="true" hidden="false" outlineLevel="0" max="21" min="21" style="0" width="48"/>
  </cols>
  <sheetData>
    <row r="1" customFormat="false" ht="21.75" hidden="false" customHeight="true" outlineLevel="0" collapsed="false">
      <c r="B1" s="1" t="s">
        <v>1341</v>
      </c>
    </row>
    <row r="2" customFormat="false" ht="15" hidden="false" customHeight="false" outlineLevel="0" collapsed="false">
      <c r="B2" s="2" t="s">
        <v>1102</v>
      </c>
    </row>
    <row r="3" customFormat="false" ht="15" hidden="false" customHeight="false" outlineLevel="0" collapsed="false">
      <c r="B3" s="5" t="s">
        <v>112</v>
      </c>
      <c r="C3" s="17" t="s">
        <v>27</v>
      </c>
      <c r="D3" s="17" t="s">
        <v>28</v>
      </c>
      <c r="E3" s="17" t="s">
        <v>29</v>
      </c>
      <c r="F3" s="17" t="s">
        <v>113</v>
      </c>
      <c r="G3" s="17" t="s">
        <v>5</v>
      </c>
      <c r="H3" s="17" t="s">
        <v>7</v>
      </c>
      <c r="I3" s="17" t="s">
        <v>114</v>
      </c>
      <c r="J3" s="17" t="s">
        <v>115</v>
      </c>
      <c r="K3" s="17" t="s">
        <v>116</v>
      </c>
      <c r="L3" s="17" t="s">
        <v>117</v>
      </c>
      <c r="M3" s="17" t="s">
        <v>118</v>
      </c>
      <c r="N3" s="17" t="s">
        <v>21</v>
      </c>
      <c r="O3" s="17" t="s">
        <v>3</v>
      </c>
    </row>
    <row r="5" customFormat="false" ht="15" hidden="false" customHeight="false" outlineLevel="0" collapsed="false">
      <c r="B5" s="6" t="s">
        <v>119</v>
      </c>
      <c r="C5" s="6" t="s">
        <v>120</v>
      </c>
      <c r="D5" s="6" t="s">
        <v>121</v>
      </c>
      <c r="E5" s="6" t="s">
        <v>122</v>
      </c>
      <c r="F5" s="18" t="n">
        <f aca="false">'Global Inputs'!F$5</f>
        <v>2023</v>
      </c>
      <c r="G5" s="18" t="n">
        <f aca="false">'Global Inputs'!G$5</f>
        <v>2024</v>
      </c>
      <c r="H5" s="18" t="n">
        <f aca="false">'Global Inputs'!H$5</f>
        <v>2025</v>
      </c>
      <c r="I5" s="18" t="n">
        <f aca="false">'Global Inputs'!I$5</f>
        <v>2026</v>
      </c>
      <c r="J5" s="18" t="n">
        <f aca="false">'Global Inputs'!J$5</f>
        <v>2027</v>
      </c>
      <c r="K5" s="18" t="n">
        <f aca="false">'Global Inputs'!K$5</f>
        <v>2028</v>
      </c>
      <c r="L5" s="18" t="n">
        <f aca="false">'Global Inputs'!L$5</f>
        <v>2029</v>
      </c>
      <c r="M5" s="18" t="n">
        <f aca="false">'Global Inputs'!M$5</f>
        <v>2030</v>
      </c>
      <c r="N5" s="18" t="n">
        <f aca="false">'Global Inputs'!N$5</f>
        <v>2031</v>
      </c>
      <c r="O5" s="18" t="n">
        <f aca="false">'Global Inputs'!O$5</f>
        <v>2032</v>
      </c>
      <c r="P5" s="18" t="n">
        <f aca="false">'Global Inputs'!P$5</f>
        <v>2033</v>
      </c>
      <c r="Q5" s="18" t="n">
        <f aca="false">'Global Inputs'!Q$5</f>
        <v>2034</v>
      </c>
      <c r="R5" s="18" t="n">
        <f aca="false">'Global Inputs'!R$5</f>
        <v>2035</v>
      </c>
      <c r="S5" s="18" t="n">
        <f aca="false">'Global Inputs'!S$5</f>
        <v>2036</v>
      </c>
      <c r="T5" s="6" t="s">
        <v>123</v>
      </c>
      <c r="U5" s="6" t="s">
        <v>124</v>
      </c>
    </row>
    <row r="6" customFormat="false" ht="15" hidden="false" customHeight="false" outlineLevel="0" collapsed="false">
      <c r="B6" s="19" t="s">
        <v>125</v>
      </c>
      <c r="F6" s="20" t="n">
        <f aca="false">'Global Inputs'!F$6</f>
        <v>45291</v>
      </c>
      <c r="G6" s="20" t="n">
        <f aca="false">'Global Inputs'!G$6</f>
        <v>45657</v>
      </c>
      <c r="H6" s="20" t="n">
        <f aca="false">'Global Inputs'!H$6</f>
        <v>46022</v>
      </c>
      <c r="I6" s="20" t="n">
        <f aca="false">'Global Inputs'!I$6</f>
        <v>46387</v>
      </c>
      <c r="J6" s="20" t="n">
        <f aca="false">'Global Inputs'!J$6</f>
        <v>46752</v>
      </c>
      <c r="K6" s="20" t="n">
        <f aca="false">'Global Inputs'!K$6</f>
        <v>47118</v>
      </c>
      <c r="L6" s="20" t="n">
        <f aca="false">'Global Inputs'!L$6</f>
        <v>47483</v>
      </c>
      <c r="M6" s="20" t="n">
        <f aca="false">'Global Inputs'!M$6</f>
        <v>47848</v>
      </c>
      <c r="N6" s="20" t="n">
        <f aca="false">'Global Inputs'!N$6</f>
        <v>48213</v>
      </c>
      <c r="O6" s="20" t="n">
        <f aca="false">'Global Inputs'!O$6</f>
        <v>48579</v>
      </c>
      <c r="P6" s="20" t="n">
        <f aca="false">'Global Inputs'!P$6</f>
        <v>48944</v>
      </c>
      <c r="Q6" s="20" t="n">
        <f aca="false">'Global Inputs'!Q$6</f>
        <v>49309</v>
      </c>
      <c r="R6" s="20" t="n">
        <f aca="false">'Global Inputs'!R$6</f>
        <v>49674</v>
      </c>
      <c r="S6" s="20" t="n">
        <f aca="false">'Global Inputs'!S$6</f>
        <v>50040</v>
      </c>
    </row>
    <row r="7" customFormat="false" ht="15" hidden="false" customHeight="false" outlineLevel="0" collapsed="false">
      <c r="B7" s="19" t="s">
        <v>126</v>
      </c>
      <c r="F7" s="21" t="n">
        <f aca="false">'Global Inputs'!F$7</f>
        <v>365</v>
      </c>
      <c r="G7" s="21" t="n">
        <f aca="false">'Global Inputs'!G$7</f>
        <v>366</v>
      </c>
      <c r="H7" s="21" t="n">
        <f aca="false">'Global Inputs'!H$7</f>
        <v>365</v>
      </c>
      <c r="I7" s="21" t="n">
        <f aca="false">'Global Inputs'!I$7</f>
        <v>365</v>
      </c>
      <c r="J7" s="21" t="n">
        <f aca="false">'Global Inputs'!J$7</f>
        <v>365</v>
      </c>
      <c r="K7" s="21" t="n">
        <f aca="false">'Global Inputs'!K$7</f>
        <v>366</v>
      </c>
      <c r="L7" s="21" t="n">
        <f aca="false">'Global Inputs'!L$7</f>
        <v>365</v>
      </c>
      <c r="M7" s="21" t="n">
        <f aca="false">'Global Inputs'!M$7</f>
        <v>365</v>
      </c>
      <c r="N7" s="21" t="n">
        <f aca="false">'Global Inputs'!N$7</f>
        <v>365</v>
      </c>
      <c r="O7" s="21" t="n">
        <f aca="false">'Global Inputs'!O$7</f>
        <v>366</v>
      </c>
      <c r="P7" s="21" t="n">
        <f aca="false">'Global Inputs'!P$7</f>
        <v>365</v>
      </c>
      <c r="Q7" s="21" t="n">
        <f aca="false">'Global Inputs'!Q$7</f>
        <v>365</v>
      </c>
      <c r="R7" s="21" t="n">
        <f aca="false">'Global Inputs'!R$7</f>
        <v>365</v>
      </c>
      <c r="S7" s="21" t="n">
        <f aca="false">'Global Inputs'!S$7</f>
        <v>366</v>
      </c>
    </row>
    <row r="8" customFormat="false" ht="15" hidden="false" customHeight="false" outlineLevel="0" collapsed="false">
      <c r="B8" s="19" t="s">
        <v>127</v>
      </c>
      <c r="F8" s="21" t="n">
        <f aca="false">'Global Inputs'!F$8</f>
        <v>0</v>
      </c>
      <c r="G8" s="21" t="n">
        <f aca="false">'Global Inputs'!G$8</f>
        <v>1</v>
      </c>
      <c r="H8" s="21" t="n">
        <f aca="false">'Global Inputs'!H$8</f>
        <v>1</v>
      </c>
      <c r="I8" s="21" t="n">
        <f aca="false">'Global Inputs'!I$8</f>
        <v>1</v>
      </c>
      <c r="J8" s="21" t="n">
        <f aca="false">'Global Inputs'!J$8</f>
        <v>1</v>
      </c>
      <c r="K8" s="21" t="n">
        <f aca="false">'Global Inputs'!K$8</f>
        <v>1</v>
      </c>
      <c r="L8" s="21" t="n">
        <f aca="false">'Global Inputs'!L$8</f>
        <v>1</v>
      </c>
      <c r="M8" s="21" t="n">
        <f aca="false">'Global Inputs'!M$8</f>
        <v>1</v>
      </c>
      <c r="N8" s="21" t="n">
        <f aca="false">'Global Inputs'!N$8</f>
        <v>1</v>
      </c>
      <c r="O8" s="21" t="n">
        <f aca="false">'Global Inputs'!O$8</f>
        <v>1</v>
      </c>
      <c r="P8" s="21" t="n">
        <f aca="false">'Global Inputs'!P$8</f>
        <v>1</v>
      </c>
      <c r="Q8" s="21" t="n">
        <f aca="false">'Global Inputs'!Q$8</f>
        <v>1</v>
      </c>
      <c r="R8" s="21" t="n">
        <f aca="false">'Global Inputs'!R$8</f>
        <v>1</v>
      </c>
      <c r="S8" s="21" t="n">
        <f aca="false">'Global Inputs'!S$8</f>
        <v>1</v>
      </c>
    </row>
    <row r="10" customFormat="false" ht="15" hidden="false" customHeight="false" outlineLevel="0" collapsed="false">
      <c r="B10" s="22" t="s">
        <v>1103</v>
      </c>
      <c r="C10" s="23"/>
      <c r="D10" s="23"/>
      <c r="E10" s="23"/>
      <c r="F10" s="23"/>
      <c r="G10" s="23"/>
      <c r="H10" s="23"/>
      <c r="I10" s="23"/>
      <c r="J10" s="23"/>
      <c r="K10" s="23"/>
      <c r="L10" s="23"/>
      <c r="M10" s="23"/>
      <c r="N10" s="23"/>
      <c r="O10" s="23"/>
      <c r="P10" s="23"/>
      <c r="Q10" s="23"/>
      <c r="R10" s="23"/>
      <c r="S10" s="23"/>
    </row>
    <row r="11" customFormat="false" ht="15" hidden="false" customHeight="false" outlineLevel="0" collapsed="false">
      <c r="B11" s="24" t="s">
        <v>345</v>
      </c>
      <c r="C11" s="25" t="s">
        <v>170</v>
      </c>
      <c r="E11" s="47" t="n">
        <f aca="false">SUM(F11:S11)</f>
        <v>706.443991374042</v>
      </c>
      <c r="F11" s="47" t="n">
        <f aca="false">'E3 Belawan Calc'!F19</f>
        <v>0</v>
      </c>
      <c r="G11" s="47" t="n">
        <f aca="false">'E3 Belawan Calc'!G19</f>
        <v>22.2435</v>
      </c>
      <c r="H11" s="47" t="n">
        <f aca="false">'E3 Belawan Calc'!H19</f>
        <v>22.910805</v>
      </c>
      <c r="I11" s="47" t="n">
        <f aca="false">'E3 Belawan Calc'!I19</f>
        <v>34.9679270625</v>
      </c>
      <c r="J11" s="47" t="n">
        <f aca="false">'E3 Belawan Calc'!J19</f>
        <v>44.806464874375</v>
      </c>
      <c r="K11" s="47" t="n">
        <f aca="false">'E3 Belawan Calc'!K19</f>
        <v>49.5268792852244</v>
      </c>
      <c r="L11" s="47" t="n">
        <f aca="false">'E3 Belawan Calc'!L19</f>
        <v>54.5245821005696</v>
      </c>
      <c r="M11" s="47" t="n">
        <f aca="false">'E3 Belawan Calc'!M19</f>
        <v>59.8140565636268</v>
      </c>
      <c r="N11" s="47" t="n">
        <f aca="false">'E3 Belawan Calc'!N19</f>
        <v>65.4105328962369</v>
      </c>
      <c r="O11" s="47" t="n">
        <f aca="false">'E3 Belawan Calc'!O19</f>
        <v>71.3300278493691</v>
      </c>
      <c r="P11" s="47" t="n">
        <f aca="false">'E3 Belawan Calc'!P19</f>
        <v>77.5893864308892</v>
      </c>
      <c r="Q11" s="47" t="n">
        <f aca="false">'E3 Belawan Calc'!Q19</f>
        <v>84.2064817177669</v>
      </c>
      <c r="R11" s="47" t="n">
        <f aca="false">'E3 Belawan Calc'!R19</f>
        <v>57.7967623822037</v>
      </c>
      <c r="S11" s="47" t="n">
        <f aca="false">'E3 Belawan Calc'!S19</f>
        <v>61.3165852112799</v>
      </c>
    </row>
    <row r="12" customFormat="false" ht="15" hidden="false" customHeight="false" outlineLevel="0" collapsed="false">
      <c r="B12" s="24" t="s">
        <v>391</v>
      </c>
      <c r="C12" s="25" t="s">
        <v>170</v>
      </c>
      <c r="E12" s="47" t="n">
        <f aca="false">SUM(F12:S12)</f>
        <v>-158.281821620635</v>
      </c>
      <c r="F12" s="47" t="n">
        <f aca="false">-'E3 Belawan Calc'!F53</f>
        <v>-0</v>
      </c>
      <c r="G12" s="47" t="n">
        <f aca="false">-'E3 Belawan Calc'!G53</f>
        <v>-8.02614108268608</v>
      </c>
      <c r="H12" s="47" t="n">
        <f aca="false">-'E3 Belawan Calc'!H53</f>
        <v>-8.3557264915943</v>
      </c>
      <c r="I12" s="47" t="n">
        <f aca="false">-'E3 Belawan Calc'!I53</f>
        <v>-9.41194306368826</v>
      </c>
      <c r="J12" s="47" t="n">
        <f aca="false">-'E3 Belawan Calc'!J53</f>
        <v>-10.5611769254179</v>
      </c>
      <c r="K12" s="47" t="n">
        <f aca="false">-'E3 Belawan Calc'!K53</f>
        <v>-11.2069097488801</v>
      </c>
      <c r="L12" s="47" t="n">
        <f aca="false">-'E3 Belawan Calc'!L53</f>
        <v>-11.8858660547838</v>
      </c>
      <c r="M12" s="47" t="n">
        <f aca="false">-'E3 Belawan Calc'!M53</f>
        <v>-12.5996697179173</v>
      </c>
      <c r="N12" s="47" t="n">
        <f aca="false">-'E3 Belawan Calc'!N53</f>
        <v>-13.3500248650965</v>
      </c>
      <c r="O12" s="47" t="n">
        <f aca="false">-'E3 Belawan Calc'!O53</f>
        <v>-14.1387200008352</v>
      </c>
      <c r="P12" s="47" t="n">
        <f aca="false">-'E3 Belawan Calc'!P53</f>
        <v>-14.9676323555666</v>
      </c>
      <c r="Q12" s="47" t="n">
        <f aca="false">-'E3 Belawan Calc'!Q53</f>
        <v>-15.8387363635294</v>
      </c>
      <c r="R12" s="47" t="n">
        <f aca="false">-'E3 Belawan Calc'!R53</f>
        <v>-13.6681559807911</v>
      </c>
      <c r="S12" s="47" t="n">
        <f aca="false">-'E3 Belawan Calc'!S53</f>
        <v>-14.2711189698485</v>
      </c>
    </row>
    <row r="13" customFormat="false" ht="15" hidden="false" customHeight="false" outlineLevel="0" collapsed="false">
      <c r="B13" s="69" t="s">
        <v>392</v>
      </c>
      <c r="C13" s="25" t="s">
        <v>170</v>
      </c>
      <c r="E13" s="70" t="n">
        <f aca="false">SUM(F13:S13)</f>
        <v>548.162169753407</v>
      </c>
      <c r="F13" s="68" t="n">
        <f aca="false">F11+F12</f>
        <v>0</v>
      </c>
      <c r="G13" s="68" t="n">
        <f aca="false">G11+G12</f>
        <v>14.2173589173139</v>
      </c>
      <c r="H13" s="68" t="n">
        <f aca="false">H11+H12</f>
        <v>14.5550785084057</v>
      </c>
      <c r="I13" s="68" t="n">
        <f aca="false">I11+I12</f>
        <v>25.5559839988117</v>
      </c>
      <c r="J13" s="68" t="n">
        <f aca="false">J11+J12</f>
        <v>34.2452879489571</v>
      </c>
      <c r="K13" s="68" t="n">
        <f aca="false">K11+K12</f>
        <v>38.3199695363443</v>
      </c>
      <c r="L13" s="68" t="n">
        <f aca="false">L11+L12</f>
        <v>42.6387160457859</v>
      </c>
      <c r="M13" s="68" t="n">
        <f aca="false">M11+M12</f>
        <v>47.2143868457095</v>
      </c>
      <c r="N13" s="68" t="n">
        <f aca="false">N11+N12</f>
        <v>52.0605080311404</v>
      </c>
      <c r="O13" s="68" t="n">
        <f aca="false">O11+O12</f>
        <v>57.1913078485339</v>
      </c>
      <c r="P13" s="68" t="n">
        <f aca="false">P11+P12</f>
        <v>62.6217540753227</v>
      </c>
      <c r="Q13" s="68" t="n">
        <f aca="false">Q11+Q12</f>
        <v>68.3677453542374</v>
      </c>
      <c r="R13" s="68" t="n">
        <f aca="false">R11+R12</f>
        <v>44.1286064014126</v>
      </c>
      <c r="S13" s="68" t="n">
        <f aca="false">S11+S12</f>
        <v>47.0454662414314</v>
      </c>
    </row>
    <row r="14" customFormat="false" ht="15" hidden="false" customHeight="false" outlineLevel="0" collapsed="false">
      <c r="B14" s="24" t="s">
        <v>393</v>
      </c>
      <c r="C14" s="25" t="s">
        <v>170</v>
      </c>
      <c r="E14" s="47" t="n">
        <f aca="false">SUM(F14:S14)</f>
        <v>-47.5176464511441</v>
      </c>
      <c r="F14" s="47" t="n">
        <f aca="false">-'E3 Belawan Calc'!F74</f>
        <v>-0</v>
      </c>
      <c r="G14" s="47" t="n">
        <f aca="false">-'E3 Belawan Calc'!G74</f>
        <v>-3.0717537533632</v>
      </c>
      <c r="H14" s="47" t="n">
        <f aca="false">-'E3 Belawan Calc'!H74</f>
        <v>-3.15899704597087</v>
      </c>
      <c r="I14" s="47" t="n">
        <f aca="false">-'E3 Belawan Calc'!I74</f>
        <v>-3.24877039555507</v>
      </c>
      <c r="J14" s="47" t="n">
        <f aca="false">-'E3 Belawan Calc'!J74</f>
        <v>-3.34114834204999</v>
      </c>
      <c r="K14" s="47" t="n">
        <f aca="false">-'E3 Belawan Calc'!K74</f>
        <v>-3.43620764775949</v>
      </c>
      <c r="L14" s="47" t="n">
        <f aca="false">-'E3 Belawan Calc'!L74</f>
        <v>-3.53402736422084</v>
      </c>
      <c r="M14" s="47" t="n">
        <f aca="false">-'E3 Belawan Calc'!M74</f>
        <v>-3.63468890109473</v>
      </c>
      <c r="N14" s="47" t="n">
        <f aca="false">-'E3 Belawan Calc'!N74</f>
        <v>-3.73827609714313</v>
      </c>
      <c r="O14" s="47" t="n">
        <f aca="false">-'E3 Belawan Calc'!O74</f>
        <v>-3.84487529335888</v>
      </c>
      <c r="P14" s="47" t="n">
        <f aca="false">-'E3 Belawan Calc'!P74</f>
        <v>-3.95457540831241</v>
      </c>
      <c r="Q14" s="47" t="n">
        <f aca="false">-'E3 Belawan Calc'!Q74</f>
        <v>-4.06746801578336</v>
      </c>
      <c r="R14" s="47" t="n">
        <f aca="false">-'E3 Belawan Calc'!R74</f>
        <v>-4.18364742474673</v>
      </c>
      <c r="S14" s="47" t="n">
        <f aca="false">-'E3 Belawan Calc'!S74</f>
        <v>-4.3032107617854</v>
      </c>
    </row>
    <row r="15" customFormat="false" ht="15" hidden="false" customHeight="false" outlineLevel="0" collapsed="false">
      <c r="B15" s="69" t="s">
        <v>346</v>
      </c>
      <c r="C15" s="25" t="s">
        <v>170</v>
      </c>
      <c r="E15" s="70" t="n">
        <f aca="false">SUM(F15:S15)</f>
        <v>500.644523302262</v>
      </c>
      <c r="F15" s="68" t="n">
        <f aca="false">F13+F14</f>
        <v>0</v>
      </c>
      <c r="G15" s="68" t="n">
        <f aca="false">G13+G14</f>
        <v>11.1456051639507</v>
      </c>
      <c r="H15" s="68" t="n">
        <f aca="false">H13+H14</f>
        <v>11.3960814624348</v>
      </c>
      <c r="I15" s="68" t="n">
        <f aca="false">I13+I14</f>
        <v>22.3072136032567</v>
      </c>
      <c r="J15" s="68" t="n">
        <f aca="false">J13+J14</f>
        <v>30.9041396069071</v>
      </c>
      <c r="K15" s="68" t="n">
        <f aca="false">K13+K14</f>
        <v>34.8837618885848</v>
      </c>
      <c r="L15" s="68" t="n">
        <f aca="false">L13+L14</f>
        <v>39.104688681565</v>
      </c>
      <c r="M15" s="68" t="n">
        <f aca="false">M13+M14</f>
        <v>43.5796979446148</v>
      </c>
      <c r="N15" s="68" t="n">
        <f aca="false">N13+N14</f>
        <v>48.3222319339973</v>
      </c>
      <c r="O15" s="68" t="n">
        <f aca="false">O13+O14</f>
        <v>53.346432555175</v>
      </c>
      <c r="P15" s="68" t="n">
        <f aca="false">P13+P14</f>
        <v>58.6671786670103</v>
      </c>
      <c r="Q15" s="68" t="n">
        <f aca="false">Q13+Q14</f>
        <v>64.3002773384541</v>
      </c>
      <c r="R15" s="68" t="n">
        <f aca="false">R13+R14</f>
        <v>39.9449589766659</v>
      </c>
      <c r="S15" s="68" t="n">
        <f aca="false">S13+S14</f>
        <v>42.742255479646</v>
      </c>
    </row>
    <row r="16" customFormat="false" ht="15" hidden="false" customHeight="false" outlineLevel="0" collapsed="false">
      <c r="B16" s="24" t="s">
        <v>349</v>
      </c>
      <c r="C16" s="25" t="s">
        <v>170</v>
      </c>
      <c r="E16" s="47" t="n">
        <f aca="false">SUM(F16:S16)</f>
        <v>-143.686910533575</v>
      </c>
      <c r="F16" s="47" t="n">
        <f aca="false">-'E3 Belawan Calc'!F92</f>
        <v>-0</v>
      </c>
      <c r="G16" s="47" t="n">
        <f aca="false">-'E3 Belawan Calc'!G92</f>
        <v>-5.23397421343</v>
      </c>
      <c r="H16" s="47" t="n">
        <f aca="false">-'E3 Belawan Calc'!H92</f>
        <v>-5.23397421343</v>
      </c>
      <c r="I16" s="47" t="n">
        <f aca="false">-'E3 Belawan Calc'!I92</f>
        <v>-9.186649606715</v>
      </c>
      <c r="J16" s="47" t="n">
        <f aca="false">-'E3 Belawan Calc'!J92</f>
        <v>-13.116325</v>
      </c>
      <c r="K16" s="47" t="n">
        <f aca="false">-'E3 Belawan Calc'!K92</f>
        <v>-13.116325</v>
      </c>
      <c r="L16" s="47" t="n">
        <f aca="false">-'E3 Belawan Calc'!L92</f>
        <v>-13.116325</v>
      </c>
      <c r="M16" s="47" t="n">
        <f aca="false">-'E3 Belawan Calc'!M92</f>
        <v>-13.116325</v>
      </c>
      <c r="N16" s="47" t="n">
        <f aca="false">-'E3 Belawan Calc'!N92</f>
        <v>-13.116325</v>
      </c>
      <c r="O16" s="47" t="n">
        <f aca="false">-'E3 Belawan Calc'!O92</f>
        <v>-13.116325</v>
      </c>
      <c r="P16" s="47" t="n">
        <f aca="false">-'E3 Belawan Calc'!P92</f>
        <v>-13.116325</v>
      </c>
      <c r="Q16" s="47" t="n">
        <f aca="false">-'E3 Belawan Calc'!Q92</f>
        <v>-11.6881375</v>
      </c>
      <c r="R16" s="47" t="n">
        <f aca="false">-'E3 Belawan Calc'!R92</f>
        <v>-10.26495</v>
      </c>
      <c r="S16" s="47" t="n">
        <f aca="false">-'E3 Belawan Calc'!S92</f>
        <v>-10.26495</v>
      </c>
    </row>
    <row r="17" customFormat="false" ht="15" hidden="false" customHeight="false" outlineLevel="0" collapsed="false">
      <c r="B17" s="69" t="s">
        <v>347</v>
      </c>
      <c r="C17" s="25" t="s">
        <v>170</v>
      </c>
      <c r="E17" s="70" t="n">
        <f aca="false">SUM(F17:S17)</f>
        <v>356.957612768687</v>
      </c>
      <c r="F17" s="68" t="n">
        <f aca="false">F15+F16</f>
        <v>0</v>
      </c>
      <c r="G17" s="68" t="n">
        <f aca="false">G15+G16</f>
        <v>5.91163095052072</v>
      </c>
      <c r="H17" s="68" t="n">
        <f aca="false">H15+H16</f>
        <v>6.16210724900483</v>
      </c>
      <c r="I17" s="68" t="n">
        <f aca="false">I15+I16</f>
        <v>13.1205639965417</v>
      </c>
      <c r="J17" s="68" t="n">
        <f aca="false">J15+J16</f>
        <v>17.7878146069071</v>
      </c>
      <c r="K17" s="68" t="n">
        <f aca="false">K15+K16</f>
        <v>21.7674368885848</v>
      </c>
      <c r="L17" s="68" t="n">
        <f aca="false">L15+L16</f>
        <v>25.988363681565</v>
      </c>
      <c r="M17" s="68" t="n">
        <f aca="false">M15+M16</f>
        <v>30.4633729446148</v>
      </c>
      <c r="N17" s="68" t="n">
        <f aca="false">N15+N16</f>
        <v>35.2059069339973</v>
      </c>
      <c r="O17" s="68" t="n">
        <f aca="false">O15+O16</f>
        <v>40.230107555175</v>
      </c>
      <c r="P17" s="68" t="n">
        <f aca="false">P15+P16</f>
        <v>45.5508536670102</v>
      </c>
      <c r="Q17" s="68" t="n">
        <f aca="false">Q15+Q16</f>
        <v>52.6121398384541</v>
      </c>
      <c r="R17" s="68" t="n">
        <f aca="false">R15+R16</f>
        <v>29.6800089766659</v>
      </c>
      <c r="S17" s="68" t="n">
        <f aca="false">S15+S16</f>
        <v>32.477305479646</v>
      </c>
    </row>
    <row r="18" customFormat="false" ht="15" hidden="false" customHeight="false" outlineLevel="0" collapsed="false">
      <c r="B18" s="24" t="s">
        <v>1104</v>
      </c>
      <c r="C18" s="25" t="s">
        <v>170</v>
      </c>
      <c r="E18" s="47" t="n">
        <f aca="false">SUM(F18:S18)</f>
        <v>-78.5306748091112</v>
      </c>
      <c r="F18" s="47" t="n">
        <f aca="false">-MAX(0,F17)*'Global Inputs'!$E$27</f>
        <v>-0</v>
      </c>
      <c r="G18" s="47" t="n">
        <f aca="false">-MAX(0,G17)*'Global Inputs'!$E$27</f>
        <v>-1.30055880911456</v>
      </c>
      <c r="H18" s="47" t="n">
        <f aca="false">-MAX(0,H17)*'Global Inputs'!$E$27</f>
        <v>-1.35566359478106</v>
      </c>
      <c r="I18" s="47" t="n">
        <f aca="false">-MAX(0,I17)*'Global Inputs'!$E$27</f>
        <v>-2.88652407923917</v>
      </c>
      <c r="J18" s="47" t="n">
        <f aca="false">-MAX(0,J17)*'Global Inputs'!$E$27</f>
        <v>-3.91331921351955</v>
      </c>
      <c r="K18" s="47" t="n">
        <f aca="false">-MAX(0,K17)*'Global Inputs'!$E$27</f>
        <v>-4.78883611548867</v>
      </c>
      <c r="L18" s="47" t="n">
        <f aca="false">-MAX(0,L17)*'Global Inputs'!$E$27</f>
        <v>-5.7174400099443</v>
      </c>
      <c r="M18" s="47" t="n">
        <f aca="false">-MAX(0,M17)*'Global Inputs'!$E$27</f>
        <v>-6.70194204781525</v>
      </c>
      <c r="N18" s="47" t="n">
        <f aca="false">-MAX(0,N17)*'Global Inputs'!$E$27</f>
        <v>-7.74529952547941</v>
      </c>
      <c r="O18" s="47" t="n">
        <f aca="false">-MAX(0,O17)*'Global Inputs'!$E$27</f>
        <v>-8.8506236621385</v>
      </c>
      <c r="P18" s="47" t="n">
        <f aca="false">-MAX(0,P17)*'Global Inputs'!$E$27</f>
        <v>-10.0211878067423</v>
      </c>
      <c r="Q18" s="47" t="n">
        <f aca="false">-MAX(0,Q17)*'Global Inputs'!$E$27</f>
        <v>-11.5746707644599</v>
      </c>
      <c r="R18" s="47" t="n">
        <f aca="false">-MAX(0,R17)*'Global Inputs'!$E$27</f>
        <v>-6.52960197486649</v>
      </c>
      <c r="S18" s="47" t="n">
        <f aca="false">-MAX(0,S17)*'Global Inputs'!$E$27</f>
        <v>-7.14500720552212</v>
      </c>
    </row>
    <row r="19" customFormat="false" ht="15" hidden="false" customHeight="false" outlineLevel="0" collapsed="false">
      <c r="B19" s="69" t="s">
        <v>1105</v>
      </c>
      <c r="C19" s="25" t="s">
        <v>170</v>
      </c>
      <c r="E19" s="70" t="n">
        <f aca="false">SUM(F19:S19)</f>
        <v>278.426937959576</v>
      </c>
      <c r="F19" s="68" t="n">
        <f aca="false">F17+F18</f>
        <v>0</v>
      </c>
      <c r="G19" s="68" t="n">
        <f aca="false">G17+G18</f>
        <v>4.61107214140616</v>
      </c>
      <c r="H19" s="68" t="n">
        <f aca="false">H17+H18</f>
        <v>4.80644365422377</v>
      </c>
      <c r="I19" s="68" t="n">
        <f aca="false">I17+I18</f>
        <v>10.2340399173025</v>
      </c>
      <c r="J19" s="68" t="n">
        <f aca="false">J17+J18</f>
        <v>13.8744953933875</v>
      </c>
      <c r="K19" s="68" t="n">
        <f aca="false">K17+K18</f>
        <v>16.9786007730962</v>
      </c>
      <c r="L19" s="68" t="n">
        <f aca="false">L17+L18</f>
        <v>20.2709236716207</v>
      </c>
      <c r="M19" s="68" t="n">
        <f aca="false">M17+M18</f>
        <v>23.7614308967995</v>
      </c>
      <c r="N19" s="68" t="n">
        <f aca="false">N17+N18</f>
        <v>27.4606074085179</v>
      </c>
      <c r="O19" s="68" t="n">
        <f aca="false">O17+O18</f>
        <v>31.3794838930365</v>
      </c>
      <c r="P19" s="68" t="n">
        <f aca="false">P17+P18</f>
        <v>35.529665860268</v>
      </c>
      <c r="Q19" s="68" t="n">
        <f aca="false">Q17+Q18</f>
        <v>41.0374690739942</v>
      </c>
      <c r="R19" s="68" t="n">
        <f aca="false">R17+R18</f>
        <v>23.1504070017994</v>
      </c>
      <c r="S19" s="68" t="n">
        <f aca="false">S17+S18</f>
        <v>25.3322982741239</v>
      </c>
    </row>
    <row r="20" customFormat="false" ht="15" hidden="false" customHeight="false" outlineLevel="0" collapsed="false">
      <c r="B20" s="24" t="s">
        <v>402</v>
      </c>
      <c r="C20" s="25" t="s">
        <v>160</v>
      </c>
      <c r="F20" s="49" t="n">
        <f aca="false">IF(F11=0,0,F15/F11)</f>
        <v>0</v>
      </c>
      <c r="G20" s="49" t="n">
        <f aca="false">IF(G11=0,0,G15/G11)</f>
        <v>0.50107245550164</v>
      </c>
      <c r="H20" s="49" t="n">
        <f aca="false">IF(H11=0,0,H15/H11)</f>
        <v>0.49741078335898</v>
      </c>
      <c r="I20" s="49" t="n">
        <f aca="false">IF(I11=0,0,I15/I11)</f>
        <v>0.637933543026037</v>
      </c>
      <c r="J20" s="49" t="n">
        <f aca="false">IF(J11=0,0,J15/J11)</f>
        <v>0.689725013869176</v>
      </c>
      <c r="K20" s="49" t="n">
        <f aca="false">IF(K11=0,0,K15/K11)</f>
        <v>0.704339994605553</v>
      </c>
      <c r="L20" s="49" t="n">
        <f aca="false">IF(L11=0,0,L15/L11)</f>
        <v>0.717193734918263</v>
      </c>
      <c r="M20" s="49" t="n">
        <f aca="false">IF(M11=0,0,M15/M11)</f>
        <v>0.728586229530465</v>
      </c>
      <c r="N20" s="49" t="n">
        <f aca="false">IF(N11=0,0,N15/N11)</f>
        <v>0.738753069183102</v>
      </c>
      <c r="O20" s="49" t="n">
        <f aca="false">IF(O11=0,0,O15/O11)</f>
        <v>0.747881841120673</v>
      </c>
      <c r="P20" s="49" t="n">
        <f aca="false">IF(P11=0,0,P15/P11)</f>
        <v>0.756123760809303</v>
      </c>
      <c r="Q20" s="49" t="n">
        <f aca="false">IF(Q11=0,0,Q15/Q11)</f>
        <v>0.763602468916443</v>
      </c>
      <c r="R20" s="49" t="n">
        <f aca="false">IF(R11=0,0,R15/R11)</f>
        <v>0.69112796859648</v>
      </c>
      <c r="S20" s="49" t="n">
        <f aca="false">IF(S11=0,0,S15/S11)</f>
        <v>0.697074948521156</v>
      </c>
    </row>
    <row r="21" customFormat="false" ht="15" hidden="false" customHeight="false" outlineLevel="0" collapsed="false">
      <c r="B21" s="24" t="s">
        <v>1106</v>
      </c>
      <c r="C21" s="25" t="s">
        <v>160</v>
      </c>
      <c r="F21" s="49" t="n">
        <f aca="false">IF(F11=0,0,F17/F11)</f>
        <v>0</v>
      </c>
      <c r="G21" s="49" t="n">
        <f aca="false">IF(G11=0,0,G17/G11)</f>
        <v>0.265768919033458</v>
      </c>
      <c r="H21" s="49" t="n">
        <f aca="false">IF(H11=0,0,H17/H11)</f>
        <v>0.268960747952978</v>
      </c>
      <c r="I21" s="49" t="n">
        <f aca="false">IF(I11=0,0,I17/I11)</f>
        <v>0.375217094599019</v>
      </c>
      <c r="J21" s="49" t="n">
        <f aca="false">IF(J11=0,0,J17/J11)</f>
        <v>0.396992145146447</v>
      </c>
      <c r="K21" s="49" t="n">
        <f aca="false">IF(K11=0,0,K17/K11)</f>
        <v>0.4395075402031</v>
      </c>
      <c r="L21" s="49" t="n">
        <f aca="false">IF(L11=0,0,L17/L11)</f>
        <v>0.476635724298261</v>
      </c>
      <c r="M21" s="49" t="n">
        <f aca="false">IF(M11=0,0,M17/M11)</f>
        <v>0.509301236110104</v>
      </c>
      <c r="N21" s="49" t="n">
        <f aca="false">IF(N11=0,0,N17/N11)</f>
        <v>0.538229935992812</v>
      </c>
      <c r="O21" s="49" t="n">
        <f aca="false">IF(O11=0,0,O17/O11)</f>
        <v>0.56399960532934</v>
      </c>
      <c r="P21" s="49" t="n">
        <f aca="false">IF(P11=0,0,P17/P11)</f>
        <v>0.587075832950213</v>
      </c>
      <c r="Q21" s="49" t="n">
        <f aca="false">IF(Q11=0,0,Q17/Q11)</f>
        <v>0.624799169436779</v>
      </c>
      <c r="R21" s="49" t="n">
        <f aca="false">IF(R11=0,0,R17/R11)</f>
        <v>0.513523729588782</v>
      </c>
      <c r="S21" s="49" t="n">
        <f aca="false">IF(S11=0,0,S17/S11)</f>
        <v>0.529665919387686</v>
      </c>
    </row>
    <row r="23" customFormat="false" ht="15" hidden="false" customHeight="false" outlineLevel="0" collapsed="false">
      <c r="B23" s="22" t="s">
        <v>1107</v>
      </c>
      <c r="C23" s="23"/>
      <c r="D23" s="23"/>
      <c r="E23" s="23"/>
      <c r="F23" s="23"/>
      <c r="G23" s="23"/>
      <c r="H23" s="23"/>
      <c r="I23" s="23"/>
      <c r="J23" s="23"/>
      <c r="K23" s="23"/>
      <c r="L23" s="23"/>
      <c r="M23" s="23"/>
      <c r="N23" s="23"/>
      <c r="O23" s="23"/>
      <c r="P23" s="23"/>
      <c r="Q23" s="23"/>
      <c r="R23" s="23"/>
      <c r="S23" s="23"/>
    </row>
    <row r="24" customFormat="false" ht="15" hidden="false" customHeight="false" outlineLevel="0" collapsed="false">
      <c r="B24" s="24" t="s">
        <v>456</v>
      </c>
      <c r="C24" s="25" t="s">
        <v>170</v>
      </c>
      <c r="E24" s="47" t="n">
        <f aca="false">SUM(F24:S24)</f>
        <v>278.426937959576</v>
      </c>
      <c r="F24" s="47" t="n">
        <f aca="false">F19</f>
        <v>0</v>
      </c>
      <c r="G24" s="47" t="n">
        <f aca="false">G19</f>
        <v>4.61107214140616</v>
      </c>
      <c r="H24" s="47" t="n">
        <f aca="false">H19</f>
        <v>4.80644365422377</v>
      </c>
      <c r="I24" s="47" t="n">
        <f aca="false">I19</f>
        <v>10.2340399173025</v>
      </c>
      <c r="J24" s="47" t="n">
        <f aca="false">J19</f>
        <v>13.8744953933875</v>
      </c>
      <c r="K24" s="47" t="n">
        <f aca="false">K19</f>
        <v>16.9786007730962</v>
      </c>
      <c r="L24" s="47" t="n">
        <f aca="false">L19</f>
        <v>20.2709236716207</v>
      </c>
      <c r="M24" s="47" t="n">
        <f aca="false">M19</f>
        <v>23.7614308967995</v>
      </c>
      <c r="N24" s="47" t="n">
        <f aca="false">N19</f>
        <v>27.4606074085179</v>
      </c>
      <c r="O24" s="47" t="n">
        <f aca="false">O19</f>
        <v>31.3794838930365</v>
      </c>
      <c r="P24" s="47" t="n">
        <f aca="false">P19</f>
        <v>35.529665860268</v>
      </c>
      <c r="Q24" s="47" t="n">
        <f aca="false">Q19</f>
        <v>41.0374690739942</v>
      </c>
      <c r="R24" s="47" t="n">
        <f aca="false">R19</f>
        <v>23.1504070017994</v>
      </c>
      <c r="S24" s="47" t="n">
        <f aca="false">S19</f>
        <v>25.3322982741239</v>
      </c>
    </row>
    <row r="25" customFormat="false" ht="15" hidden="false" customHeight="false" outlineLevel="0" collapsed="false">
      <c r="B25" s="24" t="s">
        <v>419</v>
      </c>
      <c r="C25" s="25" t="s">
        <v>170</v>
      </c>
      <c r="E25" s="47" t="n">
        <f aca="false">SUM(F25:S25)</f>
        <v>143.686910533575</v>
      </c>
      <c r="F25" s="47" t="n">
        <f aca="false">-F16</f>
        <v>0</v>
      </c>
      <c r="G25" s="47" t="n">
        <f aca="false">-G16</f>
        <v>5.23397421343</v>
      </c>
      <c r="H25" s="47" t="n">
        <f aca="false">-H16</f>
        <v>5.23397421343</v>
      </c>
      <c r="I25" s="47" t="n">
        <f aca="false">-I16</f>
        <v>9.186649606715</v>
      </c>
      <c r="J25" s="47" t="n">
        <f aca="false">-J16</f>
        <v>13.116325</v>
      </c>
      <c r="K25" s="47" t="n">
        <f aca="false">-K16</f>
        <v>13.116325</v>
      </c>
      <c r="L25" s="47" t="n">
        <f aca="false">-L16</f>
        <v>13.116325</v>
      </c>
      <c r="M25" s="47" t="n">
        <f aca="false">-M16</f>
        <v>13.116325</v>
      </c>
      <c r="N25" s="47" t="n">
        <f aca="false">-N16</f>
        <v>13.116325</v>
      </c>
      <c r="O25" s="47" t="n">
        <f aca="false">-O16</f>
        <v>13.116325</v>
      </c>
      <c r="P25" s="47" t="n">
        <f aca="false">-P16</f>
        <v>13.116325</v>
      </c>
      <c r="Q25" s="47" t="n">
        <f aca="false">-Q16</f>
        <v>11.6881375</v>
      </c>
      <c r="R25" s="47" t="n">
        <f aca="false">-R16</f>
        <v>10.26495</v>
      </c>
      <c r="S25" s="47" t="n">
        <f aca="false">-S16</f>
        <v>10.26495</v>
      </c>
    </row>
    <row r="26" customFormat="false" ht="15" hidden="false" customHeight="false" outlineLevel="0" collapsed="false">
      <c r="B26" s="24" t="s">
        <v>1108</v>
      </c>
      <c r="C26" s="25" t="s">
        <v>170</v>
      </c>
      <c r="E26" s="47" t="n">
        <f aca="false">SUM(F26:S26)</f>
        <v>-228.11</v>
      </c>
      <c r="F26" s="47" t="n">
        <f aca="false">-'E3 Belawan Calc'!F83</f>
        <v>-0</v>
      </c>
      <c r="G26" s="47" t="n">
        <f aca="false">-'E3 Belawan Calc'!G83</f>
        <v>-0</v>
      </c>
      <c r="H26" s="47" t="n">
        <f aca="false">-'E3 Belawan Calc'!H83</f>
        <v>-0</v>
      </c>
      <c r="I26" s="47" t="n">
        <f aca="false">-'E3 Belawan Calc'!I83</f>
        <v>-114.255</v>
      </c>
      <c r="J26" s="47" t="n">
        <f aca="false">-'E3 Belawan Calc'!J83</f>
        <v>-113.855</v>
      </c>
      <c r="K26" s="47" t="n">
        <f aca="false">-'E3 Belawan Calc'!K83</f>
        <v>-0</v>
      </c>
      <c r="L26" s="47" t="n">
        <f aca="false">-'E3 Belawan Calc'!L83</f>
        <v>-0</v>
      </c>
      <c r="M26" s="47" t="n">
        <f aca="false">-'E3 Belawan Calc'!M83</f>
        <v>-0</v>
      </c>
      <c r="N26" s="47" t="n">
        <f aca="false">-'E3 Belawan Calc'!N83</f>
        <v>-0</v>
      </c>
      <c r="O26" s="47" t="n">
        <f aca="false">-'E3 Belawan Calc'!O83</f>
        <v>-0</v>
      </c>
      <c r="P26" s="47" t="n">
        <f aca="false">-'E3 Belawan Calc'!P83</f>
        <v>-0</v>
      </c>
      <c r="Q26" s="47" t="n">
        <f aca="false">-'E3 Belawan Calc'!Q83</f>
        <v>-0</v>
      </c>
      <c r="R26" s="47" t="n">
        <f aca="false">-'E3 Belawan Calc'!R83</f>
        <v>-0</v>
      </c>
      <c r="S26" s="47" t="n">
        <f aca="false">-'E3 Belawan Calc'!S83</f>
        <v>-0</v>
      </c>
    </row>
    <row r="27" customFormat="false" ht="15" hidden="false" customHeight="false" outlineLevel="0" collapsed="false">
      <c r="B27" s="24" t="s">
        <v>651</v>
      </c>
      <c r="C27" s="25" t="s">
        <v>170</v>
      </c>
      <c r="E27" s="47" t="n">
        <f aca="false">SUM(F27:S27)</f>
        <v>-4.05139694882897</v>
      </c>
      <c r="F27" s="47" t="n">
        <f aca="false">-'E3 Belawan Calc'!F98</f>
        <v>-0</v>
      </c>
      <c r="G27" s="47" t="n">
        <f aca="false">-'E3 Belawan Calc'!G98</f>
        <v>0.240787471642953</v>
      </c>
      <c r="H27" s="47" t="n">
        <f aca="false">-'E3 Belawan Calc'!H98</f>
        <v>-0.0608716133521008</v>
      </c>
      <c r="I27" s="47" t="n">
        <f aca="false">-'E3 Belawan Calc'!I98</f>
        <v>-1.39968217986214</v>
      </c>
      <c r="J27" s="47" t="n">
        <f aca="false">-'E3 Belawan Calc'!J98</f>
        <v>-1.11851283748626</v>
      </c>
      <c r="K27" s="47" t="n">
        <f aca="false">-'E3 Belawan Calc'!K98</f>
        <v>-0.514728472712831</v>
      </c>
      <c r="L27" s="47" t="n">
        <f aca="false">-'E3 Belawan Calc'!L98</f>
        <v>-0.574517010294794</v>
      </c>
      <c r="M27" s="47" t="n">
        <f aca="false">-'E3 Belawan Calc'!M98</f>
        <v>-0.593458194365939</v>
      </c>
      <c r="N27" s="47" t="n">
        <f aca="false">-'E3 Belawan Calc'!N98</f>
        <v>-0.628303508361864</v>
      </c>
      <c r="O27" s="47" t="n">
        <f aca="false">-'E3 Belawan Calc'!O98</f>
        <v>-0.644123958638215</v>
      </c>
      <c r="P27" s="47" t="n">
        <f aca="false">-'E3 Belawan Calc'!P98</f>
        <v>-0.724424491622747</v>
      </c>
      <c r="Q27" s="47" t="n">
        <f aca="false">-'E3 Belawan Calc'!Q98</f>
        <v>-0.744208678549608</v>
      </c>
      <c r="R27" s="47" t="n">
        <f aca="false">-'E3 Belawan Calc'!R98</f>
        <v>3.07758892772107</v>
      </c>
      <c r="S27" s="47" t="n">
        <f aca="false">-'E3 Belawan Calc'!S98</f>
        <v>-0.366942402946497</v>
      </c>
    </row>
    <row r="28" customFormat="false" ht="15" hidden="false" customHeight="false" outlineLevel="0" collapsed="false">
      <c r="B28" s="69" t="s">
        <v>1109</v>
      </c>
      <c r="C28" s="25" t="s">
        <v>170</v>
      </c>
      <c r="E28" s="70" t="n">
        <f aca="false">SUM(F28:S28)</f>
        <v>189.952451544322</v>
      </c>
      <c r="F28" s="68" t="n">
        <f aca="false">F24+F25+F26+F27</f>
        <v>0</v>
      </c>
      <c r="G28" s="68" t="n">
        <f aca="false">G24+G25+G26+G27</f>
        <v>10.0858338264791</v>
      </c>
      <c r="H28" s="68" t="n">
        <f aca="false">H24+H25+H26+H27</f>
        <v>9.97954625430167</v>
      </c>
      <c r="I28" s="68" t="n">
        <f aca="false">I24+I25+I26+I27</f>
        <v>-96.2339926558447</v>
      </c>
      <c r="J28" s="68" t="n">
        <f aca="false">J24+J25+J26+J27</f>
        <v>-87.9826924440988</v>
      </c>
      <c r="K28" s="68" t="n">
        <f aca="false">K24+K25+K26+K27</f>
        <v>29.5801973003833</v>
      </c>
      <c r="L28" s="68" t="n">
        <f aca="false">L24+L25+L26+L27</f>
        <v>32.8127316613259</v>
      </c>
      <c r="M28" s="68" t="n">
        <f aca="false">M24+M25+M26+M27</f>
        <v>36.2842977024336</v>
      </c>
      <c r="N28" s="68" t="n">
        <f aca="false">N24+N25+N26+N27</f>
        <v>39.948628900156</v>
      </c>
      <c r="O28" s="68" t="n">
        <f aca="false">O24+O25+O26+O27</f>
        <v>43.8516849343983</v>
      </c>
      <c r="P28" s="68" t="n">
        <f aca="false">P24+P25+P26+P27</f>
        <v>47.9215663686452</v>
      </c>
      <c r="Q28" s="68" t="n">
        <f aca="false">Q24+Q25+Q26+Q27</f>
        <v>51.9813978954446</v>
      </c>
      <c r="R28" s="68" t="n">
        <f aca="false">R24+R25+R26+R27</f>
        <v>36.4929459295205</v>
      </c>
      <c r="S28" s="68" t="n">
        <f aca="false">S24+S25+S26+S27</f>
        <v>35.2303058711774</v>
      </c>
    </row>
    <row r="29" customFormat="false" ht="15" hidden="false" customHeight="false" outlineLevel="0" collapsed="false">
      <c r="B29" s="24" t="s">
        <v>354</v>
      </c>
      <c r="C29" s="25" t="s">
        <v>170</v>
      </c>
      <c r="F29" s="47" t="n">
        <f aca="false">SUM($F$28:F28)</f>
        <v>0</v>
      </c>
      <c r="G29" s="47" t="n">
        <f aca="false">SUM($F$28:G28)</f>
        <v>10.0858338264791</v>
      </c>
      <c r="H29" s="47" t="n">
        <f aca="false">SUM($F$28:H28)</f>
        <v>20.0653800807808</v>
      </c>
      <c r="I29" s="47" t="n">
        <f aca="false">SUM($F$28:I28)</f>
        <v>-76.1686125750639</v>
      </c>
      <c r="J29" s="47" t="n">
        <f aca="false">SUM($F$28:J28)</f>
        <v>-164.151305019163</v>
      </c>
      <c r="K29" s="47" t="n">
        <f aca="false">SUM($F$28:K28)</f>
        <v>-134.571107718779</v>
      </c>
      <c r="L29" s="47" t="n">
        <f aca="false">SUM($F$28:L28)</f>
        <v>-101.758376057453</v>
      </c>
      <c r="M29" s="47" t="n">
        <f aca="false">SUM($F$28:M28)</f>
        <v>-65.4740783550198</v>
      </c>
      <c r="N29" s="47" t="n">
        <f aca="false">SUM($F$28:N28)</f>
        <v>-25.5254494548638</v>
      </c>
      <c r="O29" s="47" t="n">
        <f aca="false">SUM($F$28:O28)</f>
        <v>18.3262354795345</v>
      </c>
      <c r="P29" s="47" t="n">
        <f aca="false">SUM($F$28:P28)</f>
        <v>66.2478018481798</v>
      </c>
      <c r="Q29" s="47" t="n">
        <f aca="false">SUM($F$28:Q28)</f>
        <v>118.229199743624</v>
      </c>
      <c r="R29" s="47" t="n">
        <f aca="false">SUM($F$28:R28)</f>
        <v>154.722145673145</v>
      </c>
      <c r="S29" s="47" t="n">
        <f aca="false">SUM($F$28:S28)</f>
        <v>189.952451544322</v>
      </c>
    </row>
    <row r="30" customFormat="false" ht="15" hidden="false" customHeight="false" outlineLevel="0" collapsed="false">
      <c r="B30" s="24" t="s">
        <v>1110</v>
      </c>
      <c r="C30" s="25" t="s">
        <v>170</v>
      </c>
      <c r="E30" s="47" t="n">
        <f aca="false">SUM(F30:S30)</f>
        <v>266.121064119386</v>
      </c>
      <c r="F30" s="47" t="n">
        <f aca="false">F28*'Global Inputs'!F16</f>
        <v>0</v>
      </c>
      <c r="G30" s="47" t="n">
        <f aca="false">G28*'Global Inputs'!G16</f>
        <v>0</v>
      </c>
      <c r="H30" s="47" t="n">
        <f aca="false">H28*'Global Inputs'!H16</f>
        <v>0</v>
      </c>
      <c r="I30" s="47" t="n">
        <f aca="false">I28*'Global Inputs'!I16</f>
        <v>-0</v>
      </c>
      <c r="J30" s="47" t="n">
        <f aca="false">J28*'Global Inputs'!J16</f>
        <v>-87.9826924440988</v>
      </c>
      <c r="K30" s="47" t="n">
        <f aca="false">K28*'Global Inputs'!K16</f>
        <v>29.5801973003833</v>
      </c>
      <c r="L30" s="47" t="n">
        <f aca="false">L28*'Global Inputs'!L16</f>
        <v>32.8127316613259</v>
      </c>
      <c r="M30" s="47" t="n">
        <f aca="false">M28*'Global Inputs'!M16</f>
        <v>36.2842977024336</v>
      </c>
      <c r="N30" s="47" t="n">
        <f aca="false">N28*'Global Inputs'!N16</f>
        <v>39.948628900156</v>
      </c>
      <c r="O30" s="47" t="n">
        <f aca="false">O28*'Global Inputs'!O16</f>
        <v>43.8516849343983</v>
      </c>
      <c r="P30" s="47" t="n">
        <f aca="false">P28*'Global Inputs'!P16</f>
        <v>47.9215663686452</v>
      </c>
      <c r="Q30" s="47" t="n">
        <f aca="false">Q28*'Global Inputs'!Q16</f>
        <v>51.9813978954446</v>
      </c>
      <c r="R30" s="47" t="n">
        <f aca="false">R28*'Global Inputs'!R16</f>
        <v>36.4929459295205</v>
      </c>
      <c r="S30" s="47" t="n">
        <f aca="false">S28*'Global Inputs'!S16</f>
        <v>35.2303058711774</v>
      </c>
    </row>
    <row r="31" customFormat="false" ht="15" hidden="false" customHeight="false" outlineLevel="0" collapsed="false">
      <c r="B31" s="24" t="s">
        <v>1111</v>
      </c>
      <c r="C31" s="25" t="s">
        <v>170</v>
      </c>
      <c r="E31" s="47" t="n">
        <f aca="false">SUM(F31:S31)</f>
        <v>184.216685099943</v>
      </c>
      <c r="F31" s="47" t="n">
        <f aca="false">MAX(0,-F28)</f>
        <v>-0</v>
      </c>
      <c r="G31" s="47" t="n">
        <f aca="false">MAX(0,-G28)</f>
        <v>0</v>
      </c>
      <c r="H31" s="47" t="n">
        <f aca="false">MAX(0,-H28)</f>
        <v>0</v>
      </c>
      <c r="I31" s="47" t="n">
        <f aca="false">MAX(0,-I28)</f>
        <v>96.2339926558447</v>
      </c>
      <c r="J31" s="47" t="n">
        <f aca="false">MAX(0,-J28)</f>
        <v>87.9826924440988</v>
      </c>
      <c r="K31" s="47" t="n">
        <f aca="false">MAX(0,-K28)</f>
        <v>0</v>
      </c>
      <c r="L31" s="47" t="n">
        <f aca="false">MAX(0,-L28)</f>
        <v>0</v>
      </c>
      <c r="M31" s="47" t="n">
        <f aca="false">MAX(0,-M28)</f>
        <v>0</v>
      </c>
      <c r="N31" s="47" t="n">
        <f aca="false">MAX(0,-N28)</f>
        <v>0</v>
      </c>
      <c r="O31" s="47" t="n">
        <f aca="false">MAX(0,-O28)</f>
        <v>0</v>
      </c>
      <c r="P31" s="47" t="n">
        <f aca="false">MAX(0,-P28)</f>
        <v>0</v>
      </c>
      <c r="Q31" s="47" t="n">
        <f aca="false">MAX(0,-Q28)</f>
        <v>0</v>
      </c>
      <c r="R31" s="47" t="n">
        <f aca="false">MAX(0,-R28)</f>
        <v>0</v>
      </c>
      <c r="S31" s="47" t="n">
        <f aca="false">MAX(0,-S28)</f>
        <v>0</v>
      </c>
    </row>
    <row r="33" customFormat="false" ht="15" hidden="false" customHeight="false" outlineLevel="0" collapsed="false">
      <c r="B33" s="22" t="s">
        <v>1112</v>
      </c>
      <c r="C33" s="23"/>
      <c r="D33" s="23"/>
      <c r="E33" s="23"/>
      <c r="F33" s="23"/>
      <c r="G33" s="23"/>
      <c r="H33" s="23"/>
      <c r="I33" s="23"/>
      <c r="J33" s="23"/>
      <c r="K33" s="23"/>
      <c r="L33" s="23"/>
      <c r="M33" s="23"/>
      <c r="N33" s="23"/>
      <c r="O33" s="23"/>
      <c r="P33" s="23"/>
      <c r="Q33" s="23"/>
      <c r="R33" s="23"/>
      <c r="S33" s="23"/>
    </row>
    <row r="34" customFormat="false" ht="15" hidden="false" customHeight="false" outlineLevel="0" collapsed="false">
      <c r="B34" s="24" t="s">
        <v>1113</v>
      </c>
      <c r="C34" s="25" t="s">
        <v>240</v>
      </c>
      <c r="E34" s="44" t="n">
        <f aca="false">SUM(F34:S34)</f>
        <v>14.0245926836766</v>
      </c>
      <c r="F34" s="44" t="n">
        <f aca="false">'E3 Belawan Calc'!F81</f>
        <v>0</v>
      </c>
      <c r="G34" s="44" t="n">
        <f aca="false">'E3 Belawan Calc'!G81</f>
        <v>0</v>
      </c>
      <c r="H34" s="44" t="n">
        <f aca="false">'E3 Belawan Calc'!H81</f>
        <v>0</v>
      </c>
      <c r="I34" s="44" t="n">
        <f aca="false">'E3 Belawan Calc'!I81</f>
        <v>7.02459268367661</v>
      </c>
      <c r="J34" s="44" t="n">
        <f aca="false">'E3 Belawan Calc'!J81</f>
        <v>7</v>
      </c>
      <c r="K34" s="44" t="n">
        <f aca="false">'E3 Belawan Calc'!K81</f>
        <v>0</v>
      </c>
      <c r="L34" s="44" t="n">
        <f aca="false">'E3 Belawan Calc'!L81</f>
        <v>0</v>
      </c>
      <c r="M34" s="44" t="n">
        <f aca="false">'E3 Belawan Calc'!M81</f>
        <v>0</v>
      </c>
      <c r="N34" s="44" t="n">
        <f aca="false">'E3 Belawan Calc'!N81</f>
        <v>0</v>
      </c>
      <c r="O34" s="44" t="n">
        <f aca="false">'E3 Belawan Calc'!O81</f>
        <v>0</v>
      </c>
      <c r="P34" s="44" t="n">
        <f aca="false">'E3 Belawan Calc'!P81</f>
        <v>0</v>
      </c>
      <c r="Q34" s="44" t="n">
        <f aca="false">'E3 Belawan Calc'!Q81</f>
        <v>0</v>
      </c>
      <c r="R34" s="44" t="n">
        <f aca="false">'E3 Belawan Calc'!R81</f>
        <v>0</v>
      </c>
      <c r="S34" s="44" t="n">
        <f aca="false">'E3 Belawan Calc'!S81</f>
        <v>0</v>
      </c>
    </row>
    <row r="35" customFormat="false" ht="15" hidden="false" customHeight="false" outlineLevel="0" collapsed="false">
      <c r="B35" s="24" t="s">
        <v>1114</v>
      </c>
      <c r="C35" s="25" t="s">
        <v>170</v>
      </c>
      <c r="E35" s="47" t="n">
        <f aca="false">SUM(F35:S35)</f>
        <v>228.11</v>
      </c>
      <c r="F35" s="47" t="n">
        <f aca="false">'E3 Belawan Calc'!F83</f>
        <v>0</v>
      </c>
      <c r="G35" s="47" t="n">
        <f aca="false">'E3 Belawan Calc'!G83</f>
        <v>0</v>
      </c>
      <c r="H35" s="47" t="n">
        <f aca="false">'E3 Belawan Calc'!H83</f>
        <v>0</v>
      </c>
      <c r="I35" s="47" t="n">
        <f aca="false">'E3 Belawan Calc'!I83</f>
        <v>114.255</v>
      </c>
      <c r="J35" s="47" t="n">
        <f aca="false">'E3 Belawan Calc'!J83</f>
        <v>113.855</v>
      </c>
      <c r="K35" s="47" t="n">
        <f aca="false">'E3 Belawan Calc'!K83</f>
        <v>0</v>
      </c>
      <c r="L35" s="47" t="n">
        <f aca="false">'E3 Belawan Calc'!L83</f>
        <v>0</v>
      </c>
      <c r="M35" s="47" t="n">
        <f aca="false">'E3 Belawan Calc'!M83</f>
        <v>0</v>
      </c>
      <c r="N35" s="47" t="n">
        <f aca="false">'E3 Belawan Calc'!N83</f>
        <v>0</v>
      </c>
      <c r="O35" s="47" t="n">
        <f aca="false">'E3 Belawan Calc'!O83</f>
        <v>0</v>
      </c>
      <c r="P35" s="47" t="n">
        <f aca="false">'E3 Belawan Calc'!P83</f>
        <v>0</v>
      </c>
      <c r="Q35" s="47" t="n">
        <f aca="false">'E3 Belawan Calc'!Q83</f>
        <v>0</v>
      </c>
      <c r="R35" s="47" t="n">
        <f aca="false">'E3 Belawan Calc'!R83</f>
        <v>0</v>
      </c>
      <c r="S35" s="47" t="n">
        <f aca="false">'E3 Belawan Calc'!S83</f>
        <v>0</v>
      </c>
    </row>
    <row r="36" customFormat="false" ht="15" hidden="false" customHeight="false" outlineLevel="0" collapsed="false">
      <c r="B36" s="24" t="s">
        <v>1115</v>
      </c>
      <c r="C36" s="25" t="s">
        <v>170</v>
      </c>
      <c r="F36" s="47" t="n">
        <f aca="false">'E3 Belawan Calc'!F90</f>
        <v>0</v>
      </c>
      <c r="G36" s="47" t="n">
        <f aca="false">'E3 Belawan Calc'!G90</f>
        <v>0</v>
      </c>
      <c r="H36" s="47" t="n">
        <f aca="false">'E3 Belawan Calc'!H90</f>
        <v>0</v>
      </c>
      <c r="I36" s="47" t="n">
        <f aca="false">'E3 Belawan Calc'!I90</f>
        <v>107.6853375</v>
      </c>
      <c r="J36" s="47" t="n">
        <f aca="false">'E3 Belawan Calc'!J90</f>
        <v>208.4240125</v>
      </c>
      <c r="K36" s="47" t="n">
        <f aca="false">'E3 Belawan Calc'!K90</f>
        <v>195.3076875</v>
      </c>
      <c r="L36" s="47" t="n">
        <f aca="false">'E3 Belawan Calc'!L90</f>
        <v>182.1913625</v>
      </c>
      <c r="M36" s="47" t="n">
        <f aca="false">'E3 Belawan Calc'!M90</f>
        <v>169.0750375</v>
      </c>
      <c r="N36" s="47" t="n">
        <f aca="false">'E3 Belawan Calc'!N90</f>
        <v>155.9587125</v>
      </c>
      <c r="O36" s="47" t="n">
        <f aca="false">'E3 Belawan Calc'!O90</f>
        <v>142.8423875</v>
      </c>
      <c r="P36" s="47" t="n">
        <f aca="false">'E3 Belawan Calc'!P90</f>
        <v>129.7260625</v>
      </c>
      <c r="Q36" s="47" t="n">
        <f aca="false">'E3 Belawan Calc'!Q90</f>
        <v>118.037925</v>
      </c>
      <c r="R36" s="47" t="n">
        <f aca="false">'E3 Belawan Calc'!R90</f>
        <v>107.772975</v>
      </c>
      <c r="S36" s="47" t="n">
        <f aca="false">'E3 Belawan Calc'!S90</f>
        <v>97.508025</v>
      </c>
    </row>
    <row r="37" customFormat="false" ht="15" hidden="false" customHeight="false" outlineLevel="0" collapsed="false">
      <c r="B37" s="24" t="s">
        <v>463</v>
      </c>
      <c r="C37" s="25" t="s">
        <v>170</v>
      </c>
      <c r="F37" s="47" t="n">
        <f aca="false">'E3 Belawan Calc'!F95</f>
        <v>3.27872745729106</v>
      </c>
      <c r="G37" s="47" t="n">
        <f aca="false">'E3 Belawan Calc'!G95</f>
        <v>2.73485655737705</v>
      </c>
      <c r="H37" s="47" t="n">
        <f aca="false">'E3 Belawan Calc'!H95</f>
        <v>2.82461979452055</v>
      </c>
      <c r="I37" s="47" t="n">
        <f aca="false">'E3 Belawan Calc'!I95</f>
        <v>4.31111429537671</v>
      </c>
      <c r="J37" s="47" t="n">
        <f aca="false">'E3 Belawan Calc'!J95</f>
        <v>5.52408471053938</v>
      </c>
      <c r="K37" s="47" t="n">
        <f aca="false">'E3 Belawan Calc'!K95</f>
        <v>6.08937040392104</v>
      </c>
      <c r="L37" s="47" t="n">
        <f aca="false">'E3 Belawan Calc'!L95</f>
        <v>6.72220875212502</v>
      </c>
      <c r="M37" s="47" t="n">
        <f aca="false">'E3 Belawan Calc'!M95</f>
        <v>7.37433574072111</v>
      </c>
      <c r="N37" s="47" t="n">
        <f aca="false">'E3 Belawan Calc'!N95</f>
        <v>8.06431227487853</v>
      </c>
      <c r="O37" s="47" t="n">
        <f aca="false">'E3 Belawan Calc'!O95</f>
        <v>8.77008539131587</v>
      </c>
      <c r="P37" s="47" t="n">
        <f aca="false">'E3 Belawan Calc'!P95</f>
        <v>9.5658147654521</v>
      </c>
      <c r="Q37" s="47" t="n">
        <f aca="false">'E3 Belawan Calc'!Q95</f>
        <v>10.3816210336973</v>
      </c>
      <c r="R37" s="47" t="n">
        <f aca="false">'E3 Belawan Calc'!R95</f>
        <v>7.12562823890183</v>
      </c>
      <c r="S37" s="47" t="n">
        <f aca="false">'E3 Belawan Calc'!S95</f>
        <v>7.53892441122294</v>
      </c>
    </row>
    <row r="38" customFormat="false" ht="15" hidden="false" customHeight="false" outlineLevel="0" collapsed="false">
      <c r="B38" s="24" t="s">
        <v>1116</v>
      </c>
      <c r="C38" s="25" t="s">
        <v>170</v>
      </c>
      <c r="F38" s="47" t="n">
        <f aca="false">-'E3 Belawan Calc'!F96</f>
        <v>-0.960963844884674</v>
      </c>
      <c r="G38" s="47" t="n">
        <f aca="false">-'E3 Belawan Calc'!G96</f>
        <v>-0.657880416613613</v>
      </c>
      <c r="H38" s="47" t="n">
        <f aca="false">-'E3 Belawan Calc'!H96</f>
        <v>-0.686772040405011</v>
      </c>
      <c r="I38" s="47" t="n">
        <f aca="false">-'E3 Belawan Calc'!I96</f>
        <v>-0.773584361399035</v>
      </c>
      <c r="J38" s="47" t="n">
        <f aca="false">-'E3 Belawan Calc'!J96</f>
        <v>-0.868041939075447</v>
      </c>
      <c r="K38" s="47" t="n">
        <f aca="false">-'E3 Belawan Calc'!K96</f>
        <v>-0.918599159744272</v>
      </c>
      <c r="L38" s="47" t="n">
        <f aca="false">-'E3 Belawan Calc'!L96</f>
        <v>-0.97692049765346</v>
      </c>
      <c r="M38" s="47" t="n">
        <f aca="false">-'E3 Belawan Calc'!M96</f>
        <v>-1.03558929188361</v>
      </c>
      <c r="N38" s="47" t="n">
        <f aca="false">-'E3 Belawan Calc'!N96</f>
        <v>-1.09726231767916</v>
      </c>
      <c r="O38" s="47" t="n">
        <f aca="false">-'E3 Belawan Calc'!O96</f>
        <v>-1.15891147547829</v>
      </c>
      <c r="P38" s="47" t="n">
        <f aca="false">-'E3 Belawan Calc'!P96</f>
        <v>-1.23021635799177</v>
      </c>
      <c r="Q38" s="47" t="n">
        <f aca="false">-'E3 Belawan Calc'!Q96</f>
        <v>-1.30181394768735</v>
      </c>
      <c r="R38" s="47" t="n">
        <f aca="false">-'E3 Belawan Calc'!R96</f>
        <v>-1.12341008061297</v>
      </c>
      <c r="S38" s="47" t="n">
        <f aca="false">-'E3 Belawan Calc'!S96</f>
        <v>-1.16976384998758</v>
      </c>
    </row>
    <row r="39" customFormat="false" ht="15" hidden="false" customHeight="false" outlineLevel="0" collapsed="false">
      <c r="B39" s="69" t="s">
        <v>1117</v>
      </c>
      <c r="C39" s="25" t="s">
        <v>170</v>
      </c>
      <c r="F39" s="68" t="n">
        <f aca="false">F36+F37+F38</f>
        <v>2.31776361240639</v>
      </c>
      <c r="G39" s="68" t="n">
        <f aca="false">G36+G37+G38</f>
        <v>2.07697614076344</v>
      </c>
      <c r="H39" s="68" t="n">
        <f aca="false">H36+H37+H38</f>
        <v>2.13784775411554</v>
      </c>
      <c r="I39" s="68" t="n">
        <f aca="false">I36+I37+I38</f>
        <v>111.222867433978</v>
      </c>
      <c r="J39" s="68" t="n">
        <f aca="false">J36+J37+J38</f>
        <v>213.080055271464</v>
      </c>
      <c r="K39" s="68" t="n">
        <f aca="false">K36+K37+K38</f>
        <v>200.478458744177</v>
      </c>
      <c r="L39" s="68" t="n">
        <f aca="false">L36+L37+L38</f>
        <v>187.936650754472</v>
      </c>
      <c r="M39" s="68" t="n">
        <f aca="false">M36+M37+M38</f>
        <v>175.413783948838</v>
      </c>
      <c r="N39" s="68" t="n">
        <f aca="false">N36+N37+N38</f>
        <v>162.925762457199</v>
      </c>
      <c r="O39" s="68" t="n">
        <f aca="false">O36+O37+O38</f>
        <v>150.453561415838</v>
      </c>
      <c r="P39" s="68" t="n">
        <f aca="false">P36+P37+P38</f>
        <v>138.06166090746</v>
      </c>
      <c r="Q39" s="68" t="n">
        <f aca="false">Q36+Q37+Q38</f>
        <v>127.11773208601</v>
      </c>
      <c r="R39" s="68" t="n">
        <f aca="false">R36+R37+R38</f>
        <v>113.775193158289</v>
      </c>
      <c r="S39" s="68" t="n">
        <f aca="false">S36+S37+S38</f>
        <v>103.877185561235</v>
      </c>
    </row>
    <row r="40" customFormat="false" ht="15" hidden="false" customHeight="false" outlineLevel="0" collapsed="false">
      <c r="B40" s="5" t="s">
        <v>1118</v>
      </c>
    </row>
    <row r="42" customFormat="false" ht="15" hidden="false" customHeight="false" outlineLevel="0" collapsed="false">
      <c r="B42" s="22" t="s">
        <v>1119</v>
      </c>
      <c r="C42" s="23"/>
      <c r="D42" s="23"/>
      <c r="E42" s="23"/>
      <c r="F42" s="23"/>
      <c r="G42" s="23"/>
      <c r="H42" s="23"/>
      <c r="I42" s="23"/>
      <c r="J42" s="23"/>
      <c r="K42" s="23"/>
      <c r="L42" s="23"/>
      <c r="M42" s="23"/>
      <c r="N42" s="23"/>
      <c r="O42" s="23"/>
      <c r="P42" s="23"/>
      <c r="Q42" s="23"/>
      <c r="R42" s="23"/>
      <c r="S42" s="23"/>
    </row>
    <row r="43" customFormat="false" ht="15" hidden="false" customHeight="false" outlineLevel="0" collapsed="false">
      <c r="B43" s="24" t="s">
        <v>1120</v>
      </c>
      <c r="C43" s="25" t="s">
        <v>143</v>
      </c>
      <c r="F43" s="30" t="n">
        <f aca="false">0</f>
        <v>0</v>
      </c>
      <c r="G43" s="30" t="n">
        <f aca="false">MIN(1,F43+F44)</f>
        <v>0</v>
      </c>
      <c r="H43" s="30" t="n">
        <f aca="false">MIN(1,G43+G44)</f>
        <v>0</v>
      </c>
      <c r="I43" s="30" t="n">
        <f aca="false">MIN(1,H43+H44)</f>
        <v>0</v>
      </c>
      <c r="J43" s="30" t="n">
        <f aca="false">MIN(1,I43+I44)</f>
        <v>0</v>
      </c>
      <c r="K43" s="30" t="n">
        <f aca="false">MIN(1,J43+J44)</f>
        <v>0</v>
      </c>
      <c r="L43" s="30" t="n">
        <f aca="false">MIN(1,K43+K44)</f>
        <v>0</v>
      </c>
      <c r="M43" s="30" t="n">
        <f aca="false">MIN(1,L43+L44)</f>
        <v>0</v>
      </c>
      <c r="N43" s="30" t="n">
        <f aca="false">MIN(1,M43+M44)</f>
        <v>0</v>
      </c>
      <c r="O43" s="30" t="n">
        <f aca="false">MIN(1,N43+N44)</f>
        <v>0</v>
      </c>
      <c r="P43" s="30" t="n">
        <f aca="false">MIN(1,O43+O44)</f>
        <v>1</v>
      </c>
      <c r="Q43" s="30" t="n">
        <f aca="false">MIN(1,P43+P44)</f>
        <v>1</v>
      </c>
      <c r="R43" s="30" t="n">
        <f aca="false">MIN(1,Q43+Q44)</f>
        <v>1</v>
      </c>
      <c r="S43" s="30" t="n">
        <f aca="false">MIN(1,R43+R44)</f>
        <v>1</v>
      </c>
    </row>
    <row r="44" customFormat="false" ht="15" hidden="false" customHeight="false" outlineLevel="0" collapsed="false">
      <c r="B44" s="24" t="s">
        <v>1121</v>
      </c>
      <c r="C44" s="25" t="s">
        <v>143</v>
      </c>
      <c r="F44" s="30" t="n">
        <f aca="false">0</f>
        <v>0</v>
      </c>
      <c r="G44" s="30" t="n">
        <f aca="false">IF(AND(G29&gt;=0,F29&lt;0,G43=0),1,0)</f>
        <v>0</v>
      </c>
      <c r="H44" s="30" t="n">
        <f aca="false">IF(AND(H29&gt;=0,G29&lt;0,H43=0),1,0)</f>
        <v>0</v>
      </c>
      <c r="I44" s="30" t="n">
        <f aca="false">IF(AND(I29&gt;=0,H29&lt;0,I43=0),1,0)</f>
        <v>0</v>
      </c>
      <c r="J44" s="30" t="n">
        <f aca="false">IF(AND(J29&gt;=0,I29&lt;0,J43=0),1,0)</f>
        <v>0</v>
      </c>
      <c r="K44" s="30" t="n">
        <f aca="false">IF(AND(K29&gt;=0,J29&lt;0,K43=0),1,0)</f>
        <v>0</v>
      </c>
      <c r="L44" s="30" t="n">
        <f aca="false">IF(AND(L29&gt;=0,K29&lt;0,L43=0),1,0)</f>
        <v>0</v>
      </c>
      <c r="M44" s="30" t="n">
        <f aca="false">IF(AND(M29&gt;=0,L29&lt;0,M43=0),1,0)</f>
        <v>0</v>
      </c>
      <c r="N44" s="30" t="n">
        <f aca="false">IF(AND(N29&gt;=0,M29&lt;0,N43=0),1,0)</f>
        <v>0</v>
      </c>
      <c r="O44" s="30" t="n">
        <f aca="false">IF(AND(O29&gt;=0,N29&lt;0,O43=0),1,0)</f>
        <v>1</v>
      </c>
      <c r="P44" s="30" t="n">
        <f aca="false">IF(AND(P29&gt;=0,O29&lt;0,P43=0),1,0)</f>
        <v>0</v>
      </c>
      <c r="Q44" s="30" t="n">
        <f aca="false">IF(AND(Q29&gt;=0,P29&lt;0,Q43=0),1,0)</f>
        <v>0</v>
      </c>
      <c r="R44" s="30" t="n">
        <f aca="false">IF(AND(R29&gt;=0,Q29&lt;0,R43=0),1,0)</f>
        <v>0</v>
      </c>
      <c r="S44" s="30" t="n">
        <f aca="false">IF(AND(S29&gt;=0,R29&lt;0,S43=0),1,0)</f>
        <v>0</v>
      </c>
    </row>
    <row r="45" customFormat="false" ht="15" hidden="false" customHeight="false" outlineLevel="0" collapsed="false">
      <c r="B45" s="24" t="s">
        <v>1122</v>
      </c>
      <c r="C45" s="25" t="s">
        <v>170</v>
      </c>
      <c r="F45" s="47" t="n">
        <f aca="false">IF(F$5='Global Inputs'!$E$14,F28*(1+'Global Inputs'!$E$54)/('Global Inputs'!$E$53-'Global Inputs'!$E$54),0)</f>
        <v>0</v>
      </c>
      <c r="G45" s="47" t="n">
        <f aca="false">IF(G$5='Global Inputs'!$E$14,G28*(1+'Global Inputs'!$E$54)/('Global Inputs'!$E$53-'Global Inputs'!$E$54),0)</f>
        <v>0</v>
      </c>
      <c r="H45" s="47" t="n">
        <f aca="false">IF(H$5='Global Inputs'!$E$14,H28*(1+'Global Inputs'!$E$54)/('Global Inputs'!$E$53-'Global Inputs'!$E$54),0)</f>
        <v>0</v>
      </c>
      <c r="I45" s="47" t="n">
        <f aca="false">IF(I$5='Global Inputs'!$E$14,I28*(1+'Global Inputs'!$E$54)/('Global Inputs'!$E$53-'Global Inputs'!$E$54),0)</f>
        <v>0</v>
      </c>
      <c r="J45" s="47" t="n">
        <f aca="false">IF(J$5='Global Inputs'!$E$14,J28*(1+'Global Inputs'!$E$54)/('Global Inputs'!$E$53-'Global Inputs'!$E$54),0)</f>
        <v>0</v>
      </c>
      <c r="K45" s="47" t="n">
        <f aca="false">IF(K$5='Global Inputs'!$E$14,K28*(1+'Global Inputs'!$E$54)/('Global Inputs'!$E$53-'Global Inputs'!$E$54),0)</f>
        <v>0</v>
      </c>
      <c r="L45" s="47" t="n">
        <f aca="false">IF(L$5='Global Inputs'!$E$14,L28*(1+'Global Inputs'!$E$54)/('Global Inputs'!$E$53-'Global Inputs'!$E$54),0)</f>
        <v>0</v>
      </c>
      <c r="M45" s="47" t="n">
        <f aca="false">IF(M$5='Global Inputs'!$E$14,M28*(1+'Global Inputs'!$E$54)/('Global Inputs'!$E$53-'Global Inputs'!$E$54),0)</f>
        <v>0</v>
      </c>
      <c r="N45" s="47" t="n">
        <f aca="false">IF(N$5='Global Inputs'!$E$14,N28*(1+'Global Inputs'!$E$54)/('Global Inputs'!$E$53-'Global Inputs'!$E$54),0)</f>
        <v>0</v>
      </c>
      <c r="O45" s="47" t="n">
        <f aca="false">IF(O$5='Global Inputs'!$E$14,O28*(1+'Global Inputs'!$E$54)/('Global Inputs'!$E$53-'Global Inputs'!$E$54),0)</f>
        <v>0</v>
      </c>
      <c r="P45" s="47" t="n">
        <f aca="false">IF(P$5='Global Inputs'!$E$14,P28*(1+'Global Inputs'!$E$54)/('Global Inputs'!$E$53-'Global Inputs'!$E$54),0)</f>
        <v>0</v>
      </c>
      <c r="Q45" s="47" t="n">
        <f aca="false">IF(Q$5='Global Inputs'!$E$14,Q28*(1+'Global Inputs'!$E$54)/('Global Inputs'!$E$53-'Global Inputs'!$E$54),0)</f>
        <v>0</v>
      </c>
      <c r="R45" s="47" t="n">
        <f aca="false">IF(R$5='Global Inputs'!$E$14,R28*(1+'Global Inputs'!$E$54)/('Global Inputs'!$E$53-'Global Inputs'!$E$54),0)</f>
        <v>0</v>
      </c>
      <c r="S45" s="47" t="n">
        <f aca="false">IF(S$5='Global Inputs'!$E$14,S28*(1+'Global Inputs'!$E$54)/('Global Inputs'!$E$53-'Global Inputs'!$E$54),0)</f>
        <v>409.261444041498</v>
      </c>
    </row>
    <row r="46" customFormat="false" ht="15" hidden="false" customHeight="false" outlineLevel="0" collapsed="false">
      <c r="B46" s="24" t="s">
        <v>1123</v>
      </c>
      <c r="C46" s="25" t="s">
        <v>170</v>
      </c>
      <c r="F46" s="47" t="n">
        <f aca="false">F28+F45</f>
        <v>0</v>
      </c>
      <c r="G46" s="47" t="n">
        <f aca="false">G28+G45</f>
        <v>10.0858338264791</v>
      </c>
      <c r="H46" s="47" t="n">
        <f aca="false">H28+H45</f>
        <v>9.97954625430167</v>
      </c>
      <c r="I46" s="47" t="n">
        <f aca="false">I28+I45</f>
        <v>-96.2339926558447</v>
      </c>
      <c r="J46" s="47" t="n">
        <f aca="false">J28+J45</f>
        <v>-87.9826924440988</v>
      </c>
      <c r="K46" s="47" t="n">
        <f aca="false">K28+K45</f>
        <v>29.5801973003833</v>
      </c>
      <c r="L46" s="47" t="n">
        <f aca="false">L28+L45</f>
        <v>32.8127316613259</v>
      </c>
      <c r="M46" s="47" t="n">
        <f aca="false">M28+M45</f>
        <v>36.2842977024336</v>
      </c>
      <c r="N46" s="47" t="n">
        <f aca="false">N28+N45</f>
        <v>39.948628900156</v>
      </c>
      <c r="O46" s="47" t="n">
        <f aca="false">O28+O45</f>
        <v>43.8516849343983</v>
      </c>
      <c r="P46" s="47" t="n">
        <f aca="false">P28+P45</f>
        <v>47.9215663686452</v>
      </c>
      <c r="Q46" s="47" t="n">
        <f aca="false">Q28+Q45</f>
        <v>51.9813978954446</v>
      </c>
      <c r="R46" s="47" t="n">
        <f aca="false">R28+R45</f>
        <v>36.4929459295205</v>
      </c>
      <c r="S46" s="47" t="n">
        <f aca="false">S28+S45</f>
        <v>444.491749912675</v>
      </c>
    </row>
    <row r="47" customFormat="false" ht="15" hidden="false" customHeight="false" outlineLevel="0" collapsed="false">
      <c r="B47" s="24" t="s">
        <v>1124</v>
      </c>
      <c r="C47" s="25" t="s">
        <v>170</v>
      </c>
      <c r="E47" s="47" t="n">
        <f aca="false">SUM(F47:S47)</f>
        <v>237.96396515498</v>
      </c>
      <c r="F47" s="47" t="n">
        <f aca="false">F46*'Global Inputs'!F18</f>
        <v>0</v>
      </c>
      <c r="G47" s="47" t="n">
        <f aca="false">G46*'Global Inputs'!G18</f>
        <v>0</v>
      </c>
      <c r="H47" s="47" t="n">
        <f aca="false">H46*'Global Inputs'!H18</f>
        <v>0</v>
      </c>
      <c r="I47" s="47" t="n">
        <f aca="false">I46*'Global Inputs'!I18</f>
        <v>-0</v>
      </c>
      <c r="J47" s="47" t="n">
        <f aca="false">J46*'Global Inputs'!J18</f>
        <v>-78.6497146206711</v>
      </c>
      <c r="K47" s="47" t="n">
        <f aca="false">K46*'Global Inputs'!K18</f>
        <v>23.6374635666274</v>
      </c>
      <c r="L47" s="47" t="n">
        <f aca="false">L46*'Global Inputs'!L18</f>
        <v>23.4391628262875</v>
      </c>
      <c r="M47" s="47" t="n">
        <f aca="false">M46*'Global Inputs'!M18</f>
        <v>23.1695891928204</v>
      </c>
      <c r="N47" s="47" t="n">
        <f aca="false">N46*'Global Inputs'!N18</f>
        <v>22.8034938792645</v>
      </c>
      <c r="O47" s="47" t="n">
        <f aca="false">O46*'Global Inputs'!O18</f>
        <v>22.3761674427565</v>
      </c>
      <c r="P47" s="47" t="n">
        <f aca="false">P46*'Global Inputs'!P18</f>
        <v>21.8590018147535</v>
      </c>
      <c r="Q47" s="47" t="n">
        <f aca="false">Q46*'Global Inputs'!Q18</f>
        <v>21.1956714320926</v>
      </c>
      <c r="R47" s="47" t="n">
        <f aca="false">R46*'Global Inputs'!R18</f>
        <v>13.3017276284518</v>
      </c>
      <c r="S47" s="47" t="n">
        <f aca="false">S46*'Global Inputs'!S18</f>
        <v>144.831401992597</v>
      </c>
    </row>
    <row r="48" customFormat="false" ht="15" hidden="false" customHeight="false" outlineLevel="0" collapsed="false">
      <c r="B48" s="24" t="s">
        <v>1125</v>
      </c>
      <c r="C48" s="25" t="s">
        <v>170</v>
      </c>
      <c r="E48" s="47" t="n">
        <f aca="false">SUM($F$47:$S$47)</f>
        <v>237.96396515498</v>
      </c>
    </row>
    <row r="49" customFormat="false" ht="15" hidden="false" customHeight="false" outlineLevel="0" collapsed="false">
      <c r="B49" s="24" t="s">
        <v>1126</v>
      </c>
      <c r="C49" s="25" t="s">
        <v>170</v>
      </c>
      <c r="E49" s="47" t="n">
        <f aca="false">SUMPRODUCT($F$28:$S$28,'Global Inputs'!$F$18:$S$18)</f>
        <v>104.611864168427</v>
      </c>
    </row>
    <row r="50" customFormat="false" ht="15" hidden="false" customHeight="false" outlineLevel="0" collapsed="false">
      <c r="B50" s="24" t="s">
        <v>360</v>
      </c>
      <c r="C50" s="25" t="s">
        <v>160</v>
      </c>
      <c r="E50" s="49" t="str">
        <f aca="false">"n/a — existing business (no entry cost / original investment data)"</f>
        <v>n/a — existing business (no entry cost / original investment data)</v>
      </c>
    </row>
    <row r="51" customFormat="false" ht="15" hidden="false" customHeight="false" outlineLevel="0" collapsed="false">
      <c r="B51" s="24" t="s">
        <v>1127</v>
      </c>
      <c r="C51" s="25" t="s">
        <v>160</v>
      </c>
      <c r="E51" s="49" t="str">
        <f aca="false">"n/a — existing business"</f>
        <v>n/a — existing business</v>
      </c>
    </row>
    <row r="52" customFormat="false" ht="15" hidden="false" customHeight="false" outlineLevel="0" collapsed="false">
      <c r="B52" s="24" t="s">
        <v>1128</v>
      </c>
      <c r="C52" s="25" t="s">
        <v>160</v>
      </c>
      <c r="E52" s="49" t="str">
        <f aca="false">"n/a — existing business"</f>
        <v>n/a — existing business</v>
      </c>
    </row>
    <row r="53" customFormat="false" ht="15" hidden="false" customHeight="false" outlineLevel="0" collapsed="false">
      <c r="B53" s="24" t="s">
        <v>1129</v>
      </c>
      <c r="C53" s="25" t="s">
        <v>135</v>
      </c>
      <c r="E53" s="29" t="n">
        <f aca="false">IF(SUM($F$44:$S$44)=0,"not within horizon",SUMPRODUCT($F$44:$S$44,'Global Inputs'!$F$15:$S$15))</f>
        <v>2032</v>
      </c>
    </row>
    <row r="54" customFormat="false" ht="15" hidden="false" customHeight="false" outlineLevel="0" collapsed="false">
      <c r="B54" s="24" t="s">
        <v>1130</v>
      </c>
      <c r="C54" s="25" t="s">
        <v>135</v>
      </c>
      <c r="E54" s="29" t="n">
        <f aca="false">IF(SUM('E3 Belawan Calc'!$F$81:$S$81)=0,"n/a",SUMPRODUCT('E3 Belawan Calc'!$F$91:$S$91,'Global Inputs'!$F$15:$S$15))</f>
        <v>2026</v>
      </c>
    </row>
    <row r="55" customFormat="false" ht="15" hidden="false" customHeight="false" outlineLevel="0" collapsed="false">
      <c r="B55" s="24" t="s">
        <v>1131</v>
      </c>
      <c r="C55" s="25" t="s">
        <v>240</v>
      </c>
      <c r="E55" s="44" t="n">
        <f aca="false">'E3 Belawan Input'!$E$76</f>
        <v>14.0245926836766</v>
      </c>
    </row>
    <row r="56" customFormat="false" ht="15" hidden="false" customHeight="false" outlineLevel="0" collapsed="false">
      <c r="B56" s="24" t="s">
        <v>1132</v>
      </c>
      <c r="C56" s="25" t="s">
        <v>240</v>
      </c>
      <c r="E56" s="44" t="n">
        <f aca="false">'E3 Belawan Input'!$E$82</f>
        <v>7</v>
      </c>
    </row>
    <row r="58" customFormat="false" ht="15" hidden="false" customHeight="false" outlineLevel="0" collapsed="false">
      <c r="B58" s="22" t="s">
        <v>1133</v>
      </c>
      <c r="C58" s="23"/>
      <c r="D58" s="23"/>
      <c r="E58" s="23"/>
      <c r="F58" s="23"/>
      <c r="G58" s="23"/>
      <c r="H58" s="23"/>
      <c r="I58" s="23"/>
      <c r="J58" s="23"/>
      <c r="K58" s="23"/>
      <c r="L58" s="23"/>
      <c r="M58" s="23"/>
      <c r="N58" s="23"/>
      <c r="O58" s="23"/>
      <c r="P58" s="23"/>
      <c r="Q58" s="23"/>
      <c r="R58" s="23"/>
      <c r="S58" s="23"/>
    </row>
    <row r="59" customFormat="false" ht="15" hidden="false" customHeight="false" outlineLevel="0" collapsed="false">
      <c r="B59" s="24" t="s">
        <v>1134</v>
      </c>
      <c r="C59" s="25" t="s">
        <v>180</v>
      </c>
      <c r="E59" s="29" t="n">
        <f aca="false">'E3 Belawan Input'!$E$22*IF('E3 Belawan Input'!$E$23=1,1,0)</f>
        <v>1</v>
      </c>
    </row>
    <row r="60" customFormat="false" ht="15" hidden="false" customHeight="false" outlineLevel="0" collapsed="false">
      <c r="B60" s="24" t="s">
        <v>1135</v>
      </c>
      <c r="C60" s="25" t="s">
        <v>180</v>
      </c>
      <c r="E60" s="29" t="n">
        <f aca="false">'E3 Belawan Input'!$E$22</f>
        <v>1</v>
      </c>
    </row>
    <row r="61" customFormat="false" ht="15" hidden="false" customHeight="false" outlineLevel="0" collapsed="false">
      <c r="B61" s="24" t="s">
        <v>897</v>
      </c>
      <c r="C61" s="25" t="s">
        <v>160</v>
      </c>
      <c r="E61" s="49" t="n">
        <f aca="false">'E3 Belawan Input'!$E$24</f>
        <v>1</v>
      </c>
    </row>
  </sheetData>
  <hyperlinks>
    <hyperlink ref="C3" r:id="rId1" location="'E3%20Belawan%20Input'!A1" display="Input"/>
    <hyperlink ref="D3" r:id="rId2" location="'E3%20Belawan%20Calc'!A1" display="Calc"/>
    <hyperlink ref="E3" r:id="rId3" location="'E3%20Belawan%20Output'!A1" display="Output"/>
    <hyperlink ref="F3" r:id="rId4" location="'Navigation'!A1" display="Navigation"/>
    <hyperlink ref="G3" r:id="rId5" location="'Global%20Inputs'!A1" display="Global Inputs"/>
    <hyperlink ref="H3" r:id="rId6" location="'Project%20Summary'!A1" display="Project Summary"/>
    <hyperlink ref="I3" r:id="rId7" location="'Funding%20Requirement'!A1" display="Funding"/>
    <hyperlink ref="J3" r:id="rId8" location="'FSL%20Financials%20—%20Without%20BUMN'!A1" display="FSL w/o BUMN"/>
    <hyperlink ref="K3" r:id="rId9" location="'FSL%20Financials%20—%20With%20BUMN'!A1" display="FSL w/ BUMN"/>
    <hyperlink ref="L3" r:id="rId10" location="'Valuation%20—%20Without%20BUMN'!A1" display="Val w/o BUMN"/>
    <hyperlink ref="M3" r:id="rId11" location="'Valuation%20—%20With%20BUMN'!A1" display="Val w/ BUMN"/>
    <hyperlink ref="N3" r:id="rId12" location="'Checks'!A1" display="Checks"/>
    <hyperlink ref="O3" r:id="rId13" location="'Model%20Flow'!A1" display="Model Flow"/>
  </hyperlink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D966"/>
    <pageSetUpPr fitToPage="true"/>
  </sheetPr>
  <dimension ref="B1:U15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5" ySplit="9" topLeftCell="F10" activePane="bottomRight" state="frozen"/>
      <selection pane="topLeft" activeCell="A1" activeCellId="0" sqref="A1"/>
      <selection pane="topRight" activeCell="F1" activeCellId="0" sqref="F1"/>
      <selection pane="bottomLeft" activeCell="A10" activeCellId="0" sqref="A10"/>
      <selection pane="bottomRigh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66"/>
    <col collapsed="false" customWidth="true" hidden="false" outlineLevel="0" max="3" min="3" style="0" width="11"/>
    <col collapsed="false" customWidth="true" hidden="false" outlineLevel="0" max="4" min="4" style="0" width="12"/>
    <col collapsed="false" customWidth="true" hidden="false" outlineLevel="0" max="5" min="5" style="0" width="13"/>
    <col collapsed="false" customWidth="true" hidden="false" outlineLevel="0" max="19" min="6" style="0" width="11.5"/>
    <col collapsed="false" customWidth="true" hidden="false" outlineLevel="0" max="20" min="20" style="0" width="40"/>
    <col collapsed="false" customWidth="true" hidden="false" outlineLevel="0" max="21" min="21" style="0" width="48"/>
  </cols>
  <sheetData>
    <row r="1" customFormat="false" ht="21.75" hidden="false" customHeight="true" outlineLevel="0" collapsed="false">
      <c r="B1" s="1" t="s">
        <v>1342</v>
      </c>
    </row>
    <row r="2" customFormat="false" ht="15" hidden="false" customHeight="false" outlineLevel="0" collapsed="false">
      <c r="B2" s="2" t="s">
        <v>1343</v>
      </c>
    </row>
    <row r="3" customFormat="false" ht="15" hidden="false" customHeight="false" outlineLevel="0" collapsed="false">
      <c r="B3" s="5" t="s">
        <v>112</v>
      </c>
      <c r="C3" s="17" t="s">
        <v>27</v>
      </c>
      <c r="D3" s="17" t="s">
        <v>28</v>
      </c>
      <c r="E3" s="17" t="s">
        <v>29</v>
      </c>
      <c r="F3" s="17" t="s">
        <v>113</v>
      </c>
      <c r="G3" s="17" t="s">
        <v>5</v>
      </c>
      <c r="H3" s="17" t="s">
        <v>7</v>
      </c>
      <c r="I3" s="17" t="s">
        <v>114</v>
      </c>
      <c r="J3" s="17" t="s">
        <v>115</v>
      </c>
      <c r="K3" s="17" t="s">
        <v>116</v>
      </c>
      <c r="L3" s="17" t="s">
        <v>117</v>
      </c>
      <c r="M3" s="17" t="s">
        <v>118</v>
      </c>
      <c r="N3" s="17" t="s">
        <v>21</v>
      </c>
      <c r="O3" s="17" t="s">
        <v>3</v>
      </c>
    </row>
    <row r="5" customFormat="false" ht="15" hidden="false" customHeight="false" outlineLevel="0" collapsed="false">
      <c r="B5" s="6" t="s">
        <v>119</v>
      </c>
      <c r="C5" s="6" t="s">
        <v>120</v>
      </c>
      <c r="D5" s="6" t="s">
        <v>121</v>
      </c>
      <c r="E5" s="6" t="s">
        <v>122</v>
      </c>
      <c r="F5" s="18" t="n">
        <f aca="false">'Global Inputs'!F$5</f>
        <v>2023</v>
      </c>
      <c r="G5" s="18" t="n">
        <f aca="false">'Global Inputs'!G$5</f>
        <v>2024</v>
      </c>
      <c r="H5" s="18" t="n">
        <f aca="false">'Global Inputs'!H$5</f>
        <v>2025</v>
      </c>
      <c r="I5" s="18" t="n">
        <f aca="false">'Global Inputs'!I$5</f>
        <v>2026</v>
      </c>
      <c r="J5" s="18" t="n">
        <f aca="false">'Global Inputs'!J$5</f>
        <v>2027</v>
      </c>
      <c r="K5" s="18" t="n">
        <f aca="false">'Global Inputs'!K$5</f>
        <v>2028</v>
      </c>
      <c r="L5" s="18" t="n">
        <f aca="false">'Global Inputs'!L$5</f>
        <v>2029</v>
      </c>
      <c r="M5" s="18" t="n">
        <f aca="false">'Global Inputs'!M$5</f>
        <v>2030</v>
      </c>
      <c r="N5" s="18" t="n">
        <f aca="false">'Global Inputs'!N$5</f>
        <v>2031</v>
      </c>
      <c r="O5" s="18" t="n">
        <f aca="false">'Global Inputs'!O$5</f>
        <v>2032</v>
      </c>
      <c r="P5" s="18" t="n">
        <f aca="false">'Global Inputs'!P$5</f>
        <v>2033</v>
      </c>
      <c r="Q5" s="18" t="n">
        <f aca="false">'Global Inputs'!Q$5</f>
        <v>2034</v>
      </c>
      <c r="R5" s="18" t="n">
        <f aca="false">'Global Inputs'!R$5</f>
        <v>2035</v>
      </c>
      <c r="S5" s="18" t="n">
        <f aca="false">'Global Inputs'!S$5</f>
        <v>2036</v>
      </c>
      <c r="T5" s="6" t="s">
        <v>123</v>
      </c>
      <c r="U5" s="6" t="s">
        <v>124</v>
      </c>
    </row>
    <row r="6" customFormat="false" ht="15" hidden="false" customHeight="false" outlineLevel="0" collapsed="false">
      <c r="B6" s="19" t="s">
        <v>125</v>
      </c>
      <c r="F6" s="20" t="n">
        <f aca="false">'Global Inputs'!F$6</f>
        <v>45291</v>
      </c>
      <c r="G6" s="20" t="n">
        <f aca="false">'Global Inputs'!G$6</f>
        <v>45657</v>
      </c>
      <c r="H6" s="20" t="n">
        <f aca="false">'Global Inputs'!H$6</f>
        <v>46022</v>
      </c>
      <c r="I6" s="20" t="n">
        <f aca="false">'Global Inputs'!I$6</f>
        <v>46387</v>
      </c>
      <c r="J6" s="20" t="n">
        <f aca="false">'Global Inputs'!J$6</f>
        <v>46752</v>
      </c>
      <c r="K6" s="20" t="n">
        <f aca="false">'Global Inputs'!K$6</f>
        <v>47118</v>
      </c>
      <c r="L6" s="20" t="n">
        <f aca="false">'Global Inputs'!L$6</f>
        <v>47483</v>
      </c>
      <c r="M6" s="20" t="n">
        <f aca="false">'Global Inputs'!M$6</f>
        <v>47848</v>
      </c>
      <c r="N6" s="20" t="n">
        <f aca="false">'Global Inputs'!N$6</f>
        <v>48213</v>
      </c>
      <c r="O6" s="20" t="n">
        <f aca="false">'Global Inputs'!O$6</f>
        <v>48579</v>
      </c>
      <c r="P6" s="20" t="n">
        <f aca="false">'Global Inputs'!P$6</f>
        <v>48944</v>
      </c>
      <c r="Q6" s="20" t="n">
        <f aca="false">'Global Inputs'!Q$6</f>
        <v>49309</v>
      </c>
      <c r="R6" s="20" t="n">
        <f aca="false">'Global Inputs'!R$6</f>
        <v>49674</v>
      </c>
      <c r="S6" s="20" t="n">
        <f aca="false">'Global Inputs'!S$6</f>
        <v>50040</v>
      </c>
    </row>
    <row r="7" customFormat="false" ht="15" hidden="false" customHeight="false" outlineLevel="0" collapsed="false">
      <c r="B7" s="19" t="s">
        <v>126</v>
      </c>
      <c r="F7" s="21" t="n">
        <f aca="false">'Global Inputs'!F$7</f>
        <v>365</v>
      </c>
      <c r="G7" s="21" t="n">
        <f aca="false">'Global Inputs'!G$7</f>
        <v>366</v>
      </c>
      <c r="H7" s="21" t="n">
        <f aca="false">'Global Inputs'!H$7</f>
        <v>365</v>
      </c>
      <c r="I7" s="21" t="n">
        <f aca="false">'Global Inputs'!I$7</f>
        <v>365</v>
      </c>
      <c r="J7" s="21" t="n">
        <f aca="false">'Global Inputs'!J$7</f>
        <v>365</v>
      </c>
      <c r="K7" s="21" t="n">
        <f aca="false">'Global Inputs'!K$7</f>
        <v>366</v>
      </c>
      <c r="L7" s="21" t="n">
        <f aca="false">'Global Inputs'!L$7</f>
        <v>365</v>
      </c>
      <c r="M7" s="21" t="n">
        <f aca="false">'Global Inputs'!M$7</f>
        <v>365</v>
      </c>
      <c r="N7" s="21" t="n">
        <f aca="false">'Global Inputs'!N$7</f>
        <v>365</v>
      </c>
      <c r="O7" s="21" t="n">
        <f aca="false">'Global Inputs'!O$7</f>
        <v>366</v>
      </c>
      <c r="P7" s="21" t="n">
        <f aca="false">'Global Inputs'!P$7</f>
        <v>365</v>
      </c>
      <c r="Q7" s="21" t="n">
        <f aca="false">'Global Inputs'!Q$7</f>
        <v>365</v>
      </c>
      <c r="R7" s="21" t="n">
        <f aca="false">'Global Inputs'!R$7</f>
        <v>365</v>
      </c>
      <c r="S7" s="21" t="n">
        <f aca="false">'Global Inputs'!S$7</f>
        <v>366</v>
      </c>
    </row>
    <row r="8" customFormat="false" ht="15" hidden="false" customHeight="false" outlineLevel="0" collapsed="false">
      <c r="B8" s="19" t="s">
        <v>127</v>
      </c>
      <c r="F8" s="21" t="n">
        <f aca="false">'Global Inputs'!F$8</f>
        <v>0</v>
      </c>
      <c r="G8" s="21" t="n">
        <f aca="false">'Global Inputs'!G$8</f>
        <v>1</v>
      </c>
      <c r="H8" s="21" t="n">
        <f aca="false">'Global Inputs'!H$8</f>
        <v>1</v>
      </c>
      <c r="I8" s="21" t="n">
        <f aca="false">'Global Inputs'!I$8</f>
        <v>1</v>
      </c>
      <c r="J8" s="21" t="n">
        <f aca="false">'Global Inputs'!J$8</f>
        <v>1</v>
      </c>
      <c r="K8" s="21" t="n">
        <f aca="false">'Global Inputs'!K$8</f>
        <v>1</v>
      </c>
      <c r="L8" s="21" t="n">
        <f aca="false">'Global Inputs'!L$8</f>
        <v>1</v>
      </c>
      <c r="M8" s="21" t="n">
        <f aca="false">'Global Inputs'!M$8</f>
        <v>1</v>
      </c>
      <c r="N8" s="21" t="n">
        <f aca="false">'Global Inputs'!N$8</f>
        <v>1</v>
      </c>
      <c r="O8" s="21" t="n">
        <f aca="false">'Global Inputs'!O$8</f>
        <v>1</v>
      </c>
      <c r="P8" s="21" t="n">
        <f aca="false">'Global Inputs'!P$8</f>
        <v>1</v>
      </c>
      <c r="Q8" s="21" t="n">
        <f aca="false">'Global Inputs'!Q$8</f>
        <v>1</v>
      </c>
      <c r="R8" s="21" t="n">
        <f aca="false">'Global Inputs'!R$8</f>
        <v>1</v>
      </c>
      <c r="S8" s="21" t="n">
        <f aca="false">'Global Inputs'!S$8</f>
        <v>1</v>
      </c>
    </row>
    <row r="10" customFormat="false" ht="15" hidden="false" customHeight="false" outlineLevel="0" collapsed="false">
      <c r="B10" s="22" t="s">
        <v>878</v>
      </c>
      <c r="C10" s="23"/>
      <c r="D10" s="23"/>
      <c r="E10" s="23"/>
      <c r="F10" s="23"/>
      <c r="G10" s="23"/>
      <c r="H10" s="23"/>
      <c r="I10" s="23"/>
      <c r="J10" s="23"/>
      <c r="K10" s="23"/>
      <c r="L10" s="23"/>
      <c r="M10" s="23"/>
      <c r="N10" s="23"/>
      <c r="O10" s="23"/>
      <c r="P10" s="23"/>
      <c r="Q10" s="23"/>
      <c r="R10" s="23"/>
      <c r="S10" s="23"/>
    </row>
    <row r="11" customFormat="false" ht="15" hidden="false" customHeight="false" outlineLevel="0" collapsed="false">
      <c r="B11" s="24" t="s">
        <v>879</v>
      </c>
      <c r="E11" s="24" t="s">
        <v>1344</v>
      </c>
    </row>
    <row r="12" customFormat="false" ht="15" hidden="false" customHeight="false" outlineLevel="0" collapsed="false">
      <c r="B12" s="24" t="s">
        <v>25</v>
      </c>
      <c r="E12" s="24" t="s">
        <v>1345</v>
      </c>
    </row>
    <row r="13" customFormat="false" ht="15" hidden="false" customHeight="false" outlineLevel="0" collapsed="false">
      <c r="B13" s="24" t="s">
        <v>882</v>
      </c>
      <c r="E13" s="24" t="s">
        <v>1346</v>
      </c>
    </row>
    <row r="14" customFormat="false" ht="15" hidden="false" customHeight="false" outlineLevel="0" collapsed="false">
      <c r="B14" s="24" t="s">
        <v>275</v>
      </c>
      <c r="E14" s="24" t="s">
        <v>285</v>
      </c>
    </row>
    <row r="15" customFormat="false" ht="15" hidden="false" customHeight="false" outlineLevel="0" collapsed="false">
      <c r="B15" s="24" t="s">
        <v>386</v>
      </c>
      <c r="E15" s="24" t="s">
        <v>41</v>
      </c>
    </row>
    <row r="16" customFormat="false" ht="15" hidden="false" customHeight="false" outlineLevel="0" collapsed="false">
      <c r="B16" s="24" t="s">
        <v>884</v>
      </c>
      <c r="E16" s="24" t="s">
        <v>1347</v>
      </c>
    </row>
    <row r="17" customFormat="false" ht="15" hidden="false" customHeight="false" outlineLevel="0" collapsed="false">
      <c r="B17" s="24" t="s">
        <v>886</v>
      </c>
      <c r="E17" s="24" t="s">
        <v>1348</v>
      </c>
    </row>
    <row r="18" customFormat="false" ht="15" hidden="false" customHeight="false" outlineLevel="0" collapsed="false">
      <c r="B18" s="24" t="s">
        <v>888</v>
      </c>
      <c r="E18" s="24" t="s">
        <v>1349</v>
      </c>
    </row>
    <row r="19" customFormat="false" ht="15" hidden="false" customHeight="false" outlineLevel="0" collapsed="false">
      <c r="B19" s="24" t="s">
        <v>890</v>
      </c>
      <c r="E19" s="24" t="s">
        <v>1350</v>
      </c>
    </row>
    <row r="21" customFormat="false" ht="15" hidden="false" customHeight="false" outlineLevel="0" collapsed="false">
      <c r="B21" s="22" t="s">
        <v>892</v>
      </c>
      <c r="C21" s="23"/>
      <c r="D21" s="23"/>
      <c r="E21" s="23"/>
      <c r="F21" s="23"/>
      <c r="G21" s="23"/>
      <c r="H21" s="23"/>
      <c r="I21" s="23"/>
      <c r="J21" s="23"/>
      <c r="K21" s="23"/>
      <c r="L21" s="23"/>
      <c r="M21" s="23"/>
      <c r="N21" s="23"/>
      <c r="O21" s="23"/>
      <c r="P21" s="23"/>
      <c r="Q21" s="23"/>
      <c r="R21" s="23"/>
      <c r="S21" s="23"/>
    </row>
    <row r="22" customFormat="false" ht="15" hidden="false" customHeight="false" outlineLevel="0" collapsed="false">
      <c r="B22" s="24" t="s">
        <v>893</v>
      </c>
      <c r="C22" s="25" t="s">
        <v>180</v>
      </c>
      <c r="D22" s="25" t="s">
        <v>894</v>
      </c>
      <c r="E22" s="65" t="n">
        <f aca="false">'Global Inputs'!$E$92</f>
        <v>1</v>
      </c>
      <c r="T22" s="5" t="s">
        <v>895</v>
      </c>
    </row>
    <row r="23" customFormat="false" ht="15" hidden="false" customHeight="false" outlineLevel="0" collapsed="false">
      <c r="B23" s="24" t="s">
        <v>896</v>
      </c>
      <c r="C23" s="25" t="s">
        <v>175</v>
      </c>
      <c r="D23" s="25" t="s">
        <v>894</v>
      </c>
      <c r="E23" s="65" t="n">
        <f aca="false">'Global Inputs'!$F$92</f>
        <v>1</v>
      </c>
      <c r="T23" s="5" t="s">
        <v>895</v>
      </c>
    </row>
    <row r="24" customFormat="false" ht="15" hidden="false" customHeight="false" outlineLevel="0" collapsed="false">
      <c r="B24" s="24" t="s">
        <v>897</v>
      </c>
      <c r="C24" s="25" t="s">
        <v>160</v>
      </c>
      <c r="D24" s="25" t="s">
        <v>894</v>
      </c>
      <c r="E24" s="67" t="n">
        <f aca="false">'Global Inputs'!$G$92</f>
        <v>1</v>
      </c>
      <c r="T24" s="5" t="s">
        <v>895</v>
      </c>
    </row>
    <row r="26" customFormat="false" ht="15" hidden="false" customHeight="false" outlineLevel="0" collapsed="false">
      <c r="B26" s="22" t="s">
        <v>1351</v>
      </c>
      <c r="C26" s="23"/>
      <c r="D26" s="23"/>
      <c r="E26" s="23"/>
      <c r="F26" s="23"/>
      <c r="G26" s="23"/>
      <c r="H26" s="23"/>
      <c r="I26" s="23"/>
      <c r="J26" s="23"/>
      <c r="K26" s="23"/>
      <c r="L26" s="23"/>
      <c r="M26" s="23"/>
      <c r="N26" s="23"/>
      <c r="O26" s="23"/>
      <c r="P26" s="23"/>
      <c r="Q26" s="23"/>
      <c r="R26" s="23"/>
      <c r="S26" s="23"/>
    </row>
    <row r="27" customFormat="false" ht="15" hidden="false" customHeight="false" outlineLevel="0" collapsed="false">
      <c r="B27" s="24" t="s">
        <v>1352</v>
      </c>
      <c r="C27" s="25" t="s">
        <v>900</v>
      </c>
      <c r="D27" s="28" t="s">
        <v>153</v>
      </c>
      <c r="E27" s="101" t="n">
        <v>346296.036</v>
      </c>
      <c r="T27" s="5" t="s">
        <v>1353</v>
      </c>
    </row>
    <row r="28" customFormat="false" ht="15" hidden="false" customHeight="false" outlineLevel="0" collapsed="false">
      <c r="B28" s="24" t="s">
        <v>1354</v>
      </c>
      <c r="C28" s="25" t="s">
        <v>160</v>
      </c>
      <c r="D28" s="28" t="s">
        <v>153</v>
      </c>
      <c r="G28" s="35" t="n">
        <v>0.05</v>
      </c>
      <c r="H28" s="35" t="n">
        <v>0.05</v>
      </c>
      <c r="I28" s="35" t="n">
        <v>0.05</v>
      </c>
      <c r="J28" s="35" t="n">
        <v>0.05</v>
      </c>
      <c r="K28" s="35" t="n">
        <v>0.05</v>
      </c>
      <c r="L28" s="35" t="n">
        <v>0.05</v>
      </c>
      <c r="M28" s="35" t="n">
        <v>0.05</v>
      </c>
      <c r="N28" s="35" t="n">
        <v>0.05</v>
      </c>
      <c r="O28" s="35" t="n">
        <v>0.05</v>
      </c>
      <c r="P28" s="35" t="n">
        <v>0.05</v>
      </c>
      <c r="Q28" s="35" t="n">
        <v>0.05</v>
      </c>
      <c r="R28" s="35" t="n">
        <v>0.05</v>
      </c>
      <c r="S28" s="35" t="n">
        <v>0.05</v>
      </c>
      <c r="T28" s="5" t="s">
        <v>1355</v>
      </c>
    </row>
    <row r="29" customFormat="false" ht="15" hidden="false" customHeight="false" outlineLevel="0" collapsed="false">
      <c r="B29" s="24" t="s">
        <v>1356</v>
      </c>
      <c r="C29" s="25" t="s">
        <v>905</v>
      </c>
      <c r="D29" s="28" t="s">
        <v>153</v>
      </c>
      <c r="G29" s="101" t="n">
        <v>12328.6210616914</v>
      </c>
      <c r="H29" s="101" t="n">
        <v>2575</v>
      </c>
      <c r="I29" s="101" t="n">
        <v>2652.25</v>
      </c>
      <c r="J29" s="101" t="n">
        <v>2731.8175</v>
      </c>
      <c r="K29" s="101" t="n">
        <v>2813.772025</v>
      </c>
      <c r="L29" s="101" t="n">
        <v>2898.18518575</v>
      </c>
      <c r="M29" s="101" t="n">
        <v>2985.1307413225</v>
      </c>
      <c r="N29" s="101" t="n">
        <v>3074.68466356218</v>
      </c>
      <c r="O29" s="101" t="n">
        <v>3166.92520346904</v>
      </c>
      <c r="P29" s="101" t="n">
        <v>3261.93295957311</v>
      </c>
      <c r="Q29" s="101" t="n">
        <v>3261.93295957311</v>
      </c>
      <c r="R29" s="101" t="n">
        <v>3261.93295957311</v>
      </c>
      <c r="S29" s="101" t="n">
        <v>3261.93295957311</v>
      </c>
      <c r="T29" s="5" t="s">
        <v>1357</v>
      </c>
    </row>
    <row r="30" customFormat="false" ht="15" hidden="false" customHeight="false" outlineLevel="0" collapsed="false">
      <c r="B30" s="24" t="s">
        <v>1358</v>
      </c>
      <c r="C30" s="25" t="s">
        <v>900</v>
      </c>
      <c r="D30" s="28" t="s">
        <v>153</v>
      </c>
      <c r="E30" s="101" t="n">
        <v>225199.88</v>
      </c>
      <c r="T30" s="5" t="s">
        <v>1359</v>
      </c>
    </row>
    <row r="31" customFormat="false" ht="15" hidden="false" customHeight="false" outlineLevel="0" collapsed="false">
      <c r="B31" s="24" t="s">
        <v>1360</v>
      </c>
      <c r="C31" s="25" t="s">
        <v>160</v>
      </c>
      <c r="D31" s="28" t="s">
        <v>153</v>
      </c>
      <c r="G31" s="35" t="n">
        <v>0.05</v>
      </c>
      <c r="H31" s="35" t="n">
        <v>0.05</v>
      </c>
      <c r="I31" s="35" t="n">
        <v>0.05</v>
      </c>
      <c r="J31" s="35" t="n">
        <v>0.05</v>
      </c>
      <c r="K31" s="35" t="n">
        <v>0.05</v>
      </c>
      <c r="L31" s="35" t="n">
        <v>0.05</v>
      </c>
      <c r="M31" s="35" t="n">
        <v>0.05</v>
      </c>
      <c r="N31" s="35" t="n">
        <v>0.05</v>
      </c>
      <c r="O31" s="35" t="n">
        <v>0.05</v>
      </c>
      <c r="P31" s="35" t="n">
        <v>0.05</v>
      </c>
      <c r="Q31" s="35" t="n">
        <v>0.05</v>
      </c>
      <c r="R31" s="35" t="n">
        <v>0.05</v>
      </c>
      <c r="S31" s="35" t="n">
        <v>0.05</v>
      </c>
      <c r="T31" s="5" t="s">
        <v>1361</v>
      </c>
    </row>
    <row r="32" customFormat="false" ht="15" hidden="false" customHeight="false" outlineLevel="0" collapsed="false">
      <c r="B32" s="24" t="s">
        <v>1362</v>
      </c>
      <c r="C32" s="25" t="s">
        <v>905</v>
      </c>
      <c r="D32" s="28" t="s">
        <v>153</v>
      </c>
      <c r="G32" s="101" t="n">
        <v>57137.3691142518</v>
      </c>
      <c r="H32" s="101" t="n">
        <v>3605</v>
      </c>
      <c r="I32" s="101" t="n">
        <v>3713.15</v>
      </c>
      <c r="J32" s="101" t="n">
        <v>3824.5445</v>
      </c>
      <c r="K32" s="101" t="n">
        <v>3939.280835</v>
      </c>
      <c r="L32" s="101" t="n">
        <v>4057.45926005</v>
      </c>
      <c r="M32" s="101" t="n">
        <v>4179.1830378515</v>
      </c>
      <c r="N32" s="101" t="n">
        <v>4304.55852898705</v>
      </c>
      <c r="O32" s="101" t="n">
        <v>4433.69528485666</v>
      </c>
      <c r="P32" s="101" t="n">
        <v>4566.70614340236</v>
      </c>
      <c r="Q32" s="101" t="n">
        <v>4566.70614340236</v>
      </c>
      <c r="R32" s="101" t="n">
        <v>4566.70614340236</v>
      </c>
      <c r="S32" s="101" t="n">
        <v>4566.70614340236</v>
      </c>
      <c r="T32" s="5" t="s">
        <v>1363</v>
      </c>
    </row>
    <row r="33" customFormat="false" ht="15" hidden="false" customHeight="false" outlineLevel="0" collapsed="false">
      <c r="B33" s="24" t="s">
        <v>1364</v>
      </c>
      <c r="C33" s="25" t="s">
        <v>900</v>
      </c>
      <c r="D33" s="28" t="s">
        <v>153</v>
      </c>
      <c r="E33" s="101" t="n">
        <v>295847.011</v>
      </c>
      <c r="T33" s="5" t="s">
        <v>1365</v>
      </c>
    </row>
    <row r="34" customFormat="false" ht="15" hidden="false" customHeight="false" outlineLevel="0" collapsed="false">
      <c r="B34" s="24" t="s">
        <v>1366</v>
      </c>
      <c r="C34" s="25" t="s">
        <v>160</v>
      </c>
      <c r="D34" s="28" t="s">
        <v>153</v>
      </c>
      <c r="G34" s="35" t="n">
        <v>0.05</v>
      </c>
      <c r="H34" s="35" t="n">
        <v>0.05</v>
      </c>
      <c r="I34" s="35" t="n">
        <v>0.05</v>
      </c>
      <c r="J34" s="35" t="n">
        <v>0.05</v>
      </c>
      <c r="K34" s="35" t="n">
        <v>0.05</v>
      </c>
      <c r="L34" s="35" t="n">
        <v>0.05</v>
      </c>
      <c r="M34" s="35" t="n">
        <v>0.05</v>
      </c>
      <c r="N34" s="35" t="n">
        <v>0.05</v>
      </c>
      <c r="O34" s="35" t="n">
        <v>0.05</v>
      </c>
      <c r="P34" s="35" t="n">
        <v>0.05</v>
      </c>
      <c r="Q34" s="35" t="n">
        <v>0.05</v>
      </c>
      <c r="R34" s="35" t="n">
        <v>0.05</v>
      </c>
      <c r="S34" s="35" t="n">
        <v>0.05</v>
      </c>
      <c r="T34" s="5" t="s">
        <v>1367</v>
      </c>
    </row>
    <row r="35" customFormat="false" ht="15" hidden="false" customHeight="false" outlineLevel="0" collapsed="false">
      <c r="B35" s="24" t="s">
        <v>1368</v>
      </c>
      <c r="C35" s="25" t="s">
        <v>905</v>
      </c>
      <c r="D35" s="28" t="s">
        <v>153</v>
      </c>
      <c r="G35" s="101" t="n">
        <v>4495.80395817605</v>
      </c>
      <c r="H35" s="101" t="n">
        <v>2575</v>
      </c>
      <c r="I35" s="101" t="n">
        <v>2652.25</v>
      </c>
      <c r="J35" s="101" t="n">
        <v>2731.8175</v>
      </c>
      <c r="K35" s="101" t="n">
        <v>2813.772025</v>
      </c>
      <c r="L35" s="101" t="n">
        <v>2898.18518575</v>
      </c>
      <c r="M35" s="101" t="n">
        <v>2985.1307413225</v>
      </c>
      <c r="N35" s="101" t="n">
        <v>3074.68466356218</v>
      </c>
      <c r="O35" s="101" t="n">
        <v>3166.92520346904</v>
      </c>
      <c r="P35" s="101" t="n">
        <v>3261.93295957311</v>
      </c>
      <c r="Q35" s="101" t="n">
        <v>3261.93295957311</v>
      </c>
      <c r="R35" s="101" t="n">
        <v>3261.93295957311</v>
      </c>
      <c r="S35" s="101" t="n">
        <v>3261.93295957311</v>
      </c>
      <c r="T35" s="5" t="s">
        <v>1369</v>
      </c>
    </row>
    <row r="36" customFormat="false" ht="15" hidden="false" customHeight="false" outlineLevel="0" collapsed="false">
      <c r="B36" s="24" t="s">
        <v>1370</v>
      </c>
      <c r="C36" s="25" t="s">
        <v>900</v>
      </c>
      <c r="D36" s="28" t="s">
        <v>153</v>
      </c>
      <c r="E36" s="101" t="n">
        <v>336474.04</v>
      </c>
      <c r="T36" s="5" t="s">
        <v>1371</v>
      </c>
    </row>
    <row r="37" customFormat="false" ht="15" hidden="false" customHeight="false" outlineLevel="0" collapsed="false">
      <c r="B37" s="24" t="s">
        <v>1372</v>
      </c>
      <c r="C37" s="25" t="s">
        <v>160</v>
      </c>
      <c r="D37" s="28" t="s">
        <v>153</v>
      </c>
      <c r="G37" s="35" t="n">
        <v>0.05</v>
      </c>
      <c r="H37" s="35" t="n">
        <v>0.05</v>
      </c>
      <c r="I37" s="35" t="n">
        <v>0.05</v>
      </c>
      <c r="J37" s="35" t="n">
        <v>0.05</v>
      </c>
      <c r="K37" s="35" t="n">
        <v>0.05</v>
      </c>
      <c r="L37" s="35" t="n">
        <v>0.05</v>
      </c>
      <c r="M37" s="35" t="n">
        <v>0.05</v>
      </c>
      <c r="N37" s="35" t="n">
        <v>0.05</v>
      </c>
      <c r="O37" s="35" t="n">
        <v>0.05</v>
      </c>
      <c r="P37" s="35" t="n">
        <v>0.05</v>
      </c>
      <c r="Q37" s="35" t="n">
        <v>0.05</v>
      </c>
      <c r="R37" s="35" t="n">
        <v>0.05</v>
      </c>
      <c r="S37" s="35" t="n">
        <v>0.05</v>
      </c>
      <c r="T37" s="5" t="s">
        <v>1373</v>
      </c>
    </row>
    <row r="38" customFormat="false" ht="15" hidden="false" customHeight="false" outlineLevel="0" collapsed="false">
      <c r="B38" s="24" t="s">
        <v>1374</v>
      </c>
      <c r="C38" s="25" t="s">
        <v>905</v>
      </c>
      <c r="D38" s="28" t="s">
        <v>153</v>
      </c>
      <c r="G38" s="101" t="n">
        <v>34880</v>
      </c>
      <c r="H38" s="101" t="n">
        <v>35926.4</v>
      </c>
      <c r="I38" s="101" t="n">
        <v>2652.25</v>
      </c>
      <c r="J38" s="101" t="n">
        <v>2731.8175</v>
      </c>
      <c r="K38" s="101" t="n">
        <v>2813.772025</v>
      </c>
      <c r="L38" s="101" t="n">
        <v>2898.18518575</v>
      </c>
      <c r="M38" s="101" t="n">
        <v>2985.1307413225</v>
      </c>
      <c r="N38" s="101" t="n">
        <v>3074.68466356218</v>
      </c>
      <c r="O38" s="101" t="n">
        <v>3166.92520346904</v>
      </c>
      <c r="P38" s="101" t="n">
        <v>3261.93295957311</v>
      </c>
      <c r="Q38" s="101" t="n">
        <v>3261.93295957311</v>
      </c>
      <c r="R38" s="101" t="n">
        <v>3261.93295957311</v>
      </c>
      <c r="S38" s="101" t="n">
        <v>3261.93295957311</v>
      </c>
      <c r="T38" s="5" t="s">
        <v>1375</v>
      </c>
    </row>
    <row r="39" customFormat="false" ht="15" hidden="false" customHeight="false" outlineLevel="0" collapsed="false">
      <c r="B39" s="24" t="s">
        <v>1376</v>
      </c>
      <c r="C39" s="25" t="s">
        <v>900</v>
      </c>
      <c r="D39" s="28" t="s">
        <v>153</v>
      </c>
      <c r="E39" s="101" t="n">
        <v>923727.06</v>
      </c>
      <c r="T39" s="5" t="s">
        <v>1377</v>
      </c>
    </row>
    <row r="40" customFormat="false" ht="15" hidden="false" customHeight="false" outlineLevel="0" collapsed="false">
      <c r="B40" s="24" t="s">
        <v>1378</v>
      </c>
      <c r="C40" s="25" t="s">
        <v>160</v>
      </c>
      <c r="D40" s="28" t="s">
        <v>153</v>
      </c>
      <c r="G40" s="35" t="n">
        <v>0.05</v>
      </c>
      <c r="H40" s="35" t="n">
        <v>0.05</v>
      </c>
      <c r="I40" s="35" t="n">
        <v>0.05</v>
      </c>
      <c r="J40" s="35" t="n">
        <v>0.05</v>
      </c>
      <c r="K40" s="35" t="n">
        <v>0.05</v>
      </c>
      <c r="L40" s="35" t="n">
        <v>0.05</v>
      </c>
      <c r="M40" s="35" t="n">
        <v>0.05</v>
      </c>
      <c r="N40" s="35" t="n">
        <v>0.05</v>
      </c>
      <c r="O40" s="35" t="n">
        <v>0.05</v>
      </c>
      <c r="P40" s="35" t="n">
        <v>0.05</v>
      </c>
      <c r="Q40" s="35" t="n">
        <v>0.05</v>
      </c>
      <c r="R40" s="35" t="n">
        <v>0.05</v>
      </c>
      <c r="S40" s="35" t="n">
        <v>0.05</v>
      </c>
      <c r="T40" s="5" t="s">
        <v>1379</v>
      </c>
    </row>
    <row r="41" customFormat="false" ht="15" hidden="false" customHeight="false" outlineLevel="0" collapsed="false">
      <c r="B41" s="24" t="s">
        <v>1380</v>
      </c>
      <c r="C41" s="25" t="s">
        <v>905</v>
      </c>
      <c r="D41" s="28" t="s">
        <v>153</v>
      </c>
      <c r="G41" s="101" t="n">
        <v>13346.4750536387</v>
      </c>
      <c r="H41" s="101" t="n">
        <v>2606.93</v>
      </c>
      <c r="I41" s="101" t="n">
        <v>2685.1379</v>
      </c>
      <c r="J41" s="101" t="n">
        <v>2765.692037</v>
      </c>
      <c r="K41" s="101" t="n">
        <v>2848.66279811</v>
      </c>
      <c r="L41" s="101" t="n">
        <v>2934.1226820533</v>
      </c>
      <c r="M41" s="101" t="n">
        <v>3022.1463625149</v>
      </c>
      <c r="N41" s="101" t="n">
        <v>3112.81075339035</v>
      </c>
      <c r="O41" s="101" t="n">
        <v>3206.19507599206</v>
      </c>
      <c r="P41" s="101" t="n">
        <v>3302.38092827182</v>
      </c>
      <c r="Q41" s="101" t="n">
        <v>3302.38092827182</v>
      </c>
      <c r="R41" s="101" t="n">
        <v>3302.38092827182</v>
      </c>
      <c r="S41" s="101" t="n">
        <v>3302.38092827182</v>
      </c>
      <c r="T41" s="5" t="s">
        <v>1381</v>
      </c>
    </row>
    <row r="42" customFormat="false" ht="15" hidden="false" customHeight="false" outlineLevel="0" collapsed="false">
      <c r="B42" s="22" t="s">
        <v>1382</v>
      </c>
      <c r="C42" s="23"/>
      <c r="D42" s="23"/>
      <c r="E42" s="23"/>
      <c r="F42" s="23"/>
      <c r="G42" s="23"/>
      <c r="H42" s="23"/>
      <c r="I42" s="23"/>
      <c r="J42" s="23"/>
      <c r="K42" s="23"/>
      <c r="L42" s="23"/>
      <c r="M42" s="23"/>
      <c r="N42" s="23"/>
      <c r="O42" s="23"/>
      <c r="P42" s="23"/>
      <c r="Q42" s="23"/>
      <c r="R42" s="23"/>
      <c r="S42" s="23"/>
    </row>
    <row r="43" customFormat="false" ht="15" hidden="false" customHeight="false" outlineLevel="0" collapsed="false">
      <c r="B43" s="24" t="s">
        <v>1383</v>
      </c>
      <c r="C43" s="25" t="s">
        <v>900</v>
      </c>
      <c r="D43" s="28" t="s">
        <v>153</v>
      </c>
      <c r="E43" s="101" t="n">
        <v>276000</v>
      </c>
      <c r="T43" s="5" t="s">
        <v>1384</v>
      </c>
    </row>
    <row r="44" customFormat="false" ht="15" hidden="false" customHeight="false" outlineLevel="0" collapsed="false">
      <c r="B44" s="24" t="s">
        <v>1385</v>
      </c>
      <c r="C44" s="25" t="s">
        <v>160</v>
      </c>
      <c r="D44" s="28" t="s">
        <v>153</v>
      </c>
      <c r="G44" s="35" t="n">
        <v>0</v>
      </c>
      <c r="H44" s="35" t="n">
        <v>0.04</v>
      </c>
      <c r="I44" s="35" t="n">
        <v>0.04</v>
      </c>
      <c r="J44" s="35" t="n">
        <v>0.04</v>
      </c>
      <c r="K44" s="35" t="n">
        <v>0.04</v>
      </c>
      <c r="L44" s="35" t="n">
        <v>0.04</v>
      </c>
      <c r="M44" s="35" t="n">
        <v>0.04</v>
      </c>
      <c r="N44" s="35" t="n">
        <v>0.04</v>
      </c>
      <c r="O44" s="35" t="n">
        <v>0.04</v>
      </c>
      <c r="P44" s="35" t="n">
        <v>0.04</v>
      </c>
      <c r="Q44" s="35" t="n">
        <v>0.04</v>
      </c>
      <c r="R44" s="35" t="n">
        <v>0.04</v>
      </c>
      <c r="S44" s="35" t="n">
        <v>0.04</v>
      </c>
      <c r="T44" s="5" t="s">
        <v>1386</v>
      </c>
    </row>
    <row r="45" customFormat="false" ht="15" hidden="false" customHeight="false" outlineLevel="0" collapsed="false">
      <c r="B45" s="24" t="s">
        <v>1387</v>
      </c>
      <c r="C45" s="25" t="s">
        <v>905</v>
      </c>
      <c r="D45" s="28" t="s">
        <v>153</v>
      </c>
      <c r="G45" s="101" t="n">
        <v>32000</v>
      </c>
      <c r="H45" s="101" t="n">
        <v>32960</v>
      </c>
      <c r="I45" s="101" t="n">
        <v>33948.8</v>
      </c>
      <c r="J45" s="101" t="n">
        <v>34967.264</v>
      </c>
      <c r="K45" s="101" t="n">
        <v>36016.28192</v>
      </c>
      <c r="L45" s="101" t="n">
        <v>37096.7703776</v>
      </c>
      <c r="M45" s="101" t="n">
        <v>38209.673488928</v>
      </c>
      <c r="N45" s="101" t="n">
        <v>39355.9636935959</v>
      </c>
      <c r="O45" s="101" t="n">
        <v>40536.6426044037</v>
      </c>
      <c r="P45" s="101" t="n">
        <v>41752.7418825358</v>
      </c>
      <c r="Q45" s="101" t="n">
        <v>0</v>
      </c>
      <c r="R45" s="101" t="n">
        <v>0</v>
      </c>
      <c r="S45" s="101" t="n">
        <v>0</v>
      </c>
      <c r="T45" s="5" t="s">
        <v>1388</v>
      </c>
      <c r="U45" s="5" t="s">
        <v>1389</v>
      </c>
    </row>
    <row r="46" customFormat="false" ht="15" hidden="false" customHeight="false" outlineLevel="0" collapsed="false">
      <c r="B46" s="24" t="s">
        <v>1390</v>
      </c>
      <c r="C46" s="25" t="s">
        <v>900</v>
      </c>
      <c r="D46" s="28" t="s">
        <v>153</v>
      </c>
      <c r="E46" s="101" t="n">
        <v>80000</v>
      </c>
      <c r="T46" s="5" t="s">
        <v>1391</v>
      </c>
    </row>
    <row r="47" customFormat="false" ht="15" hidden="false" customHeight="false" outlineLevel="0" collapsed="false">
      <c r="B47" s="24" t="s">
        <v>1392</v>
      </c>
      <c r="C47" s="25" t="s">
        <v>160</v>
      </c>
      <c r="D47" s="28" t="s">
        <v>153</v>
      </c>
      <c r="G47" s="35" t="n">
        <v>0</v>
      </c>
      <c r="H47" s="35" t="n">
        <v>0.04</v>
      </c>
      <c r="I47" s="35" t="n">
        <v>0.04</v>
      </c>
      <c r="J47" s="35" t="n">
        <v>0.04</v>
      </c>
      <c r="K47" s="35" t="n">
        <v>0.04</v>
      </c>
      <c r="L47" s="35" t="n">
        <v>0.04</v>
      </c>
      <c r="M47" s="35" t="n">
        <v>0.04</v>
      </c>
      <c r="N47" s="35" t="n">
        <v>0.04</v>
      </c>
      <c r="O47" s="35" t="n">
        <v>0.04</v>
      </c>
      <c r="P47" s="35" t="n">
        <v>0.04</v>
      </c>
      <c r="Q47" s="35" t="n">
        <v>0.04</v>
      </c>
      <c r="R47" s="35" t="n">
        <v>0.04</v>
      </c>
      <c r="S47" s="35" t="n">
        <v>0.04</v>
      </c>
      <c r="T47" s="5" t="s">
        <v>1393</v>
      </c>
    </row>
    <row r="48" customFormat="false" ht="15" hidden="false" customHeight="false" outlineLevel="0" collapsed="false">
      <c r="B48" s="24" t="s">
        <v>1394</v>
      </c>
      <c r="C48" s="25" t="s">
        <v>905</v>
      </c>
      <c r="D48" s="28" t="s">
        <v>153</v>
      </c>
      <c r="G48" s="101" t="n">
        <v>84400</v>
      </c>
      <c r="H48" s="101" t="n">
        <v>86932</v>
      </c>
      <c r="I48" s="101" t="n">
        <v>89539.96</v>
      </c>
      <c r="J48" s="101" t="n">
        <v>92226.1588</v>
      </c>
      <c r="K48" s="101" t="n">
        <v>94992.943564</v>
      </c>
      <c r="L48" s="101" t="n">
        <v>97842.73187092</v>
      </c>
      <c r="M48" s="101" t="n">
        <v>100778.013827048</v>
      </c>
      <c r="N48" s="101" t="n">
        <v>103801.354241859</v>
      </c>
      <c r="O48" s="101" t="n">
        <v>106915.394869115</v>
      </c>
      <c r="P48" s="101" t="n">
        <v>110122.856715188</v>
      </c>
      <c r="Q48" s="101" t="n">
        <v>110122.856715188</v>
      </c>
      <c r="R48" s="101" t="n">
        <v>110122.856715188</v>
      </c>
      <c r="S48" s="101" t="n">
        <v>110122.856715188</v>
      </c>
      <c r="T48" s="5" t="s">
        <v>1395</v>
      </c>
    </row>
    <row r="49" customFormat="false" ht="15" hidden="false" customHeight="false" outlineLevel="0" collapsed="false">
      <c r="B49" s="22" t="s">
        <v>1396</v>
      </c>
      <c r="C49" s="23"/>
      <c r="D49" s="23"/>
      <c r="E49" s="23"/>
      <c r="F49" s="23"/>
      <c r="G49" s="23"/>
      <c r="H49" s="23"/>
      <c r="I49" s="23"/>
      <c r="J49" s="23"/>
      <c r="K49" s="23"/>
      <c r="L49" s="23"/>
      <c r="M49" s="23"/>
      <c r="N49" s="23"/>
      <c r="O49" s="23"/>
      <c r="P49" s="23"/>
      <c r="Q49" s="23"/>
      <c r="R49" s="23"/>
      <c r="S49" s="23"/>
    </row>
    <row r="50" customFormat="false" ht="15" hidden="false" customHeight="false" outlineLevel="0" collapsed="false">
      <c r="B50" s="24" t="s">
        <v>1397</v>
      </c>
      <c r="C50" s="25" t="s">
        <v>900</v>
      </c>
      <c r="D50" s="28" t="s">
        <v>153</v>
      </c>
      <c r="E50" s="101" t="n">
        <v>533360</v>
      </c>
      <c r="T50" s="5" t="s">
        <v>1398</v>
      </c>
    </row>
    <row r="51" customFormat="false" ht="15" hidden="false" customHeight="false" outlineLevel="0" collapsed="false">
      <c r="B51" s="24" t="s">
        <v>1399</v>
      </c>
      <c r="C51" s="25" t="s">
        <v>160</v>
      </c>
      <c r="D51" s="28" t="s">
        <v>153</v>
      </c>
      <c r="G51" s="35" t="n">
        <v>0</v>
      </c>
      <c r="H51" s="35" t="n">
        <v>0.05</v>
      </c>
      <c r="I51" s="35" t="n">
        <v>0.05</v>
      </c>
      <c r="J51" s="35" t="n">
        <v>0.05</v>
      </c>
      <c r="K51" s="35" t="n">
        <v>0.05</v>
      </c>
      <c r="L51" s="35" t="n">
        <v>0.05</v>
      </c>
      <c r="M51" s="35" t="n">
        <v>0.05</v>
      </c>
      <c r="N51" s="35" t="n">
        <v>0.05</v>
      </c>
      <c r="O51" s="35" t="n">
        <v>0.05</v>
      </c>
      <c r="P51" s="35" t="n">
        <v>0.05</v>
      </c>
      <c r="Q51" s="35" t="n">
        <v>0.05</v>
      </c>
      <c r="R51" s="35" t="n">
        <v>0.05</v>
      </c>
      <c r="S51" s="35" t="n">
        <v>0.05</v>
      </c>
      <c r="T51" s="5" t="s">
        <v>1400</v>
      </c>
    </row>
    <row r="52" customFormat="false" ht="15" hidden="false" customHeight="false" outlineLevel="0" collapsed="false">
      <c r="B52" s="24" t="s">
        <v>1401</v>
      </c>
      <c r="C52" s="25" t="s">
        <v>905</v>
      </c>
      <c r="D52" s="28" t="s">
        <v>153</v>
      </c>
      <c r="G52" s="101" t="n">
        <v>14625.4112024162</v>
      </c>
      <c r="H52" s="101" t="n">
        <v>15064.1735384887</v>
      </c>
      <c r="I52" s="101" t="n">
        <v>15516.0987446433</v>
      </c>
      <c r="J52" s="101" t="n">
        <v>15981.5817069826</v>
      </c>
      <c r="K52" s="101" t="n">
        <v>16461.0291581921</v>
      </c>
      <c r="L52" s="101" t="n">
        <v>16954.8600329379</v>
      </c>
      <c r="M52" s="101" t="n">
        <v>17463.505833926</v>
      </c>
      <c r="N52" s="101" t="n">
        <v>17987.4110089438</v>
      </c>
      <c r="O52" s="101" t="n">
        <v>18527.0333392121</v>
      </c>
      <c r="P52" s="101" t="n">
        <v>19082.8443393884</v>
      </c>
      <c r="Q52" s="101" t="n">
        <v>19082.8443393884</v>
      </c>
      <c r="R52" s="101" t="n">
        <v>19082.8443393884</v>
      </c>
      <c r="S52" s="101" t="n">
        <v>19082.8443393884</v>
      </c>
      <c r="T52" s="5" t="s">
        <v>1402</v>
      </c>
    </row>
    <row r="53" customFormat="false" ht="15" hidden="false" customHeight="false" outlineLevel="0" collapsed="false">
      <c r="B53" s="24" t="s">
        <v>1403</v>
      </c>
      <c r="C53" s="25" t="s">
        <v>900</v>
      </c>
      <c r="D53" s="28" t="s">
        <v>153</v>
      </c>
      <c r="E53" s="101" t="n">
        <v>214500</v>
      </c>
      <c r="T53" s="5" t="s">
        <v>1404</v>
      </c>
    </row>
    <row r="54" customFormat="false" ht="15" hidden="false" customHeight="false" outlineLevel="0" collapsed="false">
      <c r="B54" s="24" t="s">
        <v>1405</v>
      </c>
      <c r="C54" s="25" t="s">
        <v>160</v>
      </c>
      <c r="D54" s="28" t="s">
        <v>153</v>
      </c>
      <c r="G54" s="35" t="n">
        <v>0</v>
      </c>
      <c r="H54" s="35" t="n">
        <v>0.05</v>
      </c>
      <c r="I54" s="35" t="n">
        <v>0.05</v>
      </c>
      <c r="J54" s="35" t="n">
        <v>0.05</v>
      </c>
      <c r="K54" s="35" t="n">
        <v>0.05</v>
      </c>
      <c r="L54" s="35" t="n">
        <v>0.05</v>
      </c>
      <c r="M54" s="35" t="n">
        <v>0.05</v>
      </c>
      <c r="N54" s="35" t="n">
        <v>0.05</v>
      </c>
      <c r="O54" s="35" t="n">
        <v>0.05</v>
      </c>
      <c r="P54" s="35" t="n">
        <v>0.05</v>
      </c>
      <c r="Q54" s="35" t="n">
        <v>0.05</v>
      </c>
      <c r="R54" s="35" t="n">
        <v>0.05</v>
      </c>
      <c r="S54" s="35" t="n">
        <v>0.05</v>
      </c>
      <c r="T54" s="5" t="s">
        <v>1406</v>
      </c>
    </row>
    <row r="55" customFormat="false" ht="15" hidden="false" customHeight="false" outlineLevel="0" collapsed="false">
      <c r="B55" s="24" t="s">
        <v>1407</v>
      </c>
      <c r="C55" s="25" t="s">
        <v>905</v>
      </c>
      <c r="D55" s="28" t="s">
        <v>153</v>
      </c>
      <c r="G55" s="101" t="n">
        <v>6500</v>
      </c>
      <c r="H55" s="101" t="n">
        <v>6695</v>
      </c>
      <c r="I55" s="101" t="n">
        <v>6895.85</v>
      </c>
      <c r="J55" s="101" t="n">
        <v>7102.7255</v>
      </c>
      <c r="K55" s="101" t="n">
        <v>7315.807265</v>
      </c>
      <c r="L55" s="101" t="n">
        <v>7535.28148295</v>
      </c>
      <c r="M55" s="101" t="n">
        <v>7761.3399274385</v>
      </c>
      <c r="N55" s="101" t="n">
        <v>7994.18012526166</v>
      </c>
      <c r="O55" s="101" t="n">
        <v>8234.00552901951</v>
      </c>
      <c r="P55" s="101" t="n">
        <v>8481.02569489009</v>
      </c>
      <c r="Q55" s="101" t="n">
        <v>8481.02569489009</v>
      </c>
      <c r="R55" s="101" t="n">
        <v>8481.02569489009</v>
      </c>
      <c r="S55" s="101" t="n">
        <v>8481.02569489009</v>
      </c>
      <c r="T55" s="5" t="s">
        <v>1408</v>
      </c>
    </row>
    <row r="56" customFormat="false" ht="15" hidden="false" customHeight="false" outlineLevel="0" collapsed="false">
      <c r="B56" s="22" t="s">
        <v>1409</v>
      </c>
      <c r="C56" s="23"/>
      <c r="D56" s="23"/>
      <c r="E56" s="23"/>
      <c r="F56" s="23"/>
      <c r="G56" s="23"/>
      <c r="H56" s="23"/>
      <c r="I56" s="23"/>
      <c r="J56" s="23"/>
      <c r="K56" s="23"/>
      <c r="L56" s="23"/>
      <c r="M56" s="23"/>
      <c r="N56" s="23"/>
      <c r="O56" s="23"/>
      <c r="P56" s="23"/>
      <c r="Q56" s="23"/>
      <c r="R56" s="23"/>
      <c r="S56" s="23"/>
    </row>
    <row r="57" customFormat="false" ht="15" hidden="false" customHeight="false" outlineLevel="0" collapsed="false">
      <c r="B57" s="24" t="s">
        <v>1410</v>
      </c>
      <c r="C57" s="25" t="s">
        <v>135</v>
      </c>
      <c r="D57" s="28" t="s">
        <v>153</v>
      </c>
      <c r="E57" s="36" t="n">
        <v>2026</v>
      </c>
      <c r="T57" s="5" t="s">
        <v>1411</v>
      </c>
      <c r="U57" s="5" t="s">
        <v>1412</v>
      </c>
    </row>
    <row r="58" customFormat="false" ht="15" hidden="false" customHeight="false" outlineLevel="0" collapsed="false">
      <c r="B58" s="24" t="s">
        <v>1413</v>
      </c>
      <c r="C58" s="25" t="s">
        <v>135</v>
      </c>
      <c r="D58" s="28" t="s">
        <v>153</v>
      </c>
      <c r="E58" s="36" t="n">
        <v>2026</v>
      </c>
      <c r="T58" s="5" t="s">
        <v>1414</v>
      </c>
      <c r="U58" s="5" t="s">
        <v>1415</v>
      </c>
    </row>
    <row r="59" customFormat="false" ht="15" hidden="false" customHeight="false" outlineLevel="0" collapsed="false">
      <c r="B59" s="24" t="s">
        <v>1416</v>
      </c>
      <c r="C59" s="25" t="s">
        <v>900</v>
      </c>
      <c r="D59" s="28" t="s">
        <v>153</v>
      </c>
      <c r="E59" s="101" t="n">
        <v>100000</v>
      </c>
      <c r="T59" s="5" t="s">
        <v>1417</v>
      </c>
    </row>
    <row r="60" customFormat="false" ht="15" hidden="false" customHeight="false" outlineLevel="0" collapsed="false">
      <c r="B60" s="24" t="s">
        <v>1418</v>
      </c>
      <c r="C60" s="25" t="s">
        <v>160</v>
      </c>
      <c r="D60" s="28" t="s">
        <v>153</v>
      </c>
      <c r="G60" s="35" t="n">
        <v>0</v>
      </c>
      <c r="H60" s="35" t="n">
        <v>0.05</v>
      </c>
      <c r="I60" s="35" t="n">
        <v>0.05</v>
      </c>
      <c r="J60" s="35" t="n">
        <v>0.05</v>
      </c>
      <c r="K60" s="35" t="n">
        <v>0.05</v>
      </c>
      <c r="L60" s="35" t="n">
        <v>0.05</v>
      </c>
      <c r="M60" s="35" t="n">
        <v>0.05</v>
      </c>
      <c r="N60" s="35" t="n">
        <v>0.05</v>
      </c>
      <c r="O60" s="35" t="n">
        <v>0.05</v>
      </c>
      <c r="P60" s="35" t="n">
        <v>0.05</v>
      </c>
      <c r="Q60" s="35" t="n">
        <v>0.05</v>
      </c>
      <c r="R60" s="35" t="n">
        <v>0.05</v>
      </c>
      <c r="S60" s="35" t="n">
        <v>0.05</v>
      </c>
      <c r="T60" s="5" t="s">
        <v>1419</v>
      </c>
    </row>
    <row r="61" customFormat="false" ht="15" hidden="false" customHeight="false" outlineLevel="0" collapsed="false">
      <c r="B61" s="24" t="s">
        <v>1420</v>
      </c>
      <c r="C61" s="25" t="s">
        <v>905</v>
      </c>
      <c r="D61" s="28" t="s">
        <v>153</v>
      </c>
      <c r="G61" s="101" t="n">
        <v>0</v>
      </c>
      <c r="H61" s="101" t="n">
        <v>0</v>
      </c>
      <c r="I61" s="101" t="n">
        <v>16189.1782846961</v>
      </c>
      <c r="J61" s="101" t="n">
        <v>16674.853633237</v>
      </c>
      <c r="K61" s="101" t="n">
        <v>17175.0992422341</v>
      </c>
      <c r="L61" s="101" t="n">
        <v>17690.3522195011</v>
      </c>
      <c r="M61" s="101" t="n">
        <v>18221.0627860861</v>
      </c>
      <c r="N61" s="101" t="n">
        <v>18767.6946696687</v>
      </c>
      <c r="O61" s="101" t="n">
        <v>19330.7255097588</v>
      </c>
      <c r="P61" s="101" t="n">
        <v>19910.6472750516</v>
      </c>
      <c r="Q61" s="101" t="n">
        <v>19910.6472750516</v>
      </c>
      <c r="R61" s="101" t="n">
        <v>19910.6472750516</v>
      </c>
      <c r="S61" s="101" t="n">
        <v>19910.6472750516</v>
      </c>
      <c r="T61" s="5" t="s">
        <v>1421</v>
      </c>
      <c r="U61" s="5" t="s">
        <v>1422</v>
      </c>
    </row>
    <row r="62" customFormat="false" ht="15" hidden="false" customHeight="false" outlineLevel="0" collapsed="false">
      <c r="B62" s="24" t="s">
        <v>1423</v>
      </c>
      <c r="C62" s="25" t="s">
        <v>900</v>
      </c>
      <c r="D62" s="28" t="s">
        <v>153</v>
      </c>
      <c r="E62" s="101" t="n">
        <v>771624</v>
      </c>
      <c r="T62" s="5" t="s">
        <v>1424</v>
      </c>
    </row>
    <row r="63" customFormat="false" ht="15" hidden="false" customHeight="false" outlineLevel="0" collapsed="false">
      <c r="B63" s="24" t="s">
        <v>1425</v>
      </c>
      <c r="C63" s="25" t="s">
        <v>160</v>
      </c>
      <c r="D63" s="28" t="s">
        <v>153</v>
      </c>
      <c r="G63" s="35" t="n">
        <v>0</v>
      </c>
      <c r="H63" s="35" t="n">
        <v>0.05</v>
      </c>
      <c r="I63" s="35" t="n">
        <v>0.05</v>
      </c>
      <c r="J63" s="35" t="n">
        <v>0.05</v>
      </c>
      <c r="K63" s="35" t="n">
        <v>0.05</v>
      </c>
      <c r="L63" s="35" t="n">
        <v>0.05</v>
      </c>
      <c r="M63" s="35" t="n">
        <v>0.05</v>
      </c>
      <c r="N63" s="35" t="n">
        <v>0.05</v>
      </c>
      <c r="O63" s="35" t="n">
        <v>0.05</v>
      </c>
      <c r="P63" s="35" t="n">
        <v>0.05</v>
      </c>
      <c r="Q63" s="35" t="n">
        <v>0.05</v>
      </c>
      <c r="R63" s="35" t="n">
        <v>0.05</v>
      </c>
      <c r="S63" s="35" t="n">
        <v>0.05</v>
      </c>
      <c r="T63" s="5" t="s">
        <v>1426</v>
      </c>
    </row>
    <row r="64" customFormat="false" ht="15" hidden="false" customHeight="false" outlineLevel="0" collapsed="false">
      <c r="B64" s="24" t="s">
        <v>1427</v>
      </c>
      <c r="C64" s="25" t="s">
        <v>905</v>
      </c>
      <c r="D64" s="28" t="s">
        <v>153</v>
      </c>
      <c r="G64" s="101" t="n">
        <v>14300.2881517263</v>
      </c>
      <c r="H64" s="101" t="n">
        <v>14729.2967962781</v>
      </c>
      <c r="I64" s="101" t="n">
        <v>15171.1757001665</v>
      </c>
      <c r="J64" s="101" t="n">
        <v>15626.3109711715</v>
      </c>
      <c r="K64" s="101" t="n">
        <v>16095.1003003066</v>
      </c>
      <c r="L64" s="101" t="n">
        <v>16577.9533093158</v>
      </c>
      <c r="M64" s="101" t="n">
        <v>17075.2919085953</v>
      </c>
      <c r="N64" s="101" t="n">
        <v>17587.5506658531</v>
      </c>
      <c r="O64" s="101" t="n">
        <v>18115.1771858287</v>
      </c>
      <c r="P64" s="101" t="n">
        <v>18658.6325014036</v>
      </c>
      <c r="Q64" s="101" t="n">
        <v>18658.6325014036</v>
      </c>
      <c r="R64" s="101" t="n">
        <v>18658.6325014036</v>
      </c>
      <c r="S64" s="101" t="n">
        <v>18658.6325014036</v>
      </c>
      <c r="T64" s="5" t="s">
        <v>1428</v>
      </c>
    </row>
    <row r="65" customFormat="false" ht="15" hidden="false" customHeight="false" outlineLevel="0" collapsed="false">
      <c r="B65" s="24" t="s">
        <v>1429</v>
      </c>
      <c r="C65" s="25" t="s">
        <v>135</v>
      </c>
      <c r="D65" s="28" t="s">
        <v>153</v>
      </c>
      <c r="E65" s="36" t="n">
        <v>2026</v>
      </c>
      <c r="T65" s="5" t="s">
        <v>1430</v>
      </c>
      <c r="U65" s="5" t="s">
        <v>1415</v>
      </c>
    </row>
    <row r="66" customFormat="false" ht="15" hidden="false" customHeight="false" outlineLevel="0" collapsed="false">
      <c r="B66" s="24" t="s">
        <v>1431</v>
      </c>
      <c r="C66" s="25" t="s">
        <v>900</v>
      </c>
      <c r="D66" s="28" t="s">
        <v>153</v>
      </c>
      <c r="E66" s="101" t="n">
        <v>200000</v>
      </c>
      <c r="T66" s="5" t="s">
        <v>1432</v>
      </c>
    </row>
    <row r="67" customFormat="false" ht="15" hidden="false" customHeight="false" outlineLevel="0" collapsed="false">
      <c r="B67" s="24" t="s">
        <v>1433</v>
      </c>
      <c r="C67" s="25" t="s">
        <v>160</v>
      </c>
      <c r="D67" s="28" t="s">
        <v>153</v>
      </c>
      <c r="G67" s="35" t="n">
        <v>0</v>
      </c>
      <c r="H67" s="35" t="n">
        <v>0.05</v>
      </c>
      <c r="I67" s="35" t="n">
        <v>0.05</v>
      </c>
      <c r="J67" s="35" t="n">
        <v>0.05</v>
      </c>
      <c r="K67" s="35" t="n">
        <v>0.05</v>
      </c>
      <c r="L67" s="35" t="n">
        <v>0.05</v>
      </c>
      <c r="M67" s="35" t="n">
        <v>0.05</v>
      </c>
      <c r="N67" s="35" t="n">
        <v>0.05</v>
      </c>
      <c r="O67" s="35" t="n">
        <v>0.05</v>
      </c>
      <c r="P67" s="35" t="n">
        <v>0.05</v>
      </c>
      <c r="Q67" s="35" t="n">
        <v>0.05</v>
      </c>
      <c r="R67" s="35" t="n">
        <v>0.05</v>
      </c>
      <c r="S67" s="35" t="n">
        <v>0.05</v>
      </c>
      <c r="T67" s="5" t="s">
        <v>1434</v>
      </c>
    </row>
    <row r="68" customFormat="false" ht="15" hidden="false" customHeight="false" outlineLevel="0" collapsed="false">
      <c r="B68" s="24" t="s">
        <v>1435</v>
      </c>
      <c r="C68" s="25" t="s">
        <v>905</v>
      </c>
      <c r="D68" s="28" t="s">
        <v>153</v>
      </c>
      <c r="G68" s="101" t="n">
        <v>0</v>
      </c>
      <c r="H68" s="101" t="n">
        <v>0</v>
      </c>
      <c r="I68" s="101" t="n">
        <v>16189.1782846961</v>
      </c>
      <c r="J68" s="101" t="n">
        <v>16674.853633237</v>
      </c>
      <c r="K68" s="101" t="n">
        <v>17175.0992422341</v>
      </c>
      <c r="L68" s="101" t="n">
        <v>17690.3522195011</v>
      </c>
      <c r="M68" s="101" t="n">
        <v>18221.0627860861</v>
      </c>
      <c r="N68" s="101" t="n">
        <v>18767.6946696687</v>
      </c>
      <c r="O68" s="101" t="n">
        <v>19330.7255097588</v>
      </c>
      <c r="P68" s="101" t="n">
        <v>19910.6472750516</v>
      </c>
      <c r="Q68" s="101" t="n">
        <v>19910.6472750516</v>
      </c>
      <c r="R68" s="101" t="n">
        <v>19910.6472750516</v>
      </c>
      <c r="S68" s="101" t="n">
        <v>19910.6472750516</v>
      </c>
      <c r="T68" s="5" t="s">
        <v>1436</v>
      </c>
      <c r="U68" s="5" t="s">
        <v>1422</v>
      </c>
    </row>
    <row r="69" customFormat="false" ht="15" hidden="false" customHeight="false" outlineLevel="0" collapsed="false">
      <c r="B69" s="24" t="s">
        <v>1437</v>
      </c>
      <c r="C69" s="25" t="s">
        <v>900</v>
      </c>
      <c r="D69" s="28" t="s">
        <v>153</v>
      </c>
      <c r="E69" s="101" t="n">
        <v>490000</v>
      </c>
      <c r="T69" s="5" t="s">
        <v>1438</v>
      </c>
    </row>
    <row r="70" customFormat="false" ht="15" hidden="false" customHeight="false" outlineLevel="0" collapsed="false">
      <c r="B70" s="24" t="s">
        <v>1439</v>
      </c>
      <c r="C70" s="25" t="s">
        <v>160</v>
      </c>
      <c r="D70" s="28" t="s">
        <v>153</v>
      </c>
      <c r="G70" s="35" t="n">
        <v>0</v>
      </c>
      <c r="H70" s="35" t="n">
        <v>0.05</v>
      </c>
      <c r="I70" s="35" t="n">
        <v>0.05</v>
      </c>
      <c r="J70" s="35" t="n">
        <v>0.05</v>
      </c>
      <c r="K70" s="35" t="n">
        <v>0.05</v>
      </c>
      <c r="L70" s="35" t="n">
        <v>0.05</v>
      </c>
      <c r="M70" s="35" t="n">
        <v>0.05</v>
      </c>
      <c r="N70" s="35" t="n">
        <v>0.05</v>
      </c>
      <c r="O70" s="35" t="n">
        <v>0.05</v>
      </c>
      <c r="P70" s="35" t="n">
        <v>0.05</v>
      </c>
      <c r="Q70" s="35" t="n">
        <v>0.05</v>
      </c>
      <c r="R70" s="35" t="n">
        <v>0.05</v>
      </c>
      <c r="S70" s="35" t="n">
        <v>0.05</v>
      </c>
      <c r="T70" s="5" t="s">
        <v>1440</v>
      </c>
    </row>
    <row r="71" customFormat="false" ht="15" hidden="false" customHeight="false" outlineLevel="0" collapsed="false">
      <c r="B71" s="24" t="s">
        <v>1441</v>
      </c>
      <c r="C71" s="25" t="s">
        <v>905</v>
      </c>
      <c r="D71" s="28" t="s">
        <v>153</v>
      </c>
      <c r="G71" s="101" t="n">
        <v>15259.8532233916</v>
      </c>
      <c r="H71" s="101" t="n">
        <v>15717.6488200933</v>
      </c>
      <c r="I71" s="101" t="n">
        <v>16189.1782846961</v>
      </c>
      <c r="J71" s="101" t="n">
        <v>16674.853633237</v>
      </c>
      <c r="K71" s="101" t="n">
        <v>17175.0992422341</v>
      </c>
      <c r="L71" s="101" t="n">
        <v>17690.3522195011</v>
      </c>
      <c r="M71" s="101" t="n">
        <v>18221.0627860861</v>
      </c>
      <c r="N71" s="101" t="n">
        <v>18767.6946696687</v>
      </c>
      <c r="O71" s="101" t="n">
        <v>19330.7255097588</v>
      </c>
      <c r="P71" s="101" t="n">
        <v>19910.6472750516</v>
      </c>
      <c r="Q71" s="101" t="n">
        <v>19910.6472750516</v>
      </c>
      <c r="R71" s="101" t="n">
        <v>19910.6472750516</v>
      </c>
      <c r="S71" s="101" t="n">
        <v>19910.6472750516</v>
      </c>
      <c r="T71" s="5" t="s">
        <v>1442</v>
      </c>
    </row>
    <row r="72" customFormat="false" ht="15" hidden="false" customHeight="false" outlineLevel="0" collapsed="false">
      <c r="B72" s="22" t="s">
        <v>1443</v>
      </c>
      <c r="C72" s="23"/>
      <c r="D72" s="23"/>
      <c r="E72" s="23"/>
      <c r="F72" s="23"/>
      <c r="G72" s="23"/>
      <c r="H72" s="23"/>
      <c r="I72" s="23"/>
      <c r="J72" s="23"/>
      <c r="K72" s="23"/>
      <c r="L72" s="23"/>
      <c r="M72" s="23"/>
      <c r="N72" s="23"/>
      <c r="O72" s="23"/>
      <c r="P72" s="23"/>
      <c r="Q72" s="23"/>
      <c r="R72" s="23"/>
      <c r="S72" s="23"/>
    </row>
    <row r="73" customFormat="false" ht="15" hidden="false" customHeight="false" outlineLevel="0" collapsed="false">
      <c r="B73" s="24" t="s">
        <v>1444</v>
      </c>
      <c r="C73" s="25" t="s">
        <v>160</v>
      </c>
      <c r="D73" s="28" t="s">
        <v>153</v>
      </c>
      <c r="G73" s="103" t="n">
        <v>0.851375743347412</v>
      </c>
      <c r="H73" s="103" t="n">
        <v>0</v>
      </c>
      <c r="I73" s="103" t="n">
        <v>0</v>
      </c>
      <c r="J73" s="103" t="n">
        <v>0</v>
      </c>
      <c r="K73" s="103" t="n">
        <v>0</v>
      </c>
      <c r="L73" s="103" t="n">
        <v>0</v>
      </c>
      <c r="M73" s="103" t="n">
        <v>0</v>
      </c>
      <c r="N73" s="103" t="n">
        <v>0</v>
      </c>
      <c r="O73" s="103" t="n">
        <v>0</v>
      </c>
      <c r="P73" s="103" t="n">
        <v>0</v>
      </c>
      <c r="Q73" s="103" t="n">
        <v>0</v>
      </c>
      <c r="R73" s="103" t="n">
        <v>0</v>
      </c>
      <c r="S73" s="103" t="n">
        <v>0</v>
      </c>
      <c r="T73" s="5" t="s">
        <v>1445</v>
      </c>
      <c r="U73" s="5" t="s">
        <v>1446</v>
      </c>
    </row>
    <row r="74" customFormat="false" ht="15" hidden="false" customHeight="false" outlineLevel="0" collapsed="false">
      <c r="B74" s="24" t="s">
        <v>1447</v>
      </c>
      <c r="C74" s="25" t="s">
        <v>160</v>
      </c>
      <c r="D74" s="28" t="s">
        <v>153</v>
      </c>
      <c r="G74" s="103" t="n">
        <v>0</v>
      </c>
      <c r="H74" s="103" t="n">
        <v>0.3512</v>
      </c>
      <c r="I74" s="103" t="n">
        <v>0.3512</v>
      </c>
      <c r="J74" s="103" t="n">
        <v>0.3512</v>
      </c>
      <c r="K74" s="103" t="n">
        <v>0.3512</v>
      </c>
      <c r="L74" s="103" t="n">
        <v>0.3512</v>
      </c>
      <c r="M74" s="103" t="n">
        <v>0.3512</v>
      </c>
      <c r="N74" s="103" t="n">
        <v>0.3512</v>
      </c>
      <c r="O74" s="103" t="n">
        <v>0.3512</v>
      </c>
      <c r="P74" s="103" t="n">
        <v>0.3512</v>
      </c>
      <c r="Q74" s="103" t="n">
        <v>0.3512</v>
      </c>
      <c r="R74" s="103" t="n">
        <v>0.3512</v>
      </c>
      <c r="S74" s="103" t="n">
        <v>0.3512</v>
      </c>
      <c r="T74" s="5" t="s">
        <v>1448</v>
      </c>
    </row>
    <row r="75" customFormat="false" ht="15" hidden="false" customHeight="false" outlineLevel="0" collapsed="false">
      <c r="B75" s="24" t="s">
        <v>1449</v>
      </c>
      <c r="C75" s="25" t="s">
        <v>160</v>
      </c>
      <c r="D75" s="28" t="s">
        <v>153</v>
      </c>
      <c r="G75" s="103" t="n">
        <v>0</v>
      </c>
      <c r="H75" s="103" t="n">
        <v>0.452</v>
      </c>
      <c r="I75" s="103" t="n">
        <v>0.452</v>
      </c>
      <c r="J75" s="103" t="n">
        <v>0.452</v>
      </c>
      <c r="K75" s="103" t="n">
        <v>0.452</v>
      </c>
      <c r="L75" s="103" t="n">
        <v>0.452</v>
      </c>
      <c r="M75" s="103" t="n">
        <v>0.452</v>
      </c>
      <c r="N75" s="103" t="n">
        <v>0.452</v>
      </c>
      <c r="O75" s="103" t="n">
        <v>0.452</v>
      </c>
      <c r="P75" s="103" t="n">
        <v>0.452</v>
      </c>
      <c r="Q75" s="103" t="n">
        <v>0.452</v>
      </c>
      <c r="R75" s="103" t="n">
        <v>0.452</v>
      </c>
      <c r="S75" s="103" t="n">
        <v>0.452</v>
      </c>
      <c r="T75" s="5" t="s">
        <v>1450</v>
      </c>
    </row>
    <row r="76" customFormat="false" ht="15" hidden="false" customHeight="false" outlineLevel="0" collapsed="false">
      <c r="B76" s="24" t="s">
        <v>1451</v>
      </c>
      <c r="C76" s="25" t="s">
        <v>160</v>
      </c>
      <c r="D76" s="28" t="s">
        <v>153</v>
      </c>
      <c r="G76" s="103" t="n">
        <v>0</v>
      </c>
      <c r="H76" s="103" t="n">
        <v>0.3528</v>
      </c>
      <c r="I76" s="103" t="n">
        <v>0.3528</v>
      </c>
      <c r="J76" s="103" t="n">
        <v>0.3528</v>
      </c>
      <c r="K76" s="103" t="n">
        <v>0.3528</v>
      </c>
      <c r="L76" s="103" t="n">
        <v>0.3528</v>
      </c>
      <c r="M76" s="103" t="n">
        <v>0.3528</v>
      </c>
      <c r="N76" s="103" t="n">
        <v>0.3528</v>
      </c>
      <c r="O76" s="103" t="n">
        <v>0.3528</v>
      </c>
      <c r="P76" s="103" t="n">
        <v>0.3528</v>
      </c>
      <c r="Q76" s="103" t="n">
        <v>0.3528</v>
      </c>
      <c r="R76" s="103" t="n">
        <v>0.3528</v>
      </c>
      <c r="S76" s="103" t="n">
        <v>0.3528</v>
      </c>
      <c r="T76" s="5" t="s">
        <v>1452</v>
      </c>
    </row>
    <row r="77" customFormat="false" ht="15" hidden="false" customHeight="false" outlineLevel="0" collapsed="false">
      <c r="B77" s="24" t="s">
        <v>1453</v>
      </c>
      <c r="C77" s="25" t="s">
        <v>160</v>
      </c>
      <c r="D77" s="28" t="s">
        <v>153</v>
      </c>
      <c r="G77" s="103" t="n">
        <v>0</v>
      </c>
      <c r="H77" s="103" t="n">
        <v>0.871903669724771</v>
      </c>
      <c r="I77" s="103" t="n">
        <v>0.3528</v>
      </c>
      <c r="J77" s="103" t="n">
        <v>0.3528</v>
      </c>
      <c r="K77" s="103" t="n">
        <v>0.3528</v>
      </c>
      <c r="L77" s="103" t="n">
        <v>0.3528</v>
      </c>
      <c r="M77" s="103" t="n">
        <v>0.3528</v>
      </c>
      <c r="N77" s="103" t="n">
        <v>0.3528</v>
      </c>
      <c r="O77" s="103" t="n">
        <v>0.3528</v>
      </c>
      <c r="P77" s="103" t="n">
        <v>0.3528</v>
      </c>
      <c r="Q77" s="103" t="n">
        <v>0.3528</v>
      </c>
      <c r="R77" s="103" t="n">
        <v>0.3528</v>
      </c>
      <c r="S77" s="103" t="n">
        <v>0.3528</v>
      </c>
      <c r="T77" s="5" t="s">
        <v>1454</v>
      </c>
    </row>
    <row r="78" customFormat="false" ht="15" hidden="false" customHeight="false" outlineLevel="0" collapsed="false">
      <c r="B78" s="24" t="s">
        <v>1455</v>
      </c>
      <c r="C78" s="25" t="s">
        <v>160</v>
      </c>
      <c r="D78" s="28" t="s">
        <v>153</v>
      </c>
      <c r="G78" s="103" t="n">
        <v>0</v>
      </c>
      <c r="H78" s="103" t="n">
        <v>0.346898459107072</v>
      </c>
      <c r="I78" s="103" t="n">
        <v>0.346898459107072</v>
      </c>
      <c r="J78" s="103" t="n">
        <v>0.346898459107072</v>
      </c>
      <c r="K78" s="103" t="n">
        <v>0.346898459107072</v>
      </c>
      <c r="L78" s="103" t="n">
        <v>0.346898459107072</v>
      </c>
      <c r="M78" s="103" t="n">
        <v>0.346898459107072</v>
      </c>
      <c r="N78" s="103" t="n">
        <v>0.346898459107072</v>
      </c>
      <c r="O78" s="103" t="n">
        <v>0.346898459107072</v>
      </c>
      <c r="P78" s="103" t="n">
        <v>0.346898459107072</v>
      </c>
      <c r="Q78" s="103" t="n">
        <v>0.346898459107072</v>
      </c>
      <c r="R78" s="103" t="n">
        <v>0.346898459107072</v>
      </c>
      <c r="S78" s="103" t="n">
        <v>0.346898459107072</v>
      </c>
      <c r="T78" s="5" t="s">
        <v>1456</v>
      </c>
    </row>
    <row r="79" customFormat="false" ht="15" hidden="false" customHeight="false" outlineLevel="0" collapsed="false">
      <c r="B79" s="24" t="s">
        <v>1457</v>
      </c>
      <c r="C79" s="25" t="s">
        <v>170</v>
      </c>
      <c r="D79" s="28" t="s">
        <v>153</v>
      </c>
      <c r="E79" s="45" t="n">
        <v>2.554436939</v>
      </c>
      <c r="T79" s="5" t="s">
        <v>1458</v>
      </c>
    </row>
    <row r="80" customFormat="false" ht="15" hidden="false" customHeight="false" outlineLevel="0" collapsed="false">
      <c r="B80" s="24" t="s">
        <v>1459</v>
      </c>
      <c r="C80" s="25" t="s">
        <v>160</v>
      </c>
      <c r="D80" s="28" t="s">
        <v>153</v>
      </c>
      <c r="G80" s="35" t="n">
        <v>0.035</v>
      </c>
      <c r="H80" s="35" t="n">
        <v>0.035</v>
      </c>
      <c r="I80" s="35" t="n">
        <v>0.035</v>
      </c>
      <c r="J80" s="35" t="n">
        <v>0.035</v>
      </c>
      <c r="K80" s="35" t="n">
        <v>0.035</v>
      </c>
      <c r="L80" s="35" t="n">
        <v>0.035</v>
      </c>
      <c r="M80" s="35" t="n">
        <v>0.035</v>
      </c>
      <c r="N80" s="35" t="n">
        <v>0.035</v>
      </c>
      <c r="O80" s="35" t="n">
        <v>0.035</v>
      </c>
      <c r="P80" s="35" t="n">
        <v>0.035</v>
      </c>
      <c r="Q80" s="35" t="n">
        <v>0.035</v>
      </c>
      <c r="R80" s="35" t="n">
        <v>0.035</v>
      </c>
      <c r="S80" s="35" t="n">
        <v>0.035</v>
      </c>
      <c r="T80" s="5" t="s">
        <v>1460</v>
      </c>
    </row>
    <row r="81" customFormat="false" ht="15" hidden="false" customHeight="false" outlineLevel="0" collapsed="false">
      <c r="B81" s="24" t="s">
        <v>1461</v>
      </c>
      <c r="C81" s="25" t="s">
        <v>170</v>
      </c>
      <c r="D81" s="28" t="s">
        <v>153</v>
      </c>
      <c r="E81" s="45" t="n">
        <v>0.0085200651</v>
      </c>
      <c r="T81" s="5" t="s">
        <v>1462</v>
      </c>
    </row>
    <row r="82" customFormat="false" ht="15" hidden="false" customHeight="false" outlineLevel="0" collapsed="false">
      <c r="B82" s="24" t="s">
        <v>1463</v>
      </c>
      <c r="C82" s="25" t="s">
        <v>160</v>
      </c>
      <c r="D82" s="28" t="s">
        <v>153</v>
      </c>
      <c r="G82" s="35" t="n">
        <v>0.01</v>
      </c>
      <c r="H82" s="35" t="n">
        <v>0.01</v>
      </c>
      <c r="I82" s="35" t="n">
        <v>0.01</v>
      </c>
      <c r="J82" s="35" t="n">
        <v>0.01</v>
      </c>
      <c r="K82" s="35" t="n">
        <v>0.01</v>
      </c>
      <c r="L82" s="35" t="n">
        <v>0.01</v>
      </c>
      <c r="M82" s="35" t="n">
        <v>0.01</v>
      </c>
      <c r="N82" s="35" t="n">
        <v>0.01</v>
      </c>
      <c r="O82" s="35" t="n">
        <v>0.01</v>
      </c>
      <c r="P82" s="35" t="n">
        <v>0.01</v>
      </c>
      <c r="Q82" s="35" t="n">
        <v>0.01</v>
      </c>
      <c r="R82" s="35" t="n">
        <v>0.01</v>
      </c>
      <c r="S82" s="35" t="n">
        <v>0.01</v>
      </c>
      <c r="T82" s="5" t="s">
        <v>1464</v>
      </c>
    </row>
    <row r="83" customFormat="false" ht="15" hidden="false" customHeight="false" outlineLevel="0" collapsed="false">
      <c r="B83" s="24" t="s">
        <v>1465</v>
      </c>
      <c r="C83" s="25" t="s">
        <v>160</v>
      </c>
      <c r="D83" s="28" t="s">
        <v>153</v>
      </c>
      <c r="E83" s="103" t="n">
        <v>0.000149746834669823</v>
      </c>
      <c r="T83" s="5" t="s">
        <v>1466</v>
      </c>
      <c r="U83" s="5" t="s">
        <v>1467</v>
      </c>
    </row>
    <row r="84" customFormat="false" ht="15" hidden="false" customHeight="false" outlineLevel="0" collapsed="false">
      <c r="B84" s="22" t="s">
        <v>1468</v>
      </c>
      <c r="C84" s="23"/>
      <c r="D84" s="23"/>
      <c r="E84" s="23"/>
      <c r="F84" s="23"/>
      <c r="G84" s="23"/>
      <c r="H84" s="23"/>
      <c r="I84" s="23"/>
      <c r="J84" s="23"/>
      <c r="K84" s="23"/>
      <c r="L84" s="23"/>
      <c r="M84" s="23"/>
      <c r="N84" s="23"/>
      <c r="O84" s="23"/>
      <c r="P84" s="23"/>
      <c r="Q84" s="23"/>
      <c r="R84" s="23"/>
      <c r="S84" s="23"/>
    </row>
    <row r="85" customFormat="false" ht="15" hidden="false" customHeight="false" outlineLevel="0" collapsed="false">
      <c r="B85" s="24" t="s">
        <v>1469</v>
      </c>
      <c r="C85" s="25" t="s">
        <v>160</v>
      </c>
      <c r="D85" s="28" t="s">
        <v>153</v>
      </c>
      <c r="E85" s="103" t="n">
        <v>0.839036284053245</v>
      </c>
      <c r="T85" s="5" t="s">
        <v>1470</v>
      </c>
    </row>
    <row r="86" customFormat="false" ht="15" hidden="false" customHeight="false" outlineLevel="0" collapsed="false">
      <c r="B86" s="24" t="s">
        <v>1471</v>
      </c>
      <c r="C86" s="25" t="s">
        <v>170</v>
      </c>
      <c r="D86" s="28" t="s">
        <v>153</v>
      </c>
      <c r="E86" s="45" t="n">
        <v>0.80716489633</v>
      </c>
      <c r="T86" s="5" t="s">
        <v>1472</v>
      </c>
    </row>
    <row r="87" customFormat="false" ht="15" hidden="false" customHeight="false" outlineLevel="0" collapsed="false">
      <c r="B87" s="24" t="s">
        <v>1473</v>
      </c>
      <c r="C87" s="25" t="s">
        <v>160</v>
      </c>
      <c r="D87" s="28" t="s">
        <v>153</v>
      </c>
      <c r="G87" s="35" t="n">
        <v>0.035</v>
      </c>
      <c r="H87" s="35" t="n">
        <v>0.035</v>
      </c>
      <c r="I87" s="35" t="n">
        <v>0.035</v>
      </c>
      <c r="J87" s="35" t="n">
        <v>0.035</v>
      </c>
      <c r="K87" s="35" t="n">
        <v>0.035</v>
      </c>
      <c r="L87" s="35" t="n">
        <v>0.035</v>
      </c>
      <c r="M87" s="35" t="n">
        <v>0.035</v>
      </c>
      <c r="N87" s="35" t="n">
        <v>0.035</v>
      </c>
      <c r="O87" s="35" t="n">
        <v>0.035</v>
      </c>
      <c r="P87" s="35" t="n">
        <v>0.035</v>
      </c>
      <c r="Q87" s="35" t="n">
        <v>0.035</v>
      </c>
      <c r="R87" s="35" t="n">
        <v>0.035</v>
      </c>
      <c r="S87" s="35" t="n">
        <v>0.035</v>
      </c>
      <c r="T87" s="5" t="s">
        <v>1474</v>
      </c>
    </row>
    <row r="88" customFormat="false" ht="15" hidden="false" customHeight="false" outlineLevel="0" collapsed="false">
      <c r="B88" s="24" t="s">
        <v>1475</v>
      </c>
      <c r="C88" s="25" t="s">
        <v>160</v>
      </c>
      <c r="D88" s="28" t="s">
        <v>153</v>
      </c>
      <c r="E88" s="103" t="n">
        <v>0.00110651926007953</v>
      </c>
      <c r="T88" s="5" t="s">
        <v>1476</v>
      </c>
    </row>
    <row r="89" customFormat="false" ht="15" hidden="false" customHeight="false" outlineLevel="0" collapsed="false">
      <c r="B89" s="24" t="s">
        <v>1477</v>
      </c>
      <c r="C89" s="25" t="s">
        <v>170</v>
      </c>
      <c r="D89" s="28" t="s">
        <v>153</v>
      </c>
      <c r="E89" s="45" t="n">
        <v>0.004470121</v>
      </c>
      <c r="T89" s="5" t="s">
        <v>1478</v>
      </c>
      <c r="U89" s="5" t="s">
        <v>1479</v>
      </c>
    </row>
    <row r="90" customFormat="false" ht="15" hidden="false" customHeight="false" outlineLevel="0" collapsed="false">
      <c r="B90" s="22" t="s">
        <v>1480</v>
      </c>
      <c r="C90" s="23"/>
      <c r="D90" s="23"/>
      <c r="E90" s="23"/>
      <c r="F90" s="23"/>
      <c r="G90" s="23"/>
      <c r="H90" s="23"/>
      <c r="I90" s="23"/>
      <c r="J90" s="23"/>
      <c r="K90" s="23"/>
      <c r="L90" s="23"/>
      <c r="M90" s="23"/>
      <c r="N90" s="23"/>
      <c r="O90" s="23"/>
      <c r="P90" s="23"/>
      <c r="Q90" s="23"/>
      <c r="R90" s="23"/>
      <c r="S90" s="23"/>
    </row>
    <row r="91" customFormat="false" ht="15" hidden="false" customHeight="false" outlineLevel="0" collapsed="false">
      <c r="B91" s="24" t="s">
        <v>1481</v>
      </c>
      <c r="C91" s="25" t="s">
        <v>160</v>
      </c>
      <c r="D91" s="28" t="s">
        <v>153</v>
      </c>
      <c r="E91" s="103" t="n">
        <v>0.748766233249014</v>
      </c>
      <c r="T91" s="5" t="s">
        <v>1482</v>
      </c>
    </row>
    <row r="92" customFormat="false" ht="15" hidden="false" customHeight="false" outlineLevel="0" collapsed="false">
      <c r="B92" s="24" t="s">
        <v>1483</v>
      </c>
      <c r="C92" s="25" t="s">
        <v>170</v>
      </c>
      <c r="D92" s="28" t="s">
        <v>153</v>
      </c>
      <c r="E92" s="45" t="n">
        <v>0.33450115961</v>
      </c>
      <c r="T92" s="5" t="s">
        <v>1484</v>
      </c>
    </row>
    <row r="93" customFormat="false" ht="15" hidden="false" customHeight="false" outlineLevel="0" collapsed="false">
      <c r="B93" s="24" t="s">
        <v>1485</v>
      </c>
      <c r="C93" s="25" t="s">
        <v>160</v>
      </c>
      <c r="D93" s="28" t="s">
        <v>153</v>
      </c>
      <c r="G93" s="35" t="n">
        <v>0.035</v>
      </c>
      <c r="H93" s="35" t="n">
        <v>0.035</v>
      </c>
      <c r="I93" s="35" t="n">
        <v>0.035</v>
      </c>
      <c r="J93" s="35" t="n">
        <v>0.035</v>
      </c>
      <c r="K93" s="35" t="n">
        <v>0.035</v>
      </c>
      <c r="L93" s="35" t="n">
        <v>0.035</v>
      </c>
      <c r="M93" s="35" t="n">
        <v>0.035</v>
      </c>
      <c r="N93" s="35" t="n">
        <v>0.035</v>
      </c>
      <c r="O93" s="35" t="n">
        <v>0.035</v>
      </c>
      <c r="P93" s="35" t="n">
        <v>0.035</v>
      </c>
      <c r="Q93" s="35" t="n">
        <v>0.035</v>
      </c>
      <c r="R93" s="35" t="n">
        <v>0.035</v>
      </c>
      <c r="S93" s="35" t="n">
        <v>0.035</v>
      </c>
      <c r="T93" s="5" t="s">
        <v>1486</v>
      </c>
    </row>
    <row r="94" customFormat="false" ht="15" hidden="false" customHeight="false" outlineLevel="0" collapsed="false">
      <c r="B94" s="24" t="s">
        <v>1487</v>
      </c>
      <c r="C94" s="25" t="s">
        <v>160</v>
      </c>
      <c r="D94" s="28" t="s">
        <v>153</v>
      </c>
      <c r="G94" s="103" t="n">
        <v>5.2761990118854E-006</v>
      </c>
      <c r="H94" s="103" t="n">
        <v>5.2761990118854E-006</v>
      </c>
      <c r="I94" s="103" t="n">
        <v>5.2761990118854E-006</v>
      </c>
      <c r="J94" s="103" t="n">
        <v>5.2761990118854E-006</v>
      </c>
      <c r="K94" s="103" t="n">
        <v>5.2761990118854E-006</v>
      </c>
      <c r="L94" s="103" t="n">
        <v>5.2761990118854E-006</v>
      </c>
      <c r="M94" s="103" t="n">
        <v>5.2761990118854E-006</v>
      </c>
      <c r="N94" s="103" t="n">
        <v>5.2761990118854E-006</v>
      </c>
      <c r="O94" s="103" t="n">
        <v>5.2761990118854E-006</v>
      </c>
      <c r="P94" s="103" t="n">
        <v>5.2761990118854E-006</v>
      </c>
      <c r="Q94" s="103" t="n">
        <v>5.2761990118854E-006</v>
      </c>
      <c r="R94" s="103" t="n">
        <v>5.2761990118854E-006</v>
      </c>
      <c r="S94" s="103" t="n">
        <v>5.2761990118854E-006</v>
      </c>
      <c r="T94" s="5" t="s">
        <v>1488</v>
      </c>
    </row>
    <row r="95" customFormat="false" ht="15" hidden="false" customHeight="false" outlineLevel="0" collapsed="false">
      <c r="B95" s="24" t="s">
        <v>1489</v>
      </c>
      <c r="C95" s="25" t="s">
        <v>170</v>
      </c>
      <c r="D95" s="28" t="s">
        <v>153</v>
      </c>
      <c r="E95" s="45" t="n">
        <v>0.002652611</v>
      </c>
      <c r="T95" s="5" t="s">
        <v>1490</v>
      </c>
      <c r="U95" s="5" t="s">
        <v>1491</v>
      </c>
    </row>
    <row r="96" customFormat="false" ht="15" hidden="false" customHeight="false" outlineLevel="0" collapsed="false">
      <c r="B96" s="22" t="s">
        <v>1492</v>
      </c>
      <c r="C96" s="23"/>
      <c r="D96" s="23"/>
      <c r="E96" s="23"/>
      <c r="F96" s="23"/>
      <c r="G96" s="23"/>
      <c r="H96" s="23"/>
      <c r="I96" s="23"/>
      <c r="J96" s="23"/>
      <c r="K96" s="23"/>
      <c r="L96" s="23"/>
      <c r="M96" s="23"/>
      <c r="N96" s="23"/>
      <c r="O96" s="23"/>
      <c r="P96" s="23"/>
      <c r="Q96" s="23"/>
      <c r="R96" s="23"/>
      <c r="S96" s="23"/>
    </row>
    <row r="97" customFormat="false" ht="15" hidden="false" customHeight="false" outlineLevel="0" collapsed="false">
      <c r="B97" s="24" t="s">
        <v>1493</v>
      </c>
      <c r="C97" s="25" t="s">
        <v>160</v>
      </c>
      <c r="D97" s="28" t="s">
        <v>153</v>
      </c>
      <c r="E97" s="103" t="n">
        <v>0.488804423700255</v>
      </c>
      <c r="T97" s="5" t="s">
        <v>1494</v>
      </c>
    </row>
    <row r="98" customFormat="false" ht="15" hidden="false" customHeight="false" outlineLevel="0" collapsed="false">
      <c r="B98" s="24" t="s">
        <v>1495</v>
      </c>
      <c r="C98" s="25" t="s">
        <v>170</v>
      </c>
      <c r="D98" s="28" t="s">
        <v>153</v>
      </c>
      <c r="E98" s="45" t="n">
        <v>0.256643347</v>
      </c>
      <c r="T98" s="5" t="s">
        <v>1496</v>
      </c>
    </row>
    <row r="99" customFormat="false" ht="15" hidden="false" customHeight="false" outlineLevel="0" collapsed="false">
      <c r="B99" s="24" t="s">
        <v>1497</v>
      </c>
      <c r="C99" s="25" t="s">
        <v>160</v>
      </c>
      <c r="D99" s="28" t="s">
        <v>153</v>
      </c>
      <c r="G99" s="35" t="n">
        <v>0.035</v>
      </c>
      <c r="H99" s="35" t="n">
        <v>0.035</v>
      </c>
      <c r="I99" s="35" t="n">
        <v>0.035</v>
      </c>
      <c r="J99" s="35" t="n">
        <v>0.035</v>
      </c>
      <c r="K99" s="35" t="n">
        <v>0.035</v>
      </c>
      <c r="L99" s="35" t="n">
        <v>0.035</v>
      </c>
      <c r="M99" s="35" t="n">
        <v>0.035</v>
      </c>
      <c r="N99" s="35" t="n">
        <v>0.035</v>
      </c>
      <c r="O99" s="35" t="n">
        <v>0.035</v>
      </c>
      <c r="P99" s="35" t="n">
        <v>0.035</v>
      </c>
      <c r="Q99" s="35" t="n">
        <v>0.035</v>
      </c>
      <c r="R99" s="35" t="n">
        <v>0.035</v>
      </c>
      <c r="S99" s="35" t="n">
        <v>0.035</v>
      </c>
      <c r="T99" s="5" t="s">
        <v>1498</v>
      </c>
    </row>
    <row r="100" customFormat="false" ht="15" hidden="false" customHeight="false" outlineLevel="0" collapsed="false">
      <c r="B100" s="24" t="s">
        <v>1499</v>
      </c>
      <c r="C100" s="25" t="s">
        <v>160</v>
      </c>
      <c r="D100" s="28" t="s">
        <v>153</v>
      </c>
      <c r="E100" s="103" t="n">
        <v>4.62501665662077E-005</v>
      </c>
      <c r="T100" s="5" t="s">
        <v>1500</v>
      </c>
    </row>
    <row r="101" customFormat="false" ht="15" hidden="false" customHeight="false" outlineLevel="0" collapsed="false">
      <c r="B101" s="24" t="s">
        <v>1501</v>
      </c>
      <c r="C101" s="25" t="s">
        <v>170</v>
      </c>
      <c r="D101" s="28" t="s">
        <v>153</v>
      </c>
      <c r="E101" s="45" t="n">
        <v>0</v>
      </c>
      <c r="T101" s="5" t="s">
        <v>1502</v>
      </c>
      <c r="U101" s="5" t="s">
        <v>1503</v>
      </c>
    </row>
    <row r="102" customFormat="false" ht="15" hidden="false" customHeight="false" outlineLevel="0" collapsed="false">
      <c r="B102" s="22" t="s">
        <v>1504</v>
      </c>
      <c r="C102" s="23"/>
      <c r="D102" s="23"/>
      <c r="E102" s="23"/>
      <c r="F102" s="23"/>
      <c r="G102" s="23"/>
      <c r="H102" s="23"/>
      <c r="I102" s="23"/>
      <c r="J102" s="23"/>
      <c r="K102" s="23"/>
      <c r="L102" s="23"/>
      <c r="M102" s="23"/>
      <c r="N102" s="23"/>
      <c r="O102" s="23"/>
      <c r="P102" s="23"/>
      <c r="Q102" s="23"/>
      <c r="R102" s="23"/>
      <c r="S102" s="23"/>
    </row>
    <row r="103" customFormat="false" ht="15" hidden="false" customHeight="false" outlineLevel="0" collapsed="false">
      <c r="B103" s="24" t="s">
        <v>1505</v>
      </c>
      <c r="C103" s="25" t="s">
        <v>170</v>
      </c>
      <c r="D103" s="28" t="s">
        <v>153</v>
      </c>
      <c r="E103" s="45" t="n">
        <v>1.38451682168</v>
      </c>
      <c r="T103" s="5" t="s">
        <v>1506</v>
      </c>
    </row>
    <row r="104" customFormat="false" ht="15" hidden="false" customHeight="false" outlineLevel="0" collapsed="false">
      <c r="B104" s="24" t="s">
        <v>1507</v>
      </c>
      <c r="C104" s="25" t="s">
        <v>160</v>
      </c>
      <c r="D104" s="28" t="s">
        <v>153</v>
      </c>
      <c r="G104" s="35" t="n">
        <v>0.01</v>
      </c>
      <c r="H104" s="35" t="n">
        <v>0.01</v>
      </c>
      <c r="I104" s="35" t="n">
        <v>0.01</v>
      </c>
      <c r="J104" s="35" t="n">
        <v>0.01</v>
      </c>
      <c r="K104" s="35" t="n">
        <v>0.01</v>
      </c>
      <c r="L104" s="35" t="n">
        <v>0.01</v>
      </c>
      <c r="M104" s="35" t="n">
        <v>0.01</v>
      </c>
      <c r="N104" s="35" t="n">
        <v>0.01</v>
      </c>
      <c r="O104" s="35" t="n">
        <v>0.01</v>
      </c>
      <c r="P104" s="35" t="n">
        <v>0.01</v>
      </c>
      <c r="Q104" s="35" t="n">
        <v>0.01</v>
      </c>
      <c r="R104" s="35" t="n">
        <v>0.01</v>
      </c>
      <c r="S104" s="35" t="n">
        <v>0.01</v>
      </c>
      <c r="T104" s="5" t="s">
        <v>1508</v>
      </c>
    </row>
    <row r="105" customFormat="false" ht="15" hidden="false" customHeight="false" outlineLevel="0" collapsed="false">
      <c r="B105" s="24" t="s">
        <v>1509</v>
      </c>
      <c r="C105" s="25" t="s">
        <v>170</v>
      </c>
      <c r="D105" s="28" t="s">
        <v>153</v>
      </c>
      <c r="E105" s="45" t="n">
        <v>0.091772826</v>
      </c>
      <c r="T105" s="5" t="s">
        <v>1510</v>
      </c>
    </row>
    <row r="106" customFormat="false" ht="15" hidden="false" customHeight="false" outlineLevel="0" collapsed="false">
      <c r="B106" s="24" t="s">
        <v>1511</v>
      </c>
      <c r="C106" s="25" t="s">
        <v>160</v>
      </c>
      <c r="D106" s="28" t="s">
        <v>153</v>
      </c>
      <c r="G106" s="35" t="n">
        <v>0.01</v>
      </c>
      <c r="H106" s="35" t="n">
        <v>0.01</v>
      </c>
      <c r="I106" s="35" t="n">
        <v>0.01</v>
      </c>
      <c r="J106" s="35" t="n">
        <v>0.01</v>
      </c>
      <c r="K106" s="35" t="n">
        <v>0.01</v>
      </c>
      <c r="L106" s="35" t="n">
        <v>0.01</v>
      </c>
      <c r="M106" s="35" t="n">
        <v>0.01</v>
      </c>
      <c r="N106" s="35" t="n">
        <v>0.01</v>
      </c>
      <c r="O106" s="35" t="n">
        <v>0.01</v>
      </c>
      <c r="P106" s="35" t="n">
        <v>0.01</v>
      </c>
      <c r="Q106" s="35" t="n">
        <v>0.01</v>
      </c>
      <c r="R106" s="35" t="n">
        <v>0.01</v>
      </c>
      <c r="S106" s="35" t="n">
        <v>0.01</v>
      </c>
      <c r="T106" s="5" t="s">
        <v>1512</v>
      </c>
    </row>
    <row r="107" customFormat="false" ht="15" hidden="false" customHeight="false" outlineLevel="0" collapsed="false">
      <c r="B107" s="24" t="s">
        <v>1513</v>
      </c>
      <c r="C107" s="25" t="s">
        <v>170</v>
      </c>
      <c r="D107" s="28" t="s">
        <v>153</v>
      </c>
      <c r="E107" s="45" t="n">
        <v>0.09</v>
      </c>
      <c r="T107" s="5" t="s">
        <v>1514</v>
      </c>
    </row>
    <row r="108" customFormat="false" ht="15" hidden="false" customHeight="false" outlineLevel="0" collapsed="false">
      <c r="B108" s="24" t="s">
        <v>1515</v>
      </c>
      <c r="C108" s="25" t="s">
        <v>160</v>
      </c>
      <c r="D108" s="28" t="s">
        <v>153</v>
      </c>
      <c r="G108" s="35" t="n">
        <v>0.01</v>
      </c>
      <c r="H108" s="35" t="n">
        <v>0.01</v>
      </c>
      <c r="I108" s="35" t="n">
        <v>0.01</v>
      </c>
      <c r="J108" s="35" t="n">
        <v>0.01</v>
      </c>
      <c r="K108" s="35" t="n">
        <v>0.01</v>
      </c>
      <c r="L108" s="35" t="n">
        <v>0.01</v>
      </c>
      <c r="M108" s="35" t="n">
        <v>0.01</v>
      </c>
      <c r="N108" s="35" t="n">
        <v>0.01</v>
      </c>
      <c r="O108" s="35" t="n">
        <v>0.01</v>
      </c>
      <c r="P108" s="35" t="n">
        <v>0.01</v>
      </c>
      <c r="Q108" s="35" t="n">
        <v>0.01</v>
      </c>
      <c r="R108" s="35" t="n">
        <v>0.01</v>
      </c>
      <c r="S108" s="35" t="n">
        <v>0.01</v>
      </c>
      <c r="T108" s="5" t="s">
        <v>1516</v>
      </c>
    </row>
    <row r="109" customFormat="false" ht="15" hidden="false" customHeight="false" outlineLevel="0" collapsed="false">
      <c r="B109" s="24" t="s">
        <v>1517</v>
      </c>
      <c r="C109" s="25" t="s">
        <v>170</v>
      </c>
      <c r="D109" s="28" t="s">
        <v>153</v>
      </c>
      <c r="E109" s="45" t="n">
        <v>0.04422234244</v>
      </c>
      <c r="T109" s="5" t="s">
        <v>1518</v>
      </c>
    </row>
    <row r="110" customFormat="false" ht="15" hidden="false" customHeight="false" outlineLevel="0" collapsed="false">
      <c r="B110" s="24" t="s">
        <v>1519</v>
      </c>
      <c r="C110" s="25" t="s">
        <v>160</v>
      </c>
      <c r="D110" s="28" t="s">
        <v>153</v>
      </c>
      <c r="G110" s="35" t="n">
        <v>0.01</v>
      </c>
      <c r="H110" s="35" t="n">
        <v>0.01</v>
      </c>
      <c r="I110" s="35" t="n">
        <v>0.01</v>
      </c>
      <c r="J110" s="35" t="n">
        <v>0.01</v>
      </c>
      <c r="K110" s="35" t="n">
        <v>0.01</v>
      </c>
      <c r="L110" s="35" t="n">
        <v>0.01</v>
      </c>
      <c r="M110" s="35" t="n">
        <v>0.01</v>
      </c>
      <c r="N110" s="35" t="n">
        <v>0.01</v>
      </c>
      <c r="O110" s="35" t="n">
        <v>0.01</v>
      </c>
      <c r="P110" s="35" t="n">
        <v>0.01</v>
      </c>
      <c r="Q110" s="35" t="n">
        <v>0.01</v>
      </c>
      <c r="R110" s="35" t="n">
        <v>0.01</v>
      </c>
      <c r="S110" s="35" t="n">
        <v>0.01</v>
      </c>
      <c r="T110" s="5" t="s">
        <v>1520</v>
      </c>
    </row>
    <row r="111" customFormat="false" ht="15" hidden="false" customHeight="false" outlineLevel="0" collapsed="false">
      <c r="B111" s="24" t="s">
        <v>1521</v>
      </c>
      <c r="C111" s="25" t="s">
        <v>170</v>
      </c>
      <c r="D111" s="28" t="s">
        <v>153</v>
      </c>
      <c r="E111" s="45" t="n">
        <v>0.011234156</v>
      </c>
      <c r="T111" s="5" t="s">
        <v>1522</v>
      </c>
    </row>
    <row r="112" customFormat="false" ht="15" hidden="false" customHeight="false" outlineLevel="0" collapsed="false">
      <c r="B112" s="24" t="s">
        <v>1523</v>
      </c>
      <c r="C112" s="25" t="s">
        <v>160</v>
      </c>
      <c r="D112" s="28" t="s">
        <v>153</v>
      </c>
      <c r="G112" s="35" t="n">
        <v>0.01</v>
      </c>
      <c r="H112" s="35" t="n">
        <v>0.01</v>
      </c>
      <c r="I112" s="35" t="n">
        <v>0.01</v>
      </c>
      <c r="J112" s="35" t="n">
        <v>0.01</v>
      </c>
      <c r="K112" s="35" t="n">
        <v>0.01</v>
      </c>
      <c r="L112" s="35" t="n">
        <v>0.01</v>
      </c>
      <c r="M112" s="35" t="n">
        <v>0.01</v>
      </c>
      <c r="N112" s="35" t="n">
        <v>0.01</v>
      </c>
      <c r="O112" s="35" t="n">
        <v>0.01</v>
      </c>
      <c r="P112" s="35" t="n">
        <v>0.01</v>
      </c>
      <c r="Q112" s="35" t="n">
        <v>0.01</v>
      </c>
      <c r="R112" s="35" t="n">
        <v>0.01</v>
      </c>
      <c r="S112" s="35" t="n">
        <v>0.01</v>
      </c>
      <c r="T112" s="5" t="s">
        <v>1524</v>
      </c>
    </row>
    <row r="113" customFormat="false" ht="15" hidden="false" customHeight="false" outlineLevel="0" collapsed="false">
      <c r="B113" s="22" t="s">
        <v>1525</v>
      </c>
      <c r="C113" s="23"/>
      <c r="D113" s="23"/>
      <c r="E113" s="23"/>
      <c r="F113" s="23"/>
      <c r="G113" s="23"/>
      <c r="H113" s="23"/>
      <c r="I113" s="23"/>
      <c r="J113" s="23"/>
      <c r="K113" s="23"/>
      <c r="L113" s="23"/>
      <c r="M113" s="23"/>
      <c r="N113" s="23"/>
      <c r="O113" s="23"/>
      <c r="P113" s="23"/>
      <c r="Q113" s="23"/>
      <c r="R113" s="23"/>
      <c r="S113" s="23"/>
    </row>
    <row r="114" customFormat="false" ht="15" hidden="false" customHeight="false" outlineLevel="0" collapsed="false">
      <c r="B114" s="24" t="s">
        <v>1526</v>
      </c>
      <c r="C114" s="25" t="s">
        <v>170</v>
      </c>
      <c r="D114" s="28" t="s">
        <v>153</v>
      </c>
      <c r="E114" s="45" t="n">
        <v>0.041260886</v>
      </c>
      <c r="T114" s="5" t="s">
        <v>1527</v>
      </c>
    </row>
    <row r="115" customFormat="false" ht="15" hidden="false" customHeight="false" outlineLevel="0" collapsed="false">
      <c r="B115" s="24" t="s">
        <v>1528</v>
      </c>
      <c r="C115" s="25" t="s">
        <v>160</v>
      </c>
      <c r="D115" s="28" t="s">
        <v>153</v>
      </c>
      <c r="G115" s="35" t="n">
        <v>0.01</v>
      </c>
      <c r="H115" s="35" t="n">
        <v>0.01</v>
      </c>
      <c r="I115" s="35" t="n">
        <v>0.01</v>
      </c>
      <c r="J115" s="35" t="n">
        <v>0.01</v>
      </c>
      <c r="K115" s="35" t="n">
        <v>0.01</v>
      </c>
      <c r="L115" s="35" t="n">
        <v>0.01</v>
      </c>
      <c r="M115" s="35" t="n">
        <v>0.01</v>
      </c>
      <c r="N115" s="35" t="n">
        <v>0.01</v>
      </c>
      <c r="O115" s="35" t="n">
        <v>0.01</v>
      </c>
      <c r="P115" s="35" t="n">
        <v>0.01</v>
      </c>
      <c r="Q115" s="35" t="n">
        <v>0.01</v>
      </c>
      <c r="R115" s="35" t="n">
        <v>0.01</v>
      </c>
      <c r="S115" s="35" t="n">
        <v>0.01</v>
      </c>
      <c r="T115" s="5" t="s">
        <v>1529</v>
      </c>
    </row>
    <row r="116" customFormat="false" ht="15" hidden="false" customHeight="false" outlineLevel="0" collapsed="false">
      <c r="B116" s="24" t="s">
        <v>1530</v>
      </c>
      <c r="C116" s="25" t="s">
        <v>170</v>
      </c>
      <c r="D116" s="28" t="s">
        <v>153</v>
      </c>
      <c r="E116" s="45" t="n">
        <v>0.0175</v>
      </c>
      <c r="T116" s="5" t="s">
        <v>1531</v>
      </c>
    </row>
    <row r="117" customFormat="false" ht="15" hidden="false" customHeight="false" outlineLevel="0" collapsed="false">
      <c r="B117" s="24" t="s">
        <v>1532</v>
      </c>
      <c r="C117" s="25" t="s">
        <v>160</v>
      </c>
      <c r="D117" s="28" t="s">
        <v>153</v>
      </c>
      <c r="G117" s="35" t="n">
        <v>0.01</v>
      </c>
      <c r="H117" s="35" t="n">
        <v>0.01</v>
      </c>
      <c r="I117" s="35" t="n">
        <v>0.01</v>
      </c>
      <c r="J117" s="35" t="n">
        <v>0.01</v>
      </c>
      <c r="K117" s="35" t="n">
        <v>0.01</v>
      </c>
      <c r="L117" s="35" t="n">
        <v>0.01</v>
      </c>
      <c r="M117" s="35" t="n">
        <v>0.01</v>
      </c>
      <c r="N117" s="35" t="n">
        <v>0.01</v>
      </c>
      <c r="O117" s="35" t="n">
        <v>0.01</v>
      </c>
      <c r="P117" s="35" t="n">
        <v>0.01</v>
      </c>
      <c r="Q117" s="35" t="n">
        <v>0.01</v>
      </c>
      <c r="R117" s="35" t="n">
        <v>0.01</v>
      </c>
      <c r="S117" s="35" t="n">
        <v>0.01</v>
      </c>
      <c r="T117" s="5" t="s">
        <v>1533</v>
      </c>
    </row>
    <row r="118" customFormat="false" ht="15" hidden="false" customHeight="false" outlineLevel="0" collapsed="false">
      <c r="B118" s="24" t="s">
        <v>1534</v>
      </c>
      <c r="C118" s="25" t="s">
        <v>170</v>
      </c>
      <c r="D118" s="28" t="s">
        <v>153</v>
      </c>
      <c r="E118" s="45" t="n">
        <v>0.0305</v>
      </c>
      <c r="T118" s="5" t="s">
        <v>1535</v>
      </c>
    </row>
    <row r="119" customFormat="false" ht="15" hidden="false" customHeight="false" outlineLevel="0" collapsed="false">
      <c r="B119" s="24" t="s">
        <v>1536</v>
      </c>
      <c r="C119" s="25" t="s">
        <v>160</v>
      </c>
      <c r="D119" s="28" t="s">
        <v>153</v>
      </c>
      <c r="G119" s="35" t="n">
        <v>0.01</v>
      </c>
      <c r="H119" s="35" t="n">
        <v>0.01</v>
      </c>
      <c r="I119" s="35" t="n">
        <v>0.01</v>
      </c>
      <c r="J119" s="35" t="n">
        <v>0.01</v>
      </c>
      <c r="K119" s="35" t="n">
        <v>0.01</v>
      </c>
      <c r="L119" s="35" t="n">
        <v>0.01</v>
      </c>
      <c r="M119" s="35" t="n">
        <v>0.01</v>
      </c>
      <c r="N119" s="35" t="n">
        <v>0.01</v>
      </c>
      <c r="O119" s="35" t="n">
        <v>0.01</v>
      </c>
      <c r="P119" s="35" t="n">
        <v>0.01</v>
      </c>
      <c r="Q119" s="35" t="n">
        <v>0.01</v>
      </c>
      <c r="R119" s="35" t="n">
        <v>0.01</v>
      </c>
      <c r="S119" s="35" t="n">
        <v>0.01</v>
      </c>
      <c r="T119" s="5" t="s">
        <v>1537</v>
      </c>
    </row>
    <row r="120" customFormat="false" ht="15" hidden="false" customHeight="false" outlineLevel="0" collapsed="false">
      <c r="B120" s="24" t="s">
        <v>1538</v>
      </c>
      <c r="C120" s="25" t="s">
        <v>170</v>
      </c>
      <c r="D120" s="28" t="s">
        <v>153</v>
      </c>
      <c r="E120" s="45" t="n">
        <v>0.05032715733</v>
      </c>
      <c r="T120" s="5" t="s">
        <v>1539</v>
      </c>
    </row>
    <row r="121" customFormat="false" ht="15" hidden="false" customHeight="false" outlineLevel="0" collapsed="false">
      <c r="B121" s="24" t="s">
        <v>1540</v>
      </c>
      <c r="C121" s="25" t="s">
        <v>160</v>
      </c>
      <c r="D121" s="28" t="s">
        <v>153</v>
      </c>
      <c r="G121" s="35" t="n">
        <v>0.01</v>
      </c>
      <c r="H121" s="35" t="n">
        <v>0.01</v>
      </c>
      <c r="I121" s="35" t="n">
        <v>0.01</v>
      </c>
      <c r="J121" s="35" t="n">
        <v>0.01</v>
      </c>
      <c r="K121" s="35" t="n">
        <v>0.01</v>
      </c>
      <c r="L121" s="35" t="n">
        <v>0.01</v>
      </c>
      <c r="M121" s="35" t="n">
        <v>0.01</v>
      </c>
      <c r="N121" s="35" t="n">
        <v>0.01</v>
      </c>
      <c r="O121" s="35" t="n">
        <v>0.01</v>
      </c>
      <c r="P121" s="35" t="n">
        <v>0.01</v>
      </c>
      <c r="Q121" s="35" t="n">
        <v>0.01</v>
      </c>
      <c r="R121" s="35" t="n">
        <v>0.01</v>
      </c>
      <c r="S121" s="35" t="n">
        <v>0.01</v>
      </c>
      <c r="T121" s="5" t="s">
        <v>1541</v>
      </c>
    </row>
    <row r="122" customFormat="false" ht="15" hidden="false" customHeight="false" outlineLevel="0" collapsed="false">
      <c r="B122" s="24" t="s">
        <v>1542</v>
      </c>
      <c r="C122" s="25" t="s">
        <v>170</v>
      </c>
      <c r="D122" s="28" t="s">
        <v>153</v>
      </c>
      <c r="E122" s="45" t="n">
        <v>0.00383204</v>
      </c>
      <c r="T122" s="5" t="s">
        <v>1543</v>
      </c>
    </row>
    <row r="123" customFormat="false" ht="15" hidden="false" customHeight="false" outlineLevel="0" collapsed="false">
      <c r="B123" s="24" t="s">
        <v>1544</v>
      </c>
      <c r="C123" s="25" t="s">
        <v>160</v>
      </c>
      <c r="D123" s="28" t="s">
        <v>153</v>
      </c>
      <c r="G123" s="35" t="n">
        <v>0.01</v>
      </c>
      <c r="H123" s="35" t="n">
        <v>0.01</v>
      </c>
      <c r="I123" s="35" t="n">
        <v>0.01</v>
      </c>
      <c r="J123" s="35" t="n">
        <v>0.01</v>
      </c>
      <c r="K123" s="35" t="n">
        <v>0.01</v>
      </c>
      <c r="L123" s="35" t="n">
        <v>0.01</v>
      </c>
      <c r="M123" s="35" t="n">
        <v>0.01</v>
      </c>
      <c r="N123" s="35" t="n">
        <v>0.01</v>
      </c>
      <c r="O123" s="35" t="n">
        <v>0.01</v>
      </c>
      <c r="P123" s="35" t="n">
        <v>0.01</v>
      </c>
      <c r="Q123" s="35" t="n">
        <v>0.01</v>
      </c>
      <c r="R123" s="35" t="n">
        <v>0.01</v>
      </c>
      <c r="S123" s="35" t="n">
        <v>0.01</v>
      </c>
      <c r="T123" s="5" t="s">
        <v>1545</v>
      </c>
    </row>
    <row r="124" customFormat="false" ht="15" hidden="false" customHeight="false" outlineLevel="0" collapsed="false">
      <c r="B124" s="24" t="s">
        <v>1546</v>
      </c>
      <c r="C124" s="25" t="s">
        <v>170</v>
      </c>
      <c r="D124" s="28" t="s">
        <v>153</v>
      </c>
      <c r="E124" s="45" t="n">
        <v>0.006</v>
      </c>
      <c r="T124" s="5" t="s">
        <v>1547</v>
      </c>
    </row>
    <row r="125" customFormat="false" ht="15" hidden="false" customHeight="false" outlineLevel="0" collapsed="false">
      <c r="B125" s="24" t="s">
        <v>1548</v>
      </c>
      <c r="C125" s="25" t="s">
        <v>160</v>
      </c>
      <c r="D125" s="28" t="s">
        <v>153</v>
      </c>
      <c r="G125" s="35" t="n">
        <v>0.01</v>
      </c>
      <c r="H125" s="35" t="n">
        <v>0.01</v>
      </c>
      <c r="I125" s="35" t="n">
        <v>0.01</v>
      </c>
      <c r="J125" s="35" t="n">
        <v>0.01</v>
      </c>
      <c r="K125" s="35" t="n">
        <v>0.01</v>
      </c>
      <c r="L125" s="35" t="n">
        <v>0.01</v>
      </c>
      <c r="M125" s="35" t="n">
        <v>0.01</v>
      </c>
      <c r="N125" s="35" t="n">
        <v>0.01</v>
      </c>
      <c r="O125" s="35" t="n">
        <v>0.01</v>
      </c>
      <c r="P125" s="35" t="n">
        <v>0.01</v>
      </c>
      <c r="Q125" s="35" t="n">
        <v>0.01</v>
      </c>
      <c r="R125" s="35" t="n">
        <v>0.01</v>
      </c>
      <c r="S125" s="35" t="n">
        <v>0.01</v>
      </c>
      <c r="T125" s="5" t="s">
        <v>1549</v>
      </c>
    </row>
    <row r="126" customFormat="false" ht="15" hidden="false" customHeight="false" outlineLevel="0" collapsed="false">
      <c r="B126" s="22" t="s">
        <v>1550</v>
      </c>
      <c r="C126" s="23"/>
      <c r="D126" s="23"/>
      <c r="E126" s="23"/>
      <c r="F126" s="23"/>
      <c r="G126" s="23"/>
      <c r="H126" s="23"/>
      <c r="I126" s="23"/>
      <c r="J126" s="23"/>
      <c r="K126" s="23"/>
      <c r="L126" s="23"/>
      <c r="M126" s="23"/>
      <c r="N126" s="23"/>
      <c r="O126" s="23"/>
      <c r="P126" s="23"/>
      <c r="Q126" s="23"/>
      <c r="R126" s="23"/>
      <c r="S126" s="23"/>
    </row>
    <row r="127" customFormat="false" ht="15" hidden="false" customHeight="false" outlineLevel="0" collapsed="false">
      <c r="B127" s="24" t="s">
        <v>1551</v>
      </c>
      <c r="C127" s="25" t="s">
        <v>170</v>
      </c>
      <c r="D127" s="28" t="s">
        <v>153</v>
      </c>
      <c r="E127" s="45" t="n">
        <v>0.03800000001</v>
      </c>
      <c r="T127" s="5" t="s">
        <v>1552</v>
      </c>
    </row>
    <row r="128" customFormat="false" ht="15" hidden="false" customHeight="false" outlineLevel="0" collapsed="false">
      <c r="B128" s="24" t="s">
        <v>1553</v>
      </c>
      <c r="C128" s="25" t="s">
        <v>160</v>
      </c>
      <c r="D128" s="28" t="s">
        <v>153</v>
      </c>
      <c r="G128" s="35" t="n">
        <v>0.01</v>
      </c>
      <c r="H128" s="35" t="n">
        <v>0.01</v>
      </c>
      <c r="I128" s="35" t="n">
        <v>0.01</v>
      </c>
      <c r="J128" s="35" t="n">
        <v>0.01</v>
      </c>
      <c r="K128" s="35" t="n">
        <v>0.01</v>
      </c>
      <c r="L128" s="35" t="n">
        <v>0.01</v>
      </c>
      <c r="M128" s="35" t="n">
        <v>0.01</v>
      </c>
      <c r="N128" s="35" t="n">
        <v>0.01</v>
      </c>
      <c r="O128" s="35" t="n">
        <v>0.01</v>
      </c>
      <c r="P128" s="35" t="n">
        <v>0.01</v>
      </c>
      <c r="Q128" s="35" t="n">
        <v>0.01</v>
      </c>
      <c r="R128" s="35" t="n">
        <v>0.01</v>
      </c>
      <c r="S128" s="35" t="n">
        <v>0.01</v>
      </c>
      <c r="T128" s="5" t="s">
        <v>1554</v>
      </c>
    </row>
    <row r="129" customFormat="false" ht="15" hidden="false" customHeight="false" outlineLevel="0" collapsed="false">
      <c r="B129" s="24" t="s">
        <v>1555</v>
      </c>
      <c r="C129" s="25" t="s">
        <v>170</v>
      </c>
      <c r="D129" s="28" t="s">
        <v>153</v>
      </c>
      <c r="E129" s="45" t="n">
        <v>0.018822505</v>
      </c>
      <c r="T129" s="5" t="s">
        <v>1556</v>
      </c>
    </row>
    <row r="130" customFormat="false" ht="15" hidden="false" customHeight="false" outlineLevel="0" collapsed="false">
      <c r="B130" s="24" t="s">
        <v>1557</v>
      </c>
      <c r="C130" s="25" t="s">
        <v>160</v>
      </c>
      <c r="D130" s="28" t="s">
        <v>153</v>
      </c>
      <c r="G130" s="35" t="n">
        <v>0.01</v>
      </c>
      <c r="H130" s="35" t="n">
        <v>0.01</v>
      </c>
      <c r="I130" s="35" t="n">
        <v>0.01</v>
      </c>
      <c r="J130" s="35" t="n">
        <v>0.01</v>
      </c>
      <c r="K130" s="35" t="n">
        <v>0.01</v>
      </c>
      <c r="L130" s="35" t="n">
        <v>0.01</v>
      </c>
      <c r="M130" s="35" t="n">
        <v>0.01</v>
      </c>
      <c r="N130" s="35" t="n">
        <v>0.01</v>
      </c>
      <c r="O130" s="35" t="n">
        <v>0.01</v>
      </c>
      <c r="P130" s="35" t="n">
        <v>0.01</v>
      </c>
      <c r="Q130" s="35" t="n">
        <v>0.01</v>
      </c>
      <c r="R130" s="35" t="n">
        <v>0.01</v>
      </c>
      <c r="S130" s="35" t="n">
        <v>0.01</v>
      </c>
      <c r="T130" s="5" t="s">
        <v>1558</v>
      </c>
    </row>
    <row r="131" customFormat="false" ht="15" hidden="false" customHeight="false" outlineLevel="0" collapsed="false">
      <c r="B131" s="24" t="s">
        <v>1559</v>
      </c>
      <c r="C131" s="25" t="s">
        <v>170</v>
      </c>
      <c r="D131" s="28" t="s">
        <v>153</v>
      </c>
      <c r="E131" s="45" t="n">
        <v>0</v>
      </c>
      <c r="T131" s="5" t="s">
        <v>1560</v>
      </c>
      <c r="U131" s="5" t="s">
        <v>1561</v>
      </c>
    </row>
    <row r="132" customFormat="false" ht="15" hidden="false" customHeight="false" outlineLevel="0" collapsed="false">
      <c r="B132" s="24" t="s">
        <v>1562</v>
      </c>
      <c r="C132" s="25" t="s">
        <v>160</v>
      </c>
      <c r="D132" s="28" t="s">
        <v>153</v>
      </c>
      <c r="G132" s="35" t="n">
        <v>0</v>
      </c>
      <c r="H132" s="35" t="n">
        <v>0</v>
      </c>
      <c r="I132" s="35" t="n">
        <v>0</v>
      </c>
      <c r="J132" s="35" t="n">
        <v>0</v>
      </c>
      <c r="K132" s="35" t="n">
        <v>0</v>
      </c>
      <c r="L132" s="35" t="n">
        <v>0</v>
      </c>
      <c r="M132" s="35" t="n">
        <v>0</v>
      </c>
      <c r="N132" s="35" t="n">
        <v>0</v>
      </c>
      <c r="O132" s="35" t="n">
        <v>0</v>
      </c>
      <c r="P132" s="35" t="n">
        <v>0</v>
      </c>
      <c r="Q132" s="35" t="n">
        <v>0</v>
      </c>
      <c r="R132" s="35" t="n">
        <v>0</v>
      </c>
      <c r="S132" s="35" t="n">
        <v>0</v>
      </c>
      <c r="T132" s="5" t="s">
        <v>1563</v>
      </c>
    </row>
    <row r="133" customFormat="false" ht="15" hidden="false" customHeight="false" outlineLevel="0" collapsed="false">
      <c r="B133" s="24" t="s">
        <v>1564</v>
      </c>
      <c r="C133" s="25" t="s">
        <v>170</v>
      </c>
      <c r="D133" s="28" t="s">
        <v>153</v>
      </c>
      <c r="E133" s="45" t="n">
        <v>0.01571300067</v>
      </c>
      <c r="T133" s="5" t="s">
        <v>1565</v>
      </c>
    </row>
    <row r="134" customFormat="false" ht="15" hidden="false" customHeight="false" outlineLevel="0" collapsed="false">
      <c r="B134" s="24" t="s">
        <v>1566</v>
      </c>
      <c r="C134" s="25" t="s">
        <v>160</v>
      </c>
      <c r="D134" s="28" t="s">
        <v>153</v>
      </c>
      <c r="G134" s="35" t="n">
        <v>0.01</v>
      </c>
      <c r="H134" s="35" t="n">
        <v>0.01</v>
      </c>
      <c r="I134" s="35" t="n">
        <v>0.01</v>
      </c>
      <c r="J134" s="35" t="n">
        <v>0.01</v>
      </c>
      <c r="K134" s="35" t="n">
        <v>0.01</v>
      </c>
      <c r="L134" s="35" t="n">
        <v>0.01</v>
      </c>
      <c r="M134" s="35" t="n">
        <v>0.01</v>
      </c>
      <c r="N134" s="35" t="n">
        <v>0.01</v>
      </c>
      <c r="O134" s="35" t="n">
        <v>0.01</v>
      </c>
      <c r="P134" s="35" t="n">
        <v>0.01</v>
      </c>
      <c r="Q134" s="35" t="n">
        <v>0.01</v>
      </c>
      <c r="R134" s="35" t="n">
        <v>0.01</v>
      </c>
      <c r="S134" s="35" t="n">
        <v>0.01</v>
      </c>
      <c r="T134" s="5" t="s">
        <v>1567</v>
      </c>
    </row>
    <row r="135" customFormat="false" ht="15" hidden="false" customHeight="false" outlineLevel="0" collapsed="false">
      <c r="B135" s="24" t="s">
        <v>1568</v>
      </c>
      <c r="C135" s="25" t="s">
        <v>170</v>
      </c>
      <c r="D135" s="28" t="s">
        <v>153</v>
      </c>
      <c r="E135" s="45" t="n">
        <v>0.0093992</v>
      </c>
      <c r="T135" s="5" t="s">
        <v>1569</v>
      </c>
    </row>
    <row r="136" customFormat="false" ht="15" hidden="false" customHeight="false" outlineLevel="0" collapsed="false">
      <c r="B136" s="24" t="s">
        <v>1570</v>
      </c>
      <c r="C136" s="25" t="s">
        <v>160</v>
      </c>
      <c r="D136" s="28" t="s">
        <v>153</v>
      </c>
      <c r="G136" s="35" t="n">
        <v>0.01</v>
      </c>
      <c r="H136" s="35" t="n">
        <v>0.01</v>
      </c>
      <c r="I136" s="35" t="n">
        <v>0.01</v>
      </c>
      <c r="J136" s="35" t="n">
        <v>0.01</v>
      </c>
      <c r="K136" s="35" t="n">
        <v>0.01</v>
      </c>
      <c r="L136" s="35" t="n">
        <v>0.01</v>
      </c>
      <c r="M136" s="35" t="n">
        <v>0.01</v>
      </c>
      <c r="N136" s="35" t="n">
        <v>0.01</v>
      </c>
      <c r="O136" s="35" t="n">
        <v>0.01</v>
      </c>
      <c r="P136" s="35" t="n">
        <v>0.01</v>
      </c>
      <c r="Q136" s="35" t="n">
        <v>0.01</v>
      </c>
      <c r="R136" s="35" t="n">
        <v>0.01</v>
      </c>
      <c r="S136" s="35" t="n">
        <v>0.01</v>
      </c>
      <c r="T136" s="5" t="s">
        <v>1571</v>
      </c>
    </row>
    <row r="137" customFormat="false" ht="15" hidden="false" customHeight="false" outlineLevel="0" collapsed="false">
      <c r="B137" s="24" t="s">
        <v>1572</v>
      </c>
      <c r="C137" s="25" t="s">
        <v>170</v>
      </c>
      <c r="D137" s="28" t="s">
        <v>153</v>
      </c>
      <c r="E137" s="45" t="n">
        <v>0</v>
      </c>
      <c r="T137" s="5" t="s">
        <v>1573</v>
      </c>
      <c r="U137" s="5" t="s">
        <v>1561</v>
      </c>
    </row>
    <row r="138" customFormat="false" ht="15" hidden="false" customHeight="false" outlineLevel="0" collapsed="false">
      <c r="B138" s="24" t="s">
        <v>1574</v>
      </c>
      <c r="C138" s="25" t="s">
        <v>160</v>
      </c>
      <c r="D138" s="28" t="s">
        <v>153</v>
      </c>
      <c r="G138" s="35" t="n">
        <v>0</v>
      </c>
      <c r="H138" s="35" t="n">
        <v>0</v>
      </c>
      <c r="I138" s="35" t="n">
        <v>0</v>
      </c>
      <c r="J138" s="35" t="n">
        <v>0</v>
      </c>
      <c r="K138" s="35" t="n">
        <v>0</v>
      </c>
      <c r="L138" s="35" t="n">
        <v>0</v>
      </c>
      <c r="M138" s="35" t="n">
        <v>0</v>
      </c>
      <c r="N138" s="35" t="n">
        <v>0</v>
      </c>
      <c r="O138" s="35" t="n">
        <v>0</v>
      </c>
      <c r="P138" s="35" t="n">
        <v>0</v>
      </c>
      <c r="Q138" s="35" t="n">
        <v>0</v>
      </c>
      <c r="R138" s="35" t="n">
        <v>0</v>
      </c>
      <c r="S138" s="35" t="n">
        <v>0</v>
      </c>
      <c r="T138" s="5" t="s">
        <v>1575</v>
      </c>
    </row>
    <row r="139" customFormat="false" ht="15" hidden="false" customHeight="false" outlineLevel="0" collapsed="false">
      <c r="B139" s="22" t="s">
        <v>1576</v>
      </c>
      <c r="C139" s="23"/>
      <c r="D139" s="23"/>
      <c r="E139" s="23"/>
      <c r="F139" s="23"/>
      <c r="G139" s="23"/>
      <c r="H139" s="23"/>
      <c r="I139" s="23"/>
      <c r="J139" s="23"/>
      <c r="K139" s="23"/>
      <c r="L139" s="23"/>
      <c r="M139" s="23"/>
      <c r="N139" s="23"/>
      <c r="O139" s="23"/>
      <c r="P139" s="23"/>
      <c r="Q139" s="23"/>
      <c r="R139" s="23"/>
      <c r="S139" s="23"/>
    </row>
    <row r="140" customFormat="false" ht="15" hidden="false" customHeight="false" outlineLevel="0" collapsed="false">
      <c r="B140" s="24" t="s">
        <v>1577</v>
      </c>
      <c r="C140" s="25" t="s">
        <v>170</v>
      </c>
      <c r="D140" s="28" t="s">
        <v>153</v>
      </c>
      <c r="E140" s="45" t="n">
        <v>0.025705494</v>
      </c>
      <c r="T140" s="5" t="s">
        <v>1578</v>
      </c>
    </row>
    <row r="141" customFormat="false" ht="15" hidden="false" customHeight="false" outlineLevel="0" collapsed="false">
      <c r="B141" s="24" t="s">
        <v>1579</v>
      </c>
      <c r="C141" s="25" t="s">
        <v>160</v>
      </c>
      <c r="D141" s="28" t="s">
        <v>153</v>
      </c>
      <c r="G141" s="35" t="n">
        <v>0.01</v>
      </c>
      <c r="H141" s="35" t="n">
        <v>0.01</v>
      </c>
      <c r="I141" s="35" t="n">
        <v>0.01</v>
      </c>
      <c r="J141" s="35" t="n">
        <v>0.01</v>
      </c>
      <c r="K141" s="35" t="n">
        <v>0.01</v>
      </c>
      <c r="L141" s="35" t="n">
        <v>0.01</v>
      </c>
      <c r="M141" s="35" t="n">
        <v>0.01</v>
      </c>
      <c r="N141" s="35" t="n">
        <v>0.01</v>
      </c>
      <c r="O141" s="35" t="n">
        <v>0.01</v>
      </c>
      <c r="P141" s="35" t="n">
        <v>0.01</v>
      </c>
      <c r="Q141" s="35" t="n">
        <v>0.01</v>
      </c>
      <c r="R141" s="35" t="n">
        <v>0.01</v>
      </c>
      <c r="S141" s="35" t="n">
        <v>0.01</v>
      </c>
      <c r="T141" s="5" t="s">
        <v>1580</v>
      </c>
    </row>
    <row r="142" customFormat="false" ht="15" hidden="false" customHeight="false" outlineLevel="0" collapsed="false">
      <c r="B142" s="24" t="s">
        <v>1581</v>
      </c>
      <c r="C142" s="25" t="s">
        <v>170</v>
      </c>
      <c r="D142" s="28" t="s">
        <v>153</v>
      </c>
      <c r="E142" s="45" t="n">
        <v>0.206967525</v>
      </c>
      <c r="T142" s="5" t="s">
        <v>1582</v>
      </c>
    </row>
    <row r="143" customFormat="false" ht="15" hidden="false" customHeight="false" outlineLevel="0" collapsed="false">
      <c r="B143" s="24" t="s">
        <v>1583</v>
      </c>
      <c r="C143" s="25" t="s">
        <v>160</v>
      </c>
      <c r="D143" s="28" t="s">
        <v>153</v>
      </c>
      <c r="G143" s="35" t="n">
        <v>0.01</v>
      </c>
      <c r="H143" s="35" t="n">
        <v>0.01</v>
      </c>
      <c r="I143" s="35" t="n">
        <v>0.01</v>
      </c>
      <c r="J143" s="35" t="n">
        <v>0.01</v>
      </c>
      <c r="K143" s="35" t="n">
        <v>0.01</v>
      </c>
      <c r="L143" s="35" t="n">
        <v>0.01</v>
      </c>
      <c r="M143" s="35" t="n">
        <v>0.01</v>
      </c>
      <c r="N143" s="35" t="n">
        <v>0.01</v>
      </c>
      <c r="O143" s="35" t="n">
        <v>0.01</v>
      </c>
      <c r="P143" s="35" t="n">
        <v>0.01</v>
      </c>
      <c r="Q143" s="35" t="n">
        <v>0.01</v>
      </c>
      <c r="R143" s="35" t="n">
        <v>0.01</v>
      </c>
      <c r="S143" s="35" t="n">
        <v>0.01</v>
      </c>
      <c r="T143" s="5" t="s">
        <v>1584</v>
      </c>
    </row>
    <row r="144" customFormat="false" ht="15" hidden="false" customHeight="false" outlineLevel="0" collapsed="false">
      <c r="B144" s="24" t="s">
        <v>1585</v>
      </c>
      <c r="C144" s="25" t="s">
        <v>170</v>
      </c>
      <c r="D144" s="28" t="s">
        <v>153</v>
      </c>
      <c r="E144" s="45" t="n">
        <v>0.033630008</v>
      </c>
      <c r="T144" s="5" t="s">
        <v>1586</v>
      </c>
    </row>
    <row r="145" customFormat="false" ht="15" hidden="false" customHeight="false" outlineLevel="0" collapsed="false">
      <c r="B145" s="24" t="s">
        <v>1587</v>
      </c>
      <c r="C145" s="25" t="s">
        <v>160</v>
      </c>
      <c r="D145" s="28" t="s">
        <v>153</v>
      </c>
      <c r="G145" s="35" t="n">
        <v>0.01</v>
      </c>
      <c r="H145" s="35" t="n">
        <v>0.01</v>
      </c>
      <c r="I145" s="35" t="n">
        <v>0.01</v>
      </c>
      <c r="J145" s="35" t="n">
        <v>0.01</v>
      </c>
      <c r="K145" s="35" t="n">
        <v>0.01</v>
      </c>
      <c r="L145" s="35" t="n">
        <v>0.01</v>
      </c>
      <c r="M145" s="35" t="n">
        <v>0.01</v>
      </c>
      <c r="N145" s="35" t="n">
        <v>0.01</v>
      </c>
      <c r="O145" s="35" t="n">
        <v>0.01</v>
      </c>
      <c r="P145" s="35" t="n">
        <v>0.01</v>
      </c>
      <c r="Q145" s="35" t="n">
        <v>0.01</v>
      </c>
      <c r="R145" s="35" t="n">
        <v>0.01</v>
      </c>
      <c r="S145" s="35" t="n">
        <v>0.01</v>
      </c>
      <c r="T145" s="5" t="s">
        <v>1588</v>
      </c>
    </row>
    <row r="146" customFormat="false" ht="15" hidden="false" customHeight="false" outlineLevel="0" collapsed="false">
      <c r="B146" s="24" t="s">
        <v>1589</v>
      </c>
      <c r="C146" s="25" t="s">
        <v>170</v>
      </c>
      <c r="D146" s="28" t="s">
        <v>153</v>
      </c>
      <c r="E146" s="45" t="n">
        <v>0.09643942713</v>
      </c>
      <c r="T146" s="5" t="s">
        <v>1590</v>
      </c>
    </row>
    <row r="147" customFormat="false" ht="15" hidden="false" customHeight="false" outlineLevel="0" collapsed="false">
      <c r="B147" s="24" t="s">
        <v>1591</v>
      </c>
      <c r="C147" s="25" t="s">
        <v>160</v>
      </c>
      <c r="D147" s="28" t="s">
        <v>153</v>
      </c>
      <c r="G147" s="35" t="n">
        <v>0.01</v>
      </c>
      <c r="H147" s="35" t="n">
        <v>0.01</v>
      </c>
      <c r="I147" s="35" t="n">
        <v>0.01</v>
      </c>
      <c r="J147" s="35" t="n">
        <v>0.01</v>
      </c>
      <c r="K147" s="35" t="n">
        <v>0.01</v>
      </c>
      <c r="L147" s="35" t="n">
        <v>0.01</v>
      </c>
      <c r="M147" s="35" t="n">
        <v>0.01</v>
      </c>
      <c r="N147" s="35" t="n">
        <v>0.01</v>
      </c>
      <c r="O147" s="35" t="n">
        <v>0.01</v>
      </c>
      <c r="P147" s="35" t="n">
        <v>0.01</v>
      </c>
      <c r="Q147" s="35" t="n">
        <v>0.01</v>
      </c>
      <c r="R147" s="35" t="n">
        <v>0.01</v>
      </c>
      <c r="S147" s="35" t="n">
        <v>0.01</v>
      </c>
      <c r="T147" s="5" t="s">
        <v>1592</v>
      </c>
    </row>
    <row r="148" customFormat="false" ht="15" hidden="false" customHeight="false" outlineLevel="0" collapsed="false">
      <c r="B148" s="24" t="s">
        <v>1593</v>
      </c>
      <c r="C148" s="25" t="s">
        <v>170</v>
      </c>
      <c r="D148" s="28" t="s">
        <v>153</v>
      </c>
      <c r="E148" s="45" t="n">
        <v>0.00165</v>
      </c>
      <c r="T148" s="5" t="s">
        <v>1594</v>
      </c>
    </row>
    <row r="149" customFormat="false" ht="15" hidden="false" customHeight="false" outlineLevel="0" collapsed="false">
      <c r="B149" s="24" t="s">
        <v>1595</v>
      </c>
      <c r="C149" s="25" t="s">
        <v>160</v>
      </c>
      <c r="D149" s="28" t="s">
        <v>153</v>
      </c>
      <c r="G149" s="35" t="n">
        <v>0.01</v>
      </c>
      <c r="H149" s="35" t="n">
        <v>0.01</v>
      </c>
      <c r="I149" s="35" t="n">
        <v>0.01</v>
      </c>
      <c r="J149" s="35" t="n">
        <v>0.01</v>
      </c>
      <c r="K149" s="35" t="n">
        <v>0.01</v>
      </c>
      <c r="L149" s="35" t="n">
        <v>0.01</v>
      </c>
      <c r="M149" s="35" t="n">
        <v>0.01</v>
      </c>
      <c r="N149" s="35" t="n">
        <v>0.01</v>
      </c>
      <c r="O149" s="35" t="n">
        <v>0.01</v>
      </c>
      <c r="P149" s="35" t="n">
        <v>0.01</v>
      </c>
      <c r="Q149" s="35" t="n">
        <v>0.01</v>
      </c>
      <c r="R149" s="35" t="n">
        <v>0.01</v>
      </c>
      <c r="S149" s="35" t="n">
        <v>0.01</v>
      </c>
      <c r="T149" s="5" t="s">
        <v>1596</v>
      </c>
    </row>
    <row r="150" customFormat="false" ht="15" hidden="false" customHeight="false" outlineLevel="0" collapsed="false">
      <c r="B150" s="24" t="s">
        <v>1597</v>
      </c>
      <c r="C150" s="25" t="s">
        <v>170</v>
      </c>
      <c r="D150" s="28" t="s">
        <v>153</v>
      </c>
      <c r="E150" s="45" t="n">
        <v>0.0516</v>
      </c>
      <c r="T150" s="5" t="s">
        <v>1598</v>
      </c>
    </row>
    <row r="151" customFormat="false" ht="15" hidden="false" customHeight="false" outlineLevel="0" collapsed="false">
      <c r="B151" s="24" t="s">
        <v>1599</v>
      </c>
      <c r="C151" s="25" t="s">
        <v>160</v>
      </c>
      <c r="D151" s="28" t="s">
        <v>153</v>
      </c>
      <c r="G151" s="35" t="n">
        <v>0.01</v>
      </c>
      <c r="H151" s="35" t="n">
        <v>0.01</v>
      </c>
      <c r="I151" s="35" t="n">
        <v>0.01</v>
      </c>
      <c r="J151" s="35" t="n">
        <v>0.01</v>
      </c>
      <c r="K151" s="35" t="n">
        <v>0.01</v>
      </c>
      <c r="L151" s="35" t="n">
        <v>0.01</v>
      </c>
      <c r="M151" s="35" t="n">
        <v>0.01</v>
      </c>
      <c r="N151" s="35" t="n">
        <v>0.01</v>
      </c>
      <c r="O151" s="35" t="n">
        <v>0.01</v>
      </c>
      <c r="P151" s="35" t="n">
        <v>0.01</v>
      </c>
      <c r="Q151" s="35" t="n">
        <v>0.01</v>
      </c>
      <c r="R151" s="35" t="n">
        <v>0.01</v>
      </c>
      <c r="S151" s="35" t="n">
        <v>0.01</v>
      </c>
      <c r="T151" s="5" t="s">
        <v>1600</v>
      </c>
    </row>
    <row r="152" customFormat="false" ht="15" hidden="false" customHeight="false" outlineLevel="0" collapsed="false">
      <c r="B152" s="22" t="s">
        <v>1601</v>
      </c>
      <c r="C152" s="23"/>
      <c r="D152" s="23"/>
      <c r="E152" s="23"/>
      <c r="F152" s="23"/>
      <c r="G152" s="23"/>
      <c r="H152" s="23"/>
      <c r="I152" s="23"/>
      <c r="J152" s="23"/>
      <c r="K152" s="23"/>
      <c r="L152" s="23"/>
      <c r="M152" s="23"/>
      <c r="N152" s="23"/>
      <c r="O152" s="23"/>
      <c r="P152" s="23"/>
      <c r="Q152" s="23"/>
      <c r="R152" s="23"/>
      <c r="S152" s="23"/>
    </row>
    <row r="153" customFormat="false" ht="15" hidden="false" customHeight="false" outlineLevel="0" collapsed="false">
      <c r="B153" s="24" t="s">
        <v>1602</v>
      </c>
      <c r="C153" s="25" t="s">
        <v>170</v>
      </c>
      <c r="D153" s="28" t="s">
        <v>153</v>
      </c>
      <c r="E153" s="45" t="n">
        <v>0.04344148942</v>
      </c>
      <c r="T153" s="5" t="s">
        <v>1603</v>
      </c>
      <c r="U153" s="5" t="s">
        <v>1604</v>
      </c>
    </row>
    <row r="154" customFormat="false" ht="15" hidden="false" customHeight="false" outlineLevel="0" collapsed="false">
      <c r="B154" s="22" t="s">
        <v>1605</v>
      </c>
      <c r="C154" s="23"/>
      <c r="D154" s="23"/>
      <c r="E154" s="23"/>
      <c r="F154" s="23"/>
      <c r="G154" s="23"/>
      <c r="H154" s="23"/>
      <c r="I154" s="23"/>
      <c r="J154" s="23"/>
      <c r="K154" s="23"/>
      <c r="L154" s="23"/>
      <c r="M154" s="23"/>
      <c r="N154" s="23"/>
      <c r="O154" s="23"/>
      <c r="P154" s="23"/>
      <c r="Q154" s="23"/>
      <c r="R154" s="23"/>
      <c r="S154" s="23"/>
    </row>
    <row r="155" customFormat="false" ht="15" hidden="false" customHeight="false" outlineLevel="0" collapsed="false">
      <c r="B155" s="24" t="s">
        <v>1606</v>
      </c>
      <c r="C155" s="25" t="s">
        <v>170</v>
      </c>
      <c r="D155" s="28" t="s">
        <v>153</v>
      </c>
      <c r="E155" s="45" t="n">
        <v>0.29629731224</v>
      </c>
      <c r="T155" s="5" t="s">
        <v>1607</v>
      </c>
      <c r="U155" s="5" t="s">
        <v>1604</v>
      </c>
    </row>
    <row r="156" customFormat="false" ht="15" hidden="false" customHeight="false" outlineLevel="0" collapsed="false">
      <c r="B156" s="22" t="s">
        <v>1608</v>
      </c>
      <c r="C156" s="23"/>
      <c r="D156" s="23"/>
      <c r="E156" s="23"/>
      <c r="F156" s="23"/>
      <c r="G156" s="23"/>
      <c r="H156" s="23"/>
      <c r="I156" s="23"/>
      <c r="J156" s="23"/>
      <c r="K156" s="23"/>
      <c r="L156" s="23"/>
      <c r="M156" s="23"/>
      <c r="N156" s="23"/>
      <c r="O156" s="23"/>
      <c r="P156" s="23"/>
      <c r="Q156" s="23"/>
      <c r="R156" s="23"/>
      <c r="S156" s="23"/>
    </row>
    <row r="157" customFormat="false" ht="15" hidden="false" customHeight="false" outlineLevel="0" collapsed="false">
      <c r="B157" s="24" t="s">
        <v>1609</v>
      </c>
      <c r="C157" s="25" t="s">
        <v>170</v>
      </c>
      <c r="D157" s="28" t="s">
        <v>153</v>
      </c>
      <c r="E157" s="45" t="n">
        <v>0.08332161372</v>
      </c>
      <c r="T157" s="5" t="s">
        <v>1610</v>
      </c>
      <c r="U157" s="5" t="s">
        <v>1604</v>
      </c>
    </row>
    <row r="158" customFormat="false" ht="15" hidden="false" customHeight="false" outlineLevel="0" collapsed="false">
      <c r="B158" s="22" t="s">
        <v>1611</v>
      </c>
      <c r="C158" s="23"/>
      <c r="D158" s="23"/>
      <c r="E158" s="23"/>
      <c r="F158" s="23"/>
      <c r="G158" s="23"/>
      <c r="H158" s="23"/>
      <c r="I158" s="23"/>
      <c r="J158" s="23"/>
      <c r="K158" s="23"/>
      <c r="L158" s="23"/>
      <c r="M158" s="23"/>
      <c r="N158" s="23"/>
      <c r="O158" s="23"/>
      <c r="P158" s="23"/>
      <c r="Q158" s="23"/>
      <c r="R158" s="23"/>
      <c r="S158" s="23"/>
    </row>
    <row r="159" customFormat="false" ht="15" hidden="false" customHeight="false" outlineLevel="0" collapsed="false">
      <c r="B159" s="24" t="s">
        <v>1612</v>
      </c>
      <c r="C159" s="25" t="s">
        <v>170</v>
      </c>
      <c r="D159" s="28" t="s">
        <v>153</v>
      </c>
      <c r="E159" s="45" t="n">
        <v>0.01641999997</v>
      </c>
      <c r="T159" s="5" t="s">
        <v>1613</v>
      </c>
      <c r="U159" s="5" t="s">
        <v>1604</v>
      </c>
    </row>
  </sheetData>
  <hyperlinks>
    <hyperlink ref="C3" r:id="rId1" location="'E4%20WIN%20Input'!A1" display="Input"/>
    <hyperlink ref="D3" r:id="rId2" location="'E4%20WIN%20Calc'!A1" display="Calc"/>
    <hyperlink ref="E3" r:id="rId3" location="'E4%20WIN%20Output'!A1" display="Output"/>
    <hyperlink ref="F3" r:id="rId4" location="'Navigation'!A1" display="Navigation"/>
    <hyperlink ref="G3" r:id="rId5" location="'Global%20Inputs'!A1" display="Global Inputs"/>
    <hyperlink ref="H3" r:id="rId6" location="'Project%20Summary'!A1" display="Project Summary"/>
    <hyperlink ref="I3" r:id="rId7" location="'Funding%20Requirement'!A1" display="Funding"/>
    <hyperlink ref="J3" r:id="rId8" location="'FSL%20Financials%20—%20Without%20BUMN'!A1" display="FSL w/o BUMN"/>
    <hyperlink ref="K3" r:id="rId9" location="'FSL%20Financials%20—%20With%20BUMN'!A1" display="FSL w/ BUMN"/>
    <hyperlink ref="L3" r:id="rId10" location="'Valuation%20—%20Without%20BUMN'!A1" display="Val w/o BUMN"/>
    <hyperlink ref="M3" r:id="rId11" location="'Valuation%20—%20With%20BUMN'!A1" display="Val w/ BUMN"/>
    <hyperlink ref="N3" r:id="rId12" location="'Checks'!A1" display="Checks"/>
    <hyperlink ref="O3" r:id="rId13" location="'Model%20Flow'!A1" display="Model Flow"/>
  </hyperlink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BFBF"/>
    <pageSetUpPr fitToPage="true"/>
  </sheetPr>
  <dimension ref="B1:U20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5" ySplit="9" topLeftCell="F10" activePane="bottomRight" state="frozen"/>
      <selection pane="topLeft" activeCell="A1" activeCellId="0" sqref="A1"/>
      <selection pane="topRight" activeCell="F1" activeCellId="0" sqref="F1"/>
      <selection pane="bottomLeft" activeCell="A10" activeCellId="0" sqref="A10"/>
      <selection pane="bottomRigh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66"/>
    <col collapsed="false" customWidth="true" hidden="false" outlineLevel="0" max="3" min="3" style="0" width="11"/>
    <col collapsed="false" customWidth="true" hidden="false" outlineLevel="0" max="4" min="4" style="0" width="12"/>
    <col collapsed="false" customWidth="true" hidden="false" outlineLevel="0" max="5" min="5" style="0" width="13"/>
    <col collapsed="false" customWidth="true" hidden="false" outlineLevel="0" max="19" min="6" style="0" width="11.5"/>
    <col collapsed="false" customWidth="true" hidden="false" outlineLevel="0" max="20" min="20" style="0" width="40"/>
    <col collapsed="false" customWidth="true" hidden="false" outlineLevel="0" max="21" min="21" style="0" width="48"/>
  </cols>
  <sheetData>
    <row r="1" customFormat="false" ht="21.75" hidden="false" customHeight="true" outlineLevel="0" collapsed="false">
      <c r="B1" s="1" t="s">
        <v>1614</v>
      </c>
    </row>
    <row r="2" customFormat="false" ht="15" hidden="false" customHeight="false" outlineLevel="0" collapsed="false">
      <c r="B2" s="2" t="s">
        <v>1014</v>
      </c>
    </row>
    <row r="3" customFormat="false" ht="15" hidden="false" customHeight="false" outlineLevel="0" collapsed="false">
      <c r="B3" s="5" t="s">
        <v>112</v>
      </c>
      <c r="C3" s="17" t="s">
        <v>27</v>
      </c>
      <c r="D3" s="17" t="s">
        <v>28</v>
      </c>
      <c r="E3" s="17" t="s">
        <v>29</v>
      </c>
      <c r="F3" s="17" t="s">
        <v>113</v>
      </c>
      <c r="G3" s="17" t="s">
        <v>5</v>
      </c>
      <c r="H3" s="17" t="s">
        <v>7</v>
      </c>
      <c r="I3" s="17" t="s">
        <v>114</v>
      </c>
      <c r="J3" s="17" t="s">
        <v>115</v>
      </c>
      <c r="K3" s="17" t="s">
        <v>116</v>
      </c>
      <c r="L3" s="17" t="s">
        <v>117</v>
      </c>
      <c r="M3" s="17" t="s">
        <v>118</v>
      </c>
      <c r="N3" s="17" t="s">
        <v>21</v>
      </c>
      <c r="O3" s="17" t="s">
        <v>3</v>
      </c>
    </row>
    <row r="5" customFormat="false" ht="15" hidden="false" customHeight="false" outlineLevel="0" collapsed="false">
      <c r="B5" s="6" t="s">
        <v>119</v>
      </c>
      <c r="C5" s="6" t="s">
        <v>120</v>
      </c>
      <c r="D5" s="6" t="s">
        <v>121</v>
      </c>
      <c r="E5" s="6" t="s">
        <v>122</v>
      </c>
      <c r="F5" s="18" t="n">
        <f aca="false">'Global Inputs'!F$5</f>
        <v>2023</v>
      </c>
      <c r="G5" s="18" t="n">
        <f aca="false">'Global Inputs'!G$5</f>
        <v>2024</v>
      </c>
      <c r="H5" s="18" t="n">
        <f aca="false">'Global Inputs'!H$5</f>
        <v>2025</v>
      </c>
      <c r="I5" s="18" t="n">
        <f aca="false">'Global Inputs'!I$5</f>
        <v>2026</v>
      </c>
      <c r="J5" s="18" t="n">
        <f aca="false">'Global Inputs'!J$5</f>
        <v>2027</v>
      </c>
      <c r="K5" s="18" t="n">
        <f aca="false">'Global Inputs'!K$5</f>
        <v>2028</v>
      </c>
      <c r="L5" s="18" t="n">
        <f aca="false">'Global Inputs'!L$5</f>
        <v>2029</v>
      </c>
      <c r="M5" s="18" t="n">
        <f aca="false">'Global Inputs'!M$5</f>
        <v>2030</v>
      </c>
      <c r="N5" s="18" t="n">
        <f aca="false">'Global Inputs'!N$5</f>
        <v>2031</v>
      </c>
      <c r="O5" s="18" t="n">
        <f aca="false">'Global Inputs'!O$5</f>
        <v>2032</v>
      </c>
      <c r="P5" s="18" t="n">
        <f aca="false">'Global Inputs'!P$5</f>
        <v>2033</v>
      </c>
      <c r="Q5" s="18" t="n">
        <f aca="false">'Global Inputs'!Q$5</f>
        <v>2034</v>
      </c>
      <c r="R5" s="18" t="n">
        <f aca="false">'Global Inputs'!R$5</f>
        <v>2035</v>
      </c>
      <c r="S5" s="18" t="n">
        <f aca="false">'Global Inputs'!S$5</f>
        <v>2036</v>
      </c>
      <c r="T5" s="6" t="s">
        <v>123</v>
      </c>
      <c r="U5" s="6" t="s">
        <v>124</v>
      </c>
    </row>
    <row r="6" customFormat="false" ht="15" hidden="false" customHeight="false" outlineLevel="0" collapsed="false">
      <c r="B6" s="19" t="s">
        <v>125</v>
      </c>
      <c r="F6" s="20" t="n">
        <f aca="false">'Global Inputs'!F$6</f>
        <v>45291</v>
      </c>
      <c r="G6" s="20" t="n">
        <f aca="false">'Global Inputs'!G$6</f>
        <v>45657</v>
      </c>
      <c r="H6" s="20" t="n">
        <f aca="false">'Global Inputs'!H$6</f>
        <v>46022</v>
      </c>
      <c r="I6" s="20" t="n">
        <f aca="false">'Global Inputs'!I$6</f>
        <v>46387</v>
      </c>
      <c r="J6" s="20" t="n">
        <f aca="false">'Global Inputs'!J$6</f>
        <v>46752</v>
      </c>
      <c r="K6" s="20" t="n">
        <f aca="false">'Global Inputs'!K$6</f>
        <v>47118</v>
      </c>
      <c r="L6" s="20" t="n">
        <f aca="false">'Global Inputs'!L$6</f>
        <v>47483</v>
      </c>
      <c r="M6" s="20" t="n">
        <f aca="false">'Global Inputs'!M$6</f>
        <v>47848</v>
      </c>
      <c r="N6" s="20" t="n">
        <f aca="false">'Global Inputs'!N$6</f>
        <v>48213</v>
      </c>
      <c r="O6" s="20" t="n">
        <f aca="false">'Global Inputs'!O$6</f>
        <v>48579</v>
      </c>
      <c r="P6" s="20" t="n">
        <f aca="false">'Global Inputs'!P$6</f>
        <v>48944</v>
      </c>
      <c r="Q6" s="20" t="n">
        <f aca="false">'Global Inputs'!Q$6</f>
        <v>49309</v>
      </c>
      <c r="R6" s="20" t="n">
        <f aca="false">'Global Inputs'!R$6</f>
        <v>49674</v>
      </c>
      <c r="S6" s="20" t="n">
        <f aca="false">'Global Inputs'!S$6</f>
        <v>50040</v>
      </c>
    </row>
    <row r="7" customFormat="false" ht="15" hidden="false" customHeight="false" outlineLevel="0" collapsed="false">
      <c r="B7" s="19" t="s">
        <v>126</v>
      </c>
      <c r="F7" s="21" t="n">
        <f aca="false">'Global Inputs'!F$7</f>
        <v>365</v>
      </c>
      <c r="G7" s="21" t="n">
        <f aca="false">'Global Inputs'!G$7</f>
        <v>366</v>
      </c>
      <c r="H7" s="21" t="n">
        <f aca="false">'Global Inputs'!H$7</f>
        <v>365</v>
      </c>
      <c r="I7" s="21" t="n">
        <f aca="false">'Global Inputs'!I$7</f>
        <v>365</v>
      </c>
      <c r="J7" s="21" t="n">
        <f aca="false">'Global Inputs'!J$7</f>
        <v>365</v>
      </c>
      <c r="K7" s="21" t="n">
        <f aca="false">'Global Inputs'!K$7</f>
        <v>366</v>
      </c>
      <c r="L7" s="21" t="n">
        <f aca="false">'Global Inputs'!L$7</f>
        <v>365</v>
      </c>
      <c r="M7" s="21" t="n">
        <f aca="false">'Global Inputs'!M$7</f>
        <v>365</v>
      </c>
      <c r="N7" s="21" t="n">
        <f aca="false">'Global Inputs'!N$7</f>
        <v>365</v>
      </c>
      <c r="O7" s="21" t="n">
        <f aca="false">'Global Inputs'!O$7</f>
        <v>366</v>
      </c>
      <c r="P7" s="21" t="n">
        <f aca="false">'Global Inputs'!P$7</f>
        <v>365</v>
      </c>
      <c r="Q7" s="21" t="n">
        <f aca="false">'Global Inputs'!Q$7</f>
        <v>365</v>
      </c>
      <c r="R7" s="21" t="n">
        <f aca="false">'Global Inputs'!R$7</f>
        <v>365</v>
      </c>
      <c r="S7" s="21" t="n">
        <f aca="false">'Global Inputs'!S$7</f>
        <v>366</v>
      </c>
    </row>
    <row r="8" customFormat="false" ht="15" hidden="false" customHeight="false" outlineLevel="0" collapsed="false">
      <c r="B8" s="19" t="s">
        <v>127</v>
      </c>
      <c r="F8" s="21" t="n">
        <f aca="false">'Global Inputs'!F$8</f>
        <v>0</v>
      </c>
      <c r="G8" s="21" t="n">
        <f aca="false">'Global Inputs'!G$8</f>
        <v>1</v>
      </c>
      <c r="H8" s="21" t="n">
        <f aca="false">'Global Inputs'!H$8</f>
        <v>1</v>
      </c>
      <c r="I8" s="21" t="n">
        <f aca="false">'Global Inputs'!I$8</f>
        <v>1</v>
      </c>
      <c r="J8" s="21" t="n">
        <f aca="false">'Global Inputs'!J$8</f>
        <v>1</v>
      </c>
      <c r="K8" s="21" t="n">
        <f aca="false">'Global Inputs'!K$8</f>
        <v>1</v>
      </c>
      <c r="L8" s="21" t="n">
        <f aca="false">'Global Inputs'!L$8</f>
        <v>1</v>
      </c>
      <c r="M8" s="21" t="n">
        <f aca="false">'Global Inputs'!M$8</f>
        <v>1</v>
      </c>
      <c r="N8" s="21" t="n">
        <f aca="false">'Global Inputs'!N$8</f>
        <v>1</v>
      </c>
      <c r="O8" s="21" t="n">
        <f aca="false">'Global Inputs'!O$8</f>
        <v>1</v>
      </c>
      <c r="P8" s="21" t="n">
        <f aca="false">'Global Inputs'!P$8</f>
        <v>1</v>
      </c>
      <c r="Q8" s="21" t="n">
        <f aca="false">'Global Inputs'!Q$8</f>
        <v>1</v>
      </c>
      <c r="R8" s="21" t="n">
        <f aca="false">'Global Inputs'!R$8</f>
        <v>1</v>
      </c>
      <c r="S8" s="21" t="n">
        <f aca="false">'Global Inputs'!S$8</f>
        <v>1</v>
      </c>
    </row>
    <row r="10" customFormat="false" ht="15" hidden="false" customHeight="false" outlineLevel="0" collapsed="false">
      <c r="B10" s="22" t="s">
        <v>1015</v>
      </c>
      <c r="C10" s="23"/>
      <c r="D10" s="23"/>
      <c r="E10" s="23"/>
      <c r="F10" s="23"/>
      <c r="G10" s="23"/>
      <c r="H10" s="23"/>
      <c r="I10" s="23"/>
      <c r="J10" s="23"/>
      <c r="K10" s="23"/>
      <c r="L10" s="23"/>
      <c r="M10" s="23"/>
      <c r="N10" s="23"/>
      <c r="O10" s="23"/>
      <c r="P10" s="23"/>
      <c r="Q10" s="23"/>
      <c r="R10" s="23"/>
      <c r="S10" s="23"/>
    </row>
    <row r="11" customFormat="false" ht="15" hidden="false" customHeight="false" outlineLevel="0" collapsed="false">
      <c r="B11" s="24" t="s">
        <v>1016</v>
      </c>
      <c r="C11" s="25" t="s">
        <v>143</v>
      </c>
      <c r="F11" s="30" t="n">
        <f aca="false">F$8</f>
        <v>0</v>
      </c>
      <c r="G11" s="30" t="n">
        <f aca="false">G$8</f>
        <v>1</v>
      </c>
      <c r="H11" s="30" t="n">
        <f aca="false">H$8</f>
        <v>1</v>
      </c>
      <c r="I11" s="30" t="n">
        <f aca="false">I$8</f>
        <v>1</v>
      </c>
      <c r="J11" s="30" t="n">
        <f aca="false">J$8</f>
        <v>1</v>
      </c>
      <c r="K11" s="30" t="n">
        <f aca="false">K$8</f>
        <v>1</v>
      </c>
      <c r="L11" s="30" t="n">
        <f aca="false">L$8</f>
        <v>1</v>
      </c>
      <c r="M11" s="30" t="n">
        <f aca="false">M$8</f>
        <v>1</v>
      </c>
      <c r="N11" s="30" t="n">
        <f aca="false">N$8</f>
        <v>1</v>
      </c>
      <c r="O11" s="30" t="n">
        <f aca="false">O$8</f>
        <v>1</v>
      </c>
      <c r="P11" s="30" t="n">
        <f aca="false">P$8</f>
        <v>1</v>
      </c>
      <c r="Q11" s="30" t="n">
        <f aca="false">Q$8</f>
        <v>1</v>
      </c>
      <c r="R11" s="30" t="n">
        <f aca="false">R$8</f>
        <v>1</v>
      </c>
      <c r="S11" s="30" t="n">
        <f aca="false">S$8</f>
        <v>1</v>
      </c>
    </row>
    <row r="13" customFormat="false" ht="15" hidden="false" customHeight="false" outlineLevel="0" collapsed="false">
      <c r="B13" s="22" t="s">
        <v>1615</v>
      </c>
      <c r="C13" s="23"/>
      <c r="D13" s="23"/>
      <c r="E13" s="23"/>
      <c r="F13" s="23"/>
      <c r="G13" s="23"/>
      <c r="H13" s="23"/>
      <c r="I13" s="23"/>
      <c r="J13" s="23"/>
      <c r="K13" s="23"/>
      <c r="L13" s="23"/>
      <c r="M13" s="23"/>
      <c r="N13" s="23"/>
      <c r="O13" s="23"/>
      <c r="P13" s="23"/>
      <c r="Q13" s="23"/>
      <c r="R13" s="23"/>
      <c r="S13" s="23"/>
    </row>
    <row r="14" customFormat="false" ht="15" hidden="false" customHeight="false" outlineLevel="0" collapsed="false">
      <c r="B14" s="24" t="s">
        <v>1616</v>
      </c>
      <c r="C14" s="25" t="s">
        <v>1019</v>
      </c>
      <c r="F14" s="104" t="n">
        <f aca="false">1</f>
        <v>1</v>
      </c>
      <c r="G14" s="104" t="n">
        <f aca="false">F14*(1+'E4 WIN Input'!G28)*G$8</f>
        <v>1.05</v>
      </c>
      <c r="H14" s="104" t="n">
        <f aca="false">G14*(1+'E4 WIN Input'!H28)*H$8</f>
        <v>1.1025</v>
      </c>
      <c r="I14" s="104" t="n">
        <f aca="false">H14*(1+'E4 WIN Input'!I28)*I$8</f>
        <v>1.157625</v>
      </c>
      <c r="J14" s="104" t="n">
        <f aca="false">I14*(1+'E4 WIN Input'!J28)*J$8</f>
        <v>1.21550625</v>
      </c>
      <c r="K14" s="104" t="n">
        <f aca="false">J14*(1+'E4 WIN Input'!K28)*K$8</f>
        <v>1.2762815625</v>
      </c>
      <c r="L14" s="104" t="n">
        <f aca="false">K14*(1+'E4 WIN Input'!L28)*L$8</f>
        <v>1.340095640625</v>
      </c>
      <c r="M14" s="104" t="n">
        <f aca="false">L14*(1+'E4 WIN Input'!M28)*M$8</f>
        <v>1.40710042265625</v>
      </c>
      <c r="N14" s="104" t="n">
        <f aca="false">M14*(1+'E4 WIN Input'!N28)*N$8</f>
        <v>1.47745544378906</v>
      </c>
      <c r="O14" s="104" t="n">
        <f aca="false">N14*(1+'E4 WIN Input'!O28)*O$8</f>
        <v>1.55132821597852</v>
      </c>
      <c r="P14" s="104" t="n">
        <f aca="false">O14*(1+'E4 WIN Input'!P28)*P$8</f>
        <v>1.62889462677744</v>
      </c>
      <c r="Q14" s="104" t="n">
        <f aca="false">P14*(1+'E4 WIN Input'!Q28)*Q$8</f>
        <v>1.71033935811631</v>
      </c>
      <c r="R14" s="104" t="n">
        <f aca="false">Q14*(1+'E4 WIN Input'!R28)*R$8</f>
        <v>1.79585632602213</v>
      </c>
      <c r="S14" s="104" t="n">
        <f aca="false">R14*(1+'E4 WIN Input'!S28)*S$8</f>
        <v>1.88564914232324</v>
      </c>
    </row>
    <row r="15" customFormat="false" ht="15" hidden="false" customHeight="false" outlineLevel="0" collapsed="false">
      <c r="B15" s="24" t="s">
        <v>1617</v>
      </c>
      <c r="C15" s="25" t="s">
        <v>900</v>
      </c>
      <c r="E15" s="31" t="n">
        <f aca="false">SUM(F15:S15)</f>
        <v>6786928.56874007</v>
      </c>
      <c r="F15" s="31" t="n">
        <f aca="false">'E4 WIN Input'!$E$27*F14</f>
        <v>346296.036</v>
      </c>
      <c r="G15" s="31" t="n">
        <f aca="false">'E4 WIN Input'!$E$27*G14</f>
        <v>363610.8378</v>
      </c>
      <c r="H15" s="31" t="n">
        <f aca="false">'E4 WIN Input'!$E$27*H14</f>
        <v>381791.37969</v>
      </c>
      <c r="I15" s="31" t="n">
        <f aca="false">'E4 WIN Input'!$E$27*I14</f>
        <v>400880.9486745</v>
      </c>
      <c r="J15" s="31" t="n">
        <f aca="false">'E4 WIN Input'!$E$27*J14</f>
        <v>420924.996108225</v>
      </c>
      <c r="K15" s="31" t="n">
        <f aca="false">'E4 WIN Input'!$E$27*K14</f>
        <v>441971.245913636</v>
      </c>
      <c r="L15" s="31" t="n">
        <f aca="false">'E4 WIN Input'!$E$27*L14</f>
        <v>464069.808209318</v>
      </c>
      <c r="M15" s="31" t="n">
        <f aca="false">'E4 WIN Input'!$E$27*M14</f>
        <v>487273.298619784</v>
      </c>
      <c r="N15" s="31" t="n">
        <f aca="false">'E4 WIN Input'!$E$27*N14</f>
        <v>511636.963550773</v>
      </c>
      <c r="O15" s="31" t="n">
        <f aca="false">'E4 WIN Input'!$E$27*O14</f>
        <v>537218.811728312</v>
      </c>
      <c r="P15" s="31" t="n">
        <f aca="false">'E4 WIN Input'!$E$27*P14</f>
        <v>564079.752314728</v>
      </c>
      <c r="Q15" s="31" t="n">
        <f aca="false">'E4 WIN Input'!$E$27*Q14</f>
        <v>592283.739930464</v>
      </c>
      <c r="R15" s="31" t="n">
        <f aca="false">'E4 WIN Input'!$E$27*R14</f>
        <v>621897.926926987</v>
      </c>
      <c r="S15" s="31" t="n">
        <f aca="false">'E4 WIN Input'!$E$27*S14</f>
        <v>652992.823273337</v>
      </c>
    </row>
    <row r="16" customFormat="false" ht="15" hidden="false" customHeight="false" outlineLevel="0" collapsed="false">
      <c r="B16" s="24" t="s">
        <v>1618</v>
      </c>
      <c r="C16" s="25" t="s">
        <v>905</v>
      </c>
      <c r="F16" s="31" t="n">
        <f aca="false">'E4 WIN Input'!F29</f>
        <v>0</v>
      </c>
      <c r="G16" s="31" t="n">
        <f aca="false">'E4 WIN Input'!G29</f>
        <v>12328.6210616914</v>
      </c>
      <c r="H16" s="31" t="n">
        <f aca="false">'E4 WIN Input'!H29</f>
        <v>2575</v>
      </c>
      <c r="I16" s="31" t="n">
        <f aca="false">'E4 WIN Input'!I29</f>
        <v>2652.25</v>
      </c>
      <c r="J16" s="31" t="n">
        <f aca="false">'E4 WIN Input'!J29</f>
        <v>2731.8175</v>
      </c>
      <c r="K16" s="31" t="n">
        <f aca="false">'E4 WIN Input'!K29</f>
        <v>2813.772025</v>
      </c>
      <c r="L16" s="31" t="n">
        <f aca="false">'E4 WIN Input'!L29</f>
        <v>2898.18518575</v>
      </c>
      <c r="M16" s="31" t="n">
        <f aca="false">'E4 WIN Input'!M29</f>
        <v>2985.1307413225</v>
      </c>
      <c r="N16" s="31" t="n">
        <f aca="false">'E4 WIN Input'!N29</f>
        <v>3074.68466356218</v>
      </c>
      <c r="O16" s="31" t="n">
        <f aca="false">'E4 WIN Input'!O29</f>
        <v>3166.92520346904</v>
      </c>
      <c r="P16" s="31" t="n">
        <f aca="false">'E4 WIN Input'!P29</f>
        <v>3261.93295957311</v>
      </c>
      <c r="Q16" s="31" t="n">
        <f aca="false">'E4 WIN Input'!Q29</f>
        <v>3261.93295957311</v>
      </c>
      <c r="R16" s="31" t="n">
        <f aca="false">'E4 WIN Input'!R29</f>
        <v>3261.93295957311</v>
      </c>
      <c r="S16" s="31" t="n">
        <f aca="false">'E4 WIN Input'!S29</f>
        <v>3261.93295957311</v>
      </c>
    </row>
    <row r="17" customFormat="false" ht="15" hidden="false" customHeight="false" outlineLevel="0" collapsed="false">
      <c r="B17" s="24" t="s">
        <v>1619</v>
      </c>
      <c r="C17" s="25" t="s">
        <v>170</v>
      </c>
      <c r="E17" s="47" t="n">
        <f aca="false">SUM(F17:S17)</f>
        <v>22.9272433429039</v>
      </c>
      <c r="F17" s="47" t="n">
        <f aca="false">F15*F16/10^9</f>
        <v>0</v>
      </c>
      <c r="G17" s="47" t="n">
        <f aca="false">G15*G16/10^9</f>
        <v>4.48282023316033</v>
      </c>
      <c r="H17" s="47" t="n">
        <f aca="false">H15*H16/10^9</f>
        <v>0.98311280270175</v>
      </c>
      <c r="I17" s="47" t="n">
        <f aca="false">I15*I16/10^9</f>
        <v>1.06323649612194</v>
      </c>
      <c r="J17" s="47" t="n">
        <f aca="false">J15*J16/10^9</f>
        <v>1.14989027055588</v>
      </c>
      <c r="K17" s="47" t="n">
        <f aca="false">K15*K16/10^9</f>
        <v>1.24360632760619</v>
      </c>
      <c r="L17" s="47" t="n">
        <f aca="false">L15*L16/10^9</f>
        <v>1.34496024330609</v>
      </c>
      <c r="M17" s="47" t="n">
        <f aca="false">M15*M16/10^9</f>
        <v>1.45457450313554</v>
      </c>
      <c r="N17" s="47" t="n">
        <f aca="false">N15*N16/10^9</f>
        <v>1.57312232514108</v>
      </c>
      <c r="O17" s="47" t="n">
        <f aca="false">O15*O16/10^9</f>
        <v>1.70133179464008</v>
      </c>
      <c r="P17" s="47" t="n">
        <f aca="false">P15*P16/10^9</f>
        <v>1.83999033590325</v>
      </c>
      <c r="Q17" s="47" t="n">
        <f aca="false">Q15*Q16/10^9</f>
        <v>1.93198985269841</v>
      </c>
      <c r="R17" s="47" t="n">
        <f aca="false">R15*R16/10^9</f>
        <v>2.02858934533333</v>
      </c>
      <c r="S17" s="47" t="n">
        <f aca="false">S15*S16/10^9</f>
        <v>2.1300188126</v>
      </c>
    </row>
    <row r="18" customFormat="false" ht="15" hidden="false" customHeight="false" outlineLevel="0" collapsed="false">
      <c r="B18" s="24" t="s">
        <v>1620</v>
      </c>
      <c r="C18" s="25" t="s">
        <v>1019</v>
      </c>
      <c r="F18" s="104" t="n">
        <f aca="false">1</f>
        <v>1</v>
      </c>
      <c r="G18" s="104" t="n">
        <f aca="false">F18*(1+'E4 WIN Input'!G31)*G$8</f>
        <v>1.05</v>
      </c>
      <c r="H18" s="104" t="n">
        <f aca="false">G18*(1+'E4 WIN Input'!H31)*H$8</f>
        <v>1.1025</v>
      </c>
      <c r="I18" s="104" t="n">
        <f aca="false">H18*(1+'E4 WIN Input'!I31)*I$8</f>
        <v>1.157625</v>
      </c>
      <c r="J18" s="104" t="n">
        <f aca="false">I18*(1+'E4 WIN Input'!J31)*J$8</f>
        <v>1.21550625</v>
      </c>
      <c r="K18" s="104" t="n">
        <f aca="false">J18*(1+'E4 WIN Input'!K31)*K$8</f>
        <v>1.2762815625</v>
      </c>
      <c r="L18" s="104" t="n">
        <f aca="false">K18*(1+'E4 WIN Input'!L31)*L$8</f>
        <v>1.340095640625</v>
      </c>
      <c r="M18" s="104" t="n">
        <f aca="false">L18*(1+'E4 WIN Input'!M31)*M$8</f>
        <v>1.40710042265625</v>
      </c>
      <c r="N18" s="104" t="n">
        <f aca="false">M18*(1+'E4 WIN Input'!N31)*N$8</f>
        <v>1.47745544378906</v>
      </c>
      <c r="O18" s="104" t="n">
        <f aca="false">N18*(1+'E4 WIN Input'!O31)*O$8</f>
        <v>1.55132821597852</v>
      </c>
      <c r="P18" s="104" t="n">
        <f aca="false">O18*(1+'E4 WIN Input'!P31)*P$8</f>
        <v>1.62889462677744</v>
      </c>
      <c r="Q18" s="104" t="n">
        <f aca="false">P18*(1+'E4 WIN Input'!Q31)*Q$8</f>
        <v>1.71033935811631</v>
      </c>
      <c r="R18" s="104" t="n">
        <f aca="false">Q18*(1+'E4 WIN Input'!R31)*R$8</f>
        <v>1.79585632602213</v>
      </c>
      <c r="S18" s="104" t="n">
        <f aca="false">R18*(1+'E4 WIN Input'!S31)*S$8</f>
        <v>1.88564914232324</v>
      </c>
    </row>
    <row r="19" customFormat="false" ht="15" hidden="false" customHeight="false" outlineLevel="0" collapsed="false">
      <c r="B19" s="24" t="s">
        <v>1621</v>
      </c>
      <c r="C19" s="25" t="s">
        <v>900</v>
      </c>
      <c r="E19" s="31" t="n">
        <f aca="false">SUM(F19:S19)</f>
        <v>4413609.57203921</v>
      </c>
      <c r="F19" s="31" t="n">
        <f aca="false">'E4 WIN Input'!$E$30*F18</f>
        <v>225199.88</v>
      </c>
      <c r="G19" s="31" t="n">
        <f aca="false">'E4 WIN Input'!$E$30*G18</f>
        <v>236459.874</v>
      </c>
      <c r="H19" s="31" t="n">
        <f aca="false">'E4 WIN Input'!$E$30*H18</f>
        <v>248282.8677</v>
      </c>
      <c r="I19" s="31" t="n">
        <f aca="false">'E4 WIN Input'!$E$30*I18</f>
        <v>260697.011085</v>
      </c>
      <c r="J19" s="31" t="n">
        <f aca="false">'E4 WIN Input'!$E$30*J18</f>
        <v>273731.86163925</v>
      </c>
      <c r="K19" s="31" t="n">
        <f aca="false">'E4 WIN Input'!$E$30*K18</f>
        <v>287418.454721213</v>
      </c>
      <c r="L19" s="31" t="n">
        <f aca="false">'E4 WIN Input'!$E$30*L18</f>
        <v>301789.377457273</v>
      </c>
      <c r="M19" s="31" t="n">
        <f aca="false">'E4 WIN Input'!$E$30*M18</f>
        <v>316878.846330137</v>
      </c>
      <c r="N19" s="31" t="n">
        <f aca="false">'E4 WIN Input'!$E$30*N18</f>
        <v>332722.788646644</v>
      </c>
      <c r="O19" s="31" t="n">
        <f aca="false">'E4 WIN Input'!$E$30*O18</f>
        <v>349358.928078976</v>
      </c>
      <c r="P19" s="31" t="n">
        <f aca="false">'E4 WIN Input'!$E$30*P18</f>
        <v>366826.874482925</v>
      </c>
      <c r="Q19" s="31" t="n">
        <f aca="false">'E4 WIN Input'!$E$30*Q18</f>
        <v>385168.218207071</v>
      </c>
      <c r="R19" s="31" t="n">
        <f aca="false">'E4 WIN Input'!$E$30*R18</f>
        <v>404426.629117425</v>
      </c>
      <c r="S19" s="31" t="n">
        <f aca="false">'E4 WIN Input'!$E$30*S18</f>
        <v>424647.960573296</v>
      </c>
    </row>
    <row r="20" customFormat="false" ht="15" hidden="false" customHeight="false" outlineLevel="0" collapsed="false">
      <c r="B20" s="24" t="s">
        <v>1622</v>
      </c>
      <c r="C20" s="25" t="s">
        <v>905</v>
      </c>
      <c r="F20" s="31" t="n">
        <f aca="false">'E4 WIN Input'!F32</f>
        <v>0</v>
      </c>
      <c r="G20" s="31" t="n">
        <f aca="false">'E4 WIN Input'!G32</f>
        <v>57137.3691142518</v>
      </c>
      <c r="H20" s="31" t="n">
        <f aca="false">'E4 WIN Input'!H32</f>
        <v>3605</v>
      </c>
      <c r="I20" s="31" t="n">
        <f aca="false">'E4 WIN Input'!I32</f>
        <v>3713.15</v>
      </c>
      <c r="J20" s="31" t="n">
        <f aca="false">'E4 WIN Input'!J32</f>
        <v>3824.5445</v>
      </c>
      <c r="K20" s="31" t="n">
        <f aca="false">'E4 WIN Input'!K32</f>
        <v>3939.280835</v>
      </c>
      <c r="L20" s="31" t="n">
        <f aca="false">'E4 WIN Input'!L32</f>
        <v>4057.45926005</v>
      </c>
      <c r="M20" s="31" t="n">
        <f aca="false">'E4 WIN Input'!M32</f>
        <v>4179.1830378515</v>
      </c>
      <c r="N20" s="31" t="n">
        <f aca="false">'E4 WIN Input'!N32</f>
        <v>4304.55852898705</v>
      </c>
      <c r="O20" s="31" t="n">
        <f aca="false">'E4 WIN Input'!O32</f>
        <v>4433.69528485666</v>
      </c>
      <c r="P20" s="31" t="n">
        <f aca="false">'E4 WIN Input'!P32</f>
        <v>4566.70614340236</v>
      </c>
      <c r="Q20" s="31" t="n">
        <f aca="false">'E4 WIN Input'!Q32</f>
        <v>4566.70614340236</v>
      </c>
      <c r="R20" s="31" t="n">
        <f aca="false">'E4 WIN Input'!R32</f>
        <v>4566.70614340236</v>
      </c>
      <c r="S20" s="31" t="n">
        <f aca="false">'E4 WIN Input'!S32</f>
        <v>4566.70614340236</v>
      </c>
    </row>
    <row r="21" customFormat="false" ht="15" hidden="false" customHeight="false" outlineLevel="0" collapsed="false">
      <c r="B21" s="24" t="s">
        <v>1623</v>
      </c>
      <c r="C21" s="25" t="s">
        <v>170</v>
      </c>
      <c r="E21" s="47" t="n">
        <f aca="false">SUM(F21:S21)</f>
        <v>30.3031328276964</v>
      </c>
      <c r="F21" s="47" t="n">
        <f aca="false">F19*F20/10^9</f>
        <v>0</v>
      </c>
      <c r="G21" s="47" t="n">
        <f aca="false">G19*G20/10^9</f>
        <v>13.5106951014475</v>
      </c>
      <c r="H21" s="47" t="n">
        <f aca="false">H19*H20/10^9</f>
        <v>0.8950597380585</v>
      </c>
      <c r="I21" s="47" t="n">
        <f aca="false">I19*I20/10^9</f>
        <v>0.968007106710268</v>
      </c>
      <c r="J21" s="47" t="n">
        <f aca="false">J19*J20/10^9</f>
        <v>1.04689968590715</v>
      </c>
      <c r="K21" s="47" t="n">
        <f aca="false">K19*K20/10^9</f>
        <v>1.13222201030859</v>
      </c>
      <c r="L21" s="47" t="n">
        <f aca="false">L19*L20/10^9</f>
        <v>1.22449810414874</v>
      </c>
      <c r="M21" s="47" t="n">
        <f aca="false">M19*M20/10^9</f>
        <v>1.32429469963686</v>
      </c>
      <c r="N21" s="47" t="n">
        <f aca="false">N19*N20/10^9</f>
        <v>1.43222471765726</v>
      </c>
      <c r="O21" s="47" t="n">
        <f aca="false">O19*O20/10^9</f>
        <v>1.54895103214633</v>
      </c>
      <c r="P21" s="47" t="n">
        <f aca="false">P19*P20/10^9</f>
        <v>1.67519054126626</v>
      </c>
      <c r="Q21" s="47" t="n">
        <f aca="false">Q19*Q20/10^9</f>
        <v>1.75895006832957</v>
      </c>
      <c r="R21" s="47" t="n">
        <f aca="false">R19*R20/10^9</f>
        <v>1.84689757174605</v>
      </c>
      <c r="S21" s="47" t="n">
        <f aca="false">S19*S20/10^9</f>
        <v>1.93924245033335</v>
      </c>
    </row>
    <row r="22" customFormat="false" ht="15" hidden="false" customHeight="false" outlineLevel="0" collapsed="false">
      <c r="B22" s="24" t="s">
        <v>1624</v>
      </c>
      <c r="C22" s="25" t="s">
        <v>1019</v>
      </c>
      <c r="F22" s="104" t="n">
        <f aca="false">1</f>
        <v>1</v>
      </c>
      <c r="G22" s="104" t="n">
        <f aca="false">F22*(1+'E4 WIN Input'!G34)*G$8</f>
        <v>1.05</v>
      </c>
      <c r="H22" s="104" t="n">
        <f aca="false">G22*(1+'E4 WIN Input'!H34)*H$8</f>
        <v>1.1025</v>
      </c>
      <c r="I22" s="104" t="n">
        <f aca="false">H22*(1+'E4 WIN Input'!I34)*I$8</f>
        <v>1.157625</v>
      </c>
      <c r="J22" s="104" t="n">
        <f aca="false">I22*(1+'E4 WIN Input'!J34)*J$8</f>
        <v>1.21550625</v>
      </c>
      <c r="K22" s="104" t="n">
        <f aca="false">J22*(1+'E4 WIN Input'!K34)*K$8</f>
        <v>1.2762815625</v>
      </c>
      <c r="L22" s="104" t="n">
        <f aca="false">K22*(1+'E4 WIN Input'!L34)*L$8</f>
        <v>1.340095640625</v>
      </c>
      <c r="M22" s="104" t="n">
        <f aca="false">L22*(1+'E4 WIN Input'!M34)*M$8</f>
        <v>1.40710042265625</v>
      </c>
      <c r="N22" s="104" t="n">
        <f aca="false">M22*(1+'E4 WIN Input'!N34)*N$8</f>
        <v>1.47745544378906</v>
      </c>
      <c r="O22" s="104" t="n">
        <f aca="false">N22*(1+'E4 WIN Input'!O34)*O$8</f>
        <v>1.55132821597852</v>
      </c>
      <c r="P22" s="104" t="n">
        <f aca="false">O22*(1+'E4 WIN Input'!P34)*P$8</f>
        <v>1.62889462677744</v>
      </c>
      <c r="Q22" s="104" t="n">
        <f aca="false">P22*(1+'E4 WIN Input'!Q34)*Q$8</f>
        <v>1.71033935811631</v>
      </c>
      <c r="R22" s="104" t="n">
        <f aca="false">Q22*(1+'E4 WIN Input'!R34)*R$8</f>
        <v>1.79585632602213</v>
      </c>
      <c r="S22" s="104" t="n">
        <f aca="false">R22*(1+'E4 WIN Input'!S34)*S$8</f>
        <v>1.88564914232324</v>
      </c>
    </row>
    <row r="23" customFormat="false" ht="15" hidden="false" customHeight="false" outlineLevel="0" collapsed="false">
      <c r="B23" s="24" t="s">
        <v>1625</v>
      </c>
      <c r="C23" s="25" t="s">
        <v>900</v>
      </c>
      <c r="E23" s="31" t="n">
        <f aca="false">SUM(F23:S23)</f>
        <v>5798196.6935719</v>
      </c>
      <c r="F23" s="31" t="n">
        <f aca="false">'E4 WIN Input'!$E$33*F22</f>
        <v>295847.011</v>
      </c>
      <c r="G23" s="31" t="n">
        <f aca="false">'E4 WIN Input'!$E$33*G22</f>
        <v>310639.36155</v>
      </c>
      <c r="H23" s="31" t="n">
        <f aca="false">'E4 WIN Input'!$E$33*H22</f>
        <v>326171.3296275</v>
      </c>
      <c r="I23" s="31" t="n">
        <f aca="false">'E4 WIN Input'!$E$33*I22</f>
        <v>342479.896108875</v>
      </c>
      <c r="J23" s="31" t="n">
        <f aca="false">'E4 WIN Input'!$E$33*J22</f>
        <v>359603.890914319</v>
      </c>
      <c r="K23" s="31" t="n">
        <f aca="false">'E4 WIN Input'!$E$33*K22</f>
        <v>377584.085460035</v>
      </c>
      <c r="L23" s="31" t="n">
        <f aca="false">'E4 WIN Input'!$E$33*L22</f>
        <v>396463.289733037</v>
      </c>
      <c r="M23" s="31" t="n">
        <f aca="false">'E4 WIN Input'!$E$33*M22</f>
        <v>416286.454219688</v>
      </c>
      <c r="N23" s="31" t="n">
        <f aca="false">'E4 WIN Input'!$E$33*N22</f>
        <v>437100.776930673</v>
      </c>
      <c r="O23" s="31" t="n">
        <f aca="false">'E4 WIN Input'!$E$33*O22</f>
        <v>458955.815777206</v>
      </c>
      <c r="P23" s="31" t="n">
        <f aca="false">'E4 WIN Input'!$E$33*P22</f>
        <v>481903.606566067</v>
      </c>
      <c r="Q23" s="31" t="n">
        <f aca="false">'E4 WIN Input'!$E$33*Q22</f>
        <v>505998.78689437</v>
      </c>
      <c r="R23" s="31" t="n">
        <f aca="false">'E4 WIN Input'!$E$33*R22</f>
        <v>531298.726239089</v>
      </c>
      <c r="S23" s="31" t="n">
        <f aca="false">'E4 WIN Input'!$E$33*S22</f>
        <v>557863.662551043</v>
      </c>
    </row>
    <row r="24" customFormat="false" ht="15" hidden="false" customHeight="false" outlineLevel="0" collapsed="false">
      <c r="B24" s="24" t="s">
        <v>1626</v>
      </c>
      <c r="C24" s="25" t="s">
        <v>905</v>
      </c>
      <c r="F24" s="31" t="n">
        <f aca="false">'E4 WIN Input'!F35</f>
        <v>0</v>
      </c>
      <c r="G24" s="31" t="n">
        <f aca="false">'E4 WIN Input'!G35</f>
        <v>4495.80395817605</v>
      </c>
      <c r="H24" s="31" t="n">
        <f aca="false">'E4 WIN Input'!H35</f>
        <v>2575</v>
      </c>
      <c r="I24" s="31" t="n">
        <f aca="false">'E4 WIN Input'!I35</f>
        <v>2652.25</v>
      </c>
      <c r="J24" s="31" t="n">
        <f aca="false">'E4 WIN Input'!J35</f>
        <v>2731.8175</v>
      </c>
      <c r="K24" s="31" t="n">
        <f aca="false">'E4 WIN Input'!K35</f>
        <v>2813.772025</v>
      </c>
      <c r="L24" s="31" t="n">
        <f aca="false">'E4 WIN Input'!L35</f>
        <v>2898.18518575</v>
      </c>
      <c r="M24" s="31" t="n">
        <f aca="false">'E4 WIN Input'!M35</f>
        <v>2985.1307413225</v>
      </c>
      <c r="N24" s="31" t="n">
        <f aca="false">'E4 WIN Input'!N35</f>
        <v>3074.68466356218</v>
      </c>
      <c r="O24" s="31" t="n">
        <f aca="false">'E4 WIN Input'!O35</f>
        <v>3166.92520346904</v>
      </c>
      <c r="P24" s="31" t="n">
        <f aca="false">'E4 WIN Input'!P35</f>
        <v>3261.93295957311</v>
      </c>
      <c r="Q24" s="31" t="n">
        <f aca="false">'E4 WIN Input'!Q35</f>
        <v>3261.93295957311</v>
      </c>
      <c r="R24" s="31" t="n">
        <f aca="false">'E4 WIN Input'!R35</f>
        <v>3261.93295957311</v>
      </c>
      <c r="S24" s="31" t="n">
        <f aca="false">'E4 WIN Input'!S35</f>
        <v>3261.93295957311</v>
      </c>
    </row>
    <row r="25" customFormat="false" ht="15" hidden="false" customHeight="false" outlineLevel="0" collapsed="false">
      <c r="B25" s="24" t="s">
        <v>1627</v>
      </c>
      <c r="C25" s="25" t="s">
        <v>170</v>
      </c>
      <c r="E25" s="47" t="n">
        <f aca="false">SUM(F25:S25)</f>
        <v>17.1539802810882</v>
      </c>
      <c r="F25" s="47" t="n">
        <f aca="false">F23*F24/10^9</f>
        <v>0</v>
      </c>
      <c r="G25" s="47" t="n">
        <f aca="false">G23*G24/10^9</f>
        <v>1.39657367122177</v>
      </c>
      <c r="H25" s="47" t="n">
        <f aca="false">H23*H24/10^9</f>
        <v>0.839891173790813</v>
      </c>
      <c r="I25" s="47" t="n">
        <f aca="false">I23*I24/10^9</f>
        <v>0.908342304454764</v>
      </c>
      <c r="J25" s="47" t="n">
        <f aca="false">J23*J24/10^9</f>
        <v>0.982372202267827</v>
      </c>
      <c r="K25" s="47" t="n">
        <f aca="false">K23*K24/10^9</f>
        <v>1.06243553675266</v>
      </c>
      <c r="L25" s="47" t="n">
        <f aca="false">L23*L24/10^9</f>
        <v>1.149024032998</v>
      </c>
      <c r="M25" s="47" t="n">
        <f aca="false">M23*M24/10^9</f>
        <v>1.24266949168733</v>
      </c>
      <c r="N25" s="47" t="n">
        <f aca="false">N23*N24/10^9</f>
        <v>1.34394705525985</v>
      </c>
      <c r="O25" s="47" t="n">
        <f aca="false">O23*O24/10^9</f>
        <v>1.45347874026353</v>
      </c>
      <c r="P25" s="47" t="n">
        <f aca="false">P23*P24/10^9</f>
        <v>1.57193725759501</v>
      </c>
      <c r="Q25" s="47" t="n">
        <f aca="false">Q23*Q24/10^9</f>
        <v>1.65053412047476</v>
      </c>
      <c r="R25" s="47" t="n">
        <f aca="false">R23*R24/10^9</f>
        <v>1.73306082649849</v>
      </c>
      <c r="S25" s="47" t="n">
        <f aca="false">S23*S24/10^9</f>
        <v>1.81971386782342</v>
      </c>
    </row>
    <row r="26" customFormat="false" ht="15" hidden="false" customHeight="false" outlineLevel="0" collapsed="false">
      <c r="B26" s="24" t="s">
        <v>1628</v>
      </c>
      <c r="C26" s="25" t="s">
        <v>1019</v>
      </c>
      <c r="F26" s="104" t="n">
        <f aca="false">1</f>
        <v>1</v>
      </c>
      <c r="G26" s="104" t="n">
        <f aca="false">F26*(1+'E4 WIN Input'!G37)*G$8</f>
        <v>1.05</v>
      </c>
      <c r="H26" s="104" t="n">
        <f aca="false">G26*(1+'E4 WIN Input'!H37)*H$8</f>
        <v>1.1025</v>
      </c>
      <c r="I26" s="104" t="n">
        <f aca="false">H26*(1+'E4 WIN Input'!I37)*I$8</f>
        <v>1.157625</v>
      </c>
      <c r="J26" s="104" t="n">
        <f aca="false">I26*(1+'E4 WIN Input'!J37)*J$8</f>
        <v>1.21550625</v>
      </c>
      <c r="K26" s="104" t="n">
        <f aca="false">J26*(1+'E4 WIN Input'!K37)*K$8</f>
        <v>1.2762815625</v>
      </c>
      <c r="L26" s="104" t="n">
        <f aca="false">K26*(1+'E4 WIN Input'!L37)*L$8</f>
        <v>1.340095640625</v>
      </c>
      <c r="M26" s="104" t="n">
        <f aca="false">L26*(1+'E4 WIN Input'!M37)*M$8</f>
        <v>1.40710042265625</v>
      </c>
      <c r="N26" s="104" t="n">
        <f aca="false">M26*(1+'E4 WIN Input'!N37)*N$8</f>
        <v>1.47745544378906</v>
      </c>
      <c r="O26" s="104" t="n">
        <f aca="false">N26*(1+'E4 WIN Input'!O37)*O$8</f>
        <v>1.55132821597852</v>
      </c>
      <c r="P26" s="104" t="n">
        <f aca="false">O26*(1+'E4 WIN Input'!P37)*P$8</f>
        <v>1.62889462677744</v>
      </c>
      <c r="Q26" s="104" t="n">
        <f aca="false">P26*(1+'E4 WIN Input'!Q37)*Q$8</f>
        <v>1.71033935811631</v>
      </c>
      <c r="R26" s="104" t="n">
        <f aca="false">Q26*(1+'E4 WIN Input'!R37)*R$8</f>
        <v>1.79585632602213</v>
      </c>
      <c r="S26" s="104" t="n">
        <f aca="false">R26*(1+'E4 WIN Input'!S37)*S$8</f>
        <v>1.88564914232324</v>
      </c>
    </row>
    <row r="27" customFormat="false" ht="15" hidden="false" customHeight="false" outlineLevel="0" collapsed="false">
      <c r="B27" s="24" t="s">
        <v>1629</v>
      </c>
      <c r="C27" s="25" t="s">
        <v>900</v>
      </c>
      <c r="E27" s="31" t="n">
        <f aca="false">SUM(F27:S27)</f>
        <v>6594430.88374072</v>
      </c>
      <c r="F27" s="31" t="n">
        <f aca="false">'E4 WIN Input'!$E$36*F26</f>
        <v>336474.04</v>
      </c>
      <c r="G27" s="31" t="n">
        <f aca="false">'E4 WIN Input'!$E$36*G26</f>
        <v>353297.742</v>
      </c>
      <c r="H27" s="31" t="n">
        <f aca="false">'E4 WIN Input'!$E$36*H26</f>
        <v>370962.6291</v>
      </c>
      <c r="I27" s="31" t="n">
        <f aca="false">'E4 WIN Input'!$E$36*I26</f>
        <v>389510.760555</v>
      </c>
      <c r="J27" s="31" t="n">
        <f aca="false">'E4 WIN Input'!$E$36*J26</f>
        <v>408986.29858275</v>
      </c>
      <c r="K27" s="31" t="n">
        <f aca="false">'E4 WIN Input'!$E$36*K26</f>
        <v>429435.613511888</v>
      </c>
      <c r="L27" s="31" t="n">
        <f aca="false">'E4 WIN Input'!$E$36*L26</f>
        <v>450907.394187482</v>
      </c>
      <c r="M27" s="31" t="n">
        <f aca="false">'E4 WIN Input'!$E$36*M26</f>
        <v>473452.763896856</v>
      </c>
      <c r="N27" s="31" t="n">
        <f aca="false">'E4 WIN Input'!$E$36*N26</f>
        <v>497125.402091699</v>
      </c>
      <c r="O27" s="31" t="n">
        <f aca="false">'E4 WIN Input'!$E$36*O26</f>
        <v>521981.672196284</v>
      </c>
      <c r="P27" s="31" t="n">
        <f aca="false">'E4 WIN Input'!$E$36*P26</f>
        <v>548080.755806098</v>
      </c>
      <c r="Q27" s="31" t="n">
        <f aca="false">'E4 WIN Input'!$E$36*Q26</f>
        <v>575484.793596403</v>
      </c>
      <c r="R27" s="31" t="n">
        <f aca="false">'E4 WIN Input'!$E$36*R26</f>
        <v>604259.033276223</v>
      </c>
      <c r="S27" s="31" t="n">
        <f aca="false">'E4 WIN Input'!$E$36*S26</f>
        <v>634471.984940034</v>
      </c>
    </row>
    <row r="28" customFormat="false" ht="15" hidden="false" customHeight="false" outlineLevel="0" collapsed="false">
      <c r="B28" s="24" t="s">
        <v>1630</v>
      </c>
      <c r="C28" s="25" t="s">
        <v>905</v>
      </c>
      <c r="F28" s="31" t="n">
        <f aca="false">'E4 WIN Input'!F38</f>
        <v>0</v>
      </c>
      <c r="G28" s="31" t="n">
        <f aca="false">'E4 WIN Input'!G38</f>
        <v>34880</v>
      </c>
      <c r="H28" s="31" t="n">
        <f aca="false">'E4 WIN Input'!H38</f>
        <v>35926.4</v>
      </c>
      <c r="I28" s="31" t="n">
        <f aca="false">'E4 WIN Input'!I38</f>
        <v>2652.25</v>
      </c>
      <c r="J28" s="31" t="n">
        <f aca="false">'E4 WIN Input'!J38</f>
        <v>2731.8175</v>
      </c>
      <c r="K28" s="31" t="n">
        <f aca="false">'E4 WIN Input'!K38</f>
        <v>2813.772025</v>
      </c>
      <c r="L28" s="31" t="n">
        <f aca="false">'E4 WIN Input'!L38</f>
        <v>2898.18518575</v>
      </c>
      <c r="M28" s="31" t="n">
        <f aca="false">'E4 WIN Input'!M38</f>
        <v>2985.1307413225</v>
      </c>
      <c r="N28" s="31" t="n">
        <f aca="false">'E4 WIN Input'!N38</f>
        <v>3074.68466356218</v>
      </c>
      <c r="O28" s="31" t="n">
        <f aca="false">'E4 WIN Input'!O38</f>
        <v>3166.92520346904</v>
      </c>
      <c r="P28" s="31" t="n">
        <f aca="false">'E4 WIN Input'!P38</f>
        <v>3261.93295957311</v>
      </c>
      <c r="Q28" s="31" t="n">
        <f aca="false">'E4 WIN Input'!Q38</f>
        <v>3261.93295957311</v>
      </c>
      <c r="R28" s="31" t="n">
        <f aca="false">'E4 WIN Input'!R38</f>
        <v>3261.93295957311</v>
      </c>
      <c r="S28" s="31" t="n">
        <f aca="false">'E4 WIN Input'!S38</f>
        <v>3261.93295957311</v>
      </c>
    </row>
    <row r="29" customFormat="false" ht="15" hidden="false" customHeight="false" outlineLevel="0" collapsed="false">
      <c r="B29" s="24" t="s">
        <v>1631</v>
      </c>
      <c r="C29" s="25" t="s">
        <v>170</v>
      </c>
      <c r="E29" s="47" t="n">
        <f aca="false">SUM(F29:S29)</f>
        <v>42.6164321246671</v>
      </c>
      <c r="F29" s="47" t="n">
        <f aca="false">F27*F28/10^9</f>
        <v>0</v>
      </c>
      <c r="G29" s="47" t="n">
        <f aca="false">G27*G28/10^9</f>
        <v>12.32302524096</v>
      </c>
      <c r="H29" s="47" t="n">
        <f aca="false">H27*H28/10^9</f>
        <v>13.3273517980982</v>
      </c>
      <c r="I29" s="47" t="n">
        <f aca="false">I27*I28/10^9</f>
        <v>1.033079914682</v>
      </c>
      <c r="J29" s="47" t="n">
        <f aca="false">J27*J28/10^9</f>
        <v>1.11727592772858</v>
      </c>
      <c r="K29" s="47" t="n">
        <f aca="false">K27*K28/10^9</f>
        <v>1.20833391583846</v>
      </c>
      <c r="L29" s="47" t="n">
        <f aca="false">L27*L28/10^9</f>
        <v>1.3068131299793</v>
      </c>
      <c r="M29" s="47" t="n">
        <f aca="false">M27*M28/10^9</f>
        <v>1.41331840007261</v>
      </c>
      <c r="N29" s="47" t="n">
        <f aca="false">N27*N28/10^9</f>
        <v>1.52850384967853</v>
      </c>
      <c r="O29" s="47" t="n">
        <f aca="false">O27*O28/10^9</f>
        <v>1.65307691342733</v>
      </c>
      <c r="P29" s="47" t="n">
        <f aca="false">P27*P28/10^9</f>
        <v>1.78780268187165</v>
      </c>
      <c r="Q29" s="47" t="n">
        <f aca="false">Q27*Q28/10^9</f>
        <v>1.87719281596524</v>
      </c>
      <c r="R29" s="47" t="n">
        <f aca="false">R27*R28/10^9</f>
        <v>1.9710524567635</v>
      </c>
      <c r="S29" s="47" t="n">
        <f aca="false">S27*S28/10^9</f>
        <v>2.06960507960167</v>
      </c>
    </row>
    <row r="30" customFormat="false" ht="15" hidden="false" customHeight="false" outlineLevel="0" collapsed="false">
      <c r="B30" s="24" t="s">
        <v>1632</v>
      </c>
      <c r="C30" s="25" t="s">
        <v>1019</v>
      </c>
      <c r="F30" s="104" t="n">
        <f aca="false">1</f>
        <v>1</v>
      </c>
      <c r="G30" s="104" t="n">
        <f aca="false">F30*(1+'E4 WIN Input'!G40)*G$8</f>
        <v>1.05</v>
      </c>
      <c r="H30" s="104" t="n">
        <f aca="false">G30*(1+'E4 WIN Input'!H40)*H$8</f>
        <v>1.1025</v>
      </c>
      <c r="I30" s="104" t="n">
        <f aca="false">H30*(1+'E4 WIN Input'!I40)*I$8</f>
        <v>1.157625</v>
      </c>
      <c r="J30" s="104" t="n">
        <f aca="false">I30*(1+'E4 WIN Input'!J40)*J$8</f>
        <v>1.21550625</v>
      </c>
      <c r="K30" s="104" t="n">
        <f aca="false">J30*(1+'E4 WIN Input'!K40)*K$8</f>
        <v>1.2762815625</v>
      </c>
      <c r="L30" s="104" t="n">
        <f aca="false">K30*(1+'E4 WIN Input'!L40)*L$8</f>
        <v>1.340095640625</v>
      </c>
      <c r="M30" s="104" t="n">
        <f aca="false">L30*(1+'E4 WIN Input'!M40)*M$8</f>
        <v>1.40710042265625</v>
      </c>
      <c r="N30" s="104" t="n">
        <f aca="false">M30*(1+'E4 WIN Input'!N40)*N$8</f>
        <v>1.47745544378906</v>
      </c>
      <c r="O30" s="104" t="n">
        <f aca="false">N30*(1+'E4 WIN Input'!O40)*O$8</f>
        <v>1.55132821597852</v>
      </c>
      <c r="P30" s="104" t="n">
        <f aca="false">O30*(1+'E4 WIN Input'!P40)*P$8</f>
        <v>1.62889462677744</v>
      </c>
      <c r="Q30" s="104" t="n">
        <f aca="false">P30*(1+'E4 WIN Input'!Q40)*Q$8</f>
        <v>1.71033935811631</v>
      </c>
      <c r="R30" s="104" t="n">
        <f aca="false">Q30*(1+'E4 WIN Input'!R40)*R$8</f>
        <v>1.79585632602213</v>
      </c>
      <c r="S30" s="104" t="n">
        <f aca="false">R30*(1+'E4 WIN Input'!S40)*S$8</f>
        <v>1.88564914232324</v>
      </c>
    </row>
    <row r="31" customFormat="false" ht="15" hidden="false" customHeight="false" outlineLevel="0" collapsed="false">
      <c r="B31" s="24" t="s">
        <v>1633</v>
      </c>
      <c r="C31" s="25" t="s">
        <v>900</v>
      </c>
      <c r="E31" s="31" t="n">
        <f aca="false">SUM(F31:S31)</f>
        <v>18103786.7070251</v>
      </c>
      <c r="F31" s="31" t="n">
        <f aca="false">'E4 WIN Input'!$E$39*F30</f>
        <v>923727.06</v>
      </c>
      <c r="G31" s="31" t="n">
        <f aca="false">'E4 WIN Input'!$E$39*G30</f>
        <v>969913.413</v>
      </c>
      <c r="H31" s="31" t="n">
        <f aca="false">'E4 WIN Input'!$E$39*H30</f>
        <v>1018409.08365</v>
      </c>
      <c r="I31" s="31" t="n">
        <f aca="false">'E4 WIN Input'!$E$39*I30</f>
        <v>1069329.5378325</v>
      </c>
      <c r="J31" s="31" t="n">
        <f aca="false">'E4 WIN Input'!$E$39*J30</f>
        <v>1122796.01472413</v>
      </c>
      <c r="K31" s="31" t="n">
        <f aca="false">'E4 WIN Input'!$E$39*K30</f>
        <v>1178935.81546033</v>
      </c>
      <c r="L31" s="31" t="n">
        <f aca="false">'E4 WIN Input'!$E$39*L30</f>
        <v>1237882.60623335</v>
      </c>
      <c r="M31" s="31" t="n">
        <f aca="false">'E4 WIN Input'!$E$39*M30</f>
        <v>1299776.73654502</v>
      </c>
      <c r="N31" s="31" t="n">
        <f aca="false">'E4 WIN Input'!$E$39*N30</f>
        <v>1364765.57337227</v>
      </c>
      <c r="O31" s="31" t="n">
        <f aca="false">'E4 WIN Input'!$E$39*O30</f>
        <v>1433003.85204088</v>
      </c>
      <c r="P31" s="31" t="n">
        <f aca="false">'E4 WIN Input'!$E$39*P30</f>
        <v>1504654.04464292</v>
      </c>
      <c r="Q31" s="31" t="n">
        <f aca="false">'E4 WIN Input'!$E$39*Q30</f>
        <v>1579886.74687507</v>
      </c>
      <c r="R31" s="31" t="n">
        <f aca="false">'E4 WIN Input'!$E$39*R30</f>
        <v>1658881.08421882</v>
      </c>
      <c r="S31" s="31" t="n">
        <f aca="false">'E4 WIN Input'!$E$39*S30</f>
        <v>1741825.13842977</v>
      </c>
    </row>
    <row r="32" customFormat="false" ht="15" hidden="false" customHeight="false" outlineLevel="0" collapsed="false">
      <c r="B32" s="24" t="s">
        <v>1634</v>
      </c>
      <c r="C32" s="25" t="s">
        <v>905</v>
      </c>
      <c r="F32" s="31" t="n">
        <f aca="false">'E4 WIN Input'!F41</f>
        <v>0</v>
      </c>
      <c r="G32" s="31" t="n">
        <f aca="false">'E4 WIN Input'!G41</f>
        <v>13346.4750536387</v>
      </c>
      <c r="H32" s="31" t="n">
        <f aca="false">'E4 WIN Input'!H41</f>
        <v>2606.93</v>
      </c>
      <c r="I32" s="31" t="n">
        <f aca="false">'E4 WIN Input'!I41</f>
        <v>2685.1379</v>
      </c>
      <c r="J32" s="31" t="n">
        <f aca="false">'E4 WIN Input'!J41</f>
        <v>2765.692037</v>
      </c>
      <c r="K32" s="31" t="n">
        <f aca="false">'E4 WIN Input'!K41</f>
        <v>2848.66279811</v>
      </c>
      <c r="L32" s="31" t="n">
        <f aca="false">'E4 WIN Input'!L41</f>
        <v>2934.1226820533</v>
      </c>
      <c r="M32" s="31" t="n">
        <f aca="false">'E4 WIN Input'!M41</f>
        <v>3022.1463625149</v>
      </c>
      <c r="N32" s="31" t="n">
        <f aca="false">'E4 WIN Input'!N41</f>
        <v>3112.81075339035</v>
      </c>
      <c r="O32" s="31" t="n">
        <f aca="false">'E4 WIN Input'!O41</f>
        <v>3206.19507599206</v>
      </c>
      <c r="P32" s="31" t="n">
        <f aca="false">'E4 WIN Input'!P41</f>
        <v>3302.38092827182</v>
      </c>
      <c r="Q32" s="31" t="n">
        <f aca="false">'E4 WIN Input'!Q41</f>
        <v>3302.38092827182</v>
      </c>
      <c r="R32" s="31" t="n">
        <f aca="false">'E4 WIN Input'!R41</f>
        <v>3302.38092827182</v>
      </c>
      <c r="S32" s="31" t="n">
        <f aca="false">'E4 WIN Input'!S41</f>
        <v>3302.38092827182</v>
      </c>
    </row>
    <row r="33" customFormat="false" ht="15" hidden="false" customHeight="false" outlineLevel="0" collapsed="false">
      <c r="B33" s="24" t="s">
        <v>1635</v>
      </c>
      <c r="C33" s="25" t="s">
        <v>170</v>
      </c>
      <c r="E33" s="47" t="n">
        <f aca="false">SUM(F33:S33)</f>
        <v>62.7545600995727</v>
      </c>
      <c r="F33" s="47" t="n">
        <f aca="false">F31*F32/10^9</f>
        <v>0</v>
      </c>
      <c r="G33" s="47" t="n">
        <f aca="false">G31*G32/10^9</f>
        <v>12.9449251707941</v>
      </c>
      <c r="H33" s="47" t="n">
        <f aca="false">H31*H32/10^9</f>
        <v>2.65492119243969</v>
      </c>
      <c r="I33" s="47" t="n">
        <f aca="false">I31*I32/10^9</f>
        <v>2.87129726962353</v>
      </c>
      <c r="J33" s="47" t="n">
        <f aca="false">J31*J32/10^9</f>
        <v>3.10530799709785</v>
      </c>
      <c r="K33" s="47" t="n">
        <f aca="false">K31*K32/10^9</f>
        <v>3.35839059886132</v>
      </c>
      <c r="L33" s="47" t="n">
        <f aca="false">L31*L32/10^9</f>
        <v>3.63209943266852</v>
      </c>
      <c r="M33" s="47" t="n">
        <f aca="false">M31*M32/10^9</f>
        <v>3.92811553643101</v>
      </c>
      <c r="N33" s="47" t="n">
        <f aca="false">N31*N32/10^9</f>
        <v>4.24825695265013</v>
      </c>
      <c r="O33" s="47" t="n">
        <f aca="false">O31*O32/10^9</f>
        <v>4.59448989429112</v>
      </c>
      <c r="P33" s="47" t="n">
        <f aca="false">P31*P32/10^9</f>
        <v>4.96894082067584</v>
      </c>
      <c r="Q33" s="47" t="n">
        <f aca="false">Q31*Q32/10^9</f>
        <v>5.21738786170964</v>
      </c>
      <c r="R33" s="47" t="n">
        <f aca="false">R31*R32/10^9</f>
        <v>5.47825725479512</v>
      </c>
      <c r="S33" s="47" t="n">
        <f aca="false">S31*S32/10^9</f>
        <v>5.75217011753488</v>
      </c>
    </row>
    <row r="34" customFormat="false" ht="15" hidden="false" customHeight="false" outlineLevel="0" collapsed="false">
      <c r="B34" s="69" t="s">
        <v>1636</v>
      </c>
      <c r="C34" s="25" t="s">
        <v>900</v>
      </c>
      <c r="E34" s="105" t="n">
        <f aca="false">SUM(F34:S34)</f>
        <v>41696952.4251169</v>
      </c>
      <c r="F34" s="106" t="n">
        <f aca="false">F15+F19+F23+F27+F31</f>
        <v>2127544.027</v>
      </c>
      <c r="G34" s="106" t="n">
        <f aca="false">G15+G19+G23+G27+G31</f>
        <v>2233921.22835</v>
      </c>
      <c r="H34" s="106" t="n">
        <f aca="false">H15+H19+H23+H27+H31</f>
        <v>2345617.2897675</v>
      </c>
      <c r="I34" s="106" t="n">
        <f aca="false">I15+I19+I23+I27+I31</f>
        <v>2462898.15425588</v>
      </c>
      <c r="J34" s="106" t="n">
        <f aca="false">J15+J19+J23+J27+J31</f>
        <v>2586043.06196867</v>
      </c>
      <c r="K34" s="106" t="n">
        <f aca="false">K15+K19+K23+K27+K31</f>
        <v>2715345.2150671</v>
      </c>
      <c r="L34" s="106" t="n">
        <f aca="false">L15+L19+L23+L27+L31</f>
        <v>2851112.47582046</v>
      </c>
      <c r="M34" s="106" t="n">
        <f aca="false">M15+M19+M23+M27+M31</f>
        <v>2993668.09961148</v>
      </c>
      <c r="N34" s="106" t="n">
        <f aca="false">N15+N19+N23+N27+N31</f>
        <v>3143351.50459206</v>
      </c>
      <c r="O34" s="106" t="n">
        <f aca="false">O15+O19+O23+O27+O31</f>
        <v>3300519.07982166</v>
      </c>
      <c r="P34" s="106" t="n">
        <f aca="false">P15+P19+P23+P27+P31</f>
        <v>3465545.03381274</v>
      </c>
      <c r="Q34" s="106" t="n">
        <f aca="false">Q15+Q19+Q23+Q27+Q31</f>
        <v>3638822.28550338</v>
      </c>
      <c r="R34" s="106" t="n">
        <f aca="false">R15+R19+R23+R27+R31</f>
        <v>3820763.39977855</v>
      </c>
      <c r="S34" s="106" t="n">
        <f aca="false">S15+S19+S23+S27+S31</f>
        <v>4011801.56976748</v>
      </c>
    </row>
    <row r="35" customFormat="false" ht="15" hidden="false" customHeight="false" outlineLevel="0" collapsed="false">
      <c r="B35" s="69" t="s">
        <v>1637</v>
      </c>
      <c r="C35" s="25" t="s">
        <v>170</v>
      </c>
      <c r="E35" s="70" t="n">
        <f aca="false">SUM(F35:S35)</f>
        <v>175.755348675928</v>
      </c>
      <c r="F35" s="68" t="n">
        <f aca="false">F17+F21+F25+F29+F33</f>
        <v>0</v>
      </c>
      <c r="G35" s="68" t="n">
        <f aca="false">G17+G21+G25+G29+G33</f>
        <v>44.6580394175836</v>
      </c>
      <c r="H35" s="68" t="n">
        <f aca="false">H17+H21+H25+H29+H33</f>
        <v>18.700336705089</v>
      </c>
      <c r="I35" s="68" t="n">
        <f aca="false">I17+I21+I25+I29+I33</f>
        <v>6.8439630915925</v>
      </c>
      <c r="J35" s="68" t="n">
        <f aca="false">J17+J21+J25+J29+J33</f>
        <v>7.40174608355729</v>
      </c>
      <c r="K35" s="68" t="n">
        <f aca="false">K17+K21+K25+K29+K33</f>
        <v>8.00498838936721</v>
      </c>
      <c r="L35" s="68" t="n">
        <f aca="false">L17+L21+L25+L29+L33</f>
        <v>8.65739494310064</v>
      </c>
      <c r="M35" s="68" t="n">
        <f aca="false">M17+M21+M25+M29+M33</f>
        <v>9.36297263096334</v>
      </c>
      <c r="N35" s="68" t="n">
        <f aca="false">N17+N21+N25+N29+N33</f>
        <v>10.1260549003869</v>
      </c>
      <c r="O35" s="68" t="n">
        <f aca="false">O17+O21+O25+O29+O33</f>
        <v>10.9513283747684</v>
      </c>
      <c r="P35" s="68" t="n">
        <f aca="false">P17+P21+P25+P29+P33</f>
        <v>11.843861637312</v>
      </c>
      <c r="Q35" s="68" t="n">
        <f aca="false">Q17+Q21+Q25+Q29+Q33</f>
        <v>12.4360547191776</v>
      </c>
      <c r="R35" s="68" t="n">
        <f aca="false">R17+R21+R25+R29+R33</f>
        <v>13.0578574551365</v>
      </c>
      <c r="S35" s="68" t="n">
        <f aca="false">S17+S21+S25+S29+S33</f>
        <v>13.7107503278933</v>
      </c>
    </row>
    <row r="37" customFormat="false" ht="15" hidden="false" customHeight="false" outlineLevel="0" collapsed="false">
      <c r="B37" s="22" t="s">
        <v>1638</v>
      </c>
      <c r="C37" s="23"/>
      <c r="D37" s="23"/>
      <c r="E37" s="23"/>
      <c r="F37" s="23"/>
      <c r="G37" s="23"/>
      <c r="H37" s="23"/>
      <c r="I37" s="23"/>
      <c r="J37" s="23"/>
      <c r="K37" s="23"/>
      <c r="L37" s="23"/>
      <c r="M37" s="23"/>
      <c r="N37" s="23"/>
      <c r="O37" s="23"/>
      <c r="P37" s="23"/>
      <c r="Q37" s="23"/>
      <c r="R37" s="23"/>
      <c r="S37" s="23"/>
    </row>
    <row r="38" customFormat="false" ht="15" hidden="false" customHeight="false" outlineLevel="0" collapsed="false">
      <c r="B38" s="24" t="s">
        <v>1639</v>
      </c>
      <c r="C38" s="25" t="s">
        <v>1019</v>
      </c>
      <c r="F38" s="104" t="n">
        <f aca="false">1</f>
        <v>1</v>
      </c>
      <c r="G38" s="104" t="n">
        <f aca="false">F38*(1+'E4 WIN Input'!G44)*G$8</f>
        <v>1</v>
      </c>
      <c r="H38" s="104" t="n">
        <f aca="false">G38*(1+'E4 WIN Input'!H44)*H$8</f>
        <v>1.04</v>
      </c>
      <c r="I38" s="104" t="n">
        <f aca="false">H38*(1+'E4 WIN Input'!I44)*I$8</f>
        <v>1.0816</v>
      </c>
      <c r="J38" s="104" t="n">
        <f aca="false">I38*(1+'E4 WIN Input'!J44)*J$8</f>
        <v>1.124864</v>
      </c>
      <c r="K38" s="104" t="n">
        <f aca="false">J38*(1+'E4 WIN Input'!K44)*K$8</f>
        <v>1.16985856</v>
      </c>
      <c r="L38" s="104" t="n">
        <f aca="false">K38*(1+'E4 WIN Input'!L44)*L$8</f>
        <v>1.2166529024</v>
      </c>
      <c r="M38" s="104" t="n">
        <f aca="false">L38*(1+'E4 WIN Input'!M44)*M$8</f>
        <v>1.265319018496</v>
      </c>
      <c r="N38" s="104" t="n">
        <f aca="false">M38*(1+'E4 WIN Input'!N44)*N$8</f>
        <v>1.31593177923584</v>
      </c>
      <c r="O38" s="104" t="n">
        <f aca="false">N38*(1+'E4 WIN Input'!O44)*O$8</f>
        <v>1.36856905040527</v>
      </c>
      <c r="P38" s="104" t="n">
        <f aca="false">O38*(1+'E4 WIN Input'!P44)*P$8</f>
        <v>1.42331181242149</v>
      </c>
      <c r="Q38" s="104" t="n">
        <f aca="false">P38*(1+'E4 WIN Input'!Q44)*Q$8</f>
        <v>1.48024428491834</v>
      </c>
      <c r="R38" s="104" t="n">
        <f aca="false">Q38*(1+'E4 WIN Input'!R44)*R$8</f>
        <v>1.53945405631508</v>
      </c>
      <c r="S38" s="104" t="n">
        <f aca="false">R38*(1+'E4 WIN Input'!S44)*S$8</f>
        <v>1.60103221856768</v>
      </c>
    </row>
    <row r="39" customFormat="false" ht="15" hidden="false" customHeight="false" outlineLevel="0" collapsed="false">
      <c r="B39" s="24" t="s">
        <v>1640</v>
      </c>
      <c r="C39" s="25" t="s">
        <v>900</v>
      </c>
      <c r="E39" s="31" t="n">
        <f aca="false">SUM(F39:S39)</f>
        <v>4865007.20044168</v>
      </c>
      <c r="F39" s="31" t="n">
        <f aca="false">'E4 WIN Input'!$E$43*F38</f>
        <v>276000</v>
      </c>
      <c r="G39" s="31" t="n">
        <f aca="false">'E4 WIN Input'!$E$43*G38</f>
        <v>276000</v>
      </c>
      <c r="H39" s="31" t="n">
        <f aca="false">'E4 WIN Input'!$E$43*H38</f>
        <v>287040</v>
      </c>
      <c r="I39" s="31" t="n">
        <f aca="false">'E4 WIN Input'!$E$43*I38</f>
        <v>298521.6</v>
      </c>
      <c r="J39" s="31" t="n">
        <f aca="false">'E4 WIN Input'!$E$43*J38</f>
        <v>310462.464</v>
      </c>
      <c r="K39" s="31" t="n">
        <f aca="false">'E4 WIN Input'!$E$43*K38</f>
        <v>322880.96256</v>
      </c>
      <c r="L39" s="31" t="n">
        <f aca="false">'E4 WIN Input'!$E$43*L38</f>
        <v>335796.2010624</v>
      </c>
      <c r="M39" s="31" t="n">
        <f aca="false">'E4 WIN Input'!$E$43*M38</f>
        <v>349228.049104896</v>
      </c>
      <c r="N39" s="31" t="n">
        <f aca="false">'E4 WIN Input'!$E$43*N38</f>
        <v>363197.171069092</v>
      </c>
      <c r="O39" s="31" t="n">
        <f aca="false">'E4 WIN Input'!$E$43*O38</f>
        <v>377725.057911856</v>
      </c>
      <c r="P39" s="31" t="n">
        <f aca="false">'E4 WIN Input'!$E$43*P38</f>
        <v>392834.06022833</v>
      </c>
      <c r="Q39" s="31" t="n">
        <f aca="false">'E4 WIN Input'!$E$43*Q38</f>
        <v>408547.422637463</v>
      </c>
      <c r="R39" s="31" t="n">
        <f aca="false">'E4 WIN Input'!$E$43*R38</f>
        <v>424889.319542962</v>
      </c>
      <c r="S39" s="31" t="n">
        <f aca="false">'E4 WIN Input'!$E$43*S38</f>
        <v>441884.89232468</v>
      </c>
    </row>
    <row r="40" customFormat="false" ht="15" hidden="false" customHeight="false" outlineLevel="0" collapsed="false">
      <c r="B40" s="24" t="s">
        <v>1641</v>
      </c>
      <c r="C40" s="25" t="s">
        <v>905</v>
      </c>
      <c r="F40" s="31" t="n">
        <f aca="false">'E4 WIN Input'!F45</f>
        <v>0</v>
      </c>
      <c r="G40" s="31" t="n">
        <f aca="false">'E4 WIN Input'!G45</f>
        <v>32000</v>
      </c>
      <c r="H40" s="31" t="n">
        <f aca="false">'E4 WIN Input'!H45</f>
        <v>32960</v>
      </c>
      <c r="I40" s="31" t="n">
        <f aca="false">'E4 WIN Input'!I45</f>
        <v>33948.8</v>
      </c>
      <c r="J40" s="31" t="n">
        <f aca="false">'E4 WIN Input'!J45</f>
        <v>34967.264</v>
      </c>
      <c r="K40" s="31" t="n">
        <f aca="false">'E4 WIN Input'!K45</f>
        <v>36016.28192</v>
      </c>
      <c r="L40" s="31" t="n">
        <f aca="false">'E4 WIN Input'!L45</f>
        <v>37096.7703776</v>
      </c>
      <c r="M40" s="31" t="n">
        <f aca="false">'E4 WIN Input'!M45</f>
        <v>38209.673488928</v>
      </c>
      <c r="N40" s="31" t="n">
        <f aca="false">'E4 WIN Input'!N45</f>
        <v>39355.9636935959</v>
      </c>
      <c r="O40" s="31" t="n">
        <f aca="false">'E4 WIN Input'!O45</f>
        <v>40536.6426044037</v>
      </c>
      <c r="P40" s="31" t="n">
        <f aca="false">'E4 WIN Input'!P45</f>
        <v>41752.7418825358</v>
      </c>
      <c r="Q40" s="31" t="n">
        <f aca="false">'E4 WIN Input'!Q45</f>
        <v>0</v>
      </c>
      <c r="R40" s="31" t="n">
        <f aca="false">'E4 WIN Input'!R45</f>
        <v>0</v>
      </c>
      <c r="S40" s="31" t="n">
        <f aca="false">'E4 WIN Input'!S45</f>
        <v>0</v>
      </c>
    </row>
    <row r="41" customFormat="false" ht="15" hidden="false" customHeight="false" outlineLevel="0" collapsed="false">
      <c r="B41" s="24" t="s">
        <v>1642</v>
      </c>
      <c r="C41" s="25" t="s">
        <v>170</v>
      </c>
      <c r="E41" s="47" t="n">
        <f aca="false">SUM(F41:S41)</f>
        <v>122.720706975871</v>
      </c>
      <c r="F41" s="47" t="n">
        <f aca="false">F39*F40/10^9</f>
        <v>0</v>
      </c>
      <c r="G41" s="47" t="n">
        <f aca="false">G39*G40/10^9</f>
        <v>8.832</v>
      </c>
      <c r="H41" s="47" t="n">
        <f aca="false">H39*H40/10^9</f>
        <v>9.4608384</v>
      </c>
      <c r="I41" s="47" t="n">
        <f aca="false">I39*I40/10^9</f>
        <v>10.13445009408</v>
      </c>
      <c r="J41" s="47" t="n">
        <f aca="false">J39*J40/10^9</f>
        <v>10.8560229407785</v>
      </c>
      <c r="K41" s="47" t="n">
        <f aca="false">K39*K40/10^9</f>
        <v>11.6289717741619</v>
      </c>
      <c r="L41" s="47" t="n">
        <f aca="false">L39*L40/10^9</f>
        <v>12.4569545644823</v>
      </c>
      <c r="M41" s="47" t="n">
        <f aca="false">M39*M40/10^9</f>
        <v>13.3438897294734</v>
      </c>
      <c r="N41" s="47" t="n">
        <f aca="false">N39*N40/10^9</f>
        <v>14.2939746782119</v>
      </c>
      <c r="O41" s="47" t="n">
        <f aca="false">O39*O40/10^9</f>
        <v>15.3117056753006</v>
      </c>
      <c r="P41" s="47" t="n">
        <f aca="false">P39*P40/10^9</f>
        <v>16.401899119382</v>
      </c>
      <c r="Q41" s="47" t="n">
        <f aca="false">Q39*Q40/10^9</f>
        <v>0</v>
      </c>
      <c r="R41" s="47" t="n">
        <f aca="false">R39*R40/10^9</f>
        <v>0</v>
      </c>
      <c r="S41" s="47" t="n">
        <f aca="false">S39*S40/10^9</f>
        <v>0</v>
      </c>
    </row>
    <row r="42" customFormat="false" ht="15" hidden="false" customHeight="false" outlineLevel="0" collapsed="false">
      <c r="B42" s="24" t="s">
        <v>1643</v>
      </c>
      <c r="C42" s="25" t="s">
        <v>1019</v>
      </c>
      <c r="F42" s="104" t="n">
        <f aca="false">1</f>
        <v>1</v>
      </c>
      <c r="G42" s="104" t="n">
        <f aca="false">F42*(1+'E4 WIN Input'!G47)*G$8</f>
        <v>1</v>
      </c>
      <c r="H42" s="104" t="n">
        <f aca="false">G42*(1+'E4 WIN Input'!H47)*H$8</f>
        <v>1.04</v>
      </c>
      <c r="I42" s="104" t="n">
        <f aca="false">H42*(1+'E4 WIN Input'!I47)*I$8</f>
        <v>1.0816</v>
      </c>
      <c r="J42" s="104" t="n">
        <f aca="false">I42*(1+'E4 WIN Input'!J47)*J$8</f>
        <v>1.124864</v>
      </c>
      <c r="K42" s="104" t="n">
        <f aca="false">J42*(1+'E4 WIN Input'!K47)*K$8</f>
        <v>1.16985856</v>
      </c>
      <c r="L42" s="104" t="n">
        <f aca="false">K42*(1+'E4 WIN Input'!L47)*L$8</f>
        <v>1.2166529024</v>
      </c>
      <c r="M42" s="104" t="n">
        <f aca="false">L42*(1+'E4 WIN Input'!M47)*M$8</f>
        <v>1.265319018496</v>
      </c>
      <c r="N42" s="104" t="n">
        <f aca="false">M42*(1+'E4 WIN Input'!N47)*N$8</f>
        <v>1.31593177923584</v>
      </c>
      <c r="O42" s="104" t="n">
        <f aca="false">N42*(1+'E4 WIN Input'!O47)*O$8</f>
        <v>1.36856905040527</v>
      </c>
      <c r="P42" s="104" t="n">
        <f aca="false">O42*(1+'E4 WIN Input'!P47)*P$8</f>
        <v>1.42331181242149</v>
      </c>
      <c r="Q42" s="104" t="n">
        <f aca="false">P42*(1+'E4 WIN Input'!Q47)*Q$8</f>
        <v>1.48024428491834</v>
      </c>
      <c r="R42" s="104" t="n">
        <f aca="false">Q42*(1+'E4 WIN Input'!R47)*R$8</f>
        <v>1.53945405631508</v>
      </c>
      <c r="S42" s="104" t="n">
        <f aca="false">R42*(1+'E4 WIN Input'!S47)*S$8</f>
        <v>1.60103221856768</v>
      </c>
    </row>
    <row r="43" customFormat="false" ht="15" hidden="false" customHeight="false" outlineLevel="0" collapsed="false">
      <c r="B43" s="24" t="s">
        <v>1644</v>
      </c>
      <c r="C43" s="25" t="s">
        <v>900</v>
      </c>
      <c r="E43" s="31" t="n">
        <f aca="false">SUM(F43:S43)</f>
        <v>1410147.01462078</v>
      </c>
      <c r="F43" s="31" t="n">
        <f aca="false">'E4 WIN Input'!$E$46*F42</f>
        <v>80000</v>
      </c>
      <c r="G43" s="31" t="n">
        <f aca="false">'E4 WIN Input'!$E$46*G42</f>
        <v>80000</v>
      </c>
      <c r="H43" s="31" t="n">
        <f aca="false">'E4 WIN Input'!$E$46*H42</f>
        <v>83200</v>
      </c>
      <c r="I43" s="31" t="n">
        <f aca="false">'E4 WIN Input'!$E$46*I42</f>
        <v>86528</v>
      </c>
      <c r="J43" s="31" t="n">
        <f aca="false">'E4 WIN Input'!$E$46*J42</f>
        <v>89989.12</v>
      </c>
      <c r="K43" s="31" t="n">
        <f aca="false">'E4 WIN Input'!$E$46*K42</f>
        <v>93588.6848</v>
      </c>
      <c r="L43" s="31" t="n">
        <f aca="false">'E4 WIN Input'!$E$46*L42</f>
        <v>97332.232192</v>
      </c>
      <c r="M43" s="31" t="n">
        <f aca="false">'E4 WIN Input'!$E$46*M42</f>
        <v>101225.52147968</v>
      </c>
      <c r="N43" s="31" t="n">
        <f aca="false">'E4 WIN Input'!$E$46*N42</f>
        <v>105274.542338867</v>
      </c>
      <c r="O43" s="31" t="n">
        <f aca="false">'E4 WIN Input'!$E$46*O42</f>
        <v>109485.524032422</v>
      </c>
      <c r="P43" s="31" t="n">
        <f aca="false">'E4 WIN Input'!$E$46*P42</f>
        <v>113864.944993719</v>
      </c>
      <c r="Q43" s="31" t="n">
        <f aca="false">'E4 WIN Input'!$E$46*Q42</f>
        <v>118419.542793468</v>
      </c>
      <c r="R43" s="31" t="n">
        <f aca="false">'E4 WIN Input'!$E$46*R42</f>
        <v>123156.324505206</v>
      </c>
      <c r="S43" s="31" t="n">
        <f aca="false">'E4 WIN Input'!$E$46*S42</f>
        <v>128082.577485415</v>
      </c>
    </row>
    <row r="44" customFormat="false" ht="15" hidden="false" customHeight="false" outlineLevel="0" collapsed="false">
      <c r="B44" s="24" t="s">
        <v>1645</v>
      </c>
      <c r="C44" s="25" t="s">
        <v>905</v>
      </c>
      <c r="F44" s="31" t="n">
        <f aca="false">'E4 WIN Input'!F48</f>
        <v>0</v>
      </c>
      <c r="G44" s="31" t="n">
        <f aca="false">'E4 WIN Input'!G48</f>
        <v>84400</v>
      </c>
      <c r="H44" s="31" t="n">
        <f aca="false">'E4 WIN Input'!H48</f>
        <v>86932</v>
      </c>
      <c r="I44" s="31" t="n">
        <f aca="false">'E4 WIN Input'!I48</f>
        <v>89539.96</v>
      </c>
      <c r="J44" s="31" t="n">
        <f aca="false">'E4 WIN Input'!J48</f>
        <v>92226.1588</v>
      </c>
      <c r="K44" s="31" t="n">
        <f aca="false">'E4 WIN Input'!K48</f>
        <v>94992.943564</v>
      </c>
      <c r="L44" s="31" t="n">
        <f aca="false">'E4 WIN Input'!L48</f>
        <v>97842.73187092</v>
      </c>
      <c r="M44" s="31" t="n">
        <f aca="false">'E4 WIN Input'!M48</f>
        <v>100778.013827048</v>
      </c>
      <c r="N44" s="31" t="n">
        <f aca="false">'E4 WIN Input'!N48</f>
        <v>103801.354241859</v>
      </c>
      <c r="O44" s="31" t="n">
        <f aca="false">'E4 WIN Input'!O48</f>
        <v>106915.394869115</v>
      </c>
      <c r="P44" s="31" t="n">
        <f aca="false">'E4 WIN Input'!P48</f>
        <v>110122.856715188</v>
      </c>
      <c r="Q44" s="31" t="n">
        <f aca="false">'E4 WIN Input'!Q48</f>
        <v>110122.856715188</v>
      </c>
      <c r="R44" s="31" t="n">
        <f aca="false">'E4 WIN Input'!R48</f>
        <v>110122.856715188</v>
      </c>
      <c r="S44" s="31" t="n">
        <f aca="false">'E4 WIN Input'!S48</f>
        <v>110122.856715188</v>
      </c>
    </row>
    <row r="45" customFormat="false" ht="15" hidden="false" customHeight="false" outlineLevel="0" collapsed="false">
      <c r="B45" s="24" t="s">
        <v>1646</v>
      </c>
      <c r="C45" s="25" t="s">
        <v>170</v>
      </c>
      <c r="E45" s="47" t="n">
        <f aca="false">SUM(F45:S45)</f>
        <v>134.526935151085</v>
      </c>
      <c r="F45" s="47" t="n">
        <f aca="false">F43*F44/10^9</f>
        <v>0</v>
      </c>
      <c r="G45" s="47" t="n">
        <f aca="false">G43*G44/10^9</f>
        <v>6.752</v>
      </c>
      <c r="H45" s="47" t="n">
        <f aca="false">H43*H44/10^9</f>
        <v>7.2327424</v>
      </c>
      <c r="I45" s="47" t="n">
        <f aca="false">I43*I44/10^9</f>
        <v>7.74771365888</v>
      </c>
      <c r="J45" s="47" t="n">
        <f aca="false">J43*J44/10^9</f>
        <v>8.29935087139226</v>
      </c>
      <c r="K45" s="47" t="n">
        <f aca="false">K43*K44/10^9</f>
        <v>8.89026465343539</v>
      </c>
      <c r="L45" s="47" t="n">
        <f aca="false">L43*L44/10^9</f>
        <v>9.52325149675999</v>
      </c>
      <c r="M45" s="47" t="n">
        <f aca="false">M43*M44/10^9</f>
        <v>10.2013070033293</v>
      </c>
      <c r="N45" s="47" t="n">
        <f aca="false">N43*N44/10^9</f>
        <v>10.9276400619663</v>
      </c>
      <c r="O45" s="47" t="n">
        <f aca="false">O43*O44/10^9</f>
        <v>11.7056880343784</v>
      </c>
      <c r="P45" s="47" t="n">
        <f aca="false">P43*P44/10^9</f>
        <v>12.5391330224261</v>
      </c>
      <c r="Q45" s="47" t="n">
        <f aca="false">Q43*Q44/10^9</f>
        <v>13.0406983433231</v>
      </c>
      <c r="R45" s="47" t="n">
        <f aca="false">R43*R44/10^9</f>
        <v>13.5623262770561</v>
      </c>
      <c r="S45" s="47" t="n">
        <f aca="false">S43*S44/10^9</f>
        <v>14.1048193281383</v>
      </c>
    </row>
    <row r="46" customFormat="false" ht="15" hidden="false" customHeight="false" outlineLevel="0" collapsed="false">
      <c r="B46" s="69" t="s">
        <v>1647</v>
      </c>
      <c r="C46" s="25" t="s">
        <v>900</v>
      </c>
      <c r="E46" s="105" t="n">
        <f aca="false">SUM(F46:S46)</f>
        <v>6275154.21506246</v>
      </c>
      <c r="F46" s="106" t="n">
        <f aca="false">F39+F43</f>
        <v>356000</v>
      </c>
      <c r="G46" s="106" t="n">
        <f aca="false">G39+G43</f>
        <v>356000</v>
      </c>
      <c r="H46" s="106" t="n">
        <f aca="false">H39+H43</f>
        <v>370240</v>
      </c>
      <c r="I46" s="106" t="n">
        <f aca="false">I39+I43</f>
        <v>385049.6</v>
      </c>
      <c r="J46" s="106" t="n">
        <f aca="false">J39+J43</f>
        <v>400451.584</v>
      </c>
      <c r="K46" s="106" t="n">
        <f aca="false">K39+K43</f>
        <v>416469.64736</v>
      </c>
      <c r="L46" s="106" t="n">
        <f aca="false">L39+L43</f>
        <v>433128.4332544</v>
      </c>
      <c r="M46" s="106" t="n">
        <f aca="false">M39+M43</f>
        <v>450453.570584576</v>
      </c>
      <c r="N46" s="106" t="n">
        <f aca="false">N39+N43</f>
        <v>468471.713407959</v>
      </c>
      <c r="O46" s="106" t="n">
        <f aca="false">O39+O43</f>
        <v>487210.581944278</v>
      </c>
      <c r="P46" s="106" t="n">
        <f aca="false">P39+P43</f>
        <v>506699.005222049</v>
      </c>
      <c r="Q46" s="106" t="n">
        <f aca="false">Q39+Q43</f>
        <v>526966.965430931</v>
      </c>
      <c r="R46" s="106" t="n">
        <f aca="false">R39+R43</f>
        <v>548045.644048168</v>
      </c>
      <c r="S46" s="106" t="n">
        <f aca="false">S39+S43</f>
        <v>569967.469810095</v>
      </c>
    </row>
    <row r="47" customFormat="false" ht="15" hidden="false" customHeight="false" outlineLevel="0" collapsed="false">
      <c r="B47" s="69" t="s">
        <v>1648</v>
      </c>
      <c r="C47" s="25" t="s">
        <v>170</v>
      </c>
      <c r="E47" s="70" t="n">
        <f aca="false">SUM(F47:S47)</f>
        <v>257.247642126956</v>
      </c>
      <c r="F47" s="68" t="n">
        <f aca="false">F41+F45</f>
        <v>0</v>
      </c>
      <c r="G47" s="68" t="n">
        <f aca="false">G41+G45</f>
        <v>15.584</v>
      </c>
      <c r="H47" s="68" t="n">
        <f aca="false">H41+H45</f>
        <v>16.6935808</v>
      </c>
      <c r="I47" s="68" t="n">
        <f aca="false">I41+I45</f>
        <v>17.88216375296</v>
      </c>
      <c r="J47" s="68" t="n">
        <f aca="false">J41+J45</f>
        <v>19.1553738121708</v>
      </c>
      <c r="K47" s="68" t="n">
        <f aca="false">K41+K45</f>
        <v>20.5192364275973</v>
      </c>
      <c r="L47" s="68" t="n">
        <f aca="false">L41+L45</f>
        <v>21.9802060612423</v>
      </c>
      <c r="M47" s="68" t="n">
        <f aca="false">M41+M45</f>
        <v>23.5451967328027</v>
      </c>
      <c r="N47" s="68" t="n">
        <f aca="false">N41+N45</f>
        <v>25.2216147401782</v>
      </c>
      <c r="O47" s="68" t="n">
        <f aca="false">O41+O45</f>
        <v>27.0173937096789</v>
      </c>
      <c r="P47" s="68" t="n">
        <f aca="false">P41+P45</f>
        <v>28.9410321418081</v>
      </c>
      <c r="Q47" s="68" t="n">
        <f aca="false">Q41+Q45</f>
        <v>13.0406983433231</v>
      </c>
      <c r="R47" s="68" t="n">
        <f aca="false">R41+R45</f>
        <v>13.5623262770561</v>
      </c>
      <c r="S47" s="68" t="n">
        <f aca="false">S41+S45</f>
        <v>14.1048193281383</v>
      </c>
    </row>
    <row r="49" customFormat="false" ht="15" hidden="false" customHeight="false" outlineLevel="0" collapsed="false">
      <c r="B49" s="22" t="s">
        <v>1649</v>
      </c>
      <c r="C49" s="23"/>
      <c r="D49" s="23"/>
      <c r="E49" s="23"/>
      <c r="F49" s="23"/>
      <c r="G49" s="23"/>
      <c r="H49" s="23"/>
      <c r="I49" s="23"/>
      <c r="J49" s="23"/>
      <c r="K49" s="23"/>
      <c r="L49" s="23"/>
      <c r="M49" s="23"/>
      <c r="N49" s="23"/>
      <c r="O49" s="23"/>
      <c r="P49" s="23"/>
      <c r="Q49" s="23"/>
      <c r="R49" s="23"/>
      <c r="S49" s="23"/>
    </row>
    <row r="50" customFormat="false" ht="15" hidden="false" customHeight="false" outlineLevel="0" collapsed="false">
      <c r="B50" s="24" t="s">
        <v>1650</v>
      </c>
      <c r="C50" s="25" t="s">
        <v>1019</v>
      </c>
      <c r="F50" s="104" t="n">
        <f aca="false">1</f>
        <v>1</v>
      </c>
      <c r="G50" s="104" t="n">
        <f aca="false">F50*(1+'E4 WIN Input'!G51)*G$8</f>
        <v>1</v>
      </c>
      <c r="H50" s="104" t="n">
        <f aca="false">G50*(1+'E4 WIN Input'!H51)*H$8</f>
        <v>1.05</v>
      </c>
      <c r="I50" s="104" t="n">
        <f aca="false">H50*(1+'E4 WIN Input'!I51)*I$8</f>
        <v>1.1025</v>
      </c>
      <c r="J50" s="104" t="n">
        <f aca="false">I50*(1+'E4 WIN Input'!J51)*J$8</f>
        <v>1.157625</v>
      </c>
      <c r="K50" s="104" t="n">
        <f aca="false">J50*(1+'E4 WIN Input'!K51)*K$8</f>
        <v>1.21550625</v>
      </c>
      <c r="L50" s="104" t="n">
        <f aca="false">K50*(1+'E4 WIN Input'!L51)*L$8</f>
        <v>1.2762815625</v>
      </c>
      <c r="M50" s="104" t="n">
        <f aca="false">L50*(1+'E4 WIN Input'!M51)*M$8</f>
        <v>1.340095640625</v>
      </c>
      <c r="N50" s="104" t="n">
        <f aca="false">M50*(1+'E4 WIN Input'!N51)*N$8</f>
        <v>1.40710042265625</v>
      </c>
      <c r="O50" s="104" t="n">
        <f aca="false">N50*(1+'E4 WIN Input'!O51)*O$8</f>
        <v>1.47745544378906</v>
      </c>
      <c r="P50" s="104" t="n">
        <f aca="false">O50*(1+'E4 WIN Input'!P51)*P$8</f>
        <v>1.55132821597852</v>
      </c>
      <c r="Q50" s="104" t="n">
        <f aca="false">P50*(1+'E4 WIN Input'!Q51)*Q$8</f>
        <v>1.62889462677744</v>
      </c>
      <c r="R50" s="104" t="n">
        <f aca="false">Q50*(1+'E4 WIN Input'!R51)*R$8</f>
        <v>1.71033935811631</v>
      </c>
      <c r="S50" s="104" t="n">
        <f aca="false">R50*(1+'E4 WIN Input'!S51)*S$8</f>
        <v>1.79585632602213</v>
      </c>
    </row>
    <row r="51" customFormat="false" ht="15" hidden="false" customHeight="false" outlineLevel="0" collapsed="false">
      <c r="B51" s="24" t="s">
        <v>1651</v>
      </c>
      <c r="C51" s="25" t="s">
        <v>900</v>
      </c>
      <c r="E51" s="31" t="n">
        <f aca="false">SUM(F51:S51)</f>
        <v>9980756.53099042</v>
      </c>
      <c r="F51" s="31" t="n">
        <f aca="false">'E4 WIN Input'!$E$50*F50</f>
        <v>533360</v>
      </c>
      <c r="G51" s="31" t="n">
        <f aca="false">'E4 WIN Input'!$E$50*G50</f>
        <v>533360</v>
      </c>
      <c r="H51" s="31" t="n">
        <f aca="false">'E4 WIN Input'!$E$50*H50</f>
        <v>560028</v>
      </c>
      <c r="I51" s="31" t="n">
        <f aca="false">'E4 WIN Input'!$E$50*I50</f>
        <v>588029.4</v>
      </c>
      <c r="J51" s="31" t="n">
        <f aca="false">'E4 WIN Input'!$E$50*J50</f>
        <v>617430.87</v>
      </c>
      <c r="K51" s="31" t="n">
        <f aca="false">'E4 WIN Input'!$E$50*K50</f>
        <v>648302.4135</v>
      </c>
      <c r="L51" s="31" t="n">
        <f aca="false">'E4 WIN Input'!$E$50*L50</f>
        <v>680717.534175</v>
      </c>
      <c r="M51" s="31" t="n">
        <f aca="false">'E4 WIN Input'!$E$50*M50</f>
        <v>714753.41088375</v>
      </c>
      <c r="N51" s="31" t="n">
        <f aca="false">'E4 WIN Input'!$E$50*N50</f>
        <v>750491.081427938</v>
      </c>
      <c r="O51" s="31" t="n">
        <f aca="false">'E4 WIN Input'!$E$50*O50</f>
        <v>788015.635499335</v>
      </c>
      <c r="P51" s="31" t="n">
        <f aca="false">'E4 WIN Input'!$E$50*P50</f>
        <v>827416.417274302</v>
      </c>
      <c r="Q51" s="31" t="n">
        <f aca="false">'E4 WIN Input'!$E$50*Q50</f>
        <v>868787.238138017</v>
      </c>
      <c r="R51" s="31" t="n">
        <f aca="false">'E4 WIN Input'!$E$50*R50</f>
        <v>912226.600044918</v>
      </c>
      <c r="S51" s="31" t="n">
        <f aca="false">'E4 WIN Input'!$E$50*S50</f>
        <v>957837.930047164</v>
      </c>
    </row>
    <row r="52" customFormat="false" ht="15" hidden="false" customHeight="false" outlineLevel="0" collapsed="false">
      <c r="B52" s="24" t="s">
        <v>1652</v>
      </c>
      <c r="C52" s="25" t="s">
        <v>905</v>
      </c>
      <c r="F52" s="31" t="n">
        <f aca="false">'E4 WIN Input'!F52</f>
        <v>0</v>
      </c>
      <c r="G52" s="31" t="n">
        <f aca="false">'E4 WIN Input'!G52</f>
        <v>14625.4112024162</v>
      </c>
      <c r="H52" s="31" t="n">
        <f aca="false">'E4 WIN Input'!H52</f>
        <v>15064.1735384887</v>
      </c>
      <c r="I52" s="31" t="n">
        <f aca="false">'E4 WIN Input'!I52</f>
        <v>15516.0987446433</v>
      </c>
      <c r="J52" s="31" t="n">
        <f aca="false">'E4 WIN Input'!J52</f>
        <v>15981.5817069826</v>
      </c>
      <c r="K52" s="31" t="n">
        <f aca="false">'E4 WIN Input'!K52</f>
        <v>16461.0291581921</v>
      </c>
      <c r="L52" s="31" t="n">
        <f aca="false">'E4 WIN Input'!L52</f>
        <v>16954.8600329379</v>
      </c>
      <c r="M52" s="31" t="n">
        <f aca="false">'E4 WIN Input'!M52</f>
        <v>17463.505833926</v>
      </c>
      <c r="N52" s="31" t="n">
        <f aca="false">'E4 WIN Input'!N52</f>
        <v>17987.4110089438</v>
      </c>
      <c r="O52" s="31" t="n">
        <f aca="false">'E4 WIN Input'!O52</f>
        <v>18527.0333392121</v>
      </c>
      <c r="P52" s="31" t="n">
        <f aca="false">'E4 WIN Input'!P52</f>
        <v>19082.8443393884</v>
      </c>
      <c r="Q52" s="31" t="n">
        <f aca="false">'E4 WIN Input'!Q52</f>
        <v>19082.8443393884</v>
      </c>
      <c r="R52" s="31" t="n">
        <f aca="false">'E4 WIN Input'!R52</f>
        <v>19082.8443393884</v>
      </c>
      <c r="S52" s="31" t="n">
        <f aca="false">'E4 WIN Input'!S52</f>
        <v>19082.8443393884</v>
      </c>
    </row>
    <row r="53" customFormat="false" ht="15" hidden="false" customHeight="false" outlineLevel="0" collapsed="false">
      <c r="B53" s="24" t="s">
        <v>1653</v>
      </c>
      <c r="C53" s="25" t="s">
        <v>170</v>
      </c>
      <c r="E53" s="47" t="n">
        <f aca="false">SUM(F53:S53)</f>
        <v>166.077232383847</v>
      </c>
      <c r="F53" s="47" t="n">
        <f aca="false">F51*F52/10^9</f>
        <v>0</v>
      </c>
      <c r="G53" s="47" t="n">
        <f aca="false">G51*G52/10^9</f>
        <v>7.80060931892069</v>
      </c>
      <c r="H53" s="47" t="n">
        <f aca="false">H51*H52/10^9</f>
        <v>8.43635897841272</v>
      </c>
      <c r="I53" s="47" t="n">
        <f aca="false">I51*I52/10^9</f>
        <v>9.12392223515336</v>
      </c>
      <c r="J53" s="47" t="n">
        <f aca="false">J51*J52/10^9</f>
        <v>9.86752189731836</v>
      </c>
      <c r="K53" s="47" t="n">
        <f aca="false">K51*K52/10^9</f>
        <v>10.6717249319498</v>
      </c>
      <c r="L53" s="47" t="n">
        <f aca="false">L51*L52/10^9</f>
        <v>11.5414705139037</v>
      </c>
      <c r="M53" s="47" t="n">
        <f aca="false">M51*M52/10^9</f>
        <v>12.4821003607869</v>
      </c>
      <c r="N53" s="47" t="n">
        <f aca="false">N51*N52/10^9</f>
        <v>13.499391540191</v>
      </c>
      <c r="O53" s="47" t="n">
        <f aca="false">O51*O52/10^9</f>
        <v>14.5995919507166</v>
      </c>
      <c r="P53" s="47" t="n">
        <f aca="false">P51*P52/10^9</f>
        <v>15.7894586947</v>
      </c>
      <c r="Q53" s="47" t="n">
        <f aca="false">Q51*Q52/10^9</f>
        <v>16.578931629435</v>
      </c>
      <c r="R53" s="47" t="n">
        <f aca="false">R51*R52/10^9</f>
        <v>17.4078782109067</v>
      </c>
      <c r="S53" s="47" t="n">
        <f aca="false">S51*S52/10^9</f>
        <v>18.2782721214521</v>
      </c>
    </row>
    <row r="54" customFormat="false" ht="15" hidden="false" customHeight="false" outlineLevel="0" collapsed="false">
      <c r="B54" s="24" t="s">
        <v>1654</v>
      </c>
      <c r="C54" s="25" t="s">
        <v>1019</v>
      </c>
      <c r="F54" s="104" t="n">
        <f aca="false">1</f>
        <v>1</v>
      </c>
      <c r="G54" s="104" t="n">
        <f aca="false">F54*(1+'E4 WIN Input'!G54)*G$8</f>
        <v>1</v>
      </c>
      <c r="H54" s="104" t="n">
        <f aca="false">G54*(1+'E4 WIN Input'!H54)*H$8</f>
        <v>1.05</v>
      </c>
      <c r="I54" s="104" t="n">
        <f aca="false">H54*(1+'E4 WIN Input'!I54)*I$8</f>
        <v>1.1025</v>
      </c>
      <c r="J54" s="104" t="n">
        <f aca="false">I54*(1+'E4 WIN Input'!J54)*J$8</f>
        <v>1.157625</v>
      </c>
      <c r="K54" s="104" t="n">
        <f aca="false">J54*(1+'E4 WIN Input'!K54)*K$8</f>
        <v>1.21550625</v>
      </c>
      <c r="L54" s="104" t="n">
        <f aca="false">K54*(1+'E4 WIN Input'!L54)*L$8</f>
        <v>1.2762815625</v>
      </c>
      <c r="M54" s="104" t="n">
        <f aca="false">L54*(1+'E4 WIN Input'!M54)*M$8</f>
        <v>1.340095640625</v>
      </c>
      <c r="N54" s="104" t="n">
        <f aca="false">M54*(1+'E4 WIN Input'!N54)*N$8</f>
        <v>1.40710042265625</v>
      </c>
      <c r="O54" s="104" t="n">
        <f aca="false">N54*(1+'E4 WIN Input'!O54)*O$8</f>
        <v>1.47745544378906</v>
      </c>
      <c r="P54" s="104" t="n">
        <f aca="false">O54*(1+'E4 WIN Input'!P54)*P$8</f>
        <v>1.55132821597852</v>
      </c>
      <c r="Q54" s="104" t="n">
        <f aca="false">P54*(1+'E4 WIN Input'!Q54)*Q$8</f>
        <v>1.62889462677744</v>
      </c>
      <c r="R54" s="104" t="n">
        <f aca="false">Q54*(1+'E4 WIN Input'!R54)*R$8</f>
        <v>1.71033935811631</v>
      </c>
      <c r="S54" s="104" t="n">
        <f aca="false">R54*(1+'E4 WIN Input'!S54)*S$8</f>
        <v>1.79585632602213</v>
      </c>
    </row>
    <row r="55" customFormat="false" ht="15" hidden="false" customHeight="false" outlineLevel="0" collapsed="false">
      <c r="B55" s="24" t="s">
        <v>1655</v>
      </c>
      <c r="C55" s="25" t="s">
        <v>900</v>
      </c>
      <c r="E55" s="31" t="n">
        <f aca="false">SUM(F55:S55)</f>
        <v>4013934.82056668</v>
      </c>
      <c r="F55" s="31" t="n">
        <f aca="false">'E4 WIN Input'!$E$53*F54</f>
        <v>214500</v>
      </c>
      <c r="G55" s="31" t="n">
        <f aca="false">'E4 WIN Input'!$E$53*G54</f>
        <v>214500</v>
      </c>
      <c r="H55" s="31" t="n">
        <f aca="false">'E4 WIN Input'!$E$53*H54</f>
        <v>225225</v>
      </c>
      <c r="I55" s="31" t="n">
        <f aca="false">'E4 WIN Input'!$E$53*I54</f>
        <v>236486.25</v>
      </c>
      <c r="J55" s="31" t="n">
        <f aca="false">'E4 WIN Input'!$E$53*J54</f>
        <v>248310.5625</v>
      </c>
      <c r="K55" s="31" t="n">
        <f aca="false">'E4 WIN Input'!$E$53*K54</f>
        <v>260726.090625</v>
      </c>
      <c r="L55" s="31" t="n">
        <f aca="false">'E4 WIN Input'!$E$53*L54</f>
        <v>273762.39515625</v>
      </c>
      <c r="M55" s="31" t="n">
        <f aca="false">'E4 WIN Input'!$E$53*M54</f>
        <v>287450.514914063</v>
      </c>
      <c r="N55" s="31" t="n">
        <f aca="false">'E4 WIN Input'!$E$53*N54</f>
        <v>301823.040659766</v>
      </c>
      <c r="O55" s="31" t="n">
        <f aca="false">'E4 WIN Input'!$E$53*O54</f>
        <v>316914.192692754</v>
      </c>
      <c r="P55" s="31" t="n">
        <f aca="false">'E4 WIN Input'!$E$53*P54</f>
        <v>332759.902327392</v>
      </c>
      <c r="Q55" s="31" t="n">
        <f aca="false">'E4 WIN Input'!$E$53*Q54</f>
        <v>349397.897443761</v>
      </c>
      <c r="R55" s="31" t="n">
        <f aca="false">'E4 WIN Input'!$E$53*R54</f>
        <v>366867.792315949</v>
      </c>
      <c r="S55" s="31" t="n">
        <f aca="false">'E4 WIN Input'!$E$53*S54</f>
        <v>385211.181931747</v>
      </c>
    </row>
    <row r="56" customFormat="false" ht="15" hidden="false" customHeight="false" outlineLevel="0" collapsed="false">
      <c r="B56" s="24" t="s">
        <v>1656</v>
      </c>
      <c r="C56" s="25" t="s">
        <v>905</v>
      </c>
      <c r="F56" s="31" t="n">
        <f aca="false">'E4 WIN Input'!F55</f>
        <v>0</v>
      </c>
      <c r="G56" s="31" t="n">
        <f aca="false">'E4 WIN Input'!G55</f>
        <v>6500</v>
      </c>
      <c r="H56" s="31" t="n">
        <f aca="false">'E4 WIN Input'!H55</f>
        <v>6695</v>
      </c>
      <c r="I56" s="31" t="n">
        <f aca="false">'E4 WIN Input'!I55</f>
        <v>6895.85</v>
      </c>
      <c r="J56" s="31" t="n">
        <f aca="false">'E4 WIN Input'!J55</f>
        <v>7102.7255</v>
      </c>
      <c r="K56" s="31" t="n">
        <f aca="false">'E4 WIN Input'!K55</f>
        <v>7315.807265</v>
      </c>
      <c r="L56" s="31" t="n">
        <f aca="false">'E4 WIN Input'!L55</f>
        <v>7535.28148295</v>
      </c>
      <c r="M56" s="31" t="n">
        <f aca="false">'E4 WIN Input'!M55</f>
        <v>7761.3399274385</v>
      </c>
      <c r="N56" s="31" t="n">
        <f aca="false">'E4 WIN Input'!N55</f>
        <v>7994.18012526166</v>
      </c>
      <c r="O56" s="31" t="n">
        <f aca="false">'E4 WIN Input'!O55</f>
        <v>8234.00552901951</v>
      </c>
      <c r="P56" s="31" t="n">
        <f aca="false">'E4 WIN Input'!P55</f>
        <v>8481.02569489009</v>
      </c>
      <c r="Q56" s="31" t="n">
        <f aca="false">'E4 WIN Input'!Q55</f>
        <v>8481.02569489009</v>
      </c>
      <c r="R56" s="31" t="n">
        <f aca="false">'E4 WIN Input'!R55</f>
        <v>8481.02569489009</v>
      </c>
      <c r="S56" s="31" t="n">
        <f aca="false">'E4 WIN Input'!S55</f>
        <v>8481.02569489009</v>
      </c>
    </row>
    <row r="57" customFormat="false" ht="15" hidden="false" customHeight="false" outlineLevel="0" collapsed="false">
      <c r="B57" s="24" t="s">
        <v>1657</v>
      </c>
      <c r="C57" s="25" t="s">
        <v>170</v>
      </c>
      <c r="E57" s="47" t="n">
        <f aca="false">SUM(F57:S57)</f>
        <v>29.6839864405896</v>
      </c>
      <c r="F57" s="47" t="n">
        <f aca="false">F55*F56/10^9</f>
        <v>0</v>
      </c>
      <c r="G57" s="47" t="n">
        <f aca="false">G55*G56/10^9</f>
        <v>1.39425</v>
      </c>
      <c r="H57" s="47" t="n">
        <f aca="false">H55*H56/10^9</f>
        <v>1.507881375</v>
      </c>
      <c r="I57" s="47" t="n">
        <f aca="false">I55*I56/10^9</f>
        <v>1.6307737070625</v>
      </c>
      <c r="J57" s="47" t="n">
        <f aca="false">J55*J56/10^9</f>
        <v>1.76368176418809</v>
      </c>
      <c r="K57" s="47" t="n">
        <f aca="false">K55*K56/10^9</f>
        <v>1.90742182796942</v>
      </c>
      <c r="L57" s="47" t="n">
        <f aca="false">L55*L56/10^9</f>
        <v>2.06287670694893</v>
      </c>
      <c r="M57" s="47" t="n">
        <f aca="false">M55*M56/10^9</f>
        <v>2.23100115856527</v>
      </c>
      <c r="N57" s="47" t="n">
        <f aca="false">N55*N56/10^9</f>
        <v>2.41282775298834</v>
      </c>
      <c r="O57" s="47" t="n">
        <f aca="false">O55*O56/10^9</f>
        <v>2.60947321485689</v>
      </c>
      <c r="P57" s="47" t="n">
        <f aca="false">P55*P56/10^9</f>
        <v>2.82214528186773</v>
      </c>
      <c r="Q57" s="47" t="n">
        <f aca="false">Q55*Q56/10^9</f>
        <v>2.96325254596111</v>
      </c>
      <c r="R57" s="47" t="n">
        <f aca="false">R55*R56/10^9</f>
        <v>3.11141517325917</v>
      </c>
      <c r="S57" s="47" t="n">
        <f aca="false">S55*S56/10^9</f>
        <v>3.26698593192213</v>
      </c>
    </row>
    <row r="58" customFormat="false" ht="15" hidden="false" customHeight="false" outlineLevel="0" collapsed="false">
      <c r="B58" s="69" t="s">
        <v>1658</v>
      </c>
      <c r="C58" s="25" t="s">
        <v>900</v>
      </c>
      <c r="E58" s="105" t="n">
        <f aca="false">SUM(F58:S58)</f>
        <v>13994691.3515571</v>
      </c>
      <c r="F58" s="106" t="n">
        <f aca="false">F51+F55</f>
        <v>747860</v>
      </c>
      <c r="G58" s="106" t="n">
        <f aca="false">G51+G55</f>
        <v>747860</v>
      </c>
      <c r="H58" s="106" t="n">
        <f aca="false">H51+H55</f>
        <v>785253</v>
      </c>
      <c r="I58" s="106" t="n">
        <f aca="false">I51+I55</f>
        <v>824515.65</v>
      </c>
      <c r="J58" s="106" t="n">
        <f aca="false">J51+J55</f>
        <v>865741.4325</v>
      </c>
      <c r="K58" s="106" t="n">
        <f aca="false">K51+K55</f>
        <v>909028.504125</v>
      </c>
      <c r="L58" s="106" t="n">
        <f aca="false">L51+L55</f>
        <v>954479.929331251</v>
      </c>
      <c r="M58" s="106" t="n">
        <f aca="false">M51+M55</f>
        <v>1002203.92579781</v>
      </c>
      <c r="N58" s="106" t="n">
        <f aca="false">N51+N55</f>
        <v>1052314.1220877</v>
      </c>
      <c r="O58" s="106" t="n">
        <f aca="false">O51+O55</f>
        <v>1104929.82819209</v>
      </c>
      <c r="P58" s="106" t="n">
        <f aca="false">P51+P55</f>
        <v>1160176.31960169</v>
      </c>
      <c r="Q58" s="106" t="n">
        <f aca="false">Q51+Q55</f>
        <v>1218185.13558178</v>
      </c>
      <c r="R58" s="106" t="n">
        <f aca="false">R51+R55</f>
        <v>1279094.39236087</v>
      </c>
      <c r="S58" s="106" t="n">
        <f aca="false">S51+S55</f>
        <v>1343049.11197891</v>
      </c>
    </row>
    <row r="59" customFormat="false" ht="15" hidden="false" customHeight="false" outlineLevel="0" collapsed="false">
      <c r="B59" s="69" t="s">
        <v>1659</v>
      </c>
      <c r="C59" s="25" t="s">
        <v>170</v>
      </c>
      <c r="E59" s="70" t="n">
        <f aca="false">SUM(F59:S59)</f>
        <v>195.761218824436</v>
      </c>
      <c r="F59" s="68" t="n">
        <f aca="false">F53+F57</f>
        <v>0</v>
      </c>
      <c r="G59" s="68" t="n">
        <f aca="false">G53+G57</f>
        <v>9.19485931892069</v>
      </c>
      <c r="H59" s="68" t="n">
        <f aca="false">H53+H57</f>
        <v>9.94424035341272</v>
      </c>
      <c r="I59" s="68" t="n">
        <f aca="false">I53+I57</f>
        <v>10.7546959422159</v>
      </c>
      <c r="J59" s="68" t="n">
        <f aca="false">J53+J57</f>
        <v>11.6312036615065</v>
      </c>
      <c r="K59" s="68" t="n">
        <f aca="false">K53+K57</f>
        <v>12.5791467599192</v>
      </c>
      <c r="L59" s="68" t="n">
        <f aca="false">L53+L57</f>
        <v>13.6043472208527</v>
      </c>
      <c r="M59" s="68" t="n">
        <f aca="false">M53+M57</f>
        <v>14.7131015193521</v>
      </c>
      <c r="N59" s="68" t="n">
        <f aca="false">N53+N57</f>
        <v>15.9122192931793</v>
      </c>
      <c r="O59" s="68" t="n">
        <f aca="false">O53+O57</f>
        <v>17.2090651655735</v>
      </c>
      <c r="P59" s="68" t="n">
        <f aca="false">P53+P57</f>
        <v>18.6116039765677</v>
      </c>
      <c r="Q59" s="68" t="n">
        <f aca="false">Q53+Q57</f>
        <v>19.5421841753961</v>
      </c>
      <c r="R59" s="68" t="n">
        <f aca="false">R53+R57</f>
        <v>20.5192933841659</v>
      </c>
      <c r="S59" s="68" t="n">
        <f aca="false">S53+S57</f>
        <v>21.5452580533742</v>
      </c>
    </row>
    <row r="61" customFormat="false" ht="15" hidden="false" customHeight="false" outlineLevel="0" collapsed="false">
      <c r="B61" s="22" t="s">
        <v>1660</v>
      </c>
      <c r="C61" s="23"/>
      <c r="D61" s="23"/>
      <c r="E61" s="23"/>
      <c r="F61" s="23"/>
      <c r="G61" s="23"/>
      <c r="H61" s="23"/>
      <c r="I61" s="23"/>
      <c r="J61" s="23"/>
      <c r="K61" s="23"/>
      <c r="L61" s="23"/>
      <c r="M61" s="23"/>
      <c r="N61" s="23"/>
      <c r="O61" s="23"/>
      <c r="P61" s="23"/>
      <c r="Q61" s="23"/>
      <c r="R61" s="23"/>
      <c r="S61" s="23"/>
    </row>
    <row r="62" customFormat="false" ht="15" hidden="false" customHeight="false" outlineLevel="0" collapsed="false">
      <c r="B62" s="24" t="s">
        <v>1661</v>
      </c>
      <c r="C62" s="25" t="s">
        <v>143</v>
      </c>
      <c r="F62" s="30" t="n">
        <f aca="false">0</f>
        <v>0</v>
      </c>
      <c r="G62" s="30" t="n">
        <f aca="false">IF(G$5&gt;='E4 WIN Input'!$E$57,1,0)*G$8</f>
        <v>0</v>
      </c>
      <c r="H62" s="30" t="n">
        <f aca="false">IF(H$5&gt;='E4 WIN Input'!$E$57,1,0)*H$8</f>
        <v>0</v>
      </c>
      <c r="I62" s="30" t="n">
        <f aca="false">IF(I$5&gt;='E4 WIN Input'!$E$57,1,0)*I$8</f>
        <v>1</v>
      </c>
      <c r="J62" s="30" t="n">
        <f aca="false">IF(J$5&gt;='E4 WIN Input'!$E$57,1,0)*J$8</f>
        <v>1</v>
      </c>
      <c r="K62" s="30" t="n">
        <f aca="false">IF(K$5&gt;='E4 WIN Input'!$E$57,1,0)*K$8</f>
        <v>1</v>
      </c>
      <c r="L62" s="30" t="n">
        <f aca="false">IF(L$5&gt;='E4 WIN Input'!$E$57,1,0)*L$8</f>
        <v>1</v>
      </c>
      <c r="M62" s="30" t="n">
        <f aca="false">IF(M$5&gt;='E4 WIN Input'!$E$57,1,0)*M$8</f>
        <v>1</v>
      </c>
      <c r="N62" s="30" t="n">
        <f aca="false">IF(N$5&gt;='E4 WIN Input'!$E$57,1,0)*N$8</f>
        <v>1</v>
      </c>
      <c r="O62" s="30" t="n">
        <f aca="false">IF(O$5&gt;='E4 WIN Input'!$E$57,1,0)*O$8</f>
        <v>1</v>
      </c>
      <c r="P62" s="30" t="n">
        <f aca="false">IF(P$5&gt;='E4 WIN Input'!$E$57,1,0)*P$8</f>
        <v>1</v>
      </c>
      <c r="Q62" s="30" t="n">
        <f aca="false">IF(Q$5&gt;='E4 WIN Input'!$E$57,1,0)*Q$8</f>
        <v>1</v>
      </c>
      <c r="R62" s="30" t="n">
        <f aca="false">IF(R$5&gt;='E4 WIN Input'!$E$57,1,0)*R$8</f>
        <v>1</v>
      </c>
      <c r="S62" s="30" t="n">
        <f aca="false">IF(S$5&gt;='E4 WIN Input'!$E$57,1,0)*S$8</f>
        <v>1</v>
      </c>
    </row>
    <row r="63" customFormat="false" ht="15" hidden="false" customHeight="false" outlineLevel="0" collapsed="false">
      <c r="B63" s="24" t="s">
        <v>1662</v>
      </c>
      <c r="C63" s="25" t="s">
        <v>1019</v>
      </c>
      <c r="F63" s="104" t="n">
        <f aca="false">0</f>
        <v>0</v>
      </c>
      <c r="G63" s="104" t="n">
        <f aca="false">IF(G$5&lt;'E4 WIN Input'!$E$58,0,IF(G$5='E4 WIN Input'!$E$58,1,F63*(1+'E4 WIN Input'!G60)))*G$8</f>
        <v>0</v>
      </c>
      <c r="H63" s="104" t="n">
        <f aca="false">IF(H$5&lt;'E4 WIN Input'!$E$58,0,IF(H$5='E4 WIN Input'!$E$58,1,G63*(1+'E4 WIN Input'!H60)))*H$8</f>
        <v>0</v>
      </c>
      <c r="I63" s="104" t="n">
        <f aca="false">IF(I$5&lt;'E4 WIN Input'!$E$58,0,IF(I$5='E4 WIN Input'!$E$58,1,H63*(1+'E4 WIN Input'!I60)))*I$8</f>
        <v>1</v>
      </c>
      <c r="J63" s="104" t="n">
        <f aca="false">IF(J$5&lt;'E4 WIN Input'!$E$58,0,IF(J$5='E4 WIN Input'!$E$58,1,I63*(1+'E4 WIN Input'!J60)))*J$8</f>
        <v>1.05</v>
      </c>
      <c r="K63" s="104" t="n">
        <f aca="false">IF(K$5&lt;'E4 WIN Input'!$E$58,0,IF(K$5='E4 WIN Input'!$E$58,1,J63*(1+'E4 WIN Input'!K60)))*K$8</f>
        <v>1.1025</v>
      </c>
      <c r="L63" s="104" t="n">
        <f aca="false">IF(L$5&lt;'E4 WIN Input'!$E$58,0,IF(L$5='E4 WIN Input'!$E$58,1,K63*(1+'E4 WIN Input'!L60)))*L$8</f>
        <v>1.157625</v>
      </c>
      <c r="M63" s="104" t="n">
        <f aca="false">IF(M$5&lt;'E4 WIN Input'!$E$58,0,IF(M$5='E4 WIN Input'!$E$58,1,L63*(1+'E4 WIN Input'!M60)))*M$8</f>
        <v>1.21550625</v>
      </c>
      <c r="N63" s="104" t="n">
        <f aca="false">IF(N$5&lt;'E4 WIN Input'!$E$58,0,IF(N$5='E4 WIN Input'!$E$58,1,M63*(1+'E4 WIN Input'!N60)))*N$8</f>
        <v>1.2762815625</v>
      </c>
      <c r="O63" s="104" t="n">
        <f aca="false">IF(O$5&lt;'E4 WIN Input'!$E$58,0,IF(O$5='E4 WIN Input'!$E$58,1,N63*(1+'E4 WIN Input'!O60)))*O$8</f>
        <v>1.340095640625</v>
      </c>
      <c r="P63" s="104" t="n">
        <f aca="false">IF(P$5&lt;'E4 WIN Input'!$E$58,0,IF(P$5='E4 WIN Input'!$E$58,1,O63*(1+'E4 WIN Input'!P60)))*P$8</f>
        <v>1.40710042265625</v>
      </c>
      <c r="Q63" s="104" t="n">
        <f aca="false">IF(Q$5&lt;'E4 WIN Input'!$E$58,0,IF(Q$5='E4 WIN Input'!$E$58,1,P63*(1+'E4 WIN Input'!Q60)))*Q$8</f>
        <v>1.47745544378906</v>
      </c>
      <c r="R63" s="104" t="n">
        <f aca="false">IF(R$5&lt;'E4 WIN Input'!$E$58,0,IF(R$5='E4 WIN Input'!$E$58,1,Q63*(1+'E4 WIN Input'!R60)))*R$8</f>
        <v>1.55132821597852</v>
      </c>
      <c r="S63" s="104" t="n">
        <f aca="false">IF(S$5&lt;'E4 WIN Input'!$E$58,0,IF(S$5='E4 WIN Input'!$E$58,1,R63*(1+'E4 WIN Input'!S60)))*S$8</f>
        <v>1.62889462677744</v>
      </c>
    </row>
    <row r="64" customFormat="false" ht="15" hidden="false" customHeight="false" outlineLevel="0" collapsed="false">
      <c r="B64" s="24" t="s">
        <v>1663</v>
      </c>
      <c r="C64" s="25" t="s">
        <v>900</v>
      </c>
      <c r="E64" s="31" t="n">
        <f aca="false">SUM(F64:S64)</f>
        <v>1420678.71623263</v>
      </c>
      <c r="F64" s="31" t="n">
        <f aca="false">'E4 WIN Input'!$E$59*F63*F62</f>
        <v>0</v>
      </c>
      <c r="G64" s="31" t="n">
        <f aca="false">'E4 WIN Input'!$E$59*G63*G62</f>
        <v>0</v>
      </c>
      <c r="H64" s="31" t="n">
        <f aca="false">'E4 WIN Input'!$E$59*H63*H62</f>
        <v>0</v>
      </c>
      <c r="I64" s="31" t="n">
        <f aca="false">'E4 WIN Input'!$E$59*I63*I62</f>
        <v>100000</v>
      </c>
      <c r="J64" s="31" t="n">
        <f aca="false">'E4 WIN Input'!$E$59*J63*J62</f>
        <v>105000</v>
      </c>
      <c r="K64" s="31" t="n">
        <f aca="false">'E4 WIN Input'!$E$59*K63*K62</f>
        <v>110250</v>
      </c>
      <c r="L64" s="31" t="n">
        <f aca="false">'E4 WIN Input'!$E$59*L63*L62</f>
        <v>115762.5</v>
      </c>
      <c r="M64" s="31" t="n">
        <f aca="false">'E4 WIN Input'!$E$59*M63*M62</f>
        <v>121550.625</v>
      </c>
      <c r="N64" s="31" t="n">
        <f aca="false">'E4 WIN Input'!$E$59*N63*N62</f>
        <v>127628.15625</v>
      </c>
      <c r="O64" s="31" t="n">
        <f aca="false">'E4 WIN Input'!$E$59*O63*O62</f>
        <v>134009.5640625</v>
      </c>
      <c r="P64" s="31" t="n">
        <f aca="false">'E4 WIN Input'!$E$59*P63*P62</f>
        <v>140710.042265625</v>
      </c>
      <c r="Q64" s="31" t="n">
        <f aca="false">'E4 WIN Input'!$E$59*Q63*Q62</f>
        <v>147745.544378906</v>
      </c>
      <c r="R64" s="31" t="n">
        <f aca="false">'E4 WIN Input'!$E$59*R63*R62</f>
        <v>155132.821597852</v>
      </c>
      <c r="S64" s="31" t="n">
        <f aca="false">'E4 WIN Input'!$E$59*S63*S62</f>
        <v>162889.462677744</v>
      </c>
    </row>
    <row r="65" customFormat="false" ht="15" hidden="false" customHeight="false" outlineLevel="0" collapsed="false">
      <c r="B65" s="24" t="s">
        <v>1664</v>
      </c>
      <c r="C65" s="25" t="s">
        <v>905</v>
      </c>
      <c r="F65" s="31" t="n">
        <f aca="false">'E4 WIN Input'!F61</f>
        <v>0</v>
      </c>
      <c r="G65" s="31" t="n">
        <f aca="false">'E4 WIN Input'!G61</f>
        <v>0</v>
      </c>
      <c r="H65" s="31" t="n">
        <f aca="false">'E4 WIN Input'!H61</f>
        <v>0</v>
      </c>
      <c r="I65" s="31" t="n">
        <f aca="false">'E4 WIN Input'!I61</f>
        <v>16189.1782846961</v>
      </c>
      <c r="J65" s="31" t="n">
        <f aca="false">'E4 WIN Input'!J61</f>
        <v>16674.853633237</v>
      </c>
      <c r="K65" s="31" t="n">
        <f aca="false">'E4 WIN Input'!K61</f>
        <v>17175.0992422341</v>
      </c>
      <c r="L65" s="31" t="n">
        <f aca="false">'E4 WIN Input'!L61</f>
        <v>17690.3522195011</v>
      </c>
      <c r="M65" s="31" t="n">
        <f aca="false">'E4 WIN Input'!M61</f>
        <v>18221.0627860861</v>
      </c>
      <c r="N65" s="31" t="n">
        <f aca="false">'E4 WIN Input'!N61</f>
        <v>18767.6946696687</v>
      </c>
      <c r="O65" s="31" t="n">
        <f aca="false">'E4 WIN Input'!O61</f>
        <v>19330.7255097588</v>
      </c>
      <c r="P65" s="31" t="n">
        <f aca="false">'E4 WIN Input'!P61</f>
        <v>19910.6472750516</v>
      </c>
      <c r="Q65" s="31" t="n">
        <f aca="false">'E4 WIN Input'!Q61</f>
        <v>19910.6472750516</v>
      </c>
      <c r="R65" s="31" t="n">
        <f aca="false">'E4 WIN Input'!R61</f>
        <v>19910.6472750516</v>
      </c>
      <c r="S65" s="31" t="n">
        <f aca="false">'E4 WIN Input'!S61</f>
        <v>19910.6472750516</v>
      </c>
    </row>
    <row r="66" customFormat="false" ht="15" hidden="false" customHeight="false" outlineLevel="0" collapsed="false">
      <c r="B66" s="24" t="s">
        <v>1665</v>
      </c>
      <c r="C66" s="25" t="s">
        <v>170</v>
      </c>
      <c r="E66" s="47" t="n">
        <f aca="false">SUM(F66:S66)</f>
        <v>26.5871484543811</v>
      </c>
      <c r="F66" s="47" t="n">
        <f aca="false">F64*F65/10^9</f>
        <v>0</v>
      </c>
      <c r="G66" s="47" t="n">
        <f aca="false">G64*G65/10^9</f>
        <v>0</v>
      </c>
      <c r="H66" s="47" t="n">
        <f aca="false">H64*H65/10^9</f>
        <v>0</v>
      </c>
      <c r="I66" s="47" t="n">
        <f aca="false">I64*I65/10^9</f>
        <v>1.61891782846961</v>
      </c>
      <c r="J66" s="47" t="n">
        <f aca="false">J64*J65/10^9</f>
        <v>1.75085963148988</v>
      </c>
      <c r="K66" s="47" t="n">
        <f aca="false">K64*K65/10^9</f>
        <v>1.89355469145631</v>
      </c>
      <c r="L66" s="47" t="n">
        <f aca="false">L64*L65/10^9</f>
        <v>2.04787939881</v>
      </c>
      <c r="M66" s="47" t="n">
        <f aca="false">M64*M65/10^9</f>
        <v>2.21478156981301</v>
      </c>
      <c r="N66" s="47" t="n">
        <f aca="false">N64*N65/10^9</f>
        <v>2.39528626775277</v>
      </c>
      <c r="O66" s="47" t="n">
        <f aca="false">O64*O65/10^9</f>
        <v>2.59050209857462</v>
      </c>
      <c r="P66" s="47" t="n">
        <f aca="false">P64*P65/10^9</f>
        <v>2.80162801960846</v>
      </c>
      <c r="Q66" s="47" t="n">
        <f aca="false">Q64*Q65/10^9</f>
        <v>2.94170942058888</v>
      </c>
      <c r="R66" s="47" t="n">
        <f aca="false">R64*R65/10^9</f>
        <v>3.08879489161832</v>
      </c>
      <c r="S66" s="47" t="n">
        <f aca="false">S64*S65/10^9</f>
        <v>3.24323463619924</v>
      </c>
    </row>
    <row r="67" customFormat="false" ht="15" hidden="false" customHeight="false" outlineLevel="0" collapsed="false">
      <c r="B67" s="24" t="s">
        <v>1666</v>
      </c>
      <c r="C67" s="25" t="s">
        <v>1019</v>
      </c>
      <c r="F67" s="104" t="n">
        <f aca="false">1</f>
        <v>1</v>
      </c>
      <c r="G67" s="104" t="n">
        <f aca="false">F67*(1+'E4 WIN Input'!G63)*G$8</f>
        <v>1</v>
      </c>
      <c r="H67" s="104" t="n">
        <f aca="false">G67*(1+'E4 WIN Input'!H63)*H$8</f>
        <v>1.05</v>
      </c>
      <c r="I67" s="104" t="n">
        <f aca="false">H67*(1+'E4 WIN Input'!I63)*I$8</f>
        <v>1.1025</v>
      </c>
      <c r="J67" s="104" t="n">
        <f aca="false">I67*(1+'E4 WIN Input'!J63)*J$8</f>
        <v>1.157625</v>
      </c>
      <c r="K67" s="104" t="n">
        <f aca="false">J67*(1+'E4 WIN Input'!K63)*K$8</f>
        <v>1.21550625</v>
      </c>
      <c r="L67" s="104" t="n">
        <f aca="false">K67*(1+'E4 WIN Input'!L63)*L$8</f>
        <v>1.2762815625</v>
      </c>
      <c r="M67" s="104" t="n">
        <f aca="false">L67*(1+'E4 WIN Input'!M63)*M$8</f>
        <v>1.340095640625</v>
      </c>
      <c r="N67" s="104" t="n">
        <f aca="false">M67*(1+'E4 WIN Input'!N63)*N$8</f>
        <v>1.40710042265625</v>
      </c>
      <c r="O67" s="104" t="n">
        <f aca="false">N67*(1+'E4 WIN Input'!O63)*O$8</f>
        <v>1.47745544378906</v>
      </c>
      <c r="P67" s="104" t="n">
        <f aca="false">O67*(1+'E4 WIN Input'!P63)*P$8</f>
        <v>1.55132821597852</v>
      </c>
      <c r="Q67" s="104" t="n">
        <f aca="false">P67*(1+'E4 WIN Input'!Q63)*Q$8</f>
        <v>1.62889462677744</v>
      </c>
      <c r="R67" s="104" t="n">
        <f aca="false">Q67*(1+'E4 WIN Input'!R63)*R$8</f>
        <v>1.71033935811631</v>
      </c>
      <c r="S67" s="104" t="n">
        <f aca="false">R67*(1+'E4 WIN Input'!S63)*S$8</f>
        <v>1.79585632602213</v>
      </c>
    </row>
    <row r="68" customFormat="false" ht="15" hidden="false" customHeight="false" outlineLevel="0" collapsed="false">
      <c r="B68" s="24" t="s">
        <v>1667</v>
      </c>
      <c r="C68" s="25" t="s">
        <v>900</v>
      </c>
      <c r="E68" s="31" t="n">
        <f aca="false">SUM(F68:S68)</f>
        <v>14439386.6759205</v>
      </c>
      <c r="F68" s="31" t="n">
        <f aca="false">'E4 WIN Input'!$E$62*F67</f>
        <v>771624</v>
      </c>
      <c r="G68" s="31" t="n">
        <f aca="false">'E4 WIN Input'!$E$62*G67</f>
        <v>771624</v>
      </c>
      <c r="H68" s="31" t="n">
        <f aca="false">'E4 WIN Input'!$E$62*H67</f>
        <v>810205.2</v>
      </c>
      <c r="I68" s="31" t="n">
        <f aca="false">'E4 WIN Input'!$E$62*I67</f>
        <v>850715.46</v>
      </c>
      <c r="J68" s="31" t="n">
        <f aca="false">'E4 WIN Input'!$E$62*J67</f>
        <v>893251.233</v>
      </c>
      <c r="K68" s="31" t="n">
        <f aca="false">'E4 WIN Input'!$E$62*K67</f>
        <v>937913.79465</v>
      </c>
      <c r="L68" s="31" t="n">
        <f aca="false">'E4 WIN Input'!$E$62*L67</f>
        <v>984809.4843825</v>
      </c>
      <c r="M68" s="31" t="n">
        <f aca="false">'E4 WIN Input'!$E$62*M67</f>
        <v>1034049.95860163</v>
      </c>
      <c r="N68" s="31" t="n">
        <f aca="false">'E4 WIN Input'!$E$62*N67</f>
        <v>1085752.45653171</v>
      </c>
      <c r="O68" s="31" t="n">
        <f aca="false">'E4 WIN Input'!$E$62*O67</f>
        <v>1140040.07935829</v>
      </c>
      <c r="P68" s="31" t="n">
        <f aca="false">'E4 WIN Input'!$E$62*P67</f>
        <v>1197042.08332621</v>
      </c>
      <c r="Q68" s="31" t="n">
        <f aca="false">'E4 WIN Input'!$E$62*Q67</f>
        <v>1256894.18749252</v>
      </c>
      <c r="R68" s="31" t="n">
        <f aca="false">'E4 WIN Input'!$E$62*R67</f>
        <v>1319738.89686714</v>
      </c>
      <c r="S68" s="31" t="n">
        <f aca="false">'E4 WIN Input'!$E$62*S67</f>
        <v>1385725.8417105</v>
      </c>
    </row>
    <row r="69" customFormat="false" ht="15" hidden="false" customHeight="false" outlineLevel="0" collapsed="false">
      <c r="B69" s="24" t="s">
        <v>1668</v>
      </c>
      <c r="C69" s="25" t="s">
        <v>905</v>
      </c>
      <c r="F69" s="31" t="n">
        <f aca="false">'E4 WIN Input'!F64</f>
        <v>0</v>
      </c>
      <c r="G69" s="31" t="n">
        <f aca="false">'E4 WIN Input'!G64</f>
        <v>14300.2881517263</v>
      </c>
      <c r="H69" s="31" t="n">
        <f aca="false">'E4 WIN Input'!H64</f>
        <v>14729.2967962781</v>
      </c>
      <c r="I69" s="31" t="n">
        <f aca="false">'E4 WIN Input'!I64</f>
        <v>15171.1757001665</v>
      </c>
      <c r="J69" s="31" t="n">
        <f aca="false">'E4 WIN Input'!J64</f>
        <v>15626.3109711715</v>
      </c>
      <c r="K69" s="31" t="n">
        <f aca="false">'E4 WIN Input'!K64</f>
        <v>16095.1003003066</v>
      </c>
      <c r="L69" s="31" t="n">
        <f aca="false">'E4 WIN Input'!L64</f>
        <v>16577.9533093158</v>
      </c>
      <c r="M69" s="31" t="n">
        <f aca="false">'E4 WIN Input'!M64</f>
        <v>17075.2919085953</v>
      </c>
      <c r="N69" s="31" t="n">
        <f aca="false">'E4 WIN Input'!N64</f>
        <v>17587.5506658531</v>
      </c>
      <c r="O69" s="31" t="n">
        <f aca="false">'E4 WIN Input'!O64</f>
        <v>18115.1771858287</v>
      </c>
      <c r="P69" s="31" t="n">
        <f aca="false">'E4 WIN Input'!P64</f>
        <v>18658.6325014036</v>
      </c>
      <c r="Q69" s="31" t="n">
        <f aca="false">'E4 WIN Input'!Q64</f>
        <v>18658.6325014036</v>
      </c>
      <c r="R69" s="31" t="n">
        <f aca="false">'E4 WIN Input'!R64</f>
        <v>18658.6325014036</v>
      </c>
      <c r="S69" s="31" t="n">
        <f aca="false">'E4 WIN Input'!S64</f>
        <v>18658.6325014036</v>
      </c>
    </row>
    <row r="70" customFormat="false" ht="15" hidden="false" customHeight="false" outlineLevel="0" collapsed="false">
      <c r="B70" s="24" t="s">
        <v>1669</v>
      </c>
      <c r="C70" s="25" t="s">
        <v>170</v>
      </c>
      <c r="E70" s="47" t="n">
        <f aca="false">SUM(F70:S70)</f>
        <v>234.92654253606</v>
      </c>
      <c r="F70" s="47" t="n">
        <f aca="false">F68*F69/10^9</f>
        <v>0</v>
      </c>
      <c r="G70" s="47" t="n">
        <f aca="false">G68*G69/10^9</f>
        <v>11.0344455447877</v>
      </c>
      <c r="H70" s="47" t="n">
        <f aca="false">H68*H69/10^9</f>
        <v>11.9337528566879</v>
      </c>
      <c r="I70" s="47" t="n">
        <f aca="false">I68*I69/10^9</f>
        <v>12.9063537145079</v>
      </c>
      <c r="J70" s="47" t="n">
        <f aca="false">J68*J69/10^9</f>
        <v>13.9582215422403</v>
      </c>
      <c r="K70" s="47" t="n">
        <f aca="false">K68*K69/10^9</f>
        <v>15.0958165979329</v>
      </c>
      <c r="L70" s="47" t="n">
        <f aca="false">L68*L69/10^9</f>
        <v>16.3261256506645</v>
      </c>
      <c r="M70" s="47" t="n">
        <f aca="false">M68*M69/10^9</f>
        <v>17.6567048911936</v>
      </c>
      <c r="N70" s="47" t="n">
        <f aca="false">N68*N69/10^9</f>
        <v>19.0957263398259</v>
      </c>
      <c r="O70" s="47" t="n">
        <f aca="false">O68*O69/10^9</f>
        <v>20.6520280365217</v>
      </c>
      <c r="P70" s="47" t="n">
        <f aca="false">P68*P69/10^9</f>
        <v>22.3351683214982</v>
      </c>
      <c r="Q70" s="47" t="n">
        <f aca="false">Q68*Q69/10^9</f>
        <v>23.4519267375731</v>
      </c>
      <c r="R70" s="47" t="n">
        <f aca="false">R68*R69/10^9</f>
        <v>24.6245230744518</v>
      </c>
      <c r="S70" s="47" t="n">
        <f aca="false">S68*S69/10^9</f>
        <v>25.8557492281744</v>
      </c>
    </row>
    <row r="71" customFormat="false" ht="15" hidden="false" customHeight="false" outlineLevel="0" collapsed="false">
      <c r="B71" s="24" t="s">
        <v>1670</v>
      </c>
      <c r="C71" s="25" t="s">
        <v>1019</v>
      </c>
      <c r="F71" s="104" t="n">
        <f aca="false">0</f>
        <v>0</v>
      </c>
      <c r="G71" s="104" t="n">
        <f aca="false">IF(G$5&lt;'E4 WIN Input'!$E$65,0,IF(G$5='E4 WIN Input'!$E$65,1,F71*(1+'E4 WIN Input'!G67)))*G$8</f>
        <v>0</v>
      </c>
      <c r="H71" s="104" t="n">
        <f aca="false">IF(H$5&lt;'E4 WIN Input'!$E$65,0,IF(H$5='E4 WIN Input'!$E$65,1,G71*(1+'E4 WIN Input'!H67)))*H$8</f>
        <v>0</v>
      </c>
      <c r="I71" s="104" t="n">
        <f aca="false">IF(I$5&lt;'E4 WIN Input'!$E$65,0,IF(I$5='E4 WIN Input'!$E$65,1,H71*(1+'E4 WIN Input'!I67)))*I$8</f>
        <v>1</v>
      </c>
      <c r="J71" s="104" t="n">
        <f aca="false">IF(J$5&lt;'E4 WIN Input'!$E$65,0,IF(J$5='E4 WIN Input'!$E$65,1,I71*(1+'E4 WIN Input'!J67)))*J$8</f>
        <v>1.05</v>
      </c>
      <c r="K71" s="104" t="n">
        <f aca="false">IF(K$5&lt;'E4 WIN Input'!$E$65,0,IF(K$5='E4 WIN Input'!$E$65,1,J71*(1+'E4 WIN Input'!K67)))*K$8</f>
        <v>1.1025</v>
      </c>
      <c r="L71" s="104" t="n">
        <f aca="false">IF(L$5&lt;'E4 WIN Input'!$E$65,0,IF(L$5='E4 WIN Input'!$E$65,1,K71*(1+'E4 WIN Input'!L67)))*L$8</f>
        <v>1.157625</v>
      </c>
      <c r="M71" s="104" t="n">
        <f aca="false">IF(M$5&lt;'E4 WIN Input'!$E$65,0,IF(M$5='E4 WIN Input'!$E$65,1,L71*(1+'E4 WIN Input'!M67)))*M$8</f>
        <v>1.21550625</v>
      </c>
      <c r="N71" s="104" t="n">
        <f aca="false">IF(N$5&lt;'E4 WIN Input'!$E$65,0,IF(N$5='E4 WIN Input'!$E$65,1,M71*(1+'E4 WIN Input'!N67)))*N$8</f>
        <v>1.2762815625</v>
      </c>
      <c r="O71" s="104" t="n">
        <f aca="false">IF(O$5&lt;'E4 WIN Input'!$E$65,0,IF(O$5='E4 WIN Input'!$E$65,1,N71*(1+'E4 WIN Input'!O67)))*O$8</f>
        <v>1.340095640625</v>
      </c>
      <c r="P71" s="104" t="n">
        <f aca="false">IF(P$5&lt;'E4 WIN Input'!$E$65,0,IF(P$5='E4 WIN Input'!$E$65,1,O71*(1+'E4 WIN Input'!P67)))*P$8</f>
        <v>1.40710042265625</v>
      </c>
      <c r="Q71" s="104" t="n">
        <f aca="false">IF(Q$5&lt;'E4 WIN Input'!$E$65,0,IF(Q$5='E4 WIN Input'!$E$65,1,P71*(1+'E4 WIN Input'!Q67)))*Q$8</f>
        <v>1.47745544378906</v>
      </c>
      <c r="R71" s="104" t="n">
        <f aca="false">IF(R$5&lt;'E4 WIN Input'!$E$65,0,IF(R$5='E4 WIN Input'!$E$65,1,Q71*(1+'E4 WIN Input'!R67)))*R$8</f>
        <v>1.55132821597852</v>
      </c>
      <c r="S71" s="104" t="n">
        <f aca="false">IF(S$5&lt;'E4 WIN Input'!$E$65,0,IF(S$5='E4 WIN Input'!$E$65,1,R71*(1+'E4 WIN Input'!S67)))*S$8</f>
        <v>1.62889462677744</v>
      </c>
    </row>
    <row r="72" customFormat="false" ht="15" hidden="false" customHeight="false" outlineLevel="0" collapsed="false">
      <c r="B72" s="24" t="s">
        <v>1671</v>
      </c>
      <c r="C72" s="25" t="s">
        <v>900</v>
      </c>
      <c r="E72" s="31" t="n">
        <f aca="false">SUM(F72:S72)</f>
        <v>2841357.43246526</v>
      </c>
      <c r="F72" s="31" t="n">
        <f aca="false">'E4 WIN Input'!$E$66*F71</f>
        <v>0</v>
      </c>
      <c r="G72" s="31" t="n">
        <f aca="false">'E4 WIN Input'!$E$66*G71</f>
        <v>0</v>
      </c>
      <c r="H72" s="31" t="n">
        <f aca="false">'E4 WIN Input'!$E$66*H71</f>
        <v>0</v>
      </c>
      <c r="I72" s="31" t="n">
        <f aca="false">'E4 WIN Input'!$E$66*I71</f>
        <v>200000</v>
      </c>
      <c r="J72" s="31" t="n">
        <f aca="false">'E4 WIN Input'!$E$66*J71</f>
        <v>210000</v>
      </c>
      <c r="K72" s="31" t="n">
        <f aca="false">'E4 WIN Input'!$E$66*K71</f>
        <v>220500</v>
      </c>
      <c r="L72" s="31" t="n">
        <f aca="false">'E4 WIN Input'!$E$66*L71</f>
        <v>231525</v>
      </c>
      <c r="M72" s="31" t="n">
        <f aca="false">'E4 WIN Input'!$E$66*M71</f>
        <v>243101.25</v>
      </c>
      <c r="N72" s="31" t="n">
        <f aca="false">'E4 WIN Input'!$E$66*N71</f>
        <v>255256.3125</v>
      </c>
      <c r="O72" s="31" t="n">
        <f aca="false">'E4 WIN Input'!$E$66*O71</f>
        <v>268019.128125</v>
      </c>
      <c r="P72" s="31" t="n">
        <f aca="false">'E4 WIN Input'!$E$66*P71</f>
        <v>281420.08453125</v>
      </c>
      <c r="Q72" s="31" t="n">
        <f aca="false">'E4 WIN Input'!$E$66*Q71</f>
        <v>295491.088757813</v>
      </c>
      <c r="R72" s="31" t="n">
        <f aca="false">'E4 WIN Input'!$E$66*R71</f>
        <v>310265.643195703</v>
      </c>
      <c r="S72" s="31" t="n">
        <f aca="false">'E4 WIN Input'!$E$66*S71</f>
        <v>325778.925355488</v>
      </c>
    </row>
    <row r="73" customFormat="false" ht="15" hidden="false" customHeight="false" outlineLevel="0" collapsed="false">
      <c r="B73" s="24" t="s">
        <v>1672</v>
      </c>
      <c r="C73" s="25" t="s">
        <v>905</v>
      </c>
      <c r="F73" s="31" t="n">
        <f aca="false">'E4 WIN Input'!F68</f>
        <v>0</v>
      </c>
      <c r="G73" s="31" t="n">
        <f aca="false">'E4 WIN Input'!G68</f>
        <v>0</v>
      </c>
      <c r="H73" s="31" t="n">
        <f aca="false">'E4 WIN Input'!H68</f>
        <v>0</v>
      </c>
      <c r="I73" s="31" t="n">
        <f aca="false">'E4 WIN Input'!I68</f>
        <v>16189.1782846961</v>
      </c>
      <c r="J73" s="31" t="n">
        <f aca="false">'E4 WIN Input'!J68</f>
        <v>16674.853633237</v>
      </c>
      <c r="K73" s="31" t="n">
        <f aca="false">'E4 WIN Input'!K68</f>
        <v>17175.0992422341</v>
      </c>
      <c r="L73" s="31" t="n">
        <f aca="false">'E4 WIN Input'!L68</f>
        <v>17690.3522195011</v>
      </c>
      <c r="M73" s="31" t="n">
        <f aca="false">'E4 WIN Input'!M68</f>
        <v>18221.0627860861</v>
      </c>
      <c r="N73" s="31" t="n">
        <f aca="false">'E4 WIN Input'!N68</f>
        <v>18767.6946696687</v>
      </c>
      <c r="O73" s="31" t="n">
        <f aca="false">'E4 WIN Input'!O68</f>
        <v>19330.7255097588</v>
      </c>
      <c r="P73" s="31" t="n">
        <f aca="false">'E4 WIN Input'!P68</f>
        <v>19910.6472750516</v>
      </c>
      <c r="Q73" s="31" t="n">
        <f aca="false">'E4 WIN Input'!Q68</f>
        <v>19910.6472750516</v>
      </c>
      <c r="R73" s="31" t="n">
        <f aca="false">'E4 WIN Input'!R68</f>
        <v>19910.6472750516</v>
      </c>
      <c r="S73" s="31" t="n">
        <f aca="false">'E4 WIN Input'!S68</f>
        <v>19910.6472750516</v>
      </c>
    </row>
    <row r="74" customFormat="false" ht="15" hidden="false" customHeight="false" outlineLevel="0" collapsed="false">
      <c r="B74" s="24" t="s">
        <v>1673</v>
      </c>
      <c r="C74" s="25" t="s">
        <v>170</v>
      </c>
      <c r="E74" s="47" t="n">
        <f aca="false">SUM(F74:S74)</f>
        <v>53.1742969087622</v>
      </c>
      <c r="F74" s="47" t="n">
        <f aca="false">F72*F73/10^9</f>
        <v>0</v>
      </c>
      <c r="G74" s="47" t="n">
        <f aca="false">G72*G73/10^9</f>
        <v>0</v>
      </c>
      <c r="H74" s="47" t="n">
        <f aca="false">H72*H73/10^9</f>
        <v>0</v>
      </c>
      <c r="I74" s="47" t="n">
        <f aca="false">I72*I73/10^9</f>
        <v>3.23783565693922</v>
      </c>
      <c r="J74" s="47" t="n">
        <f aca="false">J72*J73/10^9</f>
        <v>3.50171926297977</v>
      </c>
      <c r="K74" s="47" t="n">
        <f aca="false">K72*K73/10^9</f>
        <v>3.78710938291262</v>
      </c>
      <c r="L74" s="47" t="n">
        <f aca="false">L72*L73/10^9</f>
        <v>4.09575879762</v>
      </c>
      <c r="M74" s="47" t="n">
        <f aca="false">M72*M73/10^9</f>
        <v>4.42956313962602</v>
      </c>
      <c r="N74" s="47" t="n">
        <f aca="false">N72*N73/10^9</f>
        <v>4.79057253550555</v>
      </c>
      <c r="O74" s="47" t="n">
        <f aca="false">O72*O73/10^9</f>
        <v>5.18100419714925</v>
      </c>
      <c r="P74" s="47" t="n">
        <f aca="false">P72*P73/10^9</f>
        <v>5.60325603921691</v>
      </c>
      <c r="Q74" s="47" t="n">
        <f aca="false">Q72*Q73/10^9</f>
        <v>5.88341884117776</v>
      </c>
      <c r="R74" s="47" t="n">
        <f aca="false">R72*R73/10^9</f>
        <v>6.17758978323665</v>
      </c>
      <c r="S74" s="47" t="n">
        <f aca="false">S72*S73/10^9</f>
        <v>6.48646927239848</v>
      </c>
    </row>
    <row r="75" customFormat="false" ht="15" hidden="false" customHeight="false" outlineLevel="0" collapsed="false">
      <c r="B75" s="24" t="s">
        <v>1674</v>
      </c>
      <c r="C75" s="25" t="s">
        <v>1019</v>
      </c>
      <c r="F75" s="104" t="n">
        <f aca="false">1</f>
        <v>1</v>
      </c>
      <c r="G75" s="104" t="n">
        <f aca="false">F75*(1+'E4 WIN Input'!G70)*G$8</f>
        <v>1</v>
      </c>
      <c r="H75" s="104" t="n">
        <f aca="false">G75*(1+'E4 WIN Input'!H70)*H$8</f>
        <v>1.05</v>
      </c>
      <c r="I75" s="104" t="n">
        <f aca="false">H75*(1+'E4 WIN Input'!I70)*I$8</f>
        <v>1.1025</v>
      </c>
      <c r="J75" s="104" t="n">
        <f aca="false">I75*(1+'E4 WIN Input'!J70)*J$8</f>
        <v>1.157625</v>
      </c>
      <c r="K75" s="104" t="n">
        <f aca="false">J75*(1+'E4 WIN Input'!K70)*K$8</f>
        <v>1.21550625</v>
      </c>
      <c r="L75" s="104" t="n">
        <f aca="false">K75*(1+'E4 WIN Input'!L70)*L$8</f>
        <v>1.2762815625</v>
      </c>
      <c r="M75" s="104" t="n">
        <f aca="false">L75*(1+'E4 WIN Input'!M70)*M$8</f>
        <v>1.340095640625</v>
      </c>
      <c r="N75" s="104" t="n">
        <f aca="false">M75*(1+'E4 WIN Input'!N70)*N$8</f>
        <v>1.40710042265625</v>
      </c>
      <c r="O75" s="104" t="n">
        <f aca="false">N75*(1+'E4 WIN Input'!O70)*O$8</f>
        <v>1.47745544378906</v>
      </c>
      <c r="P75" s="104" t="n">
        <f aca="false">O75*(1+'E4 WIN Input'!P70)*P$8</f>
        <v>1.55132821597852</v>
      </c>
      <c r="Q75" s="104" t="n">
        <f aca="false">P75*(1+'E4 WIN Input'!Q70)*Q$8</f>
        <v>1.62889462677744</v>
      </c>
      <c r="R75" s="104" t="n">
        <f aca="false">Q75*(1+'E4 WIN Input'!R70)*R$8</f>
        <v>1.71033935811631</v>
      </c>
      <c r="S75" s="104" t="n">
        <f aca="false">R75*(1+'E4 WIN Input'!S70)*S$8</f>
        <v>1.79585632602213</v>
      </c>
    </row>
    <row r="76" customFormat="false" ht="15" hidden="false" customHeight="false" outlineLevel="0" collapsed="false">
      <c r="B76" s="24" t="s">
        <v>1675</v>
      </c>
      <c r="C76" s="25" t="s">
        <v>900</v>
      </c>
      <c r="E76" s="31" t="n">
        <f aca="false">SUM(F76:S76)</f>
        <v>9169361.59476771</v>
      </c>
      <c r="F76" s="31" t="n">
        <f aca="false">'E4 WIN Input'!$E$69*F75</f>
        <v>490000</v>
      </c>
      <c r="G76" s="31" t="n">
        <f aca="false">'E4 WIN Input'!$E$69*G75</f>
        <v>490000</v>
      </c>
      <c r="H76" s="31" t="n">
        <f aca="false">'E4 WIN Input'!$E$69*H75</f>
        <v>514500</v>
      </c>
      <c r="I76" s="31" t="n">
        <f aca="false">'E4 WIN Input'!$E$69*I75</f>
        <v>540225</v>
      </c>
      <c r="J76" s="31" t="n">
        <f aca="false">'E4 WIN Input'!$E$69*J75</f>
        <v>567236.25</v>
      </c>
      <c r="K76" s="31" t="n">
        <f aca="false">'E4 WIN Input'!$E$69*K75</f>
        <v>595598.0625</v>
      </c>
      <c r="L76" s="31" t="n">
        <f aca="false">'E4 WIN Input'!$E$69*L75</f>
        <v>625377.965625</v>
      </c>
      <c r="M76" s="31" t="n">
        <f aca="false">'E4 WIN Input'!$E$69*M75</f>
        <v>656646.86390625</v>
      </c>
      <c r="N76" s="31" t="n">
        <f aca="false">'E4 WIN Input'!$E$69*N75</f>
        <v>689479.207101563</v>
      </c>
      <c r="O76" s="31" t="n">
        <f aca="false">'E4 WIN Input'!$E$69*O75</f>
        <v>723953.167456641</v>
      </c>
      <c r="P76" s="31" t="n">
        <f aca="false">'E4 WIN Input'!$E$69*P75</f>
        <v>760150.825829473</v>
      </c>
      <c r="Q76" s="31" t="n">
        <f aca="false">'E4 WIN Input'!$E$69*Q75</f>
        <v>798158.367120947</v>
      </c>
      <c r="R76" s="31" t="n">
        <f aca="false">'E4 WIN Input'!$E$69*R75</f>
        <v>838066.285476994</v>
      </c>
      <c r="S76" s="31" t="n">
        <f aca="false">'E4 WIN Input'!$E$69*S75</f>
        <v>879969.599750844</v>
      </c>
    </row>
    <row r="77" customFormat="false" ht="15" hidden="false" customHeight="false" outlineLevel="0" collapsed="false">
      <c r="B77" s="24" t="s">
        <v>1676</v>
      </c>
      <c r="C77" s="25" t="s">
        <v>905</v>
      </c>
      <c r="F77" s="31" t="n">
        <f aca="false">'E4 WIN Input'!F71</f>
        <v>0</v>
      </c>
      <c r="G77" s="31" t="n">
        <f aca="false">'E4 WIN Input'!G71</f>
        <v>15259.8532233916</v>
      </c>
      <c r="H77" s="31" t="n">
        <f aca="false">'E4 WIN Input'!H71</f>
        <v>15717.6488200933</v>
      </c>
      <c r="I77" s="31" t="n">
        <f aca="false">'E4 WIN Input'!I71</f>
        <v>16189.1782846961</v>
      </c>
      <c r="J77" s="31" t="n">
        <f aca="false">'E4 WIN Input'!J71</f>
        <v>16674.853633237</v>
      </c>
      <c r="K77" s="31" t="n">
        <f aca="false">'E4 WIN Input'!K71</f>
        <v>17175.0992422341</v>
      </c>
      <c r="L77" s="31" t="n">
        <f aca="false">'E4 WIN Input'!L71</f>
        <v>17690.3522195011</v>
      </c>
      <c r="M77" s="31" t="n">
        <f aca="false">'E4 WIN Input'!M71</f>
        <v>18221.0627860861</v>
      </c>
      <c r="N77" s="31" t="n">
        <f aca="false">'E4 WIN Input'!N71</f>
        <v>18767.6946696687</v>
      </c>
      <c r="O77" s="31" t="n">
        <f aca="false">'E4 WIN Input'!O71</f>
        <v>19330.7255097588</v>
      </c>
      <c r="P77" s="31" t="n">
        <f aca="false">'E4 WIN Input'!P71</f>
        <v>19910.6472750516</v>
      </c>
      <c r="Q77" s="31" t="n">
        <f aca="false">'E4 WIN Input'!Q71</f>
        <v>19910.6472750516</v>
      </c>
      <c r="R77" s="31" t="n">
        <f aca="false">'E4 WIN Input'!R71</f>
        <v>19910.6472750516</v>
      </c>
      <c r="S77" s="31" t="n">
        <f aca="false">'E4 WIN Input'!S71</f>
        <v>19910.6472750516</v>
      </c>
    </row>
    <row r="78" customFormat="false" ht="15" hidden="false" customHeight="false" outlineLevel="0" collapsed="false">
      <c r="B78" s="24" t="s">
        <v>1677</v>
      </c>
      <c r="C78" s="25" t="s">
        <v>170</v>
      </c>
      <c r="E78" s="47" t="n">
        <f aca="false">SUM(F78:S78)</f>
        <v>159.19448113508</v>
      </c>
      <c r="F78" s="47" t="n">
        <f aca="false">F76*F77/10^9</f>
        <v>0</v>
      </c>
      <c r="G78" s="47" t="n">
        <f aca="false">G76*G77/10^9</f>
        <v>7.47732807946186</v>
      </c>
      <c r="H78" s="47" t="n">
        <f aca="false">H76*H77/10^9</f>
        <v>8.086730317938</v>
      </c>
      <c r="I78" s="47" t="n">
        <f aca="false">I76*I77/10^9</f>
        <v>8.74579883884995</v>
      </c>
      <c r="J78" s="47" t="n">
        <f aca="false">J76*J77/10^9</f>
        <v>9.45858144421622</v>
      </c>
      <c r="K78" s="47" t="n">
        <f aca="false">K76*K77/10^9</f>
        <v>10.2294558319198</v>
      </c>
      <c r="L78" s="47" t="n">
        <f aca="false">L76*L77/10^9</f>
        <v>11.0631564822213</v>
      </c>
      <c r="M78" s="47" t="n">
        <f aca="false">M76*M77/10^9</f>
        <v>11.9648037355223</v>
      </c>
      <c r="N78" s="47" t="n">
        <f aca="false">N76*N77/10^9</f>
        <v>12.9399352399674</v>
      </c>
      <c r="O78" s="47" t="n">
        <f aca="false">O76*O77/10^9</f>
        <v>13.9945399620248</v>
      </c>
      <c r="P78" s="47" t="n">
        <f aca="false">P76*P77/10^9</f>
        <v>15.1350949689298</v>
      </c>
      <c r="Q78" s="47" t="n">
        <f aca="false">Q76*Q77/10^9</f>
        <v>15.8918497173763</v>
      </c>
      <c r="R78" s="47" t="n">
        <f aca="false">R76*R77/10^9</f>
        <v>16.6864422032451</v>
      </c>
      <c r="S78" s="47" t="n">
        <f aca="false">S76*S77/10^9</f>
        <v>17.5207643134073</v>
      </c>
    </row>
    <row r="79" customFormat="false" ht="15" hidden="false" customHeight="false" outlineLevel="0" collapsed="false">
      <c r="B79" s="69" t="s">
        <v>1678</v>
      </c>
      <c r="C79" s="25" t="s">
        <v>900</v>
      </c>
      <c r="E79" s="105" t="n">
        <f aca="false">SUM(F79:S79)</f>
        <v>27870784.4193861</v>
      </c>
      <c r="F79" s="106" t="n">
        <f aca="false">F64+F68+F72+F76</f>
        <v>1261624</v>
      </c>
      <c r="G79" s="106" t="n">
        <f aca="false">G64+G68+G72+G76</f>
        <v>1261624</v>
      </c>
      <c r="H79" s="106" t="n">
        <f aca="false">H64+H68+H72+H76</f>
        <v>1324705.2</v>
      </c>
      <c r="I79" s="106" t="n">
        <f aca="false">I64+I68+I72+I76</f>
        <v>1690940.46</v>
      </c>
      <c r="J79" s="106" t="n">
        <f aca="false">J64+J68+J72+J76</f>
        <v>1775487.483</v>
      </c>
      <c r="K79" s="106" t="n">
        <f aca="false">K64+K68+K72+K76</f>
        <v>1864261.85715</v>
      </c>
      <c r="L79" s="106" t="n">
        <f aca="false">L64+L68+L72+L76</f>
        <v>1957474.9500075</v>
      </c>
      <c r="M79" s="106" t="n">
        <f aca="false">M64+M68+M72+M76</f>
        <v>2055348.69750788</v>
      </c>
      <c r="N79" s="106" t="n">
        <f aca="false">N64+N68+N72+N76</f>
        <v>2158116.13238327</v>
      </c>
      <c r="O79" s="106" t="n">
        <f aca="false">O64+O68+O72+O76</f>
        <v>2266021.93900243</v>
      </c>
      <c r="P79" s="106" t="n">
        <f aca="false">P64+P68+P72+P76</f>
        <v>2379323.03595255</v>
      </c>
      <c r="Q79" s="106" t="n">
        <f aca="false">Q64+Q68+Q72+Q76</f>
        <v>2498289.18775018</v>
      </c>
      <c r="R79" s="106" t="n">
        <f aca="false">R64+R68+R72+R76</f>
        <v>2623203.64713769</v>
      </c>
      <c r="S79" s="106" t="n">
        <f aca="false">S64+S68+S72+S76</f>
        <v>2754363.82949458</v>
      </c>
    </row>
    <row r="80" customFormat="false" ht="15" hidden="false" customHeight="false" outlineLevel="0" collapsed="false">
      <c r="B80" s="69" t="s">
        <v>1679</v>
      </c>
      <c r="C80" s="25" t="s">
        <v>170</v>
      </c>
      <c r="E80" s="70" t="n">
        <f aca="false">SUM(F80:S80)</f>
        <v>473.882469034283</v>
      </c>
      <c r="F80" s="68" t="n">
        <f aca="false">F66+F70+F74+F78</f>
        <v>0</v>
      </c>
      <c r="G80" s="68" t="n">
        <f aca="false">G66+G70+G74+G78</f>
        <v>18.5117736242495</v>
      </c>
      <c r="H80" s="68" t="n">
        <f aca="false">H66+H70+H74+H78</f>
        <v>20.0204831746259</v>
      </c>
      <c r="I80" s="68" t="n">
        <f aca="false">I66+I70+I74+I78</f>
        <v>26.5089060387667</v>
      </c>
      <c r="J80" s="68" t="n">
        <f aca="false">J66+J70+J74+J78</f>
        <v>28.6693818809262</v>
      </c>
      <c r="K80" s="68" t="n">
        <f aca="false">K66+K70+K74+K78</f>
        <v>31.0059365042217</v>
      </c>
      <c r="L80" s="68" t="n">
        <f aca="false">L66+L70+L74+L78</f>
        <v>33.5329203293158</v>
      </c>
      <c r="M80" s="68" t="n">
        <f aca="false">M66+M70+M74+M78</f>
        <v>36.265853336155</v>
      </c>
      <c r="N80" s="68" t="n">
        <f aca="false">N66+N70+N74+N78</f>
        <v>39.2215203830516</v>
      </c>
      <c r="O80" s="68" t="n">
        <f aca="false">O66+O70+O74+O78</f>
        <v>42.4180742942704</v>
      </c>
      <c r="P80" s="68" t="n">
        <f aca="false">P66+P70+P74+P78</f>
        <v>45.8751473492534</v>
      </c>
      <c r="Q80" s="68" t="n">
        <f aca="false">Q66+Q70+Q74+Q78</f>
        <v>48.168904716716</v>
      </c>
      <c r="R80" s="68" t="n">
        <f aca="false">R66+R70+R74+R78</f>
        <v>50.5773499525519</v>
      </c>
      <c r="S80" s="68" t="n">
        <f aca="false">S66+S70+S74+S78</f>
        <v>53.1062174501794</v>
      </c>
    </row>
    <row r="82" customFormat="false" ht="15" hidden="false" customHeight="false" outlineLevel="0" collapsed="false">
      <c r="B82" s="22" t="s">
        <v>1680</v>
      </c>
      <c r="C82" s="23"/>
      <c r="D82" s="23"/>
      <c r="E82" s="23"/>
      <c r="F82" s="23"/>
      <c r="G82" s="23"/>
      <c r="H82" s="23"/>
      <c r="I82" s="23"/>
      <c r="J82" s="23"/>
      <c r="K82" s="23"/>
      <c r="L82" s="23"/>
      <c r="M82" s="23"/>
      <c r="N82" s="23"/>
      <c r="O82" s="23"/>
      <c r="P82" s="23"/>
      <c r="Q82" s="23"/>
      <c r="R82" s="23"/>
      <c r="S82" s="23"/>
    </row>
    <row r="83" customFormat="false" ht="15" hidden="false" customHeight="false" outlineLevel="0" collapsed="false">
      <c r="B83" s="24" t="s">
        <v>1681</v>
      </c>
      <c r="C83" s="25" t="s">
        <v>170</v>
      </c>
      <c r="E83" s="47" t="n">
        <f aca="false">SUM(F83:S83)</f>
        <v>38.0207715055833</v>
      </c>
      <c r="F83" s="47" t="n">
        <f aca="false">'E4 WIN Input'!F73*F35</f>
        <v>0</v>
      </c>
      <c r="G83" s="47" t="n">
        <f aca="false">'E4 WIN Input'!G73*G35</f>
        <v>38.0207715055833</v>
      </c>
      <c r="H83" s="47" t="n">
        <f aca="false">'E4 WIN Input'!H73*H35</f>
        <v>0</v>
      </c>
      <c r="I83" s="47" t="n">
        <f aca="false">'E4 WIN Input'!I73*I35</f>
        <v>0</v>
      </c>
      <c r="J83" s="47" t="n">
        <f aca="false">'E4 WIN Input'!J73*J35</f>
        <v>0</v>
      </c>
      <c r="K83" s="47" t="n">
        <f aca="false">'E4 WIN Input'!K73*K35</f>
        <v>0</v>
      </c>
      <c r="L83" s="47" t="n">
        <f aca="false">'E4 WIN Input'!L73*L35</f>
        <v>0</v>
      </c>
      <c r="M83" s="47" t="n">
        <f aca="false">'E4 WIN Input'!M73*M35</f>
        <v>0</v>
      </c>
      <c r="N83" s="47" t="n">
        <f aca="false">'E4 WIN Input'!N73*N35</f>
        <v>0</v>
      </c>
      <c r="O83" s="47" t="n">
        <f aca="false">'E4 WIN Input'!O73*O35</f>
        <v>0</v>
      </c>
      <c r="P83" s="47" t="n">
        <f aca="false">'E4 WIN Input'!P73*P35</f>
        <v>0</v>
      </c>
      <c r="Q83" s="47" t="n">
        <f aca="false">'E4 WIN Input'!Q73*Q35</f>
        <v>0</v>
      </c>
      <c r="R83" s="47" t="n">
        <f aca="false">'E4 WIN Input'!R73*R35</f>
        <v>0</v>
      </c>
      <c r="S83" s="47" t="n">
        <f aca="false">'E4 WIN Input'!S73*S35</f>
        <v>0</v>
      </c>
    </row>
    <row r="84" customFormat="false" ht="15" hidden="false" customHeight="false" outlineLevel="0" collapsed="false">
      <c r="B84" s="24" t="s">
        <v>1682</v>
      </c>
      <c r="C84" s="25" t="s">
        <v>170</v>
      </c>
      <c r="E84" s="47" t="n">
        <f aca="false">SUM(F84:S84)</f>
        <v>6.47768139614193</v>
      </c>
      <c r="F84" s="47" t="n">
        <f aca="false">'E4 WIN Input'!F74*F17</f>
        <v>0</v>
      </c>
      <c r="G84" s="47" t="n">
        <f aca="false">'E4 WIN Input'!G74*G17</f>
        <v>0</v>
      </c>
      <c r="H84" s="47" t="n">
        <f aca="false">'E4 WIN Input'!H74*H17</f>
        <v>0.345269216308855</v>
      </c>
      <c r="I84" s="47" t="n">
        <f aca="false">'E4 WIN Input'!I74*I17</f>
        <v>0.373408657438026</v>
      </c>
      <c r="J84" s="47" t="n">
        <f aca="false">'E4 WIN Input'!J74*J17</f>
        <v>0.403841463019226</v>
      </c>
      <c r="K84" s="47" t="n">
        <f aca="false">'E4 WIN Input'!K74*K17</f>
        <v>0.436754542255292</v>
      </c>
      <c r="L84" s="47" t="n">
        <f aca="false">'E4 WIN Input'!L74*L17</f>
        <v>0.472350037449099</v>
      </c>
      <c r="M84" s="47" t="n">
        <f aca="false">'E4 WIN Input'!M74*M17</f>
        <v>0.5108465655012</v>
      </c>
      <c r="N84" s="47" t="n">
        <f aca="false">'E4 WIN Input'!N74*N17</f>
        <v>0.552480560589548</v>
      </c>
      <c r="O84" s="47" t="n">
        <f aca="false">'E4 WIN Input'!O74*O17</f>
        <v>0.597507726277596</v>
      </c>
      <c r="P84" s="47" t="n">
        <f aca="false">'E4 WIN Input'!P74*P17</f>
        <v>0.64620460596922</v>
      </c>
      <c r="Q84" s="47" t="n">
        <f aca="false">'E4 WIN Input'!Q74*Q17</f>
        <v>0.678514836267682</v>
      </c>
      <c r="R84" s="47" t="n">
        <f aca="false">'E4 WIN Input'!R74*R17</f>
        <v>0.712440578081066</v>
      </c>
      <c r="S84" s="47" t="n">
        <f aca="false">'E4 WIN Input'!S74*S17</f>
        <v>0.748062606985119</v>
      </c>
    </row>
    <row r="85" customFormat="false" ht="15" hidden="false" customHeight="false" outlineLevel="0" collapsed="false">
      <c r="B85" s="24" t="s">
        <v>1683</v>
      </c>
      <c r="C85" s="25" t="s">
        <v>170</v>
      </c>
      <c r="E85" s="47" t="n">
        <f aca="false">SUM(F85:S85)</f>
        <v>7.59018185226452</v>
      </c>
      <c r="F85" s="47" t="n">
        <f aca="false">'E4 WIN Input'!F75*F21</f>
        <v>0</v>
      </c>
      <c r="G85" s="47" t="n">
        <f aca="false">'E4 WIN Input'!G75*G21</f>
        <v>0</v>
      </c>
      <c r="H85" s="47" t="n">
        <f aca="false">'E4 WIN Input'!H75*H21</f>
        <v>0.404567001602442</v>
      </c>
      <c r="I85" s="47" t="n">
        <f aca="false">'E4 WIN Input'!I75*I21</f>
        <v>0.437539212233041</v>
      </c>
      <c r="J85" s="47" t="n">
        <f aca="false">'E4 WIN Input'!J75*J21</f>
        <v>0.473198658030034</v>
      </c>
      <c r="K85" s="47" t="n">
        <f aca="false">'E4 WIN Input'!K75*K21</f>
        <v>0.511764348659482</v>
      </c>
      <c r="L85" s="47" t="n">
        <f aca="false">'E4 WIN Input'!L75*L21</f>
        <v>0.55347314307523</v>
      </c>
      <c r="M85" s="47" t="n">
        <f aca="false">'E4 WIN Input'!M75*M21</f>
        <v>0.598581204235861</v>
      </c>
      <c r="N85" s="47" t="n">
        <f aca="false">'E4 WIN Input'!N75*N21</f>
        <v>0.647365572381084</v>
      </c>
      <c r="O85" s="47" t="n">
        <f aca="false">'E4 WIN Input'!O75*O21</f>
        <v>0.700125866530142</v>
      </c>
      <c r="P85" s="47" t="n">
        <f aca="false">'E4 WIN Input'!P75*P21</f>
        <v>0.757186124652349</v>
      </c>
      <c r="Q85" s="47" t="n">
        <f aca="false">'E4 WIN Input'!Q75*Q21</f>
        <v>0.795045430884966</v>
      </c>
      <c r="R85" s="47" t="n">
        <f aca="false">'E4 WIN Input'!R75*R21</f>
        <v>0.834797702429214</v>
      </c>
      <c r="S85" s="47" t="n">
        <f aca="false">'E4 WIN Input'!S75*S21</f>
        <v>0.876537587550675</v>
      </c>
    </row>
    <row r="86" customFormat="false" ht="15" hidden="false" customHeight="false" outlineLevel="0" collapsed="false">
      <c r="B86" s="24" t="s">
        <v>1684</v>
      </c>
      <c r="C86" s="25" t="s">
        <v>170</v>
      </c>
      <c r="E86" s="47" t="n">
        <f aca="false">SUM(F86:S86)</f>
        <v>5.55921305196088</v>
      </c>
      <c r="F86" s="47" t="n">
        <f aca="false">'E4 WIN Input'!F76*F25</f>
        <v>0</v>
      </c>
      <c r="G86" s="47" t="n">
        <f aca="false">'E4 WIN Input'!G76*G25</f>
        <v>0</v>
      </c>
      <c r="H86" s="47" t="n">
        <f aca="false">'E4 WIN Input'!H76*H25</f>
        <v>0.296313606113399</v>
      </c>
      <c r="I86" s="47" t="n">
        <f aca="false">'E4 WIN Input'!I76*I25</f>
        <v>0.320463165011641</v>
      </c>
      <c r="J86" s="47" t="n">
        <f aca="false">'E4 WIN Input'!J76*J25</f>
        <v>0.346580912960089</v>
      </c>
      <c r="K86" s="47" t="n">
        <f aca="false">'E4 WIN Input'!K76*K25</f>
        <v>0.374827257366337</v>
      </c>
      <c r="L86" s="47" t="n">
        <f aca="false">'E4 WIN Input'!L76*L25</f>
        <v>0.405375678841693</v>
      </c>
      <c r="M86" s="47" t="n">
        <f aca="false">'E4 WIN Input'!M76*M25</f>
        <v>0.438413796667291</v>
      </c>
      <c r="N86" s="47" t="n">
        <f aca="false">'E4 WIN Input'!N76*N25</f>
        <v>0.474144521095675</v>
      </c>
      <c r="O86" s="47" t="n">
        <f aca="false">'E4 WIN Input'!O76*O25</f>
        <v>0.512787299564973</v>
      </c>
      <c r="P86" s="47" t="n">
        <f aca="false">'E4 WIN Input'!P76*P25</f>
        <v>0.554579464479518</v>
      </c>
      <c r="Q86" s="47" t="n">
        <f aca="false">'E4 WIN Input'!Q76*Q25</f>
        <v>0.582308437703494</v>
      </c>
      <c r="R86" s="47" t="n">
        <f aca="false">'E4 WIN Input'!R76*R25</f>
        <v>0.611423859588669</v>
      </c>
      <c r="S86" s="47" t="n">
        <f aca="false">'E4 WIN Input'!S76*S25</f>
        <v>0.641995052568102</v>
      </c>
    </row>
    <row r="87" customFormat="false" ht="15" hidden="false" customHeight="false" outlineLevel="0" collapsed="false">
      <c r="B87" s="24" t="s">
        <v>1685</v>
      </c>
      <c r="C87" s="25" t="s">
        <v>170</v>
      </c>
      <c r="E87" s="47" t="n">
        <f aca="false">SUM(F87:S87)</f>
        <v>17.6057911746777</v>
      </c>
      <c r="F87" s="47" t="n">
        <f aca="false">'E4 WIN Input'!F77*F29</f>
        <v>0</v>
      </c>
      <c r="G87" s="47" t="n">
        <f aca="false">'E4 WIN Input'!G77*G29</f>
        <v>0</v>
      </c>
      <c r="H87" s="47" t="n">
        <f aca="false">'E4 WIN Input'!H77*H29</f>
        <v>11.6201669404749</v>
      </c>
      <c r="I87" s="47" t="n">
        <f aca="false">'E4 WIN Input'!I77*I29</f>
        <v>0.364470593899809</v>
      </c>
      <c r="J87" s="47" t="n">
        <f aca="false">'E4 WIN Input'!J77*J29</f>
        <v>0.394174947302644</v>
      </c>
      <c r="K87" s="47" t="n">
        <f aca="false">'E4 WIN Input'!K77*K29</f>
        <v>0.426300205507809</v>
      </c>
      <c r="L87" s="47" t="n">
        <f aca="false">'E4 WIN Input'!L77*L29</f>
        <v>0.461043672256696</v>
      </c>
      <c r="M87" s="47" t="n">
        <f aca="false">'E4 WIN Input'!M77*M29</f>
        <v>0.498618731545616</v>
      </c>
      <c r="N87" s="47" t="n">
        <f aca="false">'E4 WIN Input'!N77*N29</f>
        <v>0.539256158166584</v>
      </c>
      <c r="O87" s="47" t="n">
        <f aca="false">'E4 WIN Input'!O77*O29</f>
        <v>0.583205535057161</v>
      </c>
      <c r="P87" s="47" t="n">
        <f aca="false">'E4 WIN Input'!P77*P29</f>
        <v>0.630736786164319</v>
      </c>
      <c r="Q87" s="47" t="n">
        <f aca="false">'E4 WIN Input'!Q77*Q29</f>
        <v>0.662273625472535</v>
      </c>
      <c r="R87" s="47" t="n">
        <f aca="false">'E4 WIN Input'!R77*R29</f>
        <v>0.695387306746162</v>
      </c>
      <c r="S87" s="47" t="n">
        <f aca="false">'E4 WIN Input'!S77*S29</f>
        <v>0.73015667208347</v>
      </c>
    </row>
    <row r="88" customFormat="false" ht="15" hidden="false" customHeight="false" outlineLevel="0" collapsed="false">
      <c r="B88" s="24" t="s">
        <v>1686</v>
      </c>
      <c r="C88" s="25" t="s">
        <v>170</v>
      </c>
      <c r="E88" s="47" t="n">
        <f aca="false">SUM(F88:S88)</f>
        <v>17.2788856054791</v>
      </c>
      <c r="F88" s="47" t="n">
        <f aca="false">'E4 WIN Input'!F78*F33</f>
        <v>0</v>
      </c>
      <c r="G88" s="47" t="n">
        <f aca="false">'E4 WIN Input'!G78*G33</f>
        <v>0</v>
      </c>
      <c r="H88" s="47" t="n">
        <f aca="false">'E4 WIN Input'!H78*H33</f>
        <v>0.920988070708041</v>
      </c>
      <c r="I88" s="47" t="n">
        <f aca="false">'E4 WIN Input'!I78*I33</f>
        <v>0.996048598470747</v>
      </c>
      <c r="J88" s="47" t="n">
        <f aca="false">'E4 WIN Input'!J78*J33</f>
        <v>1.07722655924611</v>
      </c>
      <c r="K88" s="47" t="n">
        <f aca="false">'E4 WIN Input'!K78*K33</f>
        <v>1.16502052382467</v>
      </c>
      <c r="L88" s="47" t="n">
        <f aca="false">'E4 WIN Input'!L78*L33</f>
        <v>1.25996969651638</v>
      </c>
      <c r="M88" s="47" t="n">
        <f aca="false">'E4 WIN Input'!M78*M33</f>
        <v>1.36265722678247</v>
      </c>
      <c r="N88" s="47" t="n">
        <f aca="false">'E4 WIN Input'!N78*N33</f>
        <v>1.47371379076524</v>
      </c>
      <c r="O88" s="47" t="n">
        <f aca="false">'E4 WIN Input'!O78*O33</f>
        <v>1.5938214647126</v>
      </c>
      <c r="P88" s="47" t="n">
        <f aca="false">'E4 WIN Input'!P78*P33</f>
        <v>1.72371791408668</v>
      </c>
      <c r="Q88" s="47" t="n">
        <f aca="false">'E4 WIN Input'!Q78*Q33</f>
        <v>1.80990380979102</v>
      </c>
      <c r="R88" s="47" t="n">
        <f aca="false">'E4 WIN Input'!R78*R33</f>
        <v>1.90039900028057</v>
      </c>
      <c r="S88" s="47" t="n">
        <f aca="false">'E4 WIN Input'!S78*S33</f>
        <v>1.9954189502946</v>
      </c>
    </row>
    <row r="89" customFormat="false" ht="15" hidden="false" customHeight="false" outlineLevel="0" collapsed="false">
      <c r="B89" s="69" t="s">
        <v>1687</v>
      </c>
      <c r="C89" s="25" t="s">
        <v>170</v>
      </c>
      <c r="E89" s="70" t="n">
        <f aca="false">SUM(F89:S89)</f>
        <v>92.5325245861074</v>
      </c>
      <c r="F89" s="68" t="n">
        <f aca="false">F83+F84+F85+F86+F87+F88</f>
        <v>0</v>
      </c>
      <c r="G89" s="68" t="n">
        <f aca="false">G83+G84+G85+G86+G87+G88</f>
        <v>38.0207715055833</v>
      </c>
      <c r="H89" s="68" t="n">
        <f aca="false">H83+H84+H85+H86+H87+H88</f>
        <v>13.5873048352076</v>
      </c>
      <c r="I89" s="68" t="n">
        <f aca="false">I83+I84+I85+I86+I87+I88</f>
        <v>2.49193022705326</v>
      </c>
      <c r="J89" s="68" t="n">
        <f aca="false">J83+J84+J85+J86+J87+J88</f>
        <v>2.6950225405581</v>
      </c>
      <c r="K89" s="68" t="n">
        <f aca="false">K83+K84+K85+K86+K87+K88</f>
        <v>2.91466687761359</v>
      </c>
      <c r="L89" s="68" t="n">
        <f aca="false">L83+L84+L85+L86+L87+L88</f>
        <v>3.1522122281391</v>
      </c>
      <c r="M89" s="68" t="n">
        <f aca="false">M83+M84+M85+M86+M87+M88</f>
        <v>3.40911752473243</v>
      </c>
      <c r="N89" s="68" t="n">
        <f aca="false">N83+N84+N85+N86+N87+N88</f>
        <v>3.68696060299813</v>
      </c>
      <c r="O89" s="68" t="n">
        <f aca="false">O83+O84+O85+O86+O87+O88</f>
        <v>3.98744789214248</v>
      </c>
      <c r="P89" s="68" t="n">
        <f aca="false">P83+P84+P85+P86+P87+P88</f>
        <v>4.31242489535209</v>
      </c>
      <c r="Q89" s="68" t="n">
        <f aca="false">Q83+Q84+Q85+Q86+Q87+Q88</f>
        <v>4.52804614011969</v>
      </c>
      <c r="R89" s="68" t="n">
        <f aca="false">R83+R84+R85+R86+R87+R88</f>
        <v>4.75444844712568</v>
      </c>
      <c r="S89" s="68" t="n">
        <f aca="false">S83+S84+S85+S86+S87+S88</f>
        <v>4.99217086948196</v>
      </c>
    </row>
    <row r="90" customFormat="false" ht="15" hidden="false" customHeight="false" outlineLevel="0" collapsed="false">
      <c r="B90" s="24" t="s">
        <v>1688</v>
      </c>
      <c r="C90" s="25" t="s">
        <v>1019</v>
      </c>
      <c r="F90" s="104" t="n">
        <f aca="false">1</f>
        <v>1</v>
      </c>
      <c r="G90" s="104" t="n">
        <f aca="false">F90*(1+'E4 WIN Input'!G80)*G$8</f>
        <v>1.035</v>
      </c>
      <c r="H90" s="104" t="n">
        <f aca="false">G90*(1+'E4 WIN Input'!H80)*H$8</f>
        <v>1.071225</v>
      </c>
      <c r="I90" s="104" t="n">
        <f aca="false">H90*(1+'E4 WIN Input'!I80)*I$8</f>
        <v>1.108717875</v>
      </c>
      <c r="J90" s="104" t="n">
        <f aca="false">I90*(1+'E4 WIN Input'!J80)*J$8</f>
        <v>1.147523000625</v>
      </c>
      <c r="K90" s="104" t="n">
        <f aca="false">J90*(1+'E4 WIN Input'!K80)*K$8</f>
        <v>1.18768630564687</v>
      </c>
      <c r="L90" s="104" t="n">
        <f aca="false">K90*(1+'E4 WIN Input'!L80)*L$8</f>
        <v>1.22925532634452</v>
      </c>
      <c r="M90" s="104" t="n">
        <f aca="false">L90*(1+'E4 WIN Input'!M80)*M$8</f>
        <v>1.27227926276657</v>
      </c>
      <c r="N90" s="104" t="n">
        <f aca="false">M90*(1+'E4 WIN Input'!N80)*N$8</f>
        <v>1.3168090369634</v>
      </c>
      <c r="O90" s="104" t="n">
        <f aca="false">N90*(1+'E4 WIN Input'!O80)*O$8</f>
        <v>1.36289735325712</v>
      </c>
      <c r="P90" s="104" t="n">
        <f aca="false">O90*(1+'E4 WIN Input'!P80)*P$8</f>
        <v>1.41059876062112</v>
      </c>
      <c r="Q90" s="104" t="n">
        <f aca="false">P90*(1+'E4 WIN Input'!Q80)*Q$8</f>
        <v>1.45996971724286</v>
      </c>
      <c r="R90" s="104" t="n">
        <f aca="false">Q90*(1+'E4 WIN Input'!R80)*R$8</f>
        <v>1.51106865734636</v>
      </c>
      <c r="S90" s="104" t="n">
        <f aca="false">R90*(1+'E4 WIN Input'!S80)*S$8</f>
        <v>1.56395606035348</v>
      </c>
    </row>
    <row r="91" customFormat="false" ht="15" hidden="false" customHeight="false" outlineLevel="0" collapsed="false">
      <c r="B91" s="24" t="s">
        <v>1689</v>
      </c>
      <c r="C91" s="25" t="s">
        <v>170</v>
      </c>
      <c r="E91" s="47" t="n">
        <f aca="false">SUM(F91:S91)</f>
        <v>42.6003099793928</v>
      </c>
      <c r="F91" s="47" t="n">
        <f aca="false">'E4 WIN Input'!$E$79*F90*F$8</f>
        <v>0</v>
      </c>
      <c r="G91" s="47" t="n">
        <f aca="false">'E4 WIN Input'!$E$79*G90*G$8</f>
        <v>2.643842231865</v>
      </c>
      <c r="H91" s="47" t="n">
        <f aca="false">'E4 WIN Input'!$E$79*H90*H$8</f>
        <v>2.73637670998027</v>
      </c>
      <c r="I91" s="47" t="n">
        <f aca="false">'E4 WIN Input'!$E$79*I90*I$8</f>
        <v>2.83214989482958</v>
      </c>
      <c r="J91" s="47" t="n">
        <f aca="false">'E4 WIN Input'!$E$79*J90*J$8</f>
        <v>2.93127514114862</v>
      </c>
      <c r="K91" s="47" t="n">
        <f aca="false">'E4 WIN Input'!$E$79*K90*K$8</f>
        <v>3.03386977108882</v>
      </c>
      <c r="L91" s="47" t="n">
        <f aca="false">'E4 WIN Input'!$E$79*L90*L$8</f>
        <v>3.14005521307693</v>
      </c>
      <c r="M91" s="47" t="n">
        <f aca="false">'E4 WIN Input'!$E$79*M90*M$8</f>
        <v>3.24995714553462</v>
      </c>
      <c r="N91" s="47" t="n">
        <f aca="false">'E4 WIN Input'!$E$79*N90*N$8</f>
        <v>3.36370564562833</v>
      </c>
      <c r="O91" s="47" t="n">
        <f aca="false">'E4 WIN Input'!$E$79*O90*O$8</f>
        <v>3.48143534322532</v>
      </c>
      <c r="P91" s="47" t="n">
        <f aca="false">'E4 WIN Input'!$E$79*P90*P$8</f>
        <v>3.60328558023821</v>
      </c>
      <c r="Q91" s="47" t="n">
        <f aca="false">'E4 WIN Input'!$E$79*Q90*Q$8</f>
        <v>3.72940057554655</v>
      </c>
      <c r="R91" s="47" t="n">
        <f aca="false">'E4 WIN Input'!$E$79*R90*R$8</f>
        <v>3.85992959569068</v>
      </c>
      <c r="S91" s="47" t="n">
        <f aca="false">'E4 WIN Input'!$E$79*S90*S$8</f>
        <v>3.99502713153985</v>
      </c>
    </row>
    <row r="92" customFormat="false" ht="15" hidden="false" customHeight="false" outlineLevel="0" collapsed="false">
      <c r="B92" s="24" t="s">
        <v>1690</v>
      </c>
      <c r="C92" s="25" t="s">
        <v>1019</v>
      </c>
      <c r="F92" s="104" t="n">
        <f aca="false">1</f>
        <v>1</v>
      </c>
      <c r="G92" s="104" t="n">
        <f aca="false">F92*(1+'E4 WIN Input'!G82)*G$8</f>
        <v>1.01</v>
      </c>
      <c r="H92" s="104" t="n">
        <f aca="false">G92*(1+'E4 WIN Input'!H82)*H$8</f>
        <v>1.0201</v>
      </c>
      <c r="I92" s="104" t="n">
        <f aca="false">H92*(1+'E4 WIN Input'!I82)*I$8</f>
        <v>1.030301</v>
      </c>
      <c r="J92" s="104" t="n">
        <f aca="false">I92*(1+'E4 WIN Input'!J82)*J$8</f>
        <v>1.04060401</v>
      </c>
      <c r="K92" s="104" t="n">
        <f aca="false">J92*(1+'E4 WIN Input'!K82)*K$8</f>
        <v>1.0510100501</v>
      </c>
      <c r="L92" s="104" t="n">
        <f aca="false">K92*(1+'E4 WIN Input'!L82)*L$8</f>
        <v>1.061520150601</v>
      </c>
      <c r="M92" s="104" t="n">
        <f aca="false">L92*(1+'E4 WIN Input'!M82)*M$8</f>
        <v>1.07213535210701</v>
      </c>
      <c r="N92" s="104" t="n">
        <f aca="false">M92*(1+'E4 WIN Input'!N82)*N$8</f>
        <v>1.08285670562808</v>
      </c>
      <c r="O92" s="104" t="n">
        <f aca="false">N92*(1+'E4 WIN Input'!O82)*O$8</f>
        <v>1.09368527268436</v>
      </c>
      <c r="P92" s="104" t="n">
        <f aca="false">O92*(1+'E4 WIN Input'!P82)*P$8</f>
        <v>1.1046221254112</v>
      </c>
      <c r="Q92" s="104" t="n">
        <f aca="false">P92*(1+'E4 WIN Input'!Q82)*Q$8</f>
        <v>1.11566834666532</v>
      </c>
      <c r="R92" s="104" t="n">
        <f aca="false">Q92*(1+'E4 WIN Input'!R82)*R$8</f>
        <v>1.12682503013197</v>
      </c>
      <c r="S92" s="104" t="n">
        <f aca="false">R92*(1+'E4 WIN Input'!S82)*S$8</f>
        <v>1.13809328043329</v>
      </c>
    </row>
    <row r="93" customFormat="false" ht="15" hidden="false" customHeight="false" outlineLevel="0" collapsed="false">
      <c r="B93" s="24" t="s">
        <v>1691</v>
      </c>
      <c r="C93" s="25" t="s">
        <v>170</v>
      </c>
      <c r="E93" s="47" t="n">
        <f aca="false">SUM(F93:S93)</f>
        <v>0.118832937655582</v>
      </c>
      <c r="F93" s="47" t="n">
        <f aca="false">'E4 WIN Input'!$E$81*F92*F$8</f>
        <v>0</v>
      </c>
      <c r="G93" s="47" t="n">
        <f aca="false">'E4 WIN Input'!$E$81*G92*G$8</f>
        <v>0.008605265751</v>
      </c>
      <c r="H93" s="47" t="n">
        <f aca="false">'E4 WIN Input'!$E$81*H92*H$8</f>
        <v>0.00869131840851</v>
      </c>
      <c r="I93" s="47" t="n">
        <f aca="false">'E4 WIN Input'!$E$81*I92*I$8</f>
        <v>0.0087782315925951</v>
      </c>
      <c r="J93" s="47" t="n">
        <f aca="false">'E4 WIN Input'!$E$81*J92*J$8</f>
        <v>0.00886601390852105</v>
      </c>
      <c r="K93" s="47" t="n">
        <f aca="false">'E4 WIN Input'!$E$81*K92*K$8</f>
        <v>0.00895467404760626</v>
      </c>
      <c r="L93" s="47" t="n">
        <f aca="false">'E4 WIN Input'!$E$81*L92*L$8</f>
        <v>0.00904422078808232</v>
      </c>
      <c r="M93" s="47" t="n">
        <f aca="false">'E4 WIN Input'!$E$81*M92*M$8</f>
        <v>0.00913466299596315</v>
      </c>
      <c r="N93" s="47" t="n">
        <f aca="false">'E4 WIN Input'!$E$81*N92*N$8</f>
        <v>0.00922600962592278</v>
      </c>
      <c r="O93" s="47" t="n">
        <f aca="false">'E4 WIN Input'!$E$81*O92*O$8</f>
        <v>0.00931826972218201</v>
      </c>
      <c r="P93" s="47" t="n">
        <f aca="false">'E4 WIN Input'!$E$81*P92*P$8</f>
        <v>0.00941145241940383</v>
      </c>
      <c r="Q93" s="47" t="n">
        <f aca="false">'E4 WIN Input'!$E$81*Q92*Q$8</f>
        <v>0.00950556694359787</v>
      </c>
      <c r="R93" s="47" t="n">
        <f aca="false">'E4 WIN Input'!$E$81*R92*R$8</f>
        <v>0.00960062261303384</v>
      </c>
      <c r="S93" s="47" t="n">
        <f aca="false">'E4 WIN Input'!$E$81*S92*S$8</f>
        <v>0.00969662883916418</v>
      </c>
    </row>
    <row r="94" customFormat="false" ht="15" hidden="false" customHeight="false" outlineLevel="0" collapsed="false">
      <c r="B94" s="24" t="s">
        <v>1692</v>
      </c>
      <c r="C94" s="25" t="s">
        <v>170</v>
      </c>
      <c r="E94" s="47" t="n">
        <f aca="false">SUM(F94:S94)</f>
        <v>0.0263188071405114</v>
      </c>
      <c r="F94" s="47" t="n">
        <f aca="false">'E4 WIN Input'!$E$83*F35</f>
        <v>0</v>
      </c>
      <c r="G94" s="47" t="n">
        <f aca="false">'E4 WIN Input'!$E$83*G35</f>
        <v>0.00668740004534334</v>
      </c>
      <c r="H94" s="47" t="n">
        <f aca="false">'E4 WIN Input'!$E$83*H35</f>
        <v>0.00280031622884699</v>
      </c>
      <c r="I94" s="47" t="n">
        <f aca="false">'E4 WIN Input'!$E$83*I35</f>
        <v>0.00102486180956307</v>
      </c>
      <c r="J94" s="47" t="n">
        <f aca="false">'E4 WIN Input'!$E$83*J35</f>
        <v>0.00110838804704247</v>
      </c>
      <c r="K94" s="47" t="n">
        <f aca="false">'E4 WIN Input'!$E$83*K35</f>
        <v>0.00119872167287643</v>
      </c>
      <c r="L94" s="47" t="n">
        <f aca="false">'E4 WIN Input'!$E$83*L35</f>
        <v>0.00129641748921586</v>
      </c>
      <c r="M94" s="47" t="n">
        <f aca="false">'E4 WIN Input'!$E$83*M35</f>
        <v>0.00140207551458695</v>
      </c>
      <c r="N94" s="47" t="n">
        <f aca="false">'E4 WIN Input'!$E$83*N35</f>
        <v>0.00151634466902578</v>
      </c>
      <c r="O94" s="47" t="n">
        <f aca="false">'E4 WIN Input'!$E$83*O35</f>
        <v>0.00163992675955138</v>
      </c>
      <c r="P94" s="47" t="n">
        <f aca="false">'E4 WIN Input'!$E$83*P35</f>
        <v>0.00177358079045482</v>
      </c>
      <c r="Q94" s="47" t="n">
        <f aca="false">'E4 WIN Input'!$E$83*Q35</f>
        <v>0.00186225982997756</v>
      </c>
      <c r="R94" s="47" t="n">
        <f aca="false">'E4 WIN Input'!$E$83*R35</f>
        <v>0.00195537282147644</v>
      </c>
      <c r="S94" s="47" t="n">
        <f aca="false">'E4 WIN Input'!$E$83*S35</f>
        <v>0.00205314146255026</v>
      </c>
    </row>
    <row r="95" customFormat="false" ht="15" hidden="false" customHeight="false" outlineLevel="0" collapsed="false">
      <c r="B95" s="69" t="s">
        <v>1693</v>
      </c>
      <c r="C95" s="25" t="s">
        <v>170</v>
      </c>
      <c r="E95" s="70" t="n">
        <f aca="false">SUM(F95:S95)</f>
        <v>135.277986310296</v>
      </c>
      <c r="F95" s="68" t="n">
        <f aca="false">F89+F91+F93+F94</f>
        <v>0</v>
      </c>
      <c r="G95" s="68" t="n">
        <f aca="false">G89+G91+G93+G94</f>
        <v>40.6799064032446</v>
      </c>
      <c r="H95" s="68" t="n">
        <f aca="false">H89+H91+H93+H94</f>
        <v>16.3351731798252</v>
      </c>
      <c r="I95" s="68" t="n">
        <f aca="false">I89+I91+I93+I94</f>
        <v>5.33388321528501</v>
      </c>
      <c r="J95" s="68" t="n">
        <f aca="false">J89+J91+J93+J94</f>
        <v>5.63627208366229</v>
      </c>
      <c r="K95" s="68" t="n">
        <f aca="false">K89+K91+K93+K94</f>
        <v>5.95869004442289</v>
      </c>
      <c r="L95" s="68" t="n">
        <f aca="false">L89+L91+L93+L94</f>
        <v>6.30260807949333</v>
      </c>
      <c r="M95" s="68" t="n">
        <f aca="false">M89+M91+M93+M94</f>
        <v>6.66961140877761</v>
      </c>
      <c r="N95" s="68" t="n">
        <f aca="false">N89+N91+N93+N94</f>
        <v>7.06140860292141</v>
      </c>
      <c r="O95" s="68" t="n">
        <f aca="false">O89+O91+O93+O94</f>
        <v>7.47984143184953</v>
      </c>
      <c r="P95" s="68" t="n">
        <f aca="false">P89+P91+P93+P94</f>
        <v>7.92689550880016</v>
      </c>
      <c r="Q95" s="68" t="n">
        <f aca="false">Q89+Q91+Q93+Q94</f>
        <v>8.26881454243982</v>
      </c>
      <c r="R95" s="68" t="n">
        <f aca="false">R89+R91+R93+R94</f>
        <v>8.62593403825086</v>
      </c>
      <c r="S95" s="68" t="n">
        <f aca="false">S89+S91+S93+S94</f>
        <v>8.99894777132352</v>
      </c>
    </row>
    <row r="97" customFormat="false" ht="15" hidden="false" customHeight="false" outlineLevel="0" collapsed="false">
      <c r="B97" s="22" t="s">
        <v>1694</v>
      </c>
      <c r="C97" s="23"/>
      <c r="D97" s="23"/>
      <c r="E97" s="23"/>
      <c r="F97" s="23"/>
      <c r="G97" s="23"/>
      <c r="H97" s="23"/>
      <c r="I97" s="23"/>
      <c r="J97" s="23"/>
      <c r="K97" s="23"/>
      <c r="L97" s="23"/>
      <c r="M97" s="23"/>
      <c r="N97" s="23"/>
      <c r="O97" s="23"/>
      <c r="P97" s="23"/>
      <c r="Q97" s="23"/>
      <c r="R97" s="23"/>
      <c r="S97" s="23"/>
    </row>
    <row r="98" customFormat="false" ht="15" hidden="false" customHeight="false" outlineLevel="0" collapsed="false">
      <c r="B98" s="24" t="s">
        <v>1695</v>
      </c>
      <c r="C98" s="25" t="s">
        <v>170</v>
      </c>
      <c r="E98" s="47" t="n">
        <f aca="false">SUM(F98:S98)</f>
        <v>215.84010573166</v>
      </c>
      <c r="F98" s="47" t="n">
        <f aca="false">'E4 WIN Input'!$E$85*F47</f>
        <v>0</v>
      </c>
      <c r="G98" s="47" t="n">
        <f aca="false">'E4 WIN Input'!$E$85*G47</f>
        <v>13.0755414506858</v>
      </c>
      <c r="H98" s="47" t="n">
        <f aca="false">'E4 WIN Input'!$E$85*H47</f>
        <v>14.0065200019746</v>
      </c>
      <c r="I98" s="47" t="n">
        <f aca="false">'E4 WIN Input'!$E$85*I47</f>
        <v>15.0037842261152</v>
      </c>
      <c r="J98" s="47" t="n">
        <f aca="false">'E4 WIN Input'!$E$85*J47</f>
        <v>16.0720536630146</v>
      </c>
      <c r="K98" s="47" t="n">
        <f aca="false">'E4 WIN Input'!$E$85*K47</f>
        <v>17.2163838838212</v>
      </c>
      <c r="L98" s="47" t="n">
        <f aca="false">'E4 WIN Input'!$E$85*L47</f>
        <v>18.4421904163493</v>
      </c>
      <c r="M98" s="47" t="n">
        <f aca="false">'E4 WIN Input'!$E$85*M47</f>
        <v>19.7552743739934</v>
      </c>
      <c r="N98" s="47" t="n">
        <f aca="false">'E4 WIN Input'!$E$85*N47</f>
        <v>21.1618499094217</v>
      </c>
      <c r="O98" s="47" t="n">
        <f aca="false">'E4 WIN Input'!$E$85*O47</f>
        <v>22.6685736229725</v>
      </c>
      <c r="P98" s="47" t="n">
        <f aca="false">'E4 WIN Input'!$E$85*P47</f>
        <v>24.2825760649282</v>
      </c>
      <c r="Q98" s="47" t="n">
        <f aca="false">'E4 WIN Input'!$E$85*Q47</f>
        <v>10.9416190794411</v>
      </c>
      <c r="R98" s="47" t="n">
        <f aca="false">'E4 WIN Input'!$E$85*R47</f>
        <v>11.3792838426188</v>
      </c>
      <c r="S98" s="47" t="n">
        <f aca="false">'E4 WIN Input'!$E$85*S47</f>
        <v>11.8344551963236</v>
      </c>
    </row>
    <row r="99" customFormat="false" ht="15" hidden="false" customHeight="false" outlineLevel="0" collapsed="false">
      <c r="B99" s="24" t="s">
        <v>1696</v>
      </c>
      <c r="C99" s="25" t="s">
        <v>1019</v>
      </c>
      <c r="F99" s="104" t="n">
        <f aca="false">1</f>
        <v>1</v>
      </c>
      <c r="G99" s="104" t="n">
        <f aca="false">F99*(1+'E4 WIN Input'!G87)*G$8</f>
        <v>1.035</v>
      </c>
      <c r="H99" s="104" t="n">
        <f aca="false">G99*(1+'E4 WIN Input'!H87)*H$8</f>
        <v>1.071225</v>
      </c>
      <c r="I99" s="104" t="n">
        <f aca="false">H99*(1+'E4 WIN Input'!I87)*I$8</f>
        <v>1.108717875</v>
      </c>
      <c r="J99" s="104" t="n">
        <f aca="false">I99*(1+'E4 WIN Input'!J87)*J$8</f>
        <v>1.147523000625</v>
      </c>
      <c r="K99" s="104" t="n">
        <f aca="false">J99*(1+'E4 WIN Input'!K87)*K$8</f>
        <v>1.18768630564687</v>
      </c>
      <c r="L99" s="104" t="n">
        <f aca="false">K99*(1+'E4 WIN Input'!L87)*L$8</f>
        <v>1.22925532634452</v>
      </c>
      <c r="M99" s="104" t="n">
        <f aca="false">L99*(1+'E4 WIN Input'!M87)*M$8</f>
        <v>1.27227926276657</v>
      </c>
      <c r="N99" s="104" t="n">
        <f aca="false">M99*(1+'E4 WIN Input'!N87)*N$8</f>
        <v>1.3168090369634</v>
      </c>
      <c r="O99" s="104" t="n">
        <f aca="false">N99*(1+'E4 WIN Input'!O87)*O$8</f>
        <v>1.36289735325712</v>
      </c>
      <c r="P99" s="104" t="n">
        <f aca="false">O99*(1+'E4 WIN Input'!P87)*P$8</f>
        <v>1.41059876062112</v>
      </c>
      <c r="Q99" s="104" t="n">
        <f aca="false">P99*(1+'E4 WIN Input'!Q87)*Q$8</f>
        <v>1.45996971724286</v>
      </c>
      <c r="R99" s="104" t="n">
        <f aca="false">Q99*(1+'E4 WIN Input'!R87)*R$8</f>
        <v>1.51106865734636</v>
      </c>
      <c r="S99" s="104" t="n">
        <f aca="false">R99*(1+'E4 WIN Input'!S87)*S$8</f>
        <v>1.56395606035348</v>
      </c>
    </row>
    <row r="100" customFormat="false" ht="15" hidden="false" customHeight="false" outlineLevel="0" collapsed="false">
      <c r="B100" s="24" t="s">
        <v>1697</v>
      </c>
      <c r="C100" s="25" t="s">
        <v>170</v>
      </c>
      <c r="E100" s="47" t="n">
        <f aca="false">SUM(F100:S100)</f>
        <v>13.4610779632726</v>
      </c>
      <c r="F100" s="47" t="n">
        <f aca="false">'E4 WIN Input'!$E$86*F99*F$8</f>
        <v>0</v>
      </c>
      <c r="G100" s="47" t="n">
        <f aca="false">'E4 WIN Input'!$E$86*G99*G$8</f>
        <v>0.83541566770155</v>
      </c>
      <c r="H100" s="47" t="n">
        <f aca="false">'E4 WIN Input'!$E$86*H99*H$8</f>
        <v>0.864655216071104</v>
      </c>
      <c r="I100" s="47" t="n">
        <f aca="false">'E4 WIN Input'!$E$86*I99*I$8</f>
        <v>0.894918148633593</v>
      </c>
      <c r="J100" s="47" t="n">
        <f aca="false">'E4 WIN Input'!$E$86*J99*J$8</f>
        <v>0.926240283835768</v>
      </c>
      <c r="K100" s="47" t="n">
        <f aca="false">'E4 WIN Input'!$E$86*K99*K$8</f>
        <v>0.95865869377002</v>
      </c>
      <c r="L100" s="47" t="n">
        <f aca="false">'E4 WIN Input'!$E$86*L99*L$8</f>
        <v>0.992211748051971</v>
      </c>
      <c r="M100" s="47" t="n">
        <f aca="false">'E4 WIN Input'!$E$86*M99*M$8</f>
        <v>1.02693915923379</v>
      </c>
      <c r="N100" s="47" t="n">
        <f aca="false">'E4 WIN Input'!$E$86*N99*N$8</f>
        <v>1.06288202980697</v>
      </c>
      <c r="O100" s="47" t="n">
        <f aca="false">'E4 WIN Input'!$E$86*O99*O$8</f>
        <v>1.10008290085022</v>
      </c>
      <c r="P100" s="47" t="n">
        <f aca="false">'E4 WIN Input'!$E$86*P99*P$8</f>
        <v>1.13858580237997</v>
      </c>
      <c r="Q100" s="47" t="n">
        <f aca="false">'E4 WIN Input'!$E$86*Q99*Q$8</f>
        <v>1.17843630546327</v>
      </c>
      <c r="R100" s="47" t="n">
        <f aca="false">'E4 WIN Input'!$E$86*R99*R$8</f>
        <v>1.21968157615449</v>
      </c>
      <c r="S100" s="47" t="n">
        <f aca="false">'E4 WIN Input'!$E$86*S99*S$8</f>
        <v>1.26237043131989</v>
      </c>
    </row>
    <row r="101" customFormat="false" ht="15" hidden="false" customHeight="false" outlineLevel="0" collapsed="false">
      <c r="B101" s="24" t="s">
        <v>1698</v>
      </c>
      <c r="C101" s="25" t="s">
        <v>170</v>
      </c>
      <c r="E101" s="47" t="n">
        <f aca="false">SUM(F101:S101)</f>
        <v>0.284649470623522</v>
      </c>
      <c r="F101" s="47" t="n">
        <f aca="false">'E4 WIN Input'!$E$88*F47</f>
        <v>0</v>
      </c>
      <c r="G101" s="47" t="n">
        <f aca="false">'E4 WIN Input'!$E$88*G47</f>
        <v>0.0172439961490794</v>
      </c>
      <c r="H101" s="47" t="n">
        <f aca="false">'E4 WIN Input'!$E$88*H47</f>
        <v>0.0184717686748938</v>
      </c>
      <c r="I101" s="47" t="n">
        <f aca="false">'E4 WIN Input'!$E$88*I47</f>
        <v>0.0197869586045463</v>
      </c>
      <c r="J101" s="47" t="n">
        <f aca="false">'E4 WIN Input'!$E$88*J47</f>
        <v>0.02119579005719</v>
      </c>
      <c r="K101" s="47" t="n">
        <f aca="false">'E4 WIN Input'!$E$88*K47</f>
        <v>0.0227049303092619</v>
      </c>
      <c r="L101" s="47" t="n">
        <f aca="false">'E4 WIN Input'!$E$88*L47</f>
        <v>0.0243215213472813</v>
      </c>
      <c r="M101" s="47" t="n">
        <f aca="false">'E4 WIN Input'!$E$88*M47</f>
        <v>0.0260532136672078</v>
      </c>
      <c r="N101" s="47" t="n">
        <f aca="false">'E4 WIN Input'!$E$88*N47</f>
        <v>0.027908202480313</v>
      </c>
      <c r="O101" s="47" t="n">
        <f aca="false">'E4 WIN Input'!$E$88*O47</f>
        <v>0.0298952664969112</v>
      </c>
      <c r="P101" s="47" t="n">
        <f aca="false">'E4 WIN Input'!$E$88*P47</f>
        <v>0.0320238094714913</v>
      </c>
      <c r="Q101" s="47" t="n">
        <f aca="false">'E4 WIN Input'!$E$88*Q47</f>
        <v>0.0144297838817742</v>
      </c>
      <c r="R101" s="47" t="n">
        <f aca="false">'E4 WIN Input'!$E$88*R47</f>
        <v>0.0150069752370452</v>
      </c>
      <c r="S101" s="47" t="n">
        <f aca="false">'E4 WIN Input'!$E$88*S47</f>
        <v>0.015607254246527</v>
      </c>
    </row>
    <row r="102" customFormat="false" ht="15" hidden="false" customHeight="false" outlineLevel="0" collapsed="false">
      <c r="B102" s="24" t="s">
        <v>1699</v>
      </c>
      <c r="C102" s="25" t="s">
        <v>170</v>
      </c>
      <c r="E102" s="47" t="n">
        <f aca="false">SUM(F102:S102)</f>
        <v>0.058111573</v>
      </c>
      <c r="F102" s="47" t="n">
        <f aca="false">'E4 WIN Input'!$E$89*F$8</f>
        <v>0</v>
      </c>
      <c r="G102" s="47" t="n">
        <f aca="false">'E4 WIN Input'!$E$89*G$8</f>
        <v>0.004470121</v>
      </c>
      <c r="H102" s="47" t="n">
        <f aca="false">'E4 WIN Input'!$E$89*H$8</f>
        <v>0.004470121</v>
      </c>
      <c r="I102" s="47" t="n">
        <f aca="false">'E4 WIN Input'!$E$89*I$8</f>
        <v>0.004470121</v>
      </c>
      <c r="J102" s="47" t="n">
        <f aca="false">'E4 WIN Input'!$E$89*J$8</f>
        <v>0.004470121</v>
      </c>
      <c r="K102" s="47" t="n">
        <f aca="false">'E4 WIN Input'!$E$89*K$8</f>
        <v>0.004470121</v>
      </c>
      <c r="L102" s="47" t="n">
        <f aca="false">'E4 WIN Input'!$E$89*L$8</f>
        <v>0.004470121</v>
      </c>
      <c r="M102" s="47" t="n">
        <f aca="false">'E4 WIN Input'!$E$89*M$8</f>
        <v>0.004470121</v>
      </c>
      <c r="N102" s="47" t="n">
        <f aca="false">'E4 WIN Input'!$E$89*N$8</f>
        <v>0.004470121</v>
      </c>
      <c r="O102" s="47" t="n">
        <f aca="false">'E4 WIN Input'!$E$89*O$8</f>
        <v>0.004470121</v>
      </c>
      <c r="P102" s="47" t="n">
        <f aca="false">'E4 WIN Input'!$E$89*P$8</f>
        <v>0.004470121</v>
      </c>
      <c r="Q102" s="47" t="n">
        <f aca="false">'E4 WIN Input'!$E$89*Q$8</f>
        <v>0.004470121</v>
      </c>
      <c r="R102" s="47" t="n">
        <f aca="false">'E4 WIN Input'!$E$89*R$8</f>
        <v>0.004470121</v>
      </c>
      <c r="S102" s="47" t="n">
        <f aca="false">'E4 WIN Input'!$E$89*S$8</f>
        <v>0.004470121</v>
      </c>
    </row>
    <row r="103" customFormat="false" ht="15" hidden="false" customHeight="false" outlineLevel="0" collapsed="false">
      <c r="B103" s="69" t="s">
        <v>1700</v>
      </c>
      <c r="C103" s="25" t="s">
        <v>170</v>
      </c>
      <c r="E103" s="70" t="n">
        <f aca="false">SUM(F103:S103)</f>
        <v>229.643944738556</v>
      </c>
      <c r="F103" s="68" t="n">
        <f aca="false">F98+F100+F101+F102</f>
        <v>0</v>
      </c>
      <c r="G103" s="68" t="n">
        <f aca="false">G98+G100+G101+G102</f>
        <v>13.9326712355364</v>
      </c>
      <c r="H103" s="68" t="n">
        <f aca="false">H98+H100+H101+H102</f>
        <v>14.8941171077206</v>
      </c>
      <c r="I103" s="68" t="n">
        <f aca="false">I98+I100+I101+I102</f>
        <v>15.9229594543533</v>
      </c>
      <c r="J103" s="68" t="n">
        <f aca="false">J98+J100+J101+J102</f>
        <v>17.0239598579076</v>
      </c>
      <c r="K103" s="68" t="n">
        <f aca="false">K98+K100+K101+K102</f>
        <v>18.2022176289005</v>
      </c>
      <c r="L103" s="68" t="n">
        <f aca="false">L98+L100+L101+L102</f>
        <v>19.4631938067486</v>
      </c>
      <c r="M103" s="68" t="n">
        <f aca="false">M98+M100+M101+M102</f>
        <v>20.8127368678944</v>
      </c>
      <c r="N103" s="68" t="n">
        <f aca="false">N98+N100+N101+N102</f>
        <v>22.257110262709</v>
      </c>
      <c r="O103" s="68" t="n">
        <f aca="false">O98+O100+O101+O102</f>
        <v>23.8030219113197</v>
      </c>
      <c r="P103" s="68" t="n">
        <f aca="false">P98+P100+P101+P102</f>
        <v>25.4576557977797</v>
      </c>
      <c r="Q103" s="68" t="n">
        <f aca="false">Q98+Q100+Q101+Q102</f>
        <v>12.1389552897862</v>
      </c>
      <c r="R103" s="68" t="n">
        <f aca="false">R98+R100+R101+R102</f>
        <v>12.6184425150103</v>
      </c>
      <c r="S103" s="68" t="n">
        <f aca="false">S98+S100+S101+S102</f>
        <v>13.11690300289</v>
      </c>
    </row>
    <row r="105" customFormat="false" ht="15" hidden="false" customHeight="false" outlineLevel="0" collapsed="false">
      <c r="B105" s="22" t="s">
        <v>1701</v>
      </c>
      <c r="C105" s="23"/>
      <c r="D105" s="23"/>
      <c r="E105" s="23"/>
      <c r="F105" s="23"/>
      <c r="G105" s="23"/>
      <c r="H105" s="23"/>
      <c r="I105" s="23"/>
      <c r="J105" s="23"/>
      <c r="K105" s="23"/>
      <c r="L105" s="23"/>
      <c r="M105" s="23"/>
      <c r="N105" s="23"/>
      <c r="O105" s="23"/>
      <c r="P105" s="23"/>
      <c r="Q105" s="23"/>
      <c r="R105" s="23"/>
      <c r="S105" s="23"/>
    </row>
    <row r="106" customFormat="false" ht="15" hidden="false" customHeight="false" outlineLevel="0" collapsed="false">
      <c r="B106" s="24" t="s">
        <v>1702</v>
      </c>
      <c r="C106" s="25" t="s">
        <v>170</v>
      </c>
      <c r="E106" s="47" t="n">
        <f aca="false">SUM(F106:S106)</f>
        <v>146.579390435409</v>
      </c>
      <c r="F106" s="47" t="n">
        <f aca="false">'E4 WIN Input'!$E$91*F59</f>
        <v>0</v>
      </c>
      <c r="G106" s="47" t="n">
        <f aca="false">'E4 WIN Input'!$E$91*G59</f>
        <v>6.88480017748284</v>
      </c>
      <c r="H106" s="47" t="n">
        <f aca="false">'E4 WIN Input'!$E$91*H59</f>
        <v>7.44591139194769</v>
      </c>
      <c r="I106" s="47" t="n">
        <f aca="false">'E4 WIN Input'!$E$91*I59</f>
        <v>8.05275317039142</v>
      </c>
      <c r="J106" s="47" t="n">
        <f aca="false">'E4 WIN Input'!$E$91*J59</f>
        <v>8.70905255377832</v>
      </c>
      <c r="K106" s="47" t="n">
        <f aca="false">'E4 WIN Input'!$E$91*K59</f>
        <v>9.41884033691126</v>
      </c>
      <c r="L106" s="47" t="n">
        <f aca="false">'E4 WIN Input'!$E$91*L59</f>
        <v>10.1864758243695</v>
      </c>
      <c r="M106" s="47" t="n">
        <f aca="false">'E4 WIN Input'!$E$91*M59</f>
        <v>11.0166736040556</v>
      </c>
      <c r="N106" s="47" t="n">
        <f aca="false">'E4 WIN Input'!$E$91*N59</f>
        <v>11.9145325027862</v>
      </c>
      <c r="O106" s="47" t="n">
        <f aca="false">'E4 WIN Input'!$E$91*O59</f>
        <v>12.8855669017633</v>
      </c>
      <c r="P106" s="47" t="n">
        <f aca="false">'E4 WIN Input'!$E$91*P59</f>
        <v>13.935740604257</v>
      </c>
      <c r="Q106" s="47" t="n">
        <f aca="false">'E4 WIN Input'!$E$91*Q59</f>
        <v>14.6325276344698</v>
      </c>
      <c r="R106" s="47" t="n">
        <f aca="false">'E4 WIN Input'!$E$91*R59</f>
        <v>15.3641540161933</v>
      </c>
      <c r="S106" s="47" t="n">
        <f aca="false">'E4 WIN Input'!$E$91*S59</f>
        <v>16.132361717003</v>
      </c>
    </row>
    <row r="107" customFormat="false" ht="15" hidden="false" customHeight="false" outlineLevel="0" collapsed="false">
      <c r="B107" s="24" t="s">
        <v>1703</v>
      </c>
      <c r="C107" s="25" t="s">
        <v>1019</v>
      </c>
      <c r="F107" s="104" t="n">
        <f aca="false">1</f>
        <v>1</v>
      </c>
      <c r="G107" s="104" t="n">
        <f aca="false">F107*(1+'E4 WIN Input'!G93)*G$8</f>
        <v>1.035</v>
      </c>
      <c r="H107" s="104" t="n">
        <f aca="false">G107*(1+'E4 WIN Input'!H93)*H$8</f>
        <v>1.071225</v>
      </c>
      <c r="I107" s="104" t="n">
        <f aca="false">H107*(1+'E4 WIN Input'!I93)*I$8</f>
        <v>1.108717875</v>
      </c>
      <c r="J107" s="104" t="n">
        <f aca="false">I107*(1+'E4 WIN Input'!J93)*J$8</f>
        <v>1.147523000625</v>
      </c>
      <c r="K107" s="104" t="n">
        <f aca="false">J107*(1+'E4 WIN Input'!K93)*K$8</f>
        <v>1.18768630564687</v>
      </c>
      <c r="L107" s="104" t="n">
        <f aca="false">K107*(1+'E4 WIN Input'!L93)*L$8</f>
        <v>1.22925532634452</v>
      </c>
      <c r="M107" s="104" t="n">
        <f aca="false">L107*(1+'E4 WIN Input'!M93)*M$8</f>
        <v>1.27227926276657</v>
      </c>
      <c r="N107" s="104" t="n">
        <f aca="false">M107*(1+'E4 WIN Input'!N93)*N$8</f>
        <v>1.3168090369634</v>
      </c>
      <c r="O107" s="104" t="n">
        <f aca="false">N107*(1+'E4 WIN Input'!O93)*O$8</f>
        <v>1.36289735325712</v>
      </c>
      <c r="P107" s="104" t="n">
        <f aca="false">O107*(1+'E4 WIN Input'!P93)*P$8</f>
        <v>1.41059876062112</v>
      </c>
      <c r="Q107" s="104" t="n">
        <f aca="false">P107*(1+'E4 WIN Input'!Q93)*Q$8</f>
        <v>1.45996971724286</v>
      </c>
      <c r="R107" s="104" t="n">
        <f aca="false">Q107*(1+'E4 WIN Input'!R93)*R$8</f>
        <v>1.51106865734636</v>
      </c>
      <c r="S107" s="104" t="n">
        <f aca="false">R107*(1+'E4 WIN Input'!S93)*S$8</f>
        <v>1.56395606035348</v>
      </c>
    </row>
    <row r="108" customFormat="false" ht="15" hidden="false" customHeight="false" outlineLevel="0" collapsed="false">
      <c r="B108" s="24" t="s">
        <v>1704</v>
      </c>
      <c r="C108" s="25" t="s">
        <v>170</v>
      </c>
      <c r="E108" s="47" t="n">
        <f aca="false">SUM(F108:S108)</f>
        <v>5.57847127493811</v>
      </c>
      <c r="F108" s="47" t="n">
        <f aca="false">'E4 WIN Input'!$E$92*F107*F$8</f>
        <v>0</v>
      </c>
      <c r="G108" s="47" t="n">
        <f aca="false">'E4 WIN Input'!$E$92*G107*G$8</f>
        <v>0.34620870019635</v>
      </c>
      <c r="H108" s="47" t="n">
        <f aca="false">'E4 WIN Input'!$E$92*H107*H$8</f>
        <v>0.358326004703222</v>
      </c>
      <c r="I108" s="47" t="n">
        <f aca="false">'E4 WIN Input'!$E$92*I107*I$8</f>
        <v>0.370867414867835</v>
      </c>
      <c r="J108" s="47" t="n">
        <f aca="false">'E4 WIN Input'!$E$92*J107*J$8</f>
        <v>0.383847774388209</v>
      </c>
      <c r="K108" s="47" t="n">
        <f aca="false">'E4 WIN Input'!$E$92*K107*K$8</f>
        <v>0.397282446491796</v>
      </c>
      <c r="L108" s="47" t="n">
        <f aca="false">'E4 WIN Input'!$E$92*L107*L$8</f>
        <v>0.411187332119009</v>
      </c>
      <c r="M108" s="47" t="n">
        <f aca="false">'E4 WIN Input'!$E$92*M107*M$8</f>
        <v>0.425578888743175</v>
      </c>
      <c r="N108" s="47" t="n">
        <f aca="false">'E4 WIN Input'!$E$92*N107*N$8</f>
        <v>0.440474149849186</v>
      </c>
      <c r="O108" s="47" t="n">
        <f aca="false">'E4 WIN Input'!$E$92*O107*O$8</f>
        <v>0.455890745093907</v>
      </c>
      <c r="P108" s="47" t="n">
        <f aca="false">'E4 WIN Input'!$E$92*P107*P$8</f>
        <v>0.471846921172194</v>
      </c>
      <c r="Q108" s="47" t="n">
        <f aca="false">'E4 WIN Input'!$E$92*Q107*Q$8</f>
        <v>0.488361563413221</v>
      </c>
      <c r="R108" s="47" t="n">
        <f aca="false">'E4 WIN Input'!$E$92*R107*R$8</f>
        <v>0.505454218132683</v>
      </c>
      <c r="S108" s="47" t="n">
        <f aca="false">'E4 WIN Input'!$E$92*S107*S$8</f>
        <v>0.523145115767327</v>
      </c>
    </row>
    <row r="109" customFormat="false" ht="15" hidden="false" customHeight="false" outlineLevel="0" collapsed="false">
      <c r="B109" s="24" t="s">
        <v>1705</v>
      </c>
      <c r="C109" s="25" t="s">
        <v>170</v>
      </c>
      <c r="E109" s="47" t="n">
        <f aca="false">SUM(F109:S109)</f>
        <v>0.00103287514932697</v>
      </c>
      <c r="F109" s="47" t="n">
        <f aca="false">'E4 WIN Input'!F94*F59*F$8</f>
        <v>0</v>
      </c>
      <c r="G109" s="47" t="n">
        <f aca="false">'E4 WIN Input'!G94*G59*G$8</f>
        <v>4.85139076529146E-005</v>
      </c>
      <c r="H109" s="47" t="n">
        <f aca="false">'E4 WIN Input'!H94*H59*H$8</f>
        <v>5.24677911266271E-005</v>
      </c>
      <c r="I109" s="47" t="n">
        <f aca="false">'E4 WIN Input'!I94*I59*I$8</f>
        <v>5.67439161034472E-005</v>
      </c>
      <c r="J109" s="47" t="n">
        <f aca="false">'E4 WIN Input'!J94*J59*J$8</f>
        <v>6.13685452658782E-005</v>
      </c>
      <c r="K109" s="47" t="n">
        <f aca="false">'E4 WIN Input'!K94*K59*K$8</f>
        <v>6.63700817050473E-005</v>
      </c>
      <c r="L109" s="47" t="n">
        <f aca="false">'E4 WIN Input'!L94*L59*L$8</f>
        <v>7.17792433640086E-005</v>
      </c>
      <c r="M109" s="47" t="n">
        <f aca="false">'E4 WIN Input'!M94*M59*M$8</f>
        <v>7.76292516981754E-005</v>
      </c>
      <c r="N109" s="47" t="n">
        <f aca="false">'E4 WIN Input'!N94*N59*N$8</f>
        <v>8.39560357115767E-005</v>
      </c>
      <c r="O109" s="47" t="n">
        <f aca="false">'E4 WIN Input'!O94*O59*O$8</f>
        <v>9.07984526220701E-005</v>
      </c>
      <c r="P109" s="47" t="n">
        <f aca="false">'E4 WIN Input'!P94*P59*P$8</f>
        <v>9.81985265107689E-005</v>
      </c>
      <c r="Q109" s="47" t="n">
        <f aca="false">'E4 WIN Input'!Q94*Q59*Q$8</f>
        <v>0.000103108452836307</v>
      </c>
      <c r="R109" s="47" t="n">
        <f aca="false">'E4 WIN Input'!R94*R59*R$8</f>
        <v>0.000108263875478123</v>
      </c>
      <c r="S109" s="47" t="n">
        <f aca="false">'E4 WIN Input'!S94*S59*S$8</f>
        <v>0.000113677069252029</v>
      </c>
    </row>
    <row r="110" customFormat="false" ht="15" hidden="false" customHeight="false" outlineLevel="0" collapsed="false">
      <c r="B110" s="24" t="s">
        <v>1706</v>
      </c>
      <c r="C110" s="25" t="s">
        <v>170</v>
      </c>
      <c r="E110" s="47" t="n">
        <f aca="false">SUM(F110:S110)</f>
        <v>0.034483943</v>
      </c>
      <c r="F110" s="47" t="n">
        <f aca="false">'E4 WIN Input'!$E$95*F$8</f>
        <v>0</v>
      </c>
      <c r="G110" s="47" t="n">
        <f aca="false">'E4 WIN Input'!$E$95*G$8</f>
        <v>0.002652611</v>
      </c>
      <c r="H110" s="47" t="n">
        <f aca="false">'E4 WIN Input'!$E$95*H$8</f>
        <v>0.002652611</v>
      </c>
      <c r="I110" s="47" t="n">
        <f aca="false">'E4 WIN Input'!$E$95*I$8</f>
        <v>0.002652611</v>
      </c>
      <c r="J110" s="47" t="n">
        <f aca="false">'E4 WIN Input'!$E$95*J$8</f>
        <v>0.002652611</v>
      </c>
      <c r="K110" s="47" t="n">
        <f aca="false">'E4 WIN Input'!$E$95*K$8</f>
        <v>0.002652611</v>
      </c>
      <c r="L110" s="47" t="n">
        <f aca="false">'E4 WIN Input'!$E$95*L$8</f>
        <v>0.002652611</v>
      </c>
      <c r="M110" s="47" t="n">
        <f aca="false">'E4 WIN Input'!$E$95*M$8</f>
        <v>0.002652611</v>
      </c>
      <c r="N110" s="47" t="n">
        <f aca="false">'E4 WIN Input'!$E$95*N$8</f>
        <v>0.002652611</v>
      </c>
      <c r="O110" s="47" t="n">
        <f aca="false">'E4 WIN Input'!$E$95*O$8</f>
        <v>0.002652611</v>
      </c>
      <c r="P110" s="47" t="n">
        <f aca="false">'E4 WIN Input'!$E$95*P$8</f>
        <v>0.002652611</v>
      </c>
      <c r="Q110" s="47" t="n">
        <f aca="false">'E4 WIN Input'!$E$95*Q$8</f>
        <v>0.002652611</v>
      </c>
      <c r="R110" s="47" t="n">
        <f aca="false">'E4 WIN Input'!$E$95*R$8</f>
        <v>0.002652611</v>
      </c>
      <c r="S110" s="47" t="n">
        <f aca="false">'E4 WIN Input'!$E$95*S$8</f>
        <v>0.002652611</v>
      </c>
    </row>
    <row r="111" customFormat="false" ht="15" hidden="false" customHeight="false" outlineLevel="0" collapsed="false">
      <c r="B111" s="69" t="s">
        <v>1707</v>
      </c>
      <c r="C111" s="25" t="s">
        <v>170</v>
      </c>
      <c r="E111" s="70" t="n">
        <f aca="false">SUM(F111:S111)</f>
        <v>152.193378528497</v>
      </c>
      <c r="F111" s="68" t="n">
        <f aca="false">F106+F108+F109+F110</f>
        <v>0</v>
      </c>
      <c r="G111" s="68" t="n">
        <f aca="false">G106+G108+G109+G110</f>
        <v>7.23371000258684</v>
      </c>
      <c r="H111" s="68" t="n">
        <f aca="false">H106+H108+H109+H110</f>
        <v>7.80694247544203</v>
      </c>
      <c r="I111" s="68" t="n">
        <f aca="false">I106+I108+I109+I110</f>
        <v>8.42632994017536</v>
      </c>
      <c r="J111" s="68" t="n">
        <f aca="false">J106+J108+J109+J110</f>
        <v>9.0956143077118</v>
      </c>
      <c r="K111" s="68" t="n">
        <f aca="false">K106+K108+K109+K110</f>
        <v>9.81884176448476</v>
      </c>
      <c r="L111" s="68" t="n">
        <f aca="false">L106+L108+L109+L110</f>
        <v>10.6003875467319</v>
      </c>
      <c r="M111" s="68" t="n">
        <f aca="false">M106+M108+M109+M110</f>
        <v>11.4449827330505</v>
      </c>
      <c r="N111" s="68" t="n">
        <f aca="false">N106+N108+N109+N110</f>
        <v>12.3577432196711</v>
      </c>
      <c r="O111" s="68" t="n">
        <f aca="false">O106+O108+O109+O110</f>
        <v>13.3442010563098</v>
      </c>
      <c r="P111" s="68" t="n">
        <f aca="false">P106+P108+P109+P110</f>
        <v>14.4103383349557</v>
      </c>
      <c r="Q111" s="68" t="n">
        <f aca="false">Q106+Q108+Q109+Q110</f>
        <v>15.1236449173359</v>
      </c>
      <c r="R111" s="68" t="n">
        <f aca="false">R106+R108+R109+R110</f>
        <v>15.8723691092015</v>
      </c>
      <c r="S111" s="68" t="n">
        <f aca="false">S106+S108+S109+S110</f>
        <v>16.6582731208395</v>
      </c>
    </row>
    <row r="113" customFormat="false" ht="15" hidden="false" customHeight="false" outlineLevel="0" collapsed="false">
      <c r="B113" s="22" t="s">
        <v>1708</v>
      </c>
      <c r="C113" s="23"/>
      <c r="D113" s="23"/>
      <c r="E113" s="23"/>
      <c r="F113" s="23"/>
      <c r="G113" s="23"/>
      <c r="H113" s="23"/>
      <c r="I113" s="23"/>
      <c r="J113" s="23"/>
      <c r="K113" s="23"/>
      <c r="L113" s="23"/>
      <c r="M113" s="23"/>
      <c r="N113" s="23"/>
      <c r="O113" s="23"/>
      <c r="P113" s="23"/>
      <c r="Q113" s="23"/>
      <c r="R113" s="23"/>
      <c r="S113" s="23"/>
    </row>
    <row r="114" customFormat="false" ht="15" hidden="false" customHeight="false" outlineLevel="0" collapsed="false">
      <c r="B114" s="24" t="s">
        <v>1709</v>
      </c>
      <c r="C114" s="25" t="s">
        <v>170</v>
      </c>
      <c r="E114" s="47" t="n">
        <f aca="false">SUM(F114:S114)</f>
        <v>231.635847177957</v>
      </c>
      <c r="F114" s="47" t="n">
        <f aca="false">'E4 WIN Input'!$E$97*F80</f>
        <v>0</v>
      </c>
      <c r="G114" s="47" t="n">
        <f aca="false">'E4 WIN Input'!$E$97*G80</f>
        <v>9.04863683807087</v>
      </c>
      <c r="H114" s="47" t="n">
        <f aca="false">'E4 WIN Input'!$E$97*H80</f>
        <v>9.78610074037365</v>
      </c>
      <c r="I114" s="47" t="n">
        <f aca="false">'E4 WIN Input'!$E$97*I80</f>
        <v>12.9576705392036</v>
      </c>
      <c r="J114" s="47" t="n">
        <f aca="false">'E4 WIN Input'!$E$97*J80</f>
        <v>14.0137206881487</v>
      </c>
      <c r="K114" s="47" t="n">
        <f aca="false">'E4 WIN Input'!$E$97*K80</f>
        <v>15.1558389242328</v>
      </c>
      <c r="L114" s="47" t="n">
        <f aca="false">'E4 WIN Input'!$E$97*L80</f>
        <v>16.3910397965577</v>
      </c>
      <c r="M114" s="47" t="n">
        <f aca="false">'E4 WIN Input'!$E$97*M80</f>
        <v>17.7269095399772</v>
      </c>
      <c r="N114" s="47" t="n">
        <f aca="false">'E4 WIN Input'!$E$97*N80</f>
        <v>19.1716526674853</v>
      </c>
      <c r="O114" s="47" t="n">
        <f aca="false">'E4 WIN Input'!$E$97*O80</f>
        <v>20.7341423598854</v>
      </c>
      <c r="P114" s="47" t="n">
        <f aca="false">'E4 WIN Input'!$E$97*P80</f>
        <v>22.4239749622161</v>
      </c>
      <c r="Q114" s="47" t="n">
        <f aca="false">'E4 WIN Input'!$E$97*Q80</f>
        <v>23.5451737103269</v>
      </c>
      <c r="R114" s="47" t="n">
        <f aca="false">'E4 WIN Input'!$E$97*R80</f>
        <v>24.7224323958432</v>
      </c>
      <c r="S114" s="47" t="n">
        <f aca="false">'E4 WIN Input'!$E$97*S80</f>
        <v>25.9585540156354</v>
      </c>
    </row>
    <row r="115" customFormat="false" ht="15" hidden="false" customHeight="false" outlineLevel="0" collapsed="false">
      <c r="B115" s="24" t="s">
        <v>1710</v>
      </c>
      <c r="C115" s="25" t="s">
        <v>1019</v>
      </c>
      <c r="F115" s="104" t="n">
        <f aca="false">1</f>
        <v>1</v>
      </c>
      <c r="G115" s="104" t="n">
        <f aca="false">F115*(1+'E4 WIN Input'!G99)*G$8</f>
        <v>1.035</v>
      </c>
      <c r="H115" s="104" t="n">
        <f aca="false">G115*(1+'E4 WIN Input'!H99)*H$8</f>
        <v>1.071225</v>
      </c>
      <c r="I115" s="104" t="n">
        <f aca="false">H115*(1+'E4 WIN Input'!I99)*I$8</f>
        <v>1.108717875</v>
      </c>
      <c r="J115" s="104" t="n">
        <f aca="false">I115*(1+'E4 WIN Input'!J99)*J$8</f>
        <v>1.147523000625</v>
      </c>
      <c r="K115" s="104" t="n">
        <f aca="false">J115*(1+'E4 WIN Input'!K99)*K$8</f>
        <v>1.18768630564687</v>
      </c>
      <c r="L115" s="104" t="n">
        <f aca="false">K115*(1+'E4 WIN Input'!L99)*L$8</f>
        <v>1.22925532634452</v>
      </c>
      <c r="M115" s="104" t="n">
        <f aca="false">L115*(1+'E4 WIN Input'!M99)*M$8</f>
        <v>1.27227926276657</v>
      </c>
      <c r="N115" s="104" t="n">
        <f aca="false">M115*(1+'E4 WIN Input'!N99)*N$8</f>
        <v>1.3168090369634</v>
      </c>
      <c r="O115" s="104" t="n">
        <f aca="false">N115*(1+'E4 WIN Input'!O99)*O$8</f>
        <v>1.36289735325712</v>
      </c>
      <c r="P115" s="104" t="n">
        <f aca="false">O115*(1+'E4 WIN Input'!P99)*P$8</f>
        <v>1.41059876062112</v>
      </c>
      <c r="Q115" s="104" t="n">
        <f aca="false">P115*(1+'E4 WIN Input'!Q99)*Q$8</f>
        <v>1.45996971724286</v>
      </c>
      <c r="R115" s="104" t="n">
        <f aca="false">Q115*(1+'E4 WIN Input'!R99)*R$8</f>
        <v>1.51106865734636</v>
      </c>
      <c r="S115" s="104" t="n">
        <f aca="false">R115*(1+'E4 WIN Input'!S99)*S$8</f>
        <v>1.56395606035348</v>
      </c>
    </row>
    <row r="116" customFormat="false" ht="15" hidden="false" customHeight="false" outlineLevel="0" collapsed="false">
      <c r="B116" s="24" t="s">
        <v>1711</v>
      </c>
      <c r="C116" s="25" t="s">
        <v>170</v>
      </c>
      <c r="E116" s="47" t="n">
        <f aca="false">SUM(F116:S116)</f>
        <v>4.28003759632011</v>
      </c>
      <c r="F116" s="47" t="n">
        <f aca="false">'E4 WIN Input'!$E$98*F115*F$8</f>
        <v>0</v>
      </c>
      <c r="G116" s="47" t="n">
        <f aca="false">'E4 WIN Input'!$E$98*G115*G$8</f>
        <v>0.265625864145</v>
      </c>
      <c r="H116" s="47" t="n">
        <f aca="false">'E4 WIN Input'!$E$98*H115*H$8</f>
        <v>0.274922769390075</v>
      </c>
      <c r="I116" s="47" t="n">
        <f aca="false">'E4 WIN Input'!$E$98*I115*I$8</f>
        <v>0.284545066318728</v>
      </c>
      <c r="J116" s="47" t="n">
        <f aca="false">'E4 WIN Input'!$E$98*J115*J$8</f>
        <v>0.294504143639883</v>
      </c>
      <c r="K116" s="47" t="n">
        <f aca="false">'E4 WIN Input'!$E$98*K115*K$8</f>
        <v>0.304811788667279</v>
      </c>
      <c r="L116" s="47" t="n">
        <f aca="false">'E4 WIN Input'!$E$98*L115*L$8</f>
        <v>0.315480201270634</v>
      </c>
      <c r="M116" s="47" t="n">
        <f aca="false">'E4 WIN Input'!$E$98*M115*M$8</f>
        <v>0.326522008315106</v>
      </c>
      <c r="N116" s="47" t="n">
        <f aca="false">'E4 WIN Input'!$E$98*N115*N$8</f>
        <v>0.337950278606134</v>
      </c>
      <c r="O116" s="47" t="n">
        <f aca="false">'E4 WIN Input'!$E$98*O115*O$8</f>
        <v>0.349778538357349</v>
      </c>
      <c r="P116" s="47" t="n">
        <f aca="false">'E4 WIN Input'!$E$98*P115*P$8</f>
        <v>0.362020787199856</v>
      </c>
      <c r="Q116" s="47" t="n">
        <f aca="false">'E4 WIN Input'!$E$98*Q115*Q$8</f>
        <v>0.374691514751851</v>
      </c>
      <c r="R116" s="47" t="n">
        <f aca="false">'E4 WIN Input'!$E$98*R115*R$8</f>
        <v>0.387805717768166</v>
      </c>
      <c r="S116" s="47" t="n">
        <f aca="false">'E4 WIN Input'!$E$98*S115*S$8</f>
        <v>0.401378917890052</v>
      </c>
    </row>
    <row r="117" customFormat="false" ht="15" hidden="false" customHeight="false" outlineLevel="0" collapsed="false">
      <c r="B117" s="24" t="s">
        <v>1712</v>
      </c>
      <c r="C117" s="25" t="s">
        <v>170</v>
      </c>
      <c r="E117" s="47" t="n">
        <f aca="false">SUM(F117:S117)</f>
        <v>0.0219171431256414</v>
      </c>
      <c r="F117" s="47" t="n">
        <f aca="false">'E4 WIN Input'!$E$100*F80</f>
        <v>0</v>
      </c>
      <c r="G117" s="47" t="n">
        <f aca="false">'E4 WIN Input'!$E$100*G80</f>
        <v>0.000856172613557471</v>
      </c>
      <c r="H117" s="47" t="n">
        <f aca="false">'E4 WIN Input'!$E$100*H80</f>
        <v>0.000925950681562405</v>
      </c>
      <c r="I117" s="47" t="n">
        <f aca="false">'E4 WIN Input'!$E$100*I80</f>
        <v>0.00122604131978091</v>
      </c>
      <c r="J117" s="47" t="n">
        <f aca="false">'E4 WIN Input'!$E$100*J80</f>
        <v>0.00132596368734305</v>
      </c>
      <c r="K117" s="47" t="n">
        <f aca="false">'E4 WIN Input'!$E$100*K80</f>
        <v>0.00143402972786151</v>
      </c>
      <c r="L117" s="47" t="n">
        <f aca="false">'E4 WIN Input'!$E$100*L80</f>
        <v>0.00155090315068222</v>
      </c>
      <c r="M117" s="47" t="n">
        <f aca="false">'E4 WIN Input'!$E$100*M80</f>
        <v>0.00167730175746283</v>
      </c>
      <c r="N117" s="47" t="n">
        <f aca="false">'E4 WIN Input'!$E$100*N80</f>
        <v>0.00181400185069605</v>
      </c>
      <c r="O117" s="47" t="n">
        <f aca="false">'E4 WIN Input'!$E$100*O80</f>
        <v>0.00196184300152778</v>
      </c>
      <c r="P117" s="47" t="n">
        <f aca="false">'E4 WIN Input'!$E$100*P80</f>
        <v>0.00212173320615229</v>
      </c>
      <c r="Q117" s="47" t="n">
        <f aca="false">'E4 WIN Input'!$E$100*Q80</f>
        <v>0.0022278198664599</v>
      </c>
      <c r="R117" s="47" t="n">
        <f aca="false">'E4 WIN Input'!$E$100*R80</f>
        <v>0.0023392108597829</v>
      </c>
      <c r="S117" s="47" t="n">
        <f aca="false">'E4 WIN Input'!$E$100*S80</f>
        <v>0.00245617140277204</v>
      </c>
    </row>
    <row r="118" customFormat="false" ht="15" hidden="false" customHeight="false" outlineLevel="0" collapsed="false">
      <c r="B118" s="24" t="s">
        <v>1713</v>
      </c>
      <c r="C118" s="25" t="s">
        <v>170</v>
      </c>
      <c r="E118" s="47" t="n">
        <f aca="false">SUM(F118:S118)</f>
        <v>0</v>
      </c>
      <c r="F118" s="47" t="n">
        <f aca="false">'E4 WIN Input'!$E$101*F$8</f>
        <v>0</v>
      </c>
      <c r="G118" s="47" t="n">
        <f aca="false">'E4 WIN Input'!$E$101*G$8</f>
        <v>0</v>
      </c>
      <c r="H118" s="47" t="n">
        <f aca="false">'E4 WIN Input'!$E$101*H$8</f>
        <v>0</v>
      </c>
      <c r="I118" s="47" t="n">
        <f aca="false">'E4 WIN Input'!$E$101*I$8</f>
        <v>0</v>
      </c>
      <c r="J118" s="47" t="n">
        <f aca="false">'E4 WIN Input'!$E$101*J$8</f>
        <v>0</v>
      </c>
      <c r="K118" s="47" t="n">
        <f aca="false">'E4 WIN Input'!$E$101*K$8</f>
        <v>0</v>
      </c>
      <c r="L118" s="47" t="n">
        <f aca="false">'E4 WIN Input'!$E$101*L$8</f>
        <v>0</v>
      </c>
      <c r="M118" s="47" t="n">
        <f aca="false">'E4 WIN Input'!$E$101*M$8</f>
        <v>0</v>
      </c>
      <c r="N118" s="47" t="n">
        <f aca="false">'E4 WIN Input'!$E$101*N$8</f>
        <v>0</v>
      </c>
      <c r="O118" s="47" t="n">
        <f aca="false">'E4 WIN Input'!$E$101*O$8</f>
        <v>0</v>
      </c>
      <c r="P118" s="47" t="n">
        <f aca="false">'E4 WIN Input'!$E$101*P$8</f>
        <v>0</v>
      </c>
      <c r="Q118" s="47" t="n">
        <f aca="false">'E4 WIN Input'!$E$101*Q$8</f>
        <v>0</v>
      </c>
      <c r="R118" s="47" t="n">
        <f aca="false">'E4 WIN Input'!$E$101*R$8</f>
        <v>0</v>
      </c>
      <c r="S118" s="47" t="n">
        <f aca="false">'E4 WIN Input'!$E$101*S$8</f>
        <v>0</v>
      </c>
    </row>
    <row r="119" customFormat="false" ht="15" hidden="false" customHeight="false" outlineLevel="0" collapsed="false">
      <c r="B119" s="69" t="s">
        <v>1714</v>
      </c>
      <c r="C119" s="25" t="s">
        <v>170</v>
      </c>
      <c r="E119" s="70" t="n">
        <f aca="false">SUM(F119:S119)</f>
        <v>235.937801917403</v>
      </c>
      <c r="F119" s="68" t="n">
        <f aca="false">F114+F116+F117+F118</f>
        <v>0</v>
      </c>
      <c r="G119" s="68" t="n">
        <f aca="false">G114+G116+G117+G118</f>
        <v>9.31511887482943</v>
      </c>
      <c r="H119" s="68" t="n">
        <f aca="false">H114+H116+H117+H118</f>
        <v>10.0619494604453</v>
      </c>
      <c r="I119" s="68" t="n">
        <f aca="false">I114+I116+I117+I118</f>
        <v>13.2434416468421</v>
      </c>
      <c r="J119" s="68" t="n">
        <f aca="false">J114+J116+J117+J118</f>
        <v>14.3095507954759</v>
      </c>
      <c r="K119" s="68" t="n">
        <f aca="false">K114+K116+K117+K118</f>
        <v>15.4620847426279</v>
      </c>
      <c r="L119" s="68" t="n">
        <f aca="false">L114+L116+L117+L118</f>
        <v>16.7080709009791</v>
      </c>
      <c r="M119" s="68" t="n">
        <f aca="false">M114+M116+M117+M118</f>
        <v>18.0551088500498</v>
      </c>
      <c r="N119" s="68" t="n">
        <f aca="false">N114+N116+N117+N118</f>
        <v>19.5114169479422</v>
      </c>
      <c r="O119" s="68" t="n">
        <f aca="false">O114+O116+O117+O118</f>
        <v>21.0858827412443</v>
      </c>
      <c r="P119" s="68" t="n">
        <f aca="false">P114+P116+P117+P118</f>
        <v>22.7881174826221</v>
      </c>
      <c r="Q119" s="68" t="n">
        <f aca="false">Q114+Q116+Q117+Q118</f>
        <v>23.9220930449452</v>
      </c>
      <c r="R119" s="68" t="n">
        <f aca="false">R114+R116+R117+R118</f>
        <v>25.1125773244712</v>
      </c>
      <c r="S119" s="68" t="n">
        <f aca="false">S114+S116+S117+S118</f>
        <v>26.3623891049282</v>
      </c>
    </row>
    <row r="121" customFormat="false" ht="15" hidden="false" customHeight="false" outlineLevel="0" collapsed="false">
      <c r="B121" s="22" t="s">
        <v>1715</v>
      </c>
      <c r="C121" s="23"/>
      <c r="D121" s="23"/>
      <c r="E121" s="23"/>
      <c r="F121" s="23"/>
      <c r="G121" s="23"/>
      <c r="H121" s="23"/>
      <c r="I121" s="23"/>
      <c r="J121" s="23"/>
      <c r="K121" s="23"/>
      <c r="L121" s="23"/>
      <c r="M121" s="23"/>
      <c r="N121" s="23"/>
      <c r="O121" s="23"/>
      <c r="P121" s="23"/>
      <c r="Q121" s="23"/>
      <c r="R121" s="23"/>
      <c r="S121" s="23"/>
    </row>
    <row r="122" customFormat="false" ht="15" hidden="false" customHeight="false" outlineLevel="0" collapsed="false">
      <c r="B122" s="24" t="s">
        <v>1716</v>
      </c>
      <c r="C122" s="25" t="s">
        <v>1019</v>
      </c>
      <c r="F122" s="104" t="n">
        <f aca="false">1</f>
        <v>1</v>
      </c>
      <c r="G122" s="104" t="n">
        <f aca="false">F122*(1+'E4 WIN Input'!G104)*G$8</f>
        <v>1.01</v>
      </c>
      <c r="H122" s="104" t="n">
        <f aca="false">G122*(1+'E4 WIN Input'!H104)*H$8</f>
        <v>1.0201</v>
      </c>
      <c r="I122" s="104" t="n">
        <f aca="false">H122*(1+'E4 WIN Input'!I104)*I$8</f>
        <v>1.030301</v>
      </c>
      <c r="J122" s="104" t="n">
        <f aca="false">I122*(1+'E4 WIN Input'!J104)*J$8</f>
        <v>1.04060401</v>
      </c>
      <c r="K122" s="104" t="n">
        <f aca="false">J122*(1+'E4 WIN Input'!K104)*K$8</f>
        <v>1.0510100501</v>
      </c>
      <c r="L122" s="104" t="n">
        <f aca="false">K122*(1+'E4 WIN Input'!L104)*L$8</f>
        <v>1.061520150601</v>
      </c>
      <c r="M122" s="104" t="n">
        <f aca="false">L122*(1+'E4 WIN Input'!M104)*M$8</f>
        <v>1.07213535210701</v>
      </c>
      <c r="N122" s="104" t="n">
        <f aca="false">M122*(1+'E4 WIN Input'!N104)*N$8</f>
        <v>1.08285670562808</v>
      </c>
      <c r="O122" s="104" t="n">
        <f aca="false">N122*(1+'E4 WIN Input'!O104)*O$8</f>
        <v>1.09368527268436</v>
      </c>
      <c r="P122" s="104" t="n">
        <f aca="false">O122*(1+'E4 WIN Input'!P104)*P$8</f>
        <v>1.1046221254112</v>
      </c>
      <c r="Q122" s="104" t="n">
        <f aca="false">P122*(1+'E4 WIN Input'!Q104)*Q$8</f>
        <v>1.11566834666532</v>
      </c>
      <c r="R122" s="104" t="n">
        <f aca="false">Q122*(1+'E4 WIN Input'!R104)*R$8</f>
        <v>1.12682503013197</v>
      </c>
      <c r="S122" s="104" t="n">
        <f aca="false">R122*(1+'E4 WIN Input'!S104)*S$8</f>
        <v>1.13809328043329</v>
      </c>
    </row>
    <row r="123" customFormat="false" ht="15" hidden="false" customHeight="false" outlineLevel="0" collapsed="false">
      <c r="B123" s="24" t="s">
        <v>1717</v>
      </c>
      <c r="C123" s="25" t="s">
        <v>170</v>
      </c>
      <c r="E123" s="47" t="n">
        <f aca="false">SUM(F123:S123)</f>
        <v>19.3104394418071</v>
      </c>
      <c r="F123" s="47" t="n">
        <f aca="false">'E4 WIN Input'!$E$103*F122*F$8</f>
        <v>0</v>
      </c>
      <c r="G123" s="47" t="n">
        <f aca="false">'E4 WIN Input'!$E$103*G122*G$8</f>
        <v>1.3983619898968</v>
      </c>
      <c r="H123" s="47" t="n">
        <f aca="false">'E4 WIN Input'!$E$103*H122*H$8</f>
        <v>1.41234560979577</v>
      </c>
      <c r="I123" s="47" t="n">
        <f aca="false">'E4 WIN Input'!$E$103*I122*I$8</f>
        <v>1.42646906589373</v>
      </c>
      <c r="J123" s="47" t="n">
        <f aca="false">'E4 WIN Input'!$E$103*J122*J$8</f>
        <v>1.44073375655266</v>
      </c>
      <c r="K123" s="47" t="n">
        <f aca="false">'E4 WIN Input'!$E$103*K122*K$8</f>
        <v>1.45514109411819</v>
      </c>
      <c r="L123" s="47" t="n">
        <f aca="false">'E4 WIN Input'!$E$103*L122*L$8</f>
        <v>1.46969250505937</v>
      </c>
      <c r="M123" s="47" t="n">
        <f aca="false">'E4 WIN Input'!$E$103*M122*M$8</f>
        <v>1.48438943010997</v>
      </c>
      <c r="N123" s="47" t="n">
        <f aca="false">'E4 WIN Input'!$E$103*N122*N$8</f>
        <v>1.49923332441106</v>
      </c>
      <c r="O123" s="47" t="n">
        <f aca="false">'E4 WIN Input'!$E$103*O122*O$8</f>
        <v>1.51422565765518</v>
      </c>
      <c r="P123" s="47" t="n">
        <f aca="false">'E4 WIN Input'!$E$103*P122*P$8</f>
        <v>1.52936791423173</v>
      </c>
      <c r="Q123" s="47" t="n">
        <f aca="false">'E4 WIN Input'!$E$103*Q122*Q$8</f>
        <v>1.54466159337404</v>
      </c>
      <c r="R123" s="47" t="n">
        <f aca="false">'E4 WIN Input'!$E$103*R122*R$8</f>
        <v>1.56010820930779</v>
      </c>
      <c r="S123" s="47" t="n">
        <f aca="false">'E4 WIN Input'!$E$103*S122*S$8</f>
        <v>1.57570929140086</v>
      </c>
    </row>
    <row r="124" customFormat="false" ht="15" hidden="false" customHeight="false" outlineLevel="0" collapsed="false">
      <c r="B124" s="24" t="s">
        <v>1718</v>
      </c>
      <c r="C124" s="25" t="s">
        <v>1019</v>
      </c>
      <c r="F124" s="104" t="n">
        <f aca="false">1</f>
        <v>1</v>
      </c>
      <c r="G124" s="104" t="n">
        <f aca="false">F124*(1+'E4 WIN Input'!G106)*G$8</f>
        <v>1.01</v>
      </c>
      <c r="H124" s="104" t="n">
        <f aca="false">G124*(1+'E4 WIN Input'!H106)*H$8</f>
        <v>1.0201</v>
      </c>
      <c r="I124" s="104" t="n">
        <f aca="false">H124*(1+'E4 WIN Input'!I106)*I$8</f>
        <v>1.030301</v>
      </c>
      <c r="J124" s="104" t="n">
        <f aca="false">I124*(1+'E4 WIN Input'!J106)*J$8</f>
        <v>1.04060401</v>
      </c>
      <c r="K124" s="104" t="n">
        <f aca="false">J124*(1+'E4 WIN Input'!K106)*K$8</f>
        <v>1.0510100501</v>
      </c>
      <c r="L124" s="104" t="n">
        <f aca="false">K124*(1+'E4 WIN Input'!L106)*L$8</f>
        <v>1.061520150601</v>
      </c>
      <c r="M124" s="104" t="n">
        <f aca="false">L124*(1+'E4 WIN Input'!M106)*M$8</f>
        <v>1.07213535210701</v>
      </c>
      <c r="N124" s="104" t="n">
        <f aca="false">M124*(1+'E4 WIN Input'!N106)*N$8</f>
        <v>1.08285670562808</v>
      </c>
      <c r="O124" s="104" t="n">
        <f aca="false">N124*(1+'E4 WIN Input'!O106)*O$8</f>
        <v>1.09368527268436</v>
      </c>
      <c r="P124" s="104" t="n">
        <f aca="false">O124*(1+'E4 WIN Input'!P106)*P$8</f>
        <v>1.1046221254112</v>
      </c>
      <c r="Q124" s="104" t="n">
        <f aca="false">P124*(1+'E4 WIN Input'!Q106)*Q$8</f>
        <v>1.11566834666532</v>
      </c>
      <c r="R124" s="104" t="n">
        <f aca="false">Q124*(1+'E4 WIN Input'!R106)*R$8</f>
        <v>1.12682503013197</v>
      </c>
      <c r="S124" s="104" t="n">
        <f aca="false">R124*(1+'E4 WIN Input'!S106)*S$8</f>
        <v>1.13809328043329</v>
      </c>
    </row>
    <row r="125" customFormat="false" ht="15" hidden="false" customHeight="false" outlineLevel="0" collapsed="false">
      <c r="B125" s="24" t="s">
        <v>1719</v>
      </c>
      <c r="C125" s="25" t="s">
        <v>170</v>
      </c>
      <c r="E125" s="47" t="n">
        <f aca="false">SUM(F125:S125)</f>
        <v>1.27999427029432</v>
      </c>
      <c r="F125" s="47" t="n">
        <f aca="false">'E4 WIN Input'!$E$105*F124*F$8</f>
        <v>0</v>
      </c>
      <c r="G125" s="47" t="n">
        <f aca="false">'E4 WIN Input'!$E$105*G124*G$8</f>
        <v>0.09269055426</v>
      </c>
      <c r="H125" s="47" t="n">
        <f aca="false">'E4 WIN Input'!$E$105*H124*H$8</f>
        <v>0.0936174598026</v>
      </c>
      <c r="I125" s="47" t="n">
        <f aca="false">'E4 WIN Input'!$E$105*I124*I$8</f>
        <v>0.094553634400626</v>
      </c>
      <c r="J125" s="47" t="n">
        <f aca="false">'E4 WIN Input'!$E$105*J124*J$8</f>
        <v>0.0954991707446323</v>
      </c>
      <c r="K125" s="47" t="n">
        <f aca="false">'E4 WIN Input'!$E$105*K124*K$8</f>
        <v>0.0964541624520786</v>
      </c>
      <c r="L125" s="47" t="n">
        <f aca="false">'E4 WIN Input'!$E$105*L124*L$8</f>
        <v>0.0974187040765994</v>
      </c>
      <c r="M125" s="47" t="n">
        <f aca="false">'E4 WIN Input'!$E$105*M124*M$8</f>
        <v>0.0983928911173654</v>
      </c>
      <c r="N125" s="47" t="n">
        <f aca="false">'E4 WIN Input'!$E$105*N124*N$8</f>
        <v>0.099376820028539</v>
      </c>
      <c r="O125" s="47" t="n">
        <f aca="false">'E4 WIN Input'!$E$105*O124*O$8</f>
        <v>0.100370588228824</v>
      </c>
      <c r="P125" s="47" t="n">
        <f aca="false">'E4 WIN Input'!$E$105*P124*P$8</f>
        <v>0.101374294111113</v>
      </c>
      <c r="Q125" s="47" t="n">
        <f aca="false">'E4 WIN Input'!$E$105*Q124*Q$8</f>
        <v>0.102388037052224</v>
      </c>
      <c r="R125" s="47" t="n">
        <f aca="false">'E4 WIN Input'!$E$105*R124*R$8</f>
        <v>0.103411917422746</v>
      </c>
      <c r="S125" s="47" t="n">
        <f aca="false">'E4 WIN Input'!$E$105*S124*S$8</f>
        <v>0.104446036596973</v>
      </c>
    </row>
    <row r="126" customFormat="false" ht="15" hidden="false" customHeight="false" outlineLevel="0" collapsed="false">
      <c r="B126" s="24" t="s">
        <v>1720</v>
      </c>
      <c r="C126" s="25" t="s">
        <v>1019</v>
      </c>
      <c r="F126" s="104" t="n">
        <f aca="false">1</f>
        <v>1</v>
      </c>
      <c r="G126" s="104" t="n">
        <f aca="false">F126*(1+'E4 WIN Input'!G108)*G$8</f>
        <v>1.01</v>
      </c>
      <c r="H126" s="104" t="n">
        <f aca="false">G126*(1+'E4 WIN Input'!H108)*H$8</f>
        <v>1.0201</v>
      </c>
      <c r="I126" s="104" t="n">
        <f aca="false">H126*(1+'E4 WIN Input'!I108)*I$8</f>
        <v>1.030301</v>
      </c>
      <c r="J126" s="104" t="n">
        <f aca="false">I126*(1+'E4 WIN Input'!J108)*J$8</f>
        <v>1.04060401</v>
      </c>
      <c r="K126" s="104" t="n">
        <f aca="false">J126*(1+'E4 WIN Input'!K108)*K$8</f>
        <v>1.0510100501</v>
      </c>
      <c r="L126" s="104" t="n">
        <f aca="false">K126*(1+'E4 WIN Input'!L108)*L$8</f>
        <v>1.061520150601</v>
      </c>
      <c r="M126" s="104" t="n">
        <f aca="false">L126*(1+'E4 WIN Input'!M108)*M$8</f>
        <v>1.07213535210701</v>
      </c>
      <c r="N126" s="104" t="n">
        <f aca="false">M126*(1+'E4 WIN Input'!N108)*N$8</f>
        <v>1.08285670562808</v>
      </c>
      <c r="O126" s="104" t="n">
        <f aca="false">N126*(1+'E4 WIN Input'!O108)*O$8</f>
        <v>1.09368527268436</v>
      </c>
      <c r="P126" s="104" t="n">
        <f aca="false">O126*(1+'E4 WIN Input'!P108)*P$8</f>
        <v>1.1046221254112</v>
      </c>
      <c r="Q126" s="104" t="n">
        <f aca="false">P126*(1+'E4 WIN Input'!Q108)*Q$8</f>
        <v>1.11566834666532</v>
      </c>
      <c r="R126" s="104" t="n">
        <f aca="false">Q126*(1+'E4 WIN Input'!R108)*R$8</f>
        <v>1.12682503013197</v>
      </c>
      <c r="S126" s="104" t="n">
        <f aca="false">R126*(1+'E4 WIN Input'!S108)*S$8</f>
        <v>1.13809328043329</v>
      </c>
    </row>
    <row r="127" customFormat="false" ht="15" hidden="false" customHeight="false" outlineLevel="0" collapsed="false">
      <c r="B127" s="24" t="s">
        <v>1721</v>
      </c>
      <c r="C127" s="25" t="s">
        <v>170</v>
      </c>
      <c r="E127" s="47" t="n">
        <f aca="false">SUM(F127:S127)</f>
        <v>1.2552679191386</v>
      </c>
      <c r="F127" s="47" t="n">
        <f aca="false">'E4 WIN Input'!$E$107*F126*F$8</f>
        <v>0</v>
      </c>
      <c r="G127" s="47" t="n">
        <f aca="false">'E4 WIN Input'!$E$107*G126*G$8</f>
        <v>0.0909</v>
      </c>
      <c r="H127" s="47" t="n">
        <f aca="false">'E4 WIN Input'!$E$107*H126*H$8</f>
        <v>0.091809</v>
      </c>
      <c r="I127" s="47" t="n">
        <f aca="false">'E4 WIN Input'!$E$107*I126*I$8</f>
        <v>0.09272709</v>
      </c>
      <c r="J127" s="47" t="n">
        <f aca="false">'E4 WIN Input'!$E$107*J126*J$8</f>
        <v>0.0936543609</v>
      </c>
      <c r="K127" s="47" t="n">
        <f aca="false">'E4 WIN Input'!$E$107*K126*K$8</f>
        <v>0.094590904509</v>
      </c>
      <c r="L127" s="47" t="n">
        <f aca="false">'E4 WIN Input'!$E$107*L126*L$8</f>
        <v>0.09553681355409</v>
      </c>
      <c r="M127" s="47" t="n">
        <f aca="false">'E4 WIN Input'!$E$107*M126*M$8</f>
        <v>0.0964921816896309</v>
      </c>
      <c r="N127" s="47" t="n">
        <f aca="false">'E4 WIN Input'!$E$107*N126*N$8</f>
        <v>0.0974571035065272</v>
      </c>
      <c r="O127" s="47" t="n">
        <f aca="false">'E4 WIN Input'!$E$107*O126*O$8</f>
        <v>0.0984316745415925</v>
      </c>
      <c r="P127" s="47" t="n">
        <f aca="false">'E4 WIN Input'!$E$107*P126*P$8</f>
        <v>0.0994159912870084</v>
      </c>
      <c r="Q127" s="47" t="n">
        <f aca="false">'E4 WIN Input'!$E$107*Q126*Q$8</f>
        <v>0.100410151199878</v>
      </c>
      <c r="R127" s="47" t="n">
        <f aca="false">'E4 WIN Input'!$E$107*R126*R$8</f>
        <v>0.101414252711877</v>
      </c>
      <c r="S127" s="47" t="n">
        <f aca="false">'E4 WIN Input'!$E$107*S126*S$8</f>
        <v>0.102428395238996</v>
      </c>
    </row>
    <row r="128" customFormat="false" ht="15" hidden="false" customHeight="false" outlineLevel="0" collapsed="false">
      <c r="B128" s="24" t="s">
        <v>1722</v>
      </c>
      <c r="C128" s="25" t="s">
        <v>1019</v>
      </c>
      <c r="F128" s="104" t="n">
        <f aca="false">1</f>
        <v>1</v>
      </c>
      <c r="G128" s="104" t="n">
        <f aca="false">F128*(1+'E4 WIN Input'!G110)*G$8</f>
        <v>1.01</v>
      </c>
      <c r="H128" s="104" t="n">
        <f aca="false">G128*(1+'E4 WIN Input'!H110)*H$8</f>
        <v>1.0201</v>
      </c>
      <c r="I128" s="104" t="n">
        <f aca="false">H128*(1+'E4 WIN Input'!I110)*I$8</f>
        <v>1.030301</v>
      </c>
      <c r="J128" s="104" t="n">
        <f aca="false">I128*(1+'E4 WIN Input'!J110)*J$8</f>
        <v>1.04060401</v>
      </c>
      <c r="K128" s="104" t="n">
        <f aca="false">J128*(1+'E4 WIN Input'!K110)*K$8</f>
        <v>1.0510100501</v>
      </c>
      <c r="L128" s="104" t="n">
        <f aca="false">K128*(1+'E4 WIN Input'!L110)*L$8</f>
        <v>1.061520150601</v>
      </c>
      <c r="M128" s="104" t="n">
        <f aca="false">L128*(1+'E4 WIN Input'!M110)*M$8</f>
        <v>1.07213535210701</v>
      </c>
      <c r="N128" s="104" t="n">
        <f aca="false">M128*(1+'E4 WIN Input'!N110)*N$8</f>
        <v>1.08285670562808</v>
      </c>
      <c r="O128" s="104" t="n">
        <f aca="false">N128*(1+'E4 WIN Input'!O110)*O$8</f>
        <v>1.09368527268436</v>
      </c>
      <c r="P128" s="104" t="n">
        <f aca="false">O128*(1+'E4 WIN Input'!P110)*P$8</f>
        <v>1.1046221254112</v>
      </c>
      <c r="Q128" s="104" t="n">
        <f aca="false">P128*(1+'E4 WIN Input'!Q110)*Q$8</f>
        <v>1.11566834666532</v>
      </c>
      <c r="R128" s="104" t="n">
        <f aca="false">Q128*(1+'E4 WIN Input'!R110)*R$8</f>
        <v>1.12682503013197</v>
      </c>
      <c r="S128" s="104" t="n">
        <f aca="false">R128*(1+'E4 WIN Input'!S110)*S$8</f>
        <v>1.13809328043329</v>
      </c>
    </row>
    <row r="129" customFormat="false" ht="15" hidden="false" customHeight="false" outlineLevel="0" collapsed="false">
      <c r="B129" s="24" t="s">
        <v>1723</v>
      </c>
      <c r="C129" s="25" t="s">
        <v>170</v>
      </c>
      <c r="E129" s="47" t="n">
        <f aca="false">SUM(F129:S129)</f>
        <v>0.616787641934372</v>
      </c>
      <c r="F129" s="47" t="n">
        <f aca="false">'E4 WIN Input'!$E$109*F128*F$8</f>
        <v>0</v>
      </c>
      <c r="G129" s="47" t="n">
        <f aca="false">'E4 WIN Input'!$E$109*G128*G$8</f>
        <v>0.0446645658644</v>
      </c>
      <c r="H129" s="47" t="n">
        <f aca="false">'E4 WIN Input'!$E$109*H128*H$8</f>
        <v>0.045111211523044</v>
      </c>
      <c r="I129" s="47" t="n">
        <f aca="false">'E4 WIN Input'!$E$109*I128*I$8</f>
        <v>0.0455623236382744</v>
      </c>
      <c r="J129" s="47" t="n">
        <f aca="false">'E4 WIN Input'!$E$109*J128*J$8</f>
        <v>0.0460179468746572</v>
      </c>
      <c r="K129" s="47" t="n">
        <f aca="false">'E4 WIN Input'!$E$109*K128*K$8</f>
        <v>0.0464781263434038</v>
      </c>
      <c r="L129" s="47" t="n">
        <f aca="false">'E4 WIN Input'!$E$109*L128*L$8</f>
        <v>0.0469429076068378</v>
      </c>
      <c r="M129" s="47" t="n">
        <f aca="false">'E4 WIN Input'!$E$109*M128*M$8</f>
        <v>0.0474123366829062</v>
      </c>
      <c r="N129" s="47" t="n">
        <f aca="false">'E4 WIN Input'!$E$109*N128*N$8</f>
        <v>0.0478864600497352</v>
      </c>
      <c r="O129" s="47" t="n">
        <f aca="false">'E4 WIN Input'!$E$109*O128*O$8</f>
        <v>0.0483653246502326</v>
      </c>
      <c r="P129" s="47" t="n">
        <f aca="false">'E4 WIN Input'!$E$109*P128*P$8</f>
        <v>0.0488489778967349</v>
      </c>
      <c r="Q129" s="47" t="n">
        <f aca="false">'E4 WIN Input'!$E$109*Q128*Q$8</f>
        <v>0.0493374676757023</v>
      </c>
      <c r="R129" s="47" t="n">
        <f aca="false">'E4 WIN Input'!$E$109*R128*R$8</f>
        <v>0.0498308423524593</v>
      </c>
      <c r="S129" s="47" t="n">
        <f aca="false">'E4 WIN Input'!$E$109*S128*S$8</f>
        <v>0.0503291507759839</v>
      </c>
    </row>
    <row r="130" customFormat="false" ht="15" hidden="false" customHeight="false" outlineLevel="0" collapsed="false">
      <c r="B130" s="24" t="s">
        <v>1724</v>
      </c>
      <c r="C130" s="25" t="s">
        <v>1019</v>
      </c>
      <c r="F130" s="104" t="n">
        <f aca="false">1</f>
        <v>1</v>
      </c>
      <c r="G130" s="104" t="n">
        <f aca="false">F130*(1+'E4 WIN Input'!G112)*G$8</f>
        <v>1.01</v>
      </c>
      <c r="H130" s="104" t="n">
        <f aca="false">G130*(1+'E4 WIN Input'!H112)*H$8</f>
        <v>1.0201</v>
      </c>
      <c r="I130" s="104" t="n">
        <f aca="false">H130*(1+'E4 WIN Input'!I112)*I$8</f>
        <v>1.030301</v>
      </c>
      <c r="J130" s="104" t="n">
        <f aca="false">I130*(1+'E4 WIN Input'!J112)*J$8</f>
        <v>1.04060401</v>
      </c>
      <c r="K130" s="104" t="n">
        <f aca="false">J130*(1+'E4 WIN Input'!K112)*K$8</f>
        <v>1.0510100501</v>
      </c>
      <c r="L130" s="104" t="n">
        <f aca="false">K130*(1+'E4 WIN Input'!L112)*L$8</f>
        <v>1.061520150601</v>
      </c>
      <c r="M130" s="104" t="n">
        <f aca="false">L130*(1+'E4 WIN Input'!M112)*M$8</f>
        <v>1.07213535210701</v>
      </c>
      <c r="N130" s="104" t="n">
        <f aca="false">M130*(1+'E4 WIN Input'!N112)*N$8</f>
        <v>1.08285670562808</v>
      </c>
      <c r="O130" s="104" t="n">
        <f aca="false">N130*(1+'E4 WIN Input'!O112)*O$8</f>
        <v>1.09368527268436</v>
      </c>
      <c r="P130" s="104" t="n">
        <f aca="false">O130*(1+'E4 WIN Input'!P112)*P$8</f>
        <v>1.1046221254112</v>
      </c>
      <c r="Q130" s="104" t="n">
        <f aca="false">P130*(1+'E4 WIN Input'!Q112)*Q$8</f>
        <v>1.11566834666532</v>
      </c>
      <c r="R130" s="104" t="n">
        <f aca="false">Q130*(1+'E4 WIN Input'!R112)*R$8</f>
        <v>1.12682503013197</v>
      </c>
      <c r="S130" s="104" t="n">
        <f aca="false">R130*(1+'E4 WIN Input'!S112)*S$8</f>
        <v>1.13809328043329</v>
      </c>
    </row>
    <row r="131" customFormat="false" ht="15" hidden="false" customHeight="false" outlineLevel="0" collapsed="false">
      <c r="B131" s="24" t="s">
        <v>1725</v>
      </c>
      <c r="C131" s="25" t="s">
        <v>170</v>
      </c>
      <c r="E131" s="47" t="n">
        <f aca="false">SUM(F131:S131)</f>
        <v>0.156687506948871</v>
      </c>
      <c r="F131" s="47" t="n">
        <f aca="false">'E4 WIN Input'!$E$111*F130*F$8</f>
        <v>0</v>
      </c>
      <c r="G131" s="47" t="n">
        <f aca="false">'E4 WIN Input'!$E$111*G130*G$8</f>
        <v>0.01134649756</v>
      </c>
      <c r="H131" s="47" t="n">
        <f aca="false">'E4 WIN Input'!$E$111*H130*H$8</f>
        <v>0.0114599625356</v>
      </c>
      <c r="I131" s="47" t="n">
        <f aca="false">'E4 WIN Input'!$E$111*I130*I$8</f>
        <v>0.011574562160956</v>
      </c>
      <c r="J131" s="47" t="n">
        <f aca="false">'E4 WIN Input'!$E$111*J130*J$8</f>
        <v>0.0116903077825656</v>
      </c>
      <c r="K131" s="47" t="n">
        <f aca="false">'E4 WIN Input'!$E$111*K130*K$8</f>
        <v>0.0118072108603912</v>
      </c>
      <c r="L131" s="47" t="n">
        <f aca="false">'E4 WIN Input'!$E$111*L130*L$8</f>
        <v>0.0119252829689951</v>
      </c>
      <c r="M131" s="47" t="n">
        <f aca="false">'E4 WIN Input'!$E$111*M130*M$8</f>
        <v>0.0120445357986851</v>
      </c>
      <c r="N131" s="47" t="n">
        <f aca="false">'E4 WIN Input'!$E$111*N130*N$8</f>
        <v>0.0121649811566719</v>
      </c>
      <c r="O131" s="47" t="n">
        <f aca="false">'E4 WIN Input'!$E$111*O130*O$8</f>
        <v>0.0122866309682386</v>
      </c>
      <c r="P131" s="47" t="n">
        <f aca="false">'E4 WIN Input'!$E$111*P130*P$8</f>
        <v>0.012409497277921</v>
      </c>
      <c r="Q131" s="47" t="n">
        <f aca="false">'E4 WIN Input'!$E$111*Q130*Q$8</f>
        <v>0.0125335922507002</v>
      </c>
      <c r="R131" s="47" t="n">
        <f aca="false">'E4 WIN Input'!$E$111*R130*R$8</f>
        <v>0.0126589281732072</v>
      </c>
      <c r="S131" s="47" t="n">
        <f aca="false">'E4 WIN Input'!$E$111*S130*S$8</f>
        <v>0.0127855174549393</v>
      </c>
    </row>
    <row r="132" customFormat="false" ht="15" hidden="false" customHeight="false" outlineLevel="0" collapsed="false">
      <c r="B132" s="69" t="s">
        <v>1726</v>
      </c>
      <c r="C132" s="25" t="s">
        <v>170</v>
      </c>
      <c r="E132" s="70" t="n">
        <f aca="false">SUM(F132:S132)</f>
        <v>22.6191767801233</v>
      </c>
      <c r="F132" s="68" t="n">
        <f aca="false">F123+F125+F127+F129+F131</f>
        <v>0</v>
      </c>
      <c r="G132" s="68" t="n">
        <f aca="false">G123+G125+G127+G129+G131</f>
        <v>1.6379636075812</v>
      </c>
      <c r="H132" s="68" t="n">
        <f aca="false">H123+H125+H127+H129+H131</f>
        <v>1.65434324365701</v>
      </c>
      <c r="I132" s="68" t="n">
        <f aca="false">I123+I125+I127+I129+I131</f>
        <v>1.67088667609358</v>
      </c>
      <c r="J132" s="68" t="n">
        <f aca="false">J123+J125+J127+J129+J131</f>
        <v>1.68759554285452</v>
      </c>
      <c r="K132" s="68" t="n">
        <f aca="false">K123+K125+K127+K129+K131</f>
        <v>1.70447149828306</v>
      </c>
      <c r="L132" s="68" t="n">
        <f aca="false">L123+L125+L127+L129+L131</f>
        <v>1.72151621326589</v>
      </c>
      <c r="M132" s="68" t="n">
        <f aca="false">M123+M125+M127+M129+M131</f>
        <v>1.73873137539855</v>
      </c>
      <c r="N132" s="68" t="n">
        <f aca="false">N123+N125+N127+N129+N131</f>
        <v>1.75611868915254</v>
      </c>
      <c r="O132" s="68" t="n">
        <f aca="false">O123+O125+O127+O129+O131</f>
        <v>1.77367987604406</v>
      </c>
      <c r="P132" s="68" t="n">
        <f aca="false">P123+P125+P127+P129+P131</f>
        <v>1.7914166748045</v>
      </c>
      <c r="Q132" s="68" t="n">
        <f aca="false">Q123+Q125+Q127+Q129+Q131</f>
        <v>1.80933084155255</v>
      </c>
      <c r="R132" s="68" t="n">
        <f aca="false">R123+R125+R127+R129+R131</f>
        <v>1.82742414996808</v>
      </c>
      <c r="S132" s="68" t="n">
        <f aca="false">S123+S125+S127+S129+S131</f>
        <v>1.84569839146776</v>
      </c>
    </row>
    <row r="134" customFormat="false" ht="15" hidden="false" customHeight="false" outlineLevel="0" collapsed="false">
      <c r="B134" s="22" t="s">
        <v>1727</v>
      </c>
      <c r="C134" s="23"/>
      <c r="D134" s="23"/>
      <c r="E134" s="23"/>
      <c r="F134" s="23"/>
      <c r="G134" s="23"/>
      <c r="H134" s="23"/>
      <c r="I134" s="23"/>
      <c r="J134" s="23"/>
      <c r="K134" s="23"/>
      <c r="L134" s="23"/>
      <c r="M134" s="23"/>
      <c r="N134" s="23"/>
      <c r="O134" s="23"/>
      <c r="P134" s="23"/>
      <c r="Q134" s="23"/>
      <c r="R134" s="23"/>
      <c r="S134" s="23"/>
    </row>
    <row r="135" customFormat="false" ht="15" hidden="false" customHeight="false" outlineLevel="0" collapsed="false">
      <c r="B135" s="24" t="s">
        <v>1728</v>
      </c>
      <c r="C135" s="25" t="s">
        <v>1019</v>
      </c>
      <c r="F135" s="104" t="n">
        <f aca="false">1</f>
        <v>1</v>
      </c>
      <c r="G135" s="104" t="n">
        <f aca="false">F135*(1+'E4 WIN Input'!G115)*G$8</f>
        <v>1.01</v>
      </c>
      <c r="H135" s="104" t="n">
        <f aca="false">G135*(1+'E4 WIN Input'!H115)*H$8</f>
        <v>1.0201</v>
      </c>
      <c r="I135" s="104" t="n">
        <f aca="false">H135*(1+'E4 WIN Input'!I115)*I$8</f>
        <v>1.030301</v>
      </c>
      <c r="J135" s="104" t="n">
        <f aca="false">I135*(1+'E4 WIN Input'!J115)*J$8</f>
        <v>1.04060401</v>
      </c>
      <c r="K135" s="104" t="n">
        <f aca="false">J135*(1+'E4 WIN Input'!K115)*K$8</f>
        <v>1.0510100501</v>
      </c>
      <c r="L135" s="104" t="n">
        <f aca="false">K135*(1+'E4 WIN Input'!L115)*L$8</f>
        <v>1.061520150601</v>
      </c>
      <c r="M135" s="104" t="n">
        <f aca="false">L135*(1+'E4 WIN Input'!M115)*M$8</f>
        <v>1.07213535210701</v>
      </c>
      <c r="N135" s="104" t="n">
        <f aca="false">M135*(1+'E4 WIN Input'!N115)*N$8</f>
        <v>1.08285670562808</v>
      </c>
      <c r="O135" s="104" t="n">
        <f aca="false">N135*(1+'E4 WIN Input'!O115)*O$8</f>
        <v>1.09368527268436</v>
      </c>
      <c r="P135" s="104" t="n">
        <f aca="false">O135*(1+'E4 WIN Input'!P115)*P$8</f>
        <v>1.1046221254112</v>
      </c>
      <c r="Q135" s="104" t="n">
        <f aca="false">P135*(1+'E4 WIN Input'!Q115)*Q$8</f>
        <v>1.11566834666532</v>
      </c>
      <c r="R135" s="104" t="n">
        <f aca="false">Q135*(1+'E4 WIN Input'!R115)*R$8</f>
        <v>1.12682503013197</v>
      </c>
      <c r="S135" s="104" t="n">
        <f aca="false">R135*(1+'E4 WIN Input'!S115)*S$8</f>
        <v>1.13809328043329</v>
      </c>
    </row>
    <row r="136" customFormat="false" ht="15" hidden="false" customHeight="false" outlineLevel="0" collapsed="false">
      <c r="B136" s="24" t="s">
        <v>1729</v>
      </c>
      <c r="C136" s="25" t="s">
        <v>170</v>
      </c>
      <c r="E136" s="47" t="n">
        <f aca="false">SUM(F136:S136)</f>
        <v>0.575482961233723</v>
      </c>
      <c r="F136" s="47" t="n">
        <f aca="false">'E4 WIN Input'!$E$114*F135*F$8</f>
        <v>0</v>
      </c>
      <c r="G136" s="47" t="n">
        <f aca="false">'E4 WIN Input'!$E$114*G135*G$8</f>
        <v>0.04167349486</v>
      </c>
      <c r="H136" s="47" t="n">
        <f aca="false">'E4 WIN Input'!$E$114*H135*H$8</f>
        <v>0.0420902298086</v>
      </c>
      <c r="I136" s="47" t="n">
        <f aca="false">'E4 WIN Input'!$E$114*I135*I$8</f>
        <v>0.042511132106686</v>
      </c>
      <c r="J136" s="47" t="n">
        <f aca="false">'E4 WIN Input'!$E$114*J135*J$8</f>
        <v>0.0429362434277529</v>
      </c>
      <c r="K136" s="47" t="n">
        <f aca="false">'E4 WIN Input'!$E$114*K135*K$8</f>
        <v>0.0433656058620304</v>
      </c>
      <c r="L136" s="47" t="n">
        <f aca="false">'E4 WIN Input'!$E$114*L135*L$8</f>
        <v>0.0437992619206507</v>
      </c>
      <c r="M136" s="47" t="n">
        <f aca="false">'E4 WIN Input'!$E$114*M135*M$8</f>
        <v>0.0442372545398572</v>
      </c>
      <c r="N136" s="47" t="n">
        <f aca="false">'E4 WIN Input'!$E$114*N135*N$8</f>
        <v>0.0446796270852558</v>
      </c>
      <c r="O136" s="47" t="n">
        <f aca="false">'E4 WIN Input'!$E$114*O135*O$8</f>
        <v>0.0451264233561083</v>
      </c>
      <c r="P136" s="47" t="n">
        <f aca="false">'E4 WIN Input'!$E$114*P135*P$8</f>
        <v>0.0455776875896694</v>
      </c>
      <c r="Q136" s="47" t="n">
        <f aca="false">'E4 WIN Input'!$E$114*Q135*Q$8</f>
        <v>0.0460334644655661</v>
      </c>
      <c r="R136" s="47" t="n">
        <f aca="false">'E4 WIN Input'!$E$114*R135*R$8</f>
        <v>0.0464937991102218</v>
      </c>
      <c r="S136" s="47" t="n">
        <f aca="false">'E4 WIN Input'!$E$114*S135*S$8</f>
        <v>0.046958737101324</v>
      </c>
    </row>
    <row r="137" customFormat="false" ht="15" hidden="false" customHeight="false" outlineLevel="0" collapsed="false">
      <c r="B137" s="24" t="s">
        <v>1730</v>
      </c>
      <c r="C137" s="25" t="s">
        <v>1019</v>
      </c>
      <c r="F137" s="104" t="n">
        <f aca="false">1</f>
        <v>1</v>
      </c>
      <c r="G137" s="104" t="n">
        <f aca="false">F137*(1+'E4 WIN Input'!G117)*G$8</f>
        <v>1.01</v>
      </c>
      <c r="H137" s="104" t="n">
        <f aca="false">G137*(1+'E4 WIN Input'!H117)*H$8</f>
        <v>1.0201</v>
      </c>
      <c r="I137" s="104" t="n">
        <f aca="false">H137*(1+'E4 WIN Input'!I117)*I$8</f>
        <v>1.030301</v>
      </c>
      <c r="J137" s="104" t="n">
        <f aca="false">I137*(1+'E4 WIN Input'!J117)*J$8</f>
        <v>1.04060401</v>
      </c>
      <c r="K137" s="104" t="n">
        <f aca="false">J137*(1+'E4 WIN Input'!K117)*K$8</f>
        <v>1.0510100501</v>
      </c>
      <c r="L137" s="104" t="n">
        <f aca="false">K137*(1+'E4 WIN Input'!L117)*L$8</f>
        <v>1.061520150601</v>
      </c>
      <c r="M137" s="104" t="n">
        <f aca="false">L137*(1+'E4 WIN Input'!M117)*M$8</f>
        <v>1.07213535210701</v>
      </c>
      <c r="N137" s="104" t="n">
        <f aca="false">M137*(1+'E4 WIN Input'!N117)*N$8</f>
        <v>1.08285670562808</v>
      </c>
      <c r="O137" s="104" t="n">
        <f aca="false">N137*(1+'E4 WIN Input'!O117)*O$8</f>
        <v>1.09368527268436</v>
      </c>
      <c r="P137" s="104" t="n">
        <f aca="false">O137*(1+'E4 WIN Input'!P117)*P$8</f>
        <v>1.1046221254112</v>
      </c>
      <c r="Q137" s="104" t="n">
        <f aca="false">P137*(1+'E4 WIN Input'!Q117)*Q$8</f>
        <v>1.11566834666532</v>
      </c>
      <c r="R137" s="104" t="n">
        <f aca="false">Q137*(1+'E4 WIN Input'!R117)*R$8</f>
        <v>1.12682503013197</v>
      </c>
      <c r="S137" s="104" t="n">
        <f aca="false">R137*(1+'E4 WIN Input'!S117)*S$8</f>
        <v>1.13809328043329</v>
      </c>
    </row>
    <row r="138" customFormat="false" ht="15" hidden="false" customHeight="false" outlineLevel="0" collapsed="false">
      <c r="B138" s="24" t="s">
        <v>1731</v>
      </c>
      <c r="C138" s="25" t="s">
        <v>170</v>
      </c>
      <c r="E138" s="47" t="n">
        <f aca="false">SUM(F138:S138)</f>
        <v>0.244079873165839</v>
      </c>
      <c r="F138" s="47" t="n">
        <f aca="false">'E4 WIN Input'!$E$116*F137*F$8</f>
        <v>0</v>
      </c>
      <c r="G138" s="47" t="n">
        <f aca="false">'E4 WIN Input'!$E$116*G137*G$8</f>
        <v>0.017675</v>
      </c>
      <c r="H138" s="47" t="n">
        <f aca="false">'E4 WIN Input'!$E$116*H137*H$8</f>
        <v>0.01785175</v>
      </c>
      <c r="I138" s="47" t="n">
        <f aca="false">'E4 WIN Input'!$E$116*I137*I$8</f>
        <v>0.0180302675</v>
      </c>
      <c r="J138" s="47" t="n">
        <f aca="false">'E4 WIN Input'!$E$116*J137*J$8</f>
        <v>0.018210570175</v>
      </c>
      <c r="K138" s="47" t="n">
        <f aca="false">'E4 WIN Input'!$E$116*K137*K$8</f>
        <v>0.01839267587675</v>
      </c>
      <c r="L138" s="47" t="n">
        <f aca="false">'E4 WIN Input'!$E$116*L137*L$8</f>
        <v>0.0185766026355175</v>
      </c>
      <c r="M138" s="47" t="n">
        <f aca="false">'E4 WIN Input'!$E$116*M137*M$8</f>
        <v>0.0187623686618727</v>
      </c>
      <c r="N138" s="47" t="n">
        <f aca="false">'E4 WIN Input'!$E$116*N137*N$8</f>
        <v>0.0189499923484914</v>
      </c>
      <c r="O138" s="47" t="n">
        <f aca="false">'E4 WIN Input'!$E$116*O137*O$8</f>
        <v>0.0191394922719763</v>
      </c>
      <c r="P138" s="47" t="n">
        <f aca="false">'E4 WIN Input'!$E$116*P137*P$8</f>
        <v>0.0193308871946961</v>
      </c>
      <c r="Q138" s="47" t="n">
        <f aca="false">'E4 WIN Input'!$E$116*Q137*Q$8</f>
        <v>0.019524196066643</v>
      </c>
      <c r="R138" s="47" t="n">
        <f aca="false">'E4 WIN Input'!$E$116*R137*R$8</f>
        <v>0.0197194380273095</v>
      </c>
      <c r="S138" s="47" t="n">
        <f aca="false">'E4 WIN Input'!$E$116*S137*S$8</f>
        <v>0.0199166324075826</v>
      </c>
    </row>
    <row r="139" customFormat="false" ht="15" hidden="false" customHeight="false" outlineLevel="0" collapsed="false">
      <c r="B139" s="24" t="s">
        <v>1732</v>
      </c>
      <c r="C139" s="25" t="s">
        <v>1019</v>
      </c>
      <c r="F139" s="104" t="n">
        <f aca="false">1</f>
        <v>1</v>
      </c>
      <c r="G139" s="104" t="n">
        <f aca="false">F139*(1+'E4 WIN Input'!G119)*G$8</f>
        <v>1.01</v>
      </c>
      <c r="H139" s="104" t="n">
        <f aca="false">G139*(1+'E4 WIN Input'!H119)*H$8</f>
        <v>1.0201</v>
      </c>
      <c r="I139" s="104" t="n">
        <f aca="false">H139*(1+'E4 WIN Input'!I119)*I$8</f>
        <v>1.030301</v>
      </c>
      <c r="J139" s="104" t="n">
        <f aca="false">I139*(1+'E4 WIN Input'!J119)*J$8</f>
        <v>1.04060401</v>
      </c>
      <c r="K139" s="104" t="n">
        <f aca="false">J139*(1+'E4 WIN Input'!K119)*K$8</f>
        <v>1.0510100501</v>
      </c>
      <c r="L139" s="104" t="n">
        <f aca="false">K139*(1+'E4 WIN Input'!L119)*L$8</f>
        <v>1.061520150601</v>
      </c>
      <c r="M139" s="104" t="n">
        <f aca="false">L139*(1+'E4 WIN Input'!M119)*M$8</f>
        <v>1.07213535210701</v>
      </c>
      <c r="N139" s="104" t="n">
        <f aca="false">M139*(1+'E4 WIN Input'!N119)*N$8</f>
        <v>1.08285670562808</v>
      </c>
      <c r="O139" s="104" t="n">
        <f aca="false">N139*(1+'E4 WIN Input'!O119)*O$8</f>
        <v>1.09368527268436</v>
      </c>
      <c r="P139" s="104" t="n">
        <f aca="false">O139*(1+'E4 WIN Input'!P119)*P$8</f>
        <v>1.1046221254112</v>
      </c>
      <c r="Q139" s="104" t="n">
        <f aca="false">P139*(1+'E4 WIN Input'!Q119)*Q$8</f>
        <v>1.11566834666532</v>
      </c>
      <c r="R139" s="104" t="n">
        <f aca="false">Q139*(1+'E4 WIN Input'!R119)*R$8</f>
        <v>1.12682503013197</v>
      </c>
      <c r="S139" s="104" t="n">
        <f aca="false">R139*(1+'E4 WIN Input'!S119)*S$8</f>
        <v>1.13809328043329</v>
      </c>
    </row>
    <row r="140" customFormat="false" ht="15" hidden="false" customHeight="false" outlineLevel="0" collapsed="false">
      <c r="B140" s="24" t="s">
        <v>1733</v>
      </c>
      <c r="C140" s="25" t="s">
        <v>170</v>
      </c>
      <c r="E140" s="47" t="n">
        <f aca="false">SUM(F140:S140)</f>
        <v>0.425396350374748</v>
      </c>
      <c r="F140" s="47" t="n">
        <f aca="false">'E4 WIN Input'!$E$118*F139*F$8</f>
        <v>0</v>
      </c>
      <c r="G140" s="47" t="n">
        <f aca="false">'E4 WIN Input'!$E$118*G139*G$8</f>
        <v>0.030805</v>
      </c>
      <c r="H140" s="47" t="n">
        <f aca="false">'E4 WIN Input'!$E$118*H139*H$8</f>
        <v>0.03111305</v>
      </c>
      <c r="I140" s="47" t="n">
        <f aca="false">'E4 WIN Input'!$E$118*I139*I$8</f>
        <v>0.0314241805</v>
      </c>
      <c r="J140" s="47" t="n">
        <f aca="false">'E4 WIN Input'!$E$118*J139*J$8</f>
        <v>0.031738422305</v>
      </c>
      <c r="K140" s="47" t="n">
        <f aca="false">'E4 WIN Input'!$E$118*K139*K$8</f>
        <v>0.03205580652805</v>
      </c>
      <c r="L140" s="47" t="n">
        <f aca="false">'E4 WIN Input'!$E$118*L139*L$8</f>
        <v>0.0323763645933305</v>
      </c>
      <c r="M140" s="47" t="n">
        <f aca="false">'E4 WIN Input'!$E$118*M139*M$8</f>
        <v>0.0327001282392638</v>
      </c>
      <c r="N140" s="47" t="n">
        <f aca="false">'E4 WIN Input'!$E$118*N139*N$8</f>
        <v>0.0330271295216564</v>
      </c>
      <c r="O140" s="47" t="n">
        <f aca="false">'E4 WIN Input'!$E$118*O139*O$8</f>
        <v>0.033357400816873</v>
      </c>
      <c r="P140" s="47" t="n">
        <f aca="false">'E4 WIN Input'!$E$118*P139*P$8</f>
        <v>0.0336909748250417</v>
      </c>
      <c r="Q140" s="47" t="n">
        <f aca="false">'E4 WIN Input'!$E$118*Q139*Q$8</f>
        <v>0.0340278845732922</v>
      </c>
      <c r="R140" s="47" t="n">
        <f aca="false">'E4 WIN Input'!$E$118*R139*R$8</f>
        <v>0.0343681634190251</v>
      </c>
      <c r="S140" s="47" t="n">
        <f aca="false">'E4 WIN Input'!$E$118*S139*S$8</f>
        <v>0.0347118450532153</v>
      </c>
    </row>
    <row r="141" customFormat="false" ht="15" hidden="false" customHeight="false" outlineLevel="0" collapsed="false">
      <c r="B141" s="24" t="s">
        <v>1734</v>
      </c>
      <c r="C141" s="25" t="s">
        <v>1019</v>
      </c>
      <c r="F141" s="104" t="n">
        <f aca="false">1</f>
        <v>1</v>
      </c>
      <c r="G141" s="104" t="n">
        <f aca="false">F141*(1+'E4 WIN Input'!G121)*G$8</f>
        <v>1.01</v>
      </c>
      <c r="H141" s="104" t="n">
        <f aca="false">G141*(1+'E4 WIN Input'!H121)*H$8</f>
        <v>1.0201</v>
      </c>
      <c r="I141" s="104" t="n">
        <f aca="false">H141*(1+'E4 WIN Input'!I121)*I$8</f>
        <v>1.030301</v>
      </c>
      <c r="J141" s="104" t="n">
        <f aca="false">I141*(1+'E4 WIN Input'!J121)*J$8</f>
        <v>1.04060401</v>
      </c>
      <c r="K141" s="104" t="n">
        <f aca="false">J141*(1+'E4 WIN Input'!K121)*K$8</f>
        <v>1.0510100501</v>
      </c>
      <c r="L141" s="104" t="n">
        <f aca="false">K141*(1+'E4 WIN Input'!L121)*L$8</f>
        <v>1.061520150601</v>
      </c>
      <c r="M141" s="104" t="n">
        <f aca="false">L141*(1+'E4 WIN Input'!M121)*M$8</f>
        <v>1.07213535210701</v>
      </c>
      <c r="N141" s="104" t="n">
        <f aca="false">M141*(1+'E4 WIN Input'!N121)*N$8</f>
        <v>1.08285670562808</v>
      </c>
      <c r="O141" s="104" t="n">
        <f aca="false">N141*(1+'E4 WIN Input'!O121)*O$8</f>
        <v>1.09368527268436</v>
      </c>
      <c r="P141" s="104" t="n">
        <f aca="false">O141*(1+'E4 WIN Input'!P121)*P$8</f>
        <v>1.1046221254112</v>
      </c>
      <c r="Q141" s="104" t="n">
        <f aca="false">P141*(1+'E4 WIN Input'!Q121)*Q$8</f>
        <v>1.11566834666532</v>
      </c>
      <c r="R141" s="104" t="n">
        <f aca="false">Q141*(1+'E4 WIN Input'!R121)*R$8</f>
        <v>1.12682503013197</v>
      </c>
      <c r="S141" s="104" t="n">
        <f aca="false">R141*(1+'E4 WIN Input'!S121)*S$8</f>
        <v>1.13809328043329</v>
      </c>
    </row>
    <row r="142" customFormat="false" ht="15" hidden="false" customHeight="false" outlineLevel="0" collapsed="false">
      <c r="B142" s="24" t="s">
        <v>1735</v>
      </c>
      <c r="C142" s="25" t="s">
        <v>170</v>
      </c>
      <c r="E142" s="47" t="n">
        <f aca="false">SUM(F142:S142)</f>
        <v>0.701934067308779</v>
      </c>
      <c r="F142" s="47" t="n">
        <f aca="false">'E4 WIN Input'!$E$120*F141*F$8</f>
        <v>0</v>
      </c>
      <c r="G142" s="47" t="n">
        <f aca="false">'E4 WIN Input'!$E$120*G141*G$8</f>
        <v>0.0508304289033</v>
      </c>
      <c r="H142" s="47" t="n">
        <f aca="false">'E4 WIN Input'!$E$120*H141*H$8</f>
        <v>0.051338733192333</v>
      </c>
      <c r="I142" s="47" t="n">
        <f aca="false">'E4 WIN Input'!$E$120*I141*I$8</f>
        <v>0.0518521205242563</v>
      </c>
      <c r="J142" s="47" t="n">
        <f aca="false">'E4 WIN Input'!$E$120*J141*J$8</f>
        <v>0.0523706417294989</v>
      </c>
      <c r="K142" s="47" t="n">
        <f aca="false">'E4 WIN Input'!$E$120*K141*K$8</f>
        <v>0.0528943481467939</v>
      </c>
      <c r="L142" s="47" t="n">
        <f aca="false">'E4 WIN Input'!$E$120*L141*L$8</f>
        <v>0.0534232916282618</v>
      </c>
      <c r="M142" s="47" t="n">
        <f aca="false">'E4 WIN Input'!$E$120*M141*M$8</f>
        <v>0.0539575245445444</v>
      </c>
      <c r="N142" s="47" t="n">
        <f aca="false">'E4 WIN Input'!$E$120*N141*N$8</f>
        <v>0.0544970997899899</v>
      </c>
      <c r="O142" s="47" t="n">
        <f aca="false">'E4 WIN Input'!$E$120*O141*O$8</f>
        <v>0.0550420707878898</v>
      </c>
      <c r="P142" s="47" t="n">
        <f aca="false">'E4 WIN Input'!$E$120*P141*P$8</f>
        <v>0.0555924914957687</v>
      </c>
      <c r="Q142" s="47" t="n">
        <f aca="false">'E4 WIN Input'!$E$120*Q141*Q$8</f>
        <v>0.0561484164107264</v>
      </c>
      <c r="R142" s="47" t="n">
        <f aca="false">'E4 WIN Input'!$E$120*R141*R$8</f>
        <v>0.0567099005748336</v>
      </c>
      <c r="S142" s="47" t="n">
        <f aca="false">'E4 WIN Input'!$E$120*S141*S$8</f>
        <v>0.057276999580582</v>
      </c>
    </row>
    <row r="143" customFormat="false" ht="15" hidden="false" customHeight="false" outlineLevel="0" collapsed="false">
      <c r="B143" s="24" t="s">
        <v>1736</v>
      </c>
      <c r="C143" s="25" t="s">
        <v>1019</v>
      </c>
      <c r="F143" s="104" t="n">
        <f aca="false">1</f>
        <v>1</v>
      </c>
      <c r="G143" s="104" t="n">
        <f aca="false">F143*(1+'E4 WIN Input'!G123)*G$8</f>
        <v>1.01</v>
      </c>
      <c r="H143" s="104" t="n">
        <f aca="false">G143*(1+'E4 WIN Input'!H123)*H$8</f>
        <v>1.0201</v>
      </c>
      <c r="I143" s="104" t="n">
        <f aca="false">H143*(1+'E4 WIN Input'!I123)*I$8</f>
        <v>1.030301</v>
      </c>
      <c r="J143" s="104" t="n">
        <f aca="false">I143*(1+'E4 WIN Input'!J123)*J$8</f>
        <v>1.04060401</v>
      </c>
      <c r="K143" s="104" t="n">
        <f aca="false">J143*(1+'E4 WIN Input'!K123)*K$8</f>
        <v>1.0510100501</v>
      </c>
      <c r="L143" s="104" t="n">
        <f aca="false">K143*(1+'E4 WIN Input'!L123)*L$8</f>
        <v>1.061520150601</v>
      </c>
      <c r="M143" s="104" t="n">
        <f aca="false">L143*(1+'E4 WIN Input'!M123)*M$8</f>
        <v>1.07213535210701</v>
      </c>
      <c r="N143" s="104" t="n">
        <f aca="false">M143*(1+'E4 WIN Input'!N123)*N$8</f>
        <v>1.08285670562808</v>
      </c>
      <c r="O143" s="104" t="n">
        <f aca="false">N143*(1+'E4 WIN Input'!O123)*O$8</f>
        <v>1.09368527268436</v>
      </c>
      <c r="P143" s="104" t="n">
        <f aca="false">O143*(1+'E4 WIN Input'!P123)*P$8</f>
        <v>1.1046221254112</v>
      </c>
      <c r="Q143" s="104" t="n">
        <f aca="false">P143*(1+'E4 WIN Input'!Q123)*Q$8</f>
        <v>1.11566834666532</v>
      </c>
      <c r="R143" s="104" t="n">
        <f aca="false">Q143*(1+'E4 WIN Input'!R123)*R$8</f>
        <v>1.12682503013197</v>
      </c>
      <c r="S143" s="104" t="n">
        <f aca="false">R143*(1+'E4 WIN Input'!S123)*S$8</f>
        <v>1.13809328043329</v>
      </c>
    </row>
    <row r="144" customFormat="false" ht="15" hidden="false" customHeight="false" outlineLevel="0" collapsed="false">
      <c r="B144" s="24" t="s">
        <v>1737</v>
      </c>
      <c r="C144" s="25" t="s">
        <v>170</v>
      </c>
      <c r="E144" s="47" t="n">
        <f aca="false">SUM(F144:S144)</f>
        <v>0.0534470764095098</v>
      </c>
      <c r="F144" s="47" t="n">
        <f aca="false">'E4 WIN Input'!$E$122*F143*F$8</f>
        <v>0</v>
      </c>
      <c r="G144" s="47" t="n">
        <f aca="false">'E4 WIN Input'!$E$122*G143*G$8</f>
        <v>0.0038703604</v>
      </c>
      <c r="H144" s="47" t="n">
        <f aca="false">'E4 WIN Input'!$E$122*H143*H$8</f>
        <v>0.003909064004</v>
      </c>
      <c r="I144" s="47" t="n">
        <f aca="false">'E4 WIN Input'!$E$122*I143*I$8</f>
        <v>0.00394815464404</v>
      </c>
      <c r="J144" s="47" t="n">
        <f aca="false">'E4 WIN Input'!$E$122*J143*J$8</f>
        <v>0.0039876361904804</v>
      </c>
      <c r="K144" s="47" t="n">
        <f aca="false">'E4 WIN Input'!$E$122*K143*K$8</f>
        <v>0.0040275125523852</v>
      </c>
      <c r="L144" s="47" t="n">
        <f aca="false">'E4 WIN Input'!$E$122*L143*L$8</f>
        <v>0.00406778767790906</v>
      </c>
      <c r="M144" s="47" t="n">
        <f aca="false">'E4 WIN Input'!$E$122*M143*M$8</f>
        <v>0.00410846555468815</v>
      </c>
      <c r="N144" s="47" t="n">
        <f aca="false">'E4 WIN Input'!$E$122*N143*N$8</f>
        <v>0.00414955021023503</v>
      </c>
      <c r="O144" s="47" t="n">
        <f aca="false">'E4 WIN Input'!$E$122*O143*O$8</f>
        <v>0.00419104571233738</v>
      </c>
      <c r="P144" s="47" t="n">
        <f aca="false">'E4 WIN Input'!$E$122*P143*P$8</f>
        <v>0.00423295616946075</v>
      </c>
      <c r="Q144" s="47" t="n">
        <f aca="false">'E4 WIN Input'!$E$122*Q143*Q$8</f>
        <v>0.00427528573115536</v>
      </c>
      <c r="R144" s="47" t="n">
        <f aca="false">'E4 WIN Input'!$E$122*R143*R$8</f>
        <v>0.00431803858846691</v>
      </c>
      <c r="S144" s="47" t="n">
        <f aca="false">'E4 WIN Input'!$E$122*S143*S$8</f>
        <v>0.00436121897435158</v>
      </c>
    </row>
    <row r="145" customFormat="false" ht="15" hidden="false" customHeight="false" outlineLevel="0" collapsed="false">
      <c r="B145" s="24" t="s">
        <v>1738</v>
      </c>
      <c r="C145" s="25" t="s">
        <v>1019</v>
      </c>
      <c r="F145" s="104" t="n">
        <f aca="false">1</f>
        <v>1</v>
      </c>
      <c r="G145" s="104" t="n">
        <f aca="false">F145*(1+'E4 WIN Input'!G125)*G$8</f>
        <v>1.01</v>
      </c>
      <c r="H145" s="104" t="n">
        <f aca="false">G145*(1+'E4 WIN Input'!H125)*H$8</f>
        <v>1.0201</v>
      </c>
      <c r="I145" s="104" t="n">
        <f aca="false">H145*(1+'E4 WIN Input'!I125)*I$8</f>
        <v>1.030301</v>
      </c>
      <c r="J145" s="104" t="n">
        <f aca="false">I145*(1+'E4 WIN Input'!J125)*J$8</f>
        <v>1.04060401</v>
      </c>
      <c r="K145" s="104" t="n">
        <f aca="false">J145*(1+'E4 WIN Input'!K125)*K$8</f>
        <v>1.0510100501</v>
      </c>
      <c r="L145" s="104" t="n">
        <f aca="false">K145*(1+'E4 WIN Input'!L125)*L$8</f>
        <v>1.061520150601</v>
      </c>
      <c r="M145" s="104" t="n">
        <f aca="false">L145*(1+'E4 WIN Input'!M125)*M$8</f>
        <v>1.07213535210701</v>
      </c>
      <c r="N145" s="104" t="n">
        <f aca="false">M145*(1+'E4 WIN Input'!N125)*N$8</f>
        <v>1.08285670562808</v>
      </c>
      <c r="O145" s="104" t="n">
        <f aca="false">N145*(1+'E4 WIN Input'!O125)*O$8</f>
        <v>1.09368527268436</v>
      </c>
      <c r="P145" s="104" t="n">
        <f aca="false">O145*(1+'E4 WIN Input'!P125)*P$8</f>
        <v>1.1046221254112</v>
      </c>
      <c r="Q145" s="104" t="n">
        <f aca="false">P145*(1+'E4 WIN Input'!Q125)*Q$8</f>
        <v>1.11566834666532</v>
      </c>
      <c r="R145" s="104" t="n">
        <f aca="false">Q145*(1+'E4 WIN Input'!R125)*R$8</f>
        <v>1.12682503013197</v>
      </c>
      <c r="S145" s="104" t="n">
        <f aca="false">R145*(1+'E4 WIN Input'!S125)*S$8</f>
        <v>1.13809328043329</v>
      </c>
    </row>
    <row r="146" customFormat="false" ht="15" hidden="false" customHeight="false" outlineLevel="0" collapsed="false">
      <c r="B146" s="24" t="s">
        <v>1739</v>
      </c>
      <c r="C146" s="25" t="s">
        <v>170</v>
      </c>
      <c r="E146" s="47" t="n">
        <f aca="false">SUM(F146:S146)</f>
        <v>0.0836845279425734</v>
      </c>
      <c r="F146" s="47" t="n">
        <f aca="false">'E4 WIN Input'!$E$124*F145*F$8</f>
        <v>0</v>
      </c>
      <c r="G146" s="47" t="n">
        <f aca="false">'E4 WIN Input'!$E$124*G145*G$8</f>
        <v>0.00606</v>
      </c>
      <c r="H146" s="47" t="n">
        <f aca="false">'E4 WIN Input'!$E$124*H145*H$8</f>
        <v>0.0061206</v>
      </c>
      <c r="I146" s="47" t="n">
        <f aca="false">'E4 WIN Input'!$E$124*I145*I$8</f>
        <v>0.006181806</v>
      </c>
      <c r="J146" s="47" t="n">
        <f aca="false">'E4 WIN Input'!$E$124*J145*J$8</f>
        <v>0.00624362406</v>
      </c>
      <c r="K146" s="47" t="n">
        <f aca="false">'E4 WIN Input'!$E$124*K145*K$8</f>
        <v>0.0063060603006</v>
      </c>
      <c r="L146" s="47" t="n">
        <f aca="false">'E4 WIN Input'!$E$124*L145*L$8</f>
        <v>0.006369120903606</v>
      </c>
      <c r="M146" s="47" t="n">
        <f aca="false">'E4 WIN Input'!$E$124*M145*M$8</f>
        <v>0.00643281211264206</v>
      </c>
      <c r="N146" s="47" t="n">
        <f aca="false">'E4 WIN Input'!$E$124*N145*N$8</f>
        <v>0.00649714023376848</v>
      </c>
      <c r="O146" s="47" t="n">
        <f aca="false">'E4 WIN Input'!$E$124*O145*O$8</f>
        <v>0.00656211163610617</v>
      </c>
      <c r="P146" s="47" t="n">
        <f aca="false">'E4 WIN Input'!$E$124*P145*P$8</f>
        <v>0.00662773275246723</v>
      </c>
      <c r="Q146" s="47" t="n">
        <f aca="false">'E4 WIN Input'!$E$124*Q145*Q$8</f>
        <v>0.0066940100799919</v>
      </c>
      <c r="R146" s="47" t="n">
        <f aca="false">'E4 WIN Input'!$E$124*R145*R$8</f>
        <v>0.00676095018079182</v>
      </c>
      <c r="S146" s="47" t="n">
        <f aca="false">'E4 WIN Input'!$E$124*S145*S$8</f>
        <v>0.00682855968259974</v>
      </c>
    </row>
    <row r="147" customFormat="false" ht="15" hidden="false" customHeight="false" outlineLevel="0" collapsed="false">
      <c r="B147" s="69" t="s">
        <v>1740</v>
      </c>
      <c r="C147" s="25" t="s">
        <v>170</v>
      </c>
      <c r="E147" s="70" t="n">
        <f aca="false">SUM(F147:S147)</f>
        <v>2.08402485643517</v>
      </c>
      <c r="F147" s="68" t="n">
        <f aca="false">F136+F138+F140+F142+F144+F146</f>
        <v>0</v>
      </c>
      <c r="G147" s="68" t="n">
        <f aca="false">G136+G138+G140+G142+G144+G146</f>
        <v>0.1509142841633</v>
      </c>
      <c r="H147" s="68" t="n">
        <f aca="false">H136+H138+H140+H142+H144+H146</f>
        <v>0.152423427004933</v>
      </c>
      <c r="I147" s="68" t="n">
        <f aca="false">I136+I138+I140+I142+I144+I146</f>
        <v>0.153947661274982</v>
      </c>
      <c r="J147" s="68" t="n">
        <f aca="false">J136+J138+J140+J142+J144+J146</f>
        <v>0.155487137887732</v>
      </c>
      <c r="K147" s="68" t="n">
        <f aca="false">K136+K138+K140+K142+K144+K146</f>
        <v>0.157042009266609</v>
      </c>
      <c r="L147" s="68" t="n">
        <f aca="false">L136+L138+L140+L142+L144+L146</f>
        <v>0.158612429359276</v>
      </c>
      <c r="M147" s="68" t="n">
        <f aca="false">M136+M138+M140+M142+M144+M146</f>
        <v>0.160198553652868</v>
      </c>
      <c r="N147" s="68" t="n">
        <f aca="false">N136+N138+N140+N142+N144+N146</f>
        <v>0.161800539189397</v>
      </c>
      <c r="O147" s="68" t="n">
        <f aca="false">O136+O138+O140+O142+O144+O146</f>
        <v>0.163418544581291</v>
      </c>
      <c r="P147" s="68" t="n">
        <f aca="false">P136+P138+P140+P142+P144+P146</f>
        <v>0.165052730027104</v>
      </c>
      <c r="Q147" s="68" t="n">
        <f aca="false">Q136+Q138+Q140+Q142+Q144+Q146</f>
        <v>0.166703257327375</v>
      </c>
      <c r="R147" s="68" t="n">
        <f aca="false">R136+R138+R140+R142+R144+R146</f>
        <v>0.168370289900649</v>
      </c>
      <c r="S147" s="68" t="n">
        <f aca="false">S136+S138+S140+S142+S144+S146</f>
        <v>0.170053992799655</v>
      </c>
    </row>
    <row r="149" customFormat="false" ht="15" hidden="false" customHeight="false" outlineLevel="0" collapsed="false">
      <c r="B149" s="22" t="s">
        <v>1741</v>
      </c>
      <c r="C149" s="23"/>
      <c r="D149" s="23"/>
      <c r="E149" s="23"/>
      <c r="F149" s="23"/>
      <c r="G149" s="23"/>
      <c r="H149" s="23"/>
      <c r="I149" s="23"/>
      <c r="J149" s="23"/>
      <c r="K149" s="23"/>
      <c r="L149" s="23"/>
      <c r="M149" s="23"/>
      <c r="N149" s="23"/>
      <c r="O149" s="23"/>
      <c r="P149" s="23"/>
      <c r="Q149" s="23"/>
      <c r="R149" s="23"/>
      <c r="S149" s="23"/>
    </row>
    <row r="150" customFormat="false" ht="15" hidden="false" customHeight="false" outlineLevel="0" collapsed="false">
      <c r="B150" s="24" t="s">
        <v>1742</v>
      </c>
      <c r="C150" s="25" t="s">
        <v>1019</v>
      </c>
      <c r="F150" s="104" t="n">
        <f aca="false">1</f>
        <v>1</v>
      </c>
      <c r="G150" s="104" t="n">
        <f aca="false">F150*(1+'E4 WIN Input'!G128)*G$8</f>
        <v>1.01</v>
      </c>
      <c r="H150" s="104" t="n">
        <f aca="false">G150*(1+'E4 WIN Input'!H128)*H$8</f>
        <v>1.0201</v>
      </c>
      <c r="I150" s="104" t="n">
        <f aca="false">H150*(1+'E4 WIN Input'!I128)*I$8</f>
        <v>1.030301</v>
      </c>
      <c r="J150" s="104" t="n">
        <f aca="false">I150*(1+'E4 WIN Input'!J128)*J$8</f>
        <v>1.04060401</v>
      </c>
      <c r="K150" s="104" t="n">
        <f aca="false">J150*(1+'E4 WIN Input'!K128)*K$8</f>
        <v>1.0510100501</v>
      </c>
      <c r="L150" s="104" t="n">
        <f aca="false">K150*(1+'E4 WIN Input'!L128)*L$8</f>
        <v>1.061520150601</v>
      </c>
      <c r="M150" s="104" t="n">
        <f aca="false">L150*(1+'E4 WIN Input'!M128)*M$8</f>
        <v>1.07213535210701</v>
      </c>
      <c r="N150" s="104" t="n">
        <f aca="false">M150*(1+'E4 WIN Input'!N128)*N$8</f>
        <v>1.08285670562808</v>
      </c>
      <c r="O150" s="104" t="n">
        <f aca="false">N150*(1+'E4 WIN Input'!O128)*O$8</f>
        <v>1.09368527268436</v>
      </c>
      <c r="P150" s="104" t="n">
        <f aca="false">O150*(1+'E4 WIN Input'!P128)*P$8</f>
        <v>1.1046221254112</v>
      </c>
      <c r="Q150" s="104" t="n">
        <f aca="false">P150*(1+'E4 WIN Input'!Q128)*Q$8</f>
        <v>1.11566834666532</v>
      </c>
      <c r="R150" s="104" t="n">
        <f aca="false">Q150*(1+'E4 WIN Input'!R128)*R$8</f>
        <v>1.12682503013197</v>
      </c>
      <c r="S150" s="104" t="n">
        <f aca="false">R150*(1+'E4 WIN Input'!S128)*S$8</f>
        <v>1.13809328043329</v>
      </c>
    </row>
    <row r="151" customFormat="false" ht="15" hidden="false" customHeight="false" outlineLevel="0" collapsed="false">
      <c r="B151" s="24" t="s">
        <v>1743</v>
      </c>
      <c r="C151" s="25" t="s">
        <v>170</v>
      </c>
      <c r="E151" s="47" t="n">
        <f aca="false">SUM(F151:S151)</f>
        <v>0.530002010442439</v>
      </c>
      <c r="F151" s="47" t="n">
        <f aca="false">'E4 WIN Input'!$E$127*F150*F$8</f>
        <v>0</v>
      </c>
      <c r="G151" s="47" t="n">
        <f aca="false">'E4 WIN Input'!$E$127*G150*G$8</f>
        <v>0.0383800000101</v>
      </c>
      <c r="H151" s="47" t="n">
        <f aca="false">'E4 WIN Input'!$E$127*H150*H$8</f>
        <v>0.038763800010201</v>
      </c>
      <c r="I151" s="47" t="n">
        <f aca="false">'E4 WIN Input'!$E$127*I150*I$8</f>
        <v>0.039151438010303</v>
      </c>
      <c r="J151" s="47" t="n">
        <f aca="false">'E4 WIN Input'!$E$127*J150*J$8</f>
        <v>0.039542952390406</v>
      </c>
      <c r="K151" s="47" t="n">
        <f aca="false">'E4 WIN Input'!$E$127*K150*K$8</f>
        <v>0.0399383819143101</v>
      </c>
      <c r="L151" s="47" t="n">
        <f aca="false">'E4 WIN Input'!$E$127*L150*L$8</f>
        <v>0.0403377657334532</v>
      </c>
      <c r="M151" s="47" t="n">
        <f aca="false">'E4 WIN Input'!$E$127*M150*M$8</f>
        <v>0.0407411433907877</v>
      </c>
      <c r="N151" s="47" t="n">
        <f aca="false">'E4 WIN Input'!$E$127*N150*N$8</f>
        <v>0.0411485548246956</v>
      </c>
      <c r="O151" s="47" t="n">
        <f aca="false">'E4 WIN Input'!$E$127*O150*O$8</f>
        <v>0.0415600403729426</v>
      </c>
      <c r="P151" s="47" t="n">
        <f aca="false">'E4 WIN Input'!$E$127*P150*P$8</f>
        <v>0.041975640776672</v>
      </c>
      <c r="Q151" s="47" t="n">
        <f aca="false">'E4 WIN Input'!$E$127*Q150*Q$8</f>
        <v>0.0423953971844387</v>
      </c>
      <c r="R151" s="47" t="n">
        <f aca="false">'E4 WIN Input'!$E$127*R150*R$8</f>
        <v>0.0428193511562831</v>
      </c>
      <c r="S151" s="47" t="n">
        <f aca="false">'E4 WIN Input'!$E$127*S150*S$8</f>
        <v>0.0432475446678459</v>
      </c>
    </row>
    <row r="152" customFormat="false" ht="15" hidden="false" customHeight="false" outlineLevel="0" collapsed="false">
      <c r="B152" s="24" t="s">
        <v>1744</v>
      </c>
      <c r="C152" s="25" t="s">
        <v>1019</v>
      </c>
      <c r="F152" s="104" t="n">
        <f aca="false">1</f>
        <v>1</v>
      </c>
      <c r="G152" s="104" t="n">
        <f aca="false">F152*(1+'E4 WIN Input'!G130)*G$8</f>
        <v>1.01</v>
      </c>
      <c r="H152" s="104" t="n">
        <f aca="false">G152*(1+'E4 WIN Input'!H130)*H$8</f>
        <v>1.0201</v>
      </c>
      <c r="I152" s="104" t="n">
        <f aca="false">H152*(1+'E4 WIN Input'!I130)*I$8</f>
        <v>1.030301</v>
      </c>
      <c r="J152" s="104" t="n">
        <f aca="false">I152*(1+'E4 WIN Input'!J130)*J$8</f>
        <v>1.04060401</v>
      </c>
      <c r="K152" s="104" t="n">
        <f aca="false">J152*(1+'E4 WIN Input'!K130)*K$8</f>
        <v>1.0510100501</v>
      </c>
      <c r="L152" s="104" t="n">
        <f aca="false">K152*(1+'E4 WIN Input'!L130)*L$8</f>
        <v>1.061520150601</v>
      </c>
      <c r="M152" s="104" t="n">
        <f aca="false">L152*(1+'E4 WIN Input'!M130)*M$8</f>
        <v>1.07213535210701</v>
      </c>
      <c r="N152" s="104" t="n">
        <f aca="false">M152*(1+'E4 WIN Input'!N130)*N$8</f>
        <v>1.08285670562808</v>
      </c>
      <c r="O152" s="104" t="n">
        <f aca="false">N152*(1+'E4 WIN Input'!O130)*O$8</f>
        <v>1.09368527268436</v>
      </c>
      <c r="P152" s="104" t="n">
        <f aca="false">O152*(1+'E4 WIN Input'!P130)*P$8</f>
        <v>1.1046221254112</v>
      </c>
      <c r="Q152" s="104" t="n">
        <f aca="false">P152*(1+'E4 WIN Input'!Q130)*Q$8</f>
        <v>1.11566834666532</v>
      </c>
      <c r="R152" s="104" t="n">
        <f aca="false">Q152*(1+'E4 WIN Input'!R130)*R$8</f>
        <v>1.12682503013197</v>
      </c>
      <c r="S152" s="104" t="n">
        <f aca="false">R152*(1+'E4 WIN Input'!S130)*S$8</f>
        <v>1.13809328043329</v>
      </c>
    </row>
    <row r="153" customFormat="false" ht="15" hidden="false" customHeight="false" outlineLevel="0" collapsed="false">
      <c r="B153" s="24" t="s">
        <v>1745</v>
      </c>
      <c r="C153" s="25" t="s">
        <v>170</v>
      </c>
      <c r="E153" s="47" t="n">
        <f aca="false">SUM(F153:S153)</f>
        <v>0.262525407603621</v>
      </c>
      <c r="F153" s="47" t="n">
        <f aca="false">'E4 WIN Input'!$E$129*F152*F$8</f>
        <v>0</v>
      </c>
      <c r="G153" s="47" t="n">
        <f aca="false">'E4 WIN Input'!$E$129*G152*G$8</f>
        <v>0.01901073005</v>
      </c>
      <c r="H153" s="47" t="n">
        <f aca="false">'E4 WIN Input'!$E$129*H152*H$8</f>
        <v>0.0192008373505</v>
      </c>
      <c r="I153" s="47" t="n">
        <f aca="false">'E4 WIN Input'!$E$129*I152*I$8</f>
        <v>0.019392845724005</v>
      </c>
      <c r="J153" s="47" t="n">
        <f aca="false">'E4 WIN Input'!$E$129*J152*J$8</f>
        <v>0.0195867741812451</v>
      </c>
      <c r="K153" s="47" t="n">
        <f aca="false">'E4 WIN Input'!$E$129*K152*K$8</f>
        <v>0.0197826419230575</v>
      </c>
      <c r="L153" s="47" t="n">
        <f aca="false">'E4 WIN Input'!$E$129*L152*L$8</f>
        <v>0.0199804683422881</v>
      </c>
      <c r="M153" s="47" t="n">
        <f aca="false">'E4 WIN Input'!$E$129*M152*M$8</f>
        <v>0.020180273025711</v>
      </c>
      <c r="N153" s="47" t="n">
        <f aca="false">'E4 WIN Input'!$E$129*N152*N$8</f>
        <v>0.0203820757559681</v>
      </c>
      <c r="O153" s="47" t="n">
        <f aca="false">'E4 WIN Input'!$E$129*O152*O$8</f>
        <v>0.0205858965135277</v>
      </c>
      <c r="P153" s="47" t="n">
        <f aca="false">'E4 WIN Input'!$E$129*P152*P$8</f>
        <v>0.020791755478663</v>
      </c>
      <c r="Q153" s="47" t="n">
        <f aca="false">'E4 WIN Input'!$E$129*Q152*Q$8</f>
        <v>0.0209996730334497</v>
      </c>
      <c r="R153" s="47" t="n">
        <f aca="false">'E4 WIN Input'!$E$129*R152*R$8</f>
        <v>0.0212096697637842</v>
      </c>
      <c r="S153" s="47" t="n">
        <f aca="false">'E4 WIN Input'!$E$129*S152*S$8</f>
        <v>0.021421766461422</v>
      </c>
    </row>
    <row r="154" customFormat="false" ht="15" hidden="false" customHeight="false" outlineLevel="0" collapsed="false">
      <c r="B154" s="24" t="s">
        <v>1746</v>
      </c>
      <c r="C154" s="25" t="s">
        <v>1019</v>
      </c>
      <c r="F154" s="104" t="n">
        <f aca="false">1</f>
        <v>1</v>
      </c>
      <c r="G154" s="104" t="n">
        <f aca="false">F154*(1+'E4 WIN Input'!G132)*G$8</f>
        <v>1</v>
      </c>
      <c r="H154" s="104" t="n">
        <f aca="false">G154*(1+'E4 WIN Input'!H132)*H$8</f>
        <v>1</v>
      </c>
      <c r="I154" s="104" t="n">
        <f aca="false">H154*(1+'E4 WIN Input'!I132)*I$8</f>
        <v>1</v>
      </c>
      <c r="J154" s="104" t="n">
        <f aca="false">I154*(1+'E4 WIN Input'!J132)*J$8</f>
        <v>1</v>
      </c>
      <c r="K154" s="104" t="n">
        <f aca="false">J154*(1+'E4 WIN Input'!K132)*K$8</f>
        <v>1</v>
      </c>
      <c r="L154" s="104" t="n">
        <f aca="false">K154*(1+'E4 WIN Input'!L132)*L$8</f>
        <v>1</v>
      </c>
      <c r="M154" s="104" t="n">
        <f aca="false">L154*(1+'E4 WIN Input'!M132)*M$8</f>
        <v>1</v>
      </c>
      <c r="N154" s="104" t="n">
        <f aca="false">M154*(1+'E4 WIN Input'!N132)*N$8</f>
        <v>1</v>
      </c>
      <c r="O154" s="104" t="n">
        <f aca="false">N154*(1+'E4 WIN Input'!O132)*O$8</f>
        <v>1</v>
      </c>
      <c r="P154" s="104" t="n">
        <f aca="false">O154*(1+'E4 WIN Input'!P132)*P$8</f>
        <v>1</v>
      </c>
      <c r="Q154" s="104" t="n">
        <f aca="false">P154*(1+'E4 WIN Input'!Q132)*Q$8</f>
        <v>1</v>
      </c>
      <c r="R154" s="104" t="n">
        <f aca="false">Q154*(1+'E4 WIN Input'!R132)*R$8</f>
        <v>1</v>
      </c>
      <c r="S154" s="104" t="n">
        <f aca="false">R154*(1+'E4 WIN Input'!S132)*S$8</f>
        <v>1</v>
      </c>
    </row>
    <row r="155" customFormat="false" ht="15" hidden="false" customHeight="false" outlineLevel="0" collapsed="false">
      <c r="B155" s="24" t="s">
        <v>1747</v>
      </c>
      <c r="C155" s="25" t="s">
        <v>170</v>
      </c>
      <c r="E155" s="47" t="n">
        <f aca="false">SUM(F155:S155)</f>
        <v>0</v>
      </c>
      <c r="F155" s="47" t="n">
        <f aca="false">'E4 WIN Input'!$E$131*F154*F$8</f>
        <v>0</v>
      </c>
      <c r="G155" s="47" t="n">
        <f aca="false">'E4 WIN Input'!$E$131*G154*G$8</f>
        <v>0</v>
      </c>
      <c r="H155" s="47" t="n">
        <f aca="false">'E4 WIN Input'!$E$131*H154*H$8</f>
        <v>0</v>
      </c>
      <c r="I155" s="47" t="n">
        <f aca="false">'E4 WIN Input'!$E$131*I154*I$8</f>
        <v>0</v>
      </c>
      <c r="J155" s="47" t="n">
        <f aca="false">'E4 WIN Input'!$E$131*J154*J$8</f>
        <v>0</v>
      </c>
      <c r="K155" s="47" t="n">
        <f aca="false">'E4 WIN Input'!$E$131*K154*K$8</f>
        <v>0</v>
      </c>
      <c r="L155" s="47" t="n">
        <f aca="false">'E4 WIN Input'!$E$131*L154*L$8</f>
        <v>0</v>
      </c>
      <c r="M155" s="47" t="n">
        <f aca="false">'E4 WIN Input'!$E$131*M154*M$8</f>
        <v>0</v>
      </c>
      <c r="N155" s="47" t="n">
        <f aca="false">'E4 WIN Input'!$E$131*N154*N$8</f>
        <v>0</v>
      </c>
      <c r="O155" s="47" t="n">
        <f aca="false">'E4 WIN Input'!$E$131*O154*O$8</f>
        <v>0</v>
      </c>
      <c r="P155" s="47" t="n">
        <f aca="false">'E4 WIN Input'!$E$131*P154*P$8</f>
        <v>0</v>
      </c>
      <c r="Q155" s="47" t="n">
        <f aca="false">'E4 WIN Input'!$E$131*Q154*Q$8</f>
        <v>0</v>
      </c>
      <c r="R155" s="47" t="n">
        <f aca="false">'E4 WIN Input'!$E$131*R154*R$8</f>
        <v>0</v>
      </c>
      <c r="S155" s="47" t="n">
        <f aca="false">'E4 WIN Input'!$E$131*S154*S$8</f>
        <v>0</v>
      </c>
    </row>
    <row r="156" customFormat="false" ht="15" hidden="false" customHeight="false" outlineLevel="0" collapsed="false">
      <c r="B156" s="24" t="s">
        <v>1748</v>
      </c>
      <c r="C156" s="25" t="s">
        <v>1019</v>
      </c>
      <c r="F156" s="104" t="n">
        <f aca="false">1</f>
        <v>1</v>
      </c>
      <c r="G156" s="104" t="n">
        <f aca="false">F156*(1+'E4 WIN Input'!G134)*G$8</f>
        <v>1.01</v>
      </c>
      <c r="H156" s="104" t="n">
        <f aca="false">G156*(1+'E4 WIN Input'!H134)*H$8</f>
        <v>1.0201</v>
      </c>
      <c r="I156" s="104" t="n">
        <f aca="false">H156*(1+'E4 WIN Input'!I134)*I$8</f>
        <v>1.030301</v>
      </c>
      <c r="J156" s="104" t="n">
        <f aca="false">I156*(1+'E4 WIN Input'!J134)*J$8</f>
        <v>1.04060401</v>
      </c>
      <c r="K156" s="104" t="n">
        <f aca="false">J156*(1+'E4 WIN Input'!K134)*K$8</f>
        <v>1.0510100501</v>
      </c>
      <c r="L156" s="104" t="n">
        <f aca="false">K156*(1+'E4 WIN Input'!L134)*L$8</f>
        <v>1.061520150601</v>
      </c>
      <c r="M156" s="104" t="n">
        <f aca="false">L156*(1+'E4 WIN Input'!M134)*M$8</f>
        <v>1.07213535210701</v>
      </c>
      <c r="N156" s="104" t="n">
        <f aca="false">M156*(1+'E4 WIN Input'!N134)*N$8</f>
        <v>1.08285670562808</v>
      </c>
      <c r="O156" s="104" t="n">
        <f aca="false">N156*(1+'E4 WIN Input'!O134)*O$8</f>
        <v>1.09368527268436</v>
      </c>
      <c r="P156" s="104" t="n">
        <f aca="false">O156*(1+'E4 WIN Input'!P134)*P$8</f>
        <v>1.1046221254112</v>
      </c>
      <c r="Q156" s="104" t="n">
        <f aca="false">P156*(1+'E4 WIN Input'!Q134)*Q$8</f>
        <v>1.11566834666532</v>
      </c>
      <c r="R156" s="104" t="n">
        <f aca="false">Q156*(1+'E4 WIN Input'!R134)*R$8</f>
        <v>1.12682503013197</v>
      </c>
      <c r="S156" s="104" t="n">
        <f aca="false">R156*(1+'E4 WIN Input'!S134)*S$8</f>
        <v>1.13809328043329</v>
      </c>
    </row>
    <row r="157" customFormat="false" ht="15" hidden="false" customHeight="false" outlineLevel="0" collapsed="false">
      <c r="B157" s="24" t="s">
        <v>1749</v>
      </c>
      <c r="C157" s="25" t="s">
        <v>170</v>
      </c>
      <c r="E157" s="47" t="n">
        <f aca="false">SUM(F157:S157)</f>
        <v>0.219155840605048</v>
      </c>
      <c r="F157" s="47" t="n">
        <f aca="false">'E4 WIN Input'!$E$133*F156*F$8</f>
        <v>0</v>
      </c>
      <c r="G157" s="47" t="n">
        <f aca="false">'E4 WIN Input'!$E$133*G156*G$8</f>
        <v>0.0158701306767</v>
      </c>
      <c r="H157" s="47" t="n">
        <f aca="false">'E4 WIN Input'!$E$133*H156*H$8</f>
        <v>0.016028831983467</v>
      </c>
      <c r="I157" s="47" t="n">
        <f aca="false">'E4 WIN Input'!$E$133*I156*I$8</f>
        <v>0.0161891203033017</v>
      </c>
      <c r="J157" s="47" t="n">
        <f aca="false">'E4 WIN Input'!$E$133*J156*J$8</f>
        <v>0.0163510115063347</v>
      </c>
      <c r="K157" s="47" t="n">
        <f aca="false">'E4 WIN Input'!$E$133*K156*K$8</f>
        <v>0.016514521621398</v>
      </c>
      <c r="L157" s="47" t="n">
        <f aca="false">'E4 WIN Input'!$E$133*L156*L$8</f>
        <v>0.016679666837612</v>
      </c>
      <c r="M157" s="47" t="n">
        <f aca="false">'E4 WIN Input'!$E$133*M156*M$8</f>
        <v>0.0168464635059881</v>
      </c>
      <c r="N157" s="47" t="n">
        <f aca="false">'E4 WIN Input'!$E$133*N156*N$8</f>
        <v>0.017014928141048</v>
      </c>
      <c r="O157" s="47" t="n">
        <f aca="false">'E4 WIN Input'!$E$133*O156*O$8</f>
        <v>0.0171850774224585</v>
      </c>
      <c r="P157" s="47" t="n">
        <f aca="false">'E4 WIN Input'!$E$133*P156*P$8</f>
        <v>0.0173569281966831</v>
      </c>
      <c r="Q157" s="47" t="n">
        <f aca="false">'E4 WIN Input'!$E$133*Q156*Q$8</f>
        <v>0.0175304974786499</v>
      </c>
      <c r="R157" s="47" t="n">
        <f aca="false">'E4 WIN Input'!$E$133*R156*R$8</f>
        <v>0.0177058024534364</v>
      </c>
      <c r="S157" s="47" t="n">
        <f aca="false">'E4 WIN Input'!$E$133*S156*S$8</f>
        <v>0.0178828604779708</v>
      </c>
    </row>
    <row r="158" customFormat="false" ht="15" hidden="false" customHeight="false" outlineLevel="0" collapsed="false">
      <c r="B158" s="24" t="s">
        <v>1750</v>
      </c>
      <c r="C158" s="25" t="s">
        <v>1019</v>
      </c>
      <c r="F158" s="104" t="n">
        <f aca="false">1</f>
        <v>1</v>
      </c>
      <c r="G158" s="104" t="n">
        <f aca="false">F158*(1+'E4 WIN Input'!G136)*G$8</f>
        <v>1.01</v>
      </c>
      <c r="H158" s="104" t="n">
        <f aca="false">G158*(1+'E4 WIN Input'!H136)*H$8</f>
        <v>1.0201</v>
      </c>
      <c r="I158" s="104" t="n">
        <f aca="false">H158*(1+'E4 WIN Input'!I136)*I$8</f>
        <v>1.030301</v>
      </c>
      <c r="J158" s="104" t="n">
        <f aca="false">I158*(1+'E4 WIN Input'!J136)*J$8</f>
        <v>1.04060401</v>
      </c>
      <c r="K158" s="104" t="n">
        <f aca="false">J158*(1+'E4 WIN Input'!K136)*K$8</f>
        <v>1.0510100501</v>
      </c>
      <c r="L158" s="104" t="n">
        <f aca="false">K158*(1+'E4 WIN Input'!L136)*L$8</f>
        <v>1.061520150601</v>
      </c>
      <c r="M158" s="104" t="n">
        <f aca="false">L158*(1+'E4 WIN Input'!M136)*M$8</f>
        <v>1.07213535210701</v>
      </c>
      <c r="N158" s="104" t="n">
        <f aca="false">M158*(1+'E4 WIN Input'!N136)*N$8</f>
        <v>1.08285670562808</v>
      </c>
      <c r="O158" s="104" t="n">
        <f aca="false">N158*(1+'E4 WIN Input'!O136)*O$8</f>
        <v>1.09368527268436</v>
      </c>
      <c r="P158" s="104" t="n">
        <f aca="false">O158*(1+'E4 WIN Input'!P136)*P$8</f>
        <v>1.1046221254112</v>
      </c>
      <c r="Q158" s="104" t="n">
        <f aca="false">P158*(1+'E4 WIN Input'!Q136)*Q$8</f>
        <v>1.11566834666532</v>
      </c>
      <c r="R158" s="104" t="n">
        <f aca="false">Q158*(1+'E4 WIN Input'!R136)*R$8</f>
        <v>1.12682503013197</v>
      </c>
      <c r="S158" s="104" t="n">
        <f aca="false">R158*(1+'E4 WIN Input'!S136)*S$8</f>
        <v>1.13809328043329</v>
      </c>
    </row>
    <row r="159" customFormat="false" ht="15" hidden="false" customHeight="false" outlineLevel="0" collapsed="false">
      <c r="B159" s="24" t="s">
        <v>1751</v>
      </c>
      <c r="C159" s="25" t="s">
        <v>170</v>
      </c>
      <c r="E159" s="47" t="n">
        <f aca="false">SUM(F159:S159)</f>
        <v>0.131094602506306</v>
      </c>
      <c r="F159" s="47" t="n">
        <f aca="false">'E4 WIN Input'!$E$135*F158*F$8</f>
        <v>0</v>
      </c>
      <c r="G159" s="47" t="n">
        <f aca="false">'E4 WIN Input'!$E$135*G158*G$8</f>
        <v>0.009493192</v>
      </c>
      <c r="H159" s="47" t="n">
        <f aca="false">'E4 WIN Input'!$E$135*H158*H$8</f>
        <v>0.00958812392</v>
      </c>
      <c r="I159" s="47" t="n">
        <f aca="false">'E4 WIN Input'!$E$135*I158*I$8</f>
        <v>0.0096840051592</v>
      </c>
      <c r="J159" s="47" t="n">
        <f aca="false">'E4 WIN Input'!$E$135*J158*J$8</f>
        <v>0.009780845210792</v>
      </c>
      <c r="K159" s="47" t="n">
        <f aca="false">'E4 WIN Input'!$E$135*K158*K$8</f>
        <v>0.00987865366289992</v>
      </c>
      <c r="L159" s="47" t="n">
        <f aca="false">'E4 WIN Input'!$E$135*L158*L$8</f>
        <v>0.00997744019952892</v>
      </c>
      <c r="M159" s="47" t="n">
        <f aca="false">'E4 WIN Input'!$E$135*M158*M$8</f>
        <v>0.0100772146015242</v>
      </c>
      <c r="N159" s="47" t="n">
        <f aca="false">'E4 WIN Input'!$E$135*N158*N$8</f>
        <v>0.0101779867475394</v>
      </c>
      <c r="O159" s="47" t="n">
        <f aca="false">'E4 WIN Input'!$E$135*O158*O$8</f>
        <v>0.0102797666150148</v>
      </c>
      <c r="P159" s="47" t="n">
        <f aca="false">'E4 WIN Input'!$E$135*P158*P$8</f>
        <v>0.010382564281165</v>
      </c>
      <c r="Q159" s="47" t="n">
        <f aca="false">'E4 WIN Input'!$E$135*Q158*Q$8</f>
        <v>0.0104863899239766</v>
      </c>
      <c r="R159" s="47" t="n">
        <f aca="false">'E4 WIN Input'!$E$135*R158*R$8</f>
        <v>0.0105912538232164</v>
      </c>
      <c r="S159" s="47" t="n">
        <f aca="false">'E4 WIN Input'!$E$135*S158*S$8</f>
        <v>0.0106971663614486</v>
      </c>
    </row>
    <row r="160" customFormat="false" ht="15" hidden="false" customHeight="false" outlineLevel="0" collapsed="false">
      <c r="B160" s="24" t="s">
        <v>1752</v>
      </c>
      <c r="C160" s="25" t="s">
        <v>1019</v>
      </c>
      <c r="F160" s="104" t="n">
        <f aca="false">1</f>
        <v>1</v>
      </c>
      <c r="G160" s="104" t="n">
        <f aca="false">F160*(1+'E4 WIN Input'!G138)*G$8</f>
        <v>1</v>
      </c>
      <c r="H160" s="104" t="n">
        <f aca="false">G160*(1+'E4 WIN Input'!H138)*H$8</f>
        <v>1</v>
      </c>
      <c r="I160" s="104" t="n">
        <f aca="false">H160*(1+'E4 WIN Input'!I138)*I$8</f>
        <v>1</v>
      </c>
      <c r="J160" s="104" t="n">
        <f aca="false">I160*(1+'E4 WIN Input'!J138)*J$8</f>
        <v>1</v>
      </c>
      <c r="K160" s="104" t="n">
        <f aca="false">J160*(1+'E4 WIN Input'!K138)*K$8</f>
        <v>1</v>
      </c>
      <c r="L160" s="104" t="n">
        <f aca="false">K160*(1+'E4 WIN Input'!L138)*L$8</f>
        <v>1</v>
      </c>
      <c r="M160" s="104" t="n">
        <f aca="false">L160*(1+'E4 WIN Input'!M138)*M$8</f>
        <v>1</v>
      </c>
      <c r="N160" s="104" t="n">
        <f aca="false">M160*(1+'E4 WIN Input'!N138)*N$8</f>
        <v>1</v>
      </c>
      <c r="O160" s="104" t="n">
        <f aca="false">N160*(1+'E4 WIN Input'!O138)*O$8</f>
        <v>1</v>
      </c>
      <c r="P160" s="104" t="n">
        <f aca="false">O160*(1+'E4 WIN Input'!P138)*P$8</f>
        <v>1</v>
      </c>
      <c r="Q160" s="104" t="n">
        <f aca="false">P160*(1+'E4 WIN Input'!Q138)*Q$8</f>
        <v>1</v>
      </c>
      <c r="R160" s="104" t="n">
        <f aca="false">Q160*(1+'E4 WIN Input'!R138)*R$8</f>
        <v>1</v>
      </c>
      <c r="S160" s="104" t="n">
        <f aca="false">R160*(1+'E4 WIN Input'!S138)*S$8</f>
        <v>1</v>
      </c>
    </row>
    <row r="161" customFormat="false" ht="15" hidden="false" customHeight="false" outlineLevel="0" collapsed="false">
      <c r="B161" s="24" t="s">
        <v>1753</v>
      </c>
      <c r="C161" s="25" t="s">
        <v>170</v>
      </c>
      <c r="E161" s="47" t="n">
        <f aca="false">SUM(F161:S161)</f>
        <v>0</v>
      </c>
      <c r="F161" s="47" t="n">
        <f aca="false">'E4 WIN Input'!$E$137*F160*F$8</f>
        <v>0</v>
      </c>
      <c r="G161" s="47" t="n">
        <f aca="false">'E4 WIN Input'!$E$137*G160*G$8</f>
        <v>0</v>
      </c>
      <c r="H161" s="47" t="n">
        <f aca="false">'E4 WIN Input'!$E$137*H160*H$8</f>
        <v>0</v>
      </c>
      <c r="I161" s="47" t="n">
        <f aca="false">'E4 WIN Input'!$E$137*I160*I$8</f>
        <v>0</v>
      </c>
      <c r="J161" s="47" t="n">
        <f aca="false">'E4 WIN Input'!$E$137*J160*J$8</f>
        <v>0</v>
      </c>
      <c r="K161" s="47" t="n">
        <f aca="false">'E4 WIN Input'!$E$137*K160*K$8</f>
        <v>0</v>
      </c>
      <c r="L161" s="47" t="n">
        <f aca="false">'E4 WIN Input'!$E$137*L160*L$8</f>
        <v>0</v>
      </c>
      <c r="M161" s="47" t="n">
        <f aca="false">'E4 WIN Input'!$E$137*M160*M$8</f>
        <v>0</v>
      </c>
      <c r="N161" s="47" t="n">
        <f aca="false">'E4 WIN Input'!$E$137*N160*N$8</f>
        <v>0</v>
      </c>
      <c r="O161" s="47" t="n">
        <f aca="false">'E4 WIN Input'!$E$137*O160*O$8</f>
        <v>0</v>
      </c>
      <c r="P161" s="47" t="n">
        <f aca="false">'E4 WIN Input'!$E$137*P160*P$8</f>
        <v>0</v>
      </c>
      <c r="Q161" s="47" t="n">
        <f aca="false">'E4 WIN Input'!$E$137*Q160*Q$8</f>
        <v>0</v>
      </c>
      <c r="R161" s="47" t="n">
        <f aca="false">'E4 WIN Input'!$E$137*R160*R$8</f>
        <v>0</v>
      </c>
      <c r="S161" s="47" t="n">
        <f aca="false">'E4 WIN Input'!$E$137*S160*S$8</f>
        <v>0</v>
      </c>
    </row>
    <row r="162" customFormat="false" ht="15" hidden="false" customHeight="false" outlineLevel="0" collapsed="false">
      <c r="B162" s="69" t="s">
        <v>1754</v>
      </c>
      <c r="C162" s="25" t="s">
        <v>170</v>
      </c>
      <c r="E162" s="70" t="n">
        <f aca="false">SUM(F162:S162)</f>
        <v>1.14277786115741</v>
      </c>
      <c r="F162" s="68" t="n">
        <f aca="false">F151+F153+F155+F157+F159+F161</f>
        <v>0</v>
      </c>
      <c r="G162" s="68" t="n">
        <f aca="false">G151+G153+G155+G157+G159+G161</f>
        <v>0.0827540527368</v>
      </c>
      <c r="H162" s="68" t="n">
        <f aca="false">H151+H153+H155+H157+H159+H161</f>
        <v>0.083581593264168</v>
      </c>
      <c r="I162" s="68" t="n">
        <f aca="false">I151+I153+I155+I157+I159+I161</f>
        <v>0.0844174091968097</v>
      </c>
      <c r="J162" s="68" t="n">
        <f aca="false">J151+J153+J155+J157+J159+J161</f>
        <v>0.0852615832887778</v>
      </c>
      <c r="K162" s="68" t="n">
        <f aca="false">K151+K153+K155+K157+K159+K161</f>
        <v>0.0861141991216655</v>
      </c>
      <c r="L162" s="68" t="n">
        <f aca="false">L151+L153+L155+L157+L159+L161</f>
        <v>0.0869753411128822</v>
      </c>
      <c r="M162" s="68" t="n">
        <f aca="false">M151+M153+M155+M157+M159+M161</f>
        <v>0.087845094524011</v>
      </c>
      <c r="N162" s="68" t="n">
        <f aca="false">N151+N153+N155+N157+N159+N161</f>
        <v>0.0887235454692511</v>
      </c>
      <c r="O162" s="68" t="n">
        <f aca="false">O151+O153+O155+O157+O159+O161</f>
        <v>0.0896107809239436</v>
      </c>
      <c r="P162" s="68" t="n">
        <f aca="false">P151+P153+P155+P157+P159+P161</f>
        <v>0.0905068887331831</v>
      </c>
      <c r="Q162" s="68" t="n">
        <f aca="false">Q151+Q153+Q155+Q157+Q159+Q161</f>
        <v>0.0914119576205149</v>
      </c>
      <c r="R162" s="68" t="n">
        <f aca="false">R151+R153+R155+R157+R159+R161</f>
        <v>0.0923260771967201</v>
      </c>
      <c r="S162" s="68" t="n">
        <f aca="false">S151+S153+S155+S157+S159+S161</f>
        <v>0.0932493379686873</v>
      </c>
    </row>
    <row r="164" customFormat="false" ht="15" hidden="false" customHeight="false" outlineLevel="0" collapsed="false">
      <c r="B164" s="22" t="s">
        <v>1755</v>
      </c>
      <c r="C164" s="23"/>
      <c r="D164" s="23"/>
      <c r="E164" s="23"/>
      <c r="F164" s="23"/>
      <c r="G164" s="23"/>
      <c r="H164" s="23"/>
      <c r="I164" s="23"/>
      <c r="J164" s="23"/>
      <c r="K164" s="23"/>
      <c r="L164" s="23"/>
      <c r="M164" s="23"/>
      <c r="N164" s="23"/>
      <c r="O164" s="23"/>
      <c r="P164" s="23"/>
      <c r="Q164" s="23"/>
      <c r="R164" s="23"/>
      <c r="S164" s="23"/>
    </row>
    <row r="165" customFormat="false" ht="15" hidden="false" customHeight="false" outlineLevel="0" collapsed="false">
      <c r="B165" s="24" t="s">
        <v>1756</v>
      </c>
      <c r="C165" s="25" t="s">
        <v>1019</v>
      </c>
      <c r="F165" s="104" t="n">
        <f aca="false">1</f>
        <v>1</v>
      </c>
      <c r="G165" s="104" t="n">
        <f aca="false">F165*(1+'E4 WIN Input'!G141)*G$8</f>
        <v>1.01</v>
      </c>
      <c r="H165" s="104" t="n">
        <f aca="false">G165*(1+'E4 WIN Input'!H141)*H$8</f>
        <v>1.0201</v>
      </c>
      <c r="I165" s="104" t="n">
        <f aca="false">H165*(1+'E4 WIN Input'!I141)*I$8</f>
        <v>1.030301</v>
      </c>
      <c r="J165" s="104" t="n">
        <f aca="false">I165*(1+'E4 WIN Input'!J141)*J$8</f>
        <v>1.04060401</v>
      </c>
      <c r="K165" s="104" t="n">
        <f aca="false">J165*(1+'E4 WIN Input'!K141)*K$8</f>
        <v>1.0510100501</v>
      </c>
      <c r="L165" s="104" t="n">
        <f aca="false">K165*(1+'E4 WIN Input'!L141)*L$8</f>
        <v>1.061520150601</v>
      </c>
      <c r="M165" s="104" t="n">
        <f aca="false">L165*(1+'E4 WIN Input'!M141)*M$8</f>
        <v>1.07213535210701</v>
      </c>
      <c r="N165" s="104" t="n">
        <f aca="false">M165*(1+'E4 WIN Input'!N141)*N$8</f>
        <v>1.08285670562808</v>
      </c>
      <c r="O165" s="104" t="n">
        <f aca="false">N165*(1+'E4 WIN Input'!O141)*O$8</f>
        <v>1.09368527268436</v>
      </c>
      <c r="P165" s="104" t="n">
        <f aca="false">O165*(1+'E4 WIN Input'!P141)*P$8</f>
        <v>1.1046221254112</v>
      </c>
      <c r="Q165" s="104" t="n">
        <f aca="false">P165*(1+'E4 WIN Input'!Q141)*Q$8</f>
        <v>1.11566834666532</v>
      </c>
      <c r="R165" s="104" t="n">
        <f aca="false">Q165*(1+'E4 WIN Input'!R141)*R$8</f>
        <v>1.12682503013197</v>
      </c>
      <c r="S165" s="104" t="n">
        <f aca="false">R165*(1+'E4 WIN Input'!S141)*S$8</f>
        <v>1.13809328043329</v>
      </c>
    </row>
    <row r="166" customFormat="false" ht="15" hidden="false" customHeight="false" outlineLevel="0" collapsed="false">
      <c r="B166" s="24" t="s">
        <v>1757</v>
      </c>
      <c r="C166" s="25" t="s">
        <v>170</v>
      </c>
      <c r="E166" s="47" t="n">
        <f aca="false">SUM(F166:S166)</f>
        <v>0.358525355153442</v>
      </c>
      <c r="F166" s="47" t="n">
        <f aca="false">'E4 WIN Input'!$E$140*F165*F$8</f>
        <v>0</v>
      </c>
      <c r="G166" s="47" t="n">
        <f aca="false">'E4 WIN Input'!$E$140*G165*G$8</f>
        <v>0.02596254894</v>
      </c>
      <c r="H166" s="47" t="n">
        <f aca="false">'E4 WIN Input'!$E$140*H165*H$8</f>
        <v>0.0262221744294</v>
      </c>
      <c r="I166" s="47" t="n">
        <f aca="false">'E4 WIN Input'!$E$140*I165*I$8</f>
        <v>0.026484396173694</v>
      </c>
      <c r="J166" s="47" t="n">
        <f aca="false">'E4 WIN Input'!$E$140*J165*J$8</f>
        <v>0.0267492401354309</v>
      </c>
      <c r="K166" s="47" t="n">
        <f aca="false">'E4 WIN Input'!$E$140*K165*K$8</f>
        <v>0.0270167325367852</v>
      </c>
      <c r="L166" s="47" t="n">
        <f aca="false">'E4 WIN Input'!$E$140*L165*L$8</f>
        <v>0.0272868998621531</v>
      </c>
      <c r="M166" s="47" t="n">
        <f aca="false">'E4 WIN Input'!$E$140*M165*M$8</f>
        <v>0.0275597688607746</v>
      </c>
      <c r="N166" s="47" t="n">
        <f aca="false">'E4 WIN Input'!$E$140*N165*N$8</f>
        <v>0.0278353665493824</v>
      </c>
      <c r="O166" s="47" t="n">
        <f aca="false">'E4 WIN Input'!$E$140*O165*O$8</f>
        <v>0.0281137202148762</v>
      </c>
      <c r="P166" s="47" t="n">
        <f aca="false">'E4 WIN Input'!$E$140*P165*P$8</f>
        <v>0.028394857417025</v>
      </c>
      <c r="Q166" s="47" t="n">
        <f aca="false">'E4 WIN Input'!$E$140*Q165*Q$8</f>
        <v>0.0286788059911952</v>
      </c>
      <c r="R166" s="47" t="n">
        <f aca="false">'E4 WIN Input'!$E$140*R165*R$8</f>
        <v>0.0289655940511072</v>
      </c>
      <c r="S166" s="47" t="n">
        <f aca="false">'E4 WIN Input'!$E$140*S165*S$8</f>
        <v>0.0292552499916182</v>
      </c>
    </row>
    <row r="167" customFormat="false" ht="15" hidden="false" customHeight="false" outlineLevel="0" collapsed="false">
      <c r="B167" s="24" t="s">
        <v>1758</v>
      </c>
      <c r="C167" s="25" t="s">
        <v>1019</v>
      </c>
      <c r="F167" s="104" t="n">
        <f aca="false">1</f>
        <v>1</v>
      </c>
      <c r="G167" s="104" t="n">
        <f aca="false">F167*(1+'E4 WIN Input'!G143)*G$8</f>
        <v>1.01</v>
      </c>
      <c r="H167" s="104" t="n">
        <f aca="false">G167*(1+'E4 WIN Input'!H143)*H$8</f>
        <v>1.0201</v>
      </c>
      <c r="I167" s="104" t="n">
        <f aca="false">H167*(1+'E4 WIN Input'!I143)*I$8</f>
        <v>1.030301</v>
      </c>
      <c r="J167" s="104" t="n">
        <f aca="false">I167*(1+'E4 WIN Input'!J143)*J$8</f>
        <v>1.04060401</v>
      </c>
      <c r="K167" s="104" t="n">
        <f aca="false">J167*(1+'E4 WIN Input'!K143)*K$8</f>
        <v>1.0510100501</v>
      </c>
      <c r="L167" s="104" t="n">
        <f aca="false">K167*(1+'E4 WIN Input'!L143)*L$8</f>
        <v>1.061520150601</v>
      </c>
      <c r="M167" s="104" t="n">
        <f aca="false">L167*(1+'E4 WIN Input'!M143)*M$8</f>
        <v>1.07213535210701</v>
      </c>
      <c r="N167" s="104" t="n">
        <f aca="false">M167*(1+'E4 WIN Input'!N143)*N$8</f>
        <v>1.08285670562808</v>
      </c>
      <c r="O167" s="104" t="n">
        <f aca="false">N167*(1+'E4 WIN Input'!O143)*O$8</f>
        <v>1.09368527268436</v>
      </c>
      <c r="P167" s="104" t="n">
        <f aca="false">O167*(1+'E4 WIN Input'!P143)*P$8</f>
        <v>1.1046221254112</v>
      </c>
      <c r="Q167" s="104" t="n">
        <f aca="false">P167*(1+'E4 WIN Input'!Q143)*Q$8</f>
        <v>1.11566834666532</v>
      </c>
      <c r="R167" s="104" t="n">
        <f aca="false">Q167*(1+'E4 WIN Input'!R143)*R$8</f>
        <v>1.12682503013197</v>
      </c>
      <c r="S167" s="104" t="n">
        <f aca="false">R167*(1+'E4 WIN Input'!S143)*S$8</f>
        <v>1.13809328043329</v>
      </c>
    </row>
    <row r="168" customFormat="false" ht="15" hidden="false" customHeight="false" outlineLevel="0" collapsed="false">
      <c r="B168" s="24" t="s">
        <v>1759</v>
      </c>
      <c r="C168" s="25" t="s">
        <v>170</v>
      </c>
      <c r="E168" s="47" t="n">
        <f aca="false">SUM(F168:S168)</f>
        <v>2.88666327151129</v>
      </c>
      <c r="F168" s="47" t="n">
        <f aca="false">'E4 WIN Input'!$E$142*F167*F$8</f>
        <v>0</v>
      </c>
      <c r="G168" s="47" t="n">
        <f aca="false">'E4 WIN Input'!$E$142*G167*G$8</f>
        <v>0.20903720025</v>
      </c>
      <c r="H168" s="47" t="n">
        <f aca="false">'E4 WIN Input'!$E$142*H167*H$8</f>
        <v>0.2111275722525</v>
      </c>
      <c r="I168" s="47" t="n">
        <f aca="false">'E4 WIN Input'!$E$142*I167*I$8</f>
        <v>0.213238847975025</v>
      </c>
      <c r="J168" s="47" t="n">
        <f aca="false">'E4 WIN Input'!$E$142*J167*J$8</f>
        <v>0.215371236454775</v>
      </c>
      <c r="K168" s="47" t="n">
        <f aca="false">'E4 WIN Input'!$E$142*K167*K$8</f>
        <v>0.217524948819323</v>
      </c>
      <c r="L168" s="47" t="n">
        <f aca="false">'E4 WIN Input'!$E$142*L167*L$8</f>
        <v>0.219700198307516</v>
      </c>
      <c r="M168" s="47" t="n">
        <f aca="false">'E4 WIN Input'!$E$142*M167*M$8</f>
        <v>0.221897200290591</v>
      </c>
      <c r="N168" s="47" t="n">
        <f aca="false">'E4 WIN Input'!$E$142*N167*N$8</f>
        <v>0.224116172293497</v>
      </c>
      <c r="O168" s="47" t="n">
        <f aca="false">'E4 WIN Input'!$E$142*O167*O$8</f>
        <v>0.226357334016432</v>
      </c>
      <c r="P168" s="47" t="n">
        <f aca="false">'E4 WIN Input'!$E$142*P167*P$8</f>
        <v>0.228620907356597</v>
      </c>
      <c r="Q168" s="47" t="n">
        <f aca="false">'E4 WIN Input'!$E$142*Q167*Q$8</f>
        <v>0.230907116430163</v>
      </c>
      <c r="R168" s="47" t="n">
        <f aca="false">'E4 WIN Input'!$E$142*R167*R$8</f>
        <v>0.233216187594464</v>
      </c>
      <c r="S168" s="47" t="n">
        <f aca="false">'E4 WIN Input'!$E$142*S167*S$8</f>
        <v>0.235548349470409</v>
      </c>
    </row>
    <row r="169" customFormat="false" ht="15" hidden="false" customHeight="false" outlineLevel="0" collapsed="false">
      <c r="B169" s="24" t="s">
        <v>1760</v>
      </c>
      <c r="C169" s="25" t="s">
        <v>1019</v>
      </c>
      <c r="F169" s="104" t="n">
        <f aca="false">1</f>
        <v>1</v>
      </c>
      <c r="G169" s="104" t="n">
        <f aca="false">F169*(1+'E4 WIN Input'!G145)*G$8</f>
        <v>1.01</v>
      </c>
      <c r="H169" s="104" t="n">
        <f aca="false">G169*(1+'E4 WIN Input'!H145)*H$8</f>
        <v>1.0201</v>
      </c>
      <c r="I169" s="104" t="n">
        <f aca="false">H169*(1+'E4 WIN Input'!I145)*I$8</f>
        <v>1.030301</v>
      </c>
      <c r="J169" s="104" t="n">
        <f aca="false">I169*(1+'E4 WIN Input'!J145)*J$8</f>
        <v>1.04060401</v>
      </c>
      <c r="K169" s="104" t="n">
        <f aca="false">J169*(1+'E4 WIN Input'!K145)*K$8</f>
        <v>1.0510100501</v>
      </c>
      <c r="L169" s="104" t="n">
        <f aca="false">K169*(1+'E4 WIN Input'!L145)*L$8</f>
        <v>1.061520150601</v>
      </c>
      <c r="M169" s="104" t="n">
        <f aca="false">L169*(1+'E4 WIN Input'!M145)*M$8</f>
        <v>1.07213535210701</v>
      </c>
      <c r="N169" s="104" t="n">
        <f aca="false">M169*(1+'E4 WIN Input'!N145)*N$8</f>
        <v>1.08285670562808</v>
      </c>
      <c r="O169" s="104" t="n">
        <f aca="false">N169*(1+'E4 WIN Input'!O145)*O$8</f>
        <v>1.09368527268436</v>
      </c>
      <c r="P169" s="104" t="n">
        <f aca="false">O169*(1+'E4 WIN Input'!P145)*P$8</f>
        <v>1.1046221254112</v>
      </c>
      <c r="Q169" s="104" t="n">
        <f aca="false">P169*(1+'E4 WIN Input'!Q145)*Q$8</f>
        <v>1.11566834666532</v>
      </c>
      <c r="R169" s="104" t="n">
        <f aca="false">Q169*(1+'E4 WIN Input'!R145)*R$8</f>
        <v>1.12682503013197</v>
      </c>
      <c r="S169" s="104" t="n">
        <f aca="false">R169*(1+'E4 WIN Input'!S145)*S$8</f>
        <v>1.13809328043329</v>
      </c>
    </row>
    <row r="170" customFormat="false" ht="15" hidden="false" customHeight="false" outlineLevel="0" collapsed="false">
      <c r="B170" s="24" t="s">
        <v>1761</v>
      </c>
      <c r="C170" s="25" t="s">
        <v>170</v>
      </c>
      <c r="E170" s="47" t="n">
        <f aca="false">SUM(F170:S170)</f>
        <v>0.469051890697494</v>
      </c>
      <c r="F170" s="47" t="n">
        <f aca="false">'E4 WIN Input'!$E$144*F169*F$8</f>
        <v>0</v>
      </c>
      <c r="G170" s="47" t="n">
        <f aca="false">'E4 WIN Input'!$E$144*G169*G$8</f>
        <v>0.03396630808</v>
      </c>
      <c r="H170" s="47" t="n">
        <f aca="false">'E4 WIN Input'!$E$144*H169*H$8</f>
        <v>0.0343059711608</v>
      </c>
      <c r="I170" s="47" t="n">
        <f aca="false">'E4 WIN Input'!$E$144*I169*I$8</f>
        <v>0.034649030872408</v>
      </c>
      <c r="J170" s="47" t="n">
        <f aca="false">'E4 WIN Input'!$E$144*J169*J$8</f>
        <v>0.0349955211811321</v>
      </c>
      <c r="K170" s="47" t="n">
        <f aca="false">'E4 WIN Input'!$E$144*K169*K$8</f>
        <v>0.0353454763929434</v>
      </c>
      <c r="L170" s="47" t="n">
        <f aca="false">'E4 WIN Input'!$E$144*L169*L$8</f>
        <v>0.0356989311568728</v>
      </c>
      <c r="M170" s="47" t="n">
        <f aca="false">'E4 WIN Input'!$E$144*M169*M$8</f>
        <v>0.0360559204684416</v>
      </c>
      <c r="N170" s="47" t="n">
        <f aca="false">'E4 WIN Input'!$E$144*N169*N$8</f>
        <v>0.036416479673126</v>
      </c>
      <c r="O170" s="47" t="n">
        <f aca="false">'E4 WIN Input'!$E$144*O169*O$8</f>
        <v>0.0367806444698572</v>
      </c>
      <c r="P170" s="47" t="n">
        <f aca="false">'E4 WIN Input'!$E$144*P169*P$8</f>
        <v>0.0371484509145558</v>
      </c>
      <c r="Q170" s="47" t="n">
        <f aca="false">'E4 WIN Input'!$E$144*Q169*Q$8</f>
        <v>0.0375199354237014</v>
      </c>
      <c r="R170" s="47" t="n">
        <f aca="false">'E4 WIN Input'!$E$144*R169*R$8</f>
        <v>0.0378951347779384</v>
      </c>
      <c r="S170" s="47" t="n">
        <f aca="false">'E4 WIN Input'!$E$144*S169*S$8</f>
        <v>0.0382740861257178</v>
      </c>
    </row>
    <row r="171" customFormat="false" ht="15" hidden="false" customHeight="false" outlineLevel="0" collapsed="false">
      <c r="B171" s="24" t="s">
        <v>1762</v>
      </c>
      <c r="C171" s="25" t="s">
        <v>1019</v>
      </c>
      <c r="F171" s="104" t="n">
        <f aca="false">1</f>
        <v>1</v>
      </c>
      <c r="G171" s="104" t="n">
        <f aca="false">F171*(1+'E4 WIN Input'!G147)*G$8</f>
        <v>1.01</v>
      </c>
      <c r="H171" s="104" t="n">
        <f aca="false">G171*(1+'E4 WIN Input'!H147)*H$8</f>
        <v>1.0201</v>
      </c>
      <c r="I171" s="104" t="n">
        <f aca="false">H171*(1+'E4 WIN Input'!I147)*I$8</f>
        <v>1.030301</v>
      </c>
      <c r="J171" s="104" t="n">
        <f aca="false">I171*(1+'E4 WIN Input'!J147)*J$8</f>
        <v>1.04060401</v>
      </c>
      <c r="K171" s="104" t="n">
        <f aca="false">J171*(1+'E4 WIN Input'!K147)*K$8</f>
        <v>1.0510100501</v>
      </c>
      <c r="L171" s="104" t="n">
        <f aca="false">K171*(1+'E4 WIN Input'!L147)*L$8</f>
        <v>1.061520150601</v>
      </c>
      <c r="M171" s="104" t="n">
        <f aca="false">L171*(1+'E4 WIN Input'!M147)*M$8</f>
        <v>1.07213535210701</v>
      </c>
      <c r="N171" s="104" t="n">
        <f aca="false">M171*(1+'E4 WIN Input'!N147)*N$8</f>
        <v>1.08285670562808</v>
      </c>
      <c r="O171" s="104" t="n">
        <f aca="false">N171*(1+'E4 WIN Input'!O147)*O$8</f>
        <v>1.09368527268436</v>
      </c>
      <c r="P171" s="104" t="n">
        <f aca="false">O171*(1+'E4 WIN Input'!P147)*P$8</f>
        <v>1.1046221254112</v>
      </c>
      <c r="Q171" s="104" t="n">
        <f aca="false">P171*(1+'E4 WIN Input'!Q147)*Q$8</f>
        <v>1.11566834666532</v>
      </c>
      <c r="R171" s="104" t="n">
        <f aca="false">Q171*(1+'E4 WIN Input'!R147)*R$8</f>
        <v>1.12682503013197</v>
      </c>
      <c r="S171" s="104" t="n">
        <f aca="false">R171*(1+'E4 WIN Input'!S147)*S$8</f>
        <v>1.13809328043329</v>
      </c>
    </row>
    <row r="172" customFormat="false" ht="15" hidden="false" customHeight="false" outlineLevel="0" collapsed="false">
      <c r="B172" s="24" t="s">
        <v>1763</v>
      </c>
      <c r="C172" s="25" t="s">
        <v>170</v>
      </c>
      <c r="E172" s="47" t="n">
        <f aca="false">SUM(F172:S172)</f>
        <v>1.34508132240438</v>
      </c>
      <c r="F172" s="47" t="n">
        <f aca="false">'E4 WIN Input'!$E$146*F171*F$8</f>
        <v>0</v>
      </c>
      <c r="G172" s="47" t="n">
        <f aca="false">'E4 WIN Input'!$E$146*G171*G$8</f>
        <v>0.0974038214013</v>
      </c>
      <c r="H172" s="47" t="n">
        <f aca="false">'E4 WIN Input'!$E$146*H171*H$8</f>
        <v>0.098377859615313</v>
      </c>
      <c r="I172" s="47" t="n">
        <f aca="false">'E4 WIN Input'!$E$146*I171*I$8</f>
        <v>0.0993616382114661</v>
      </c>
      <c r="J172" s="47" t="n">
        <f aca="false">'E4 WIN Input'!$E$146*J171*J$8</f>
        <v>0.100355254593581</v>
      </c>
      <c r="K172" s="47" t="n">
        <f aca="false">'E4 WIN Input'!$E$146*K171*K$8</f>
        <v>0.101358807139517</v>
      </c>
      <c r="L172" s="47" t="n">
        <f aca="false">'E4 WIN Input'!$E$146*L171*L$8</f>
        <v>0.102372395210912</v>
      </c>
      <c r="M172" s="47" t="n">
        <f aca="false">'E4 WIN Input'!$E$146*M171*M$8</f>
        <v>0.103396119163021</v>
      </c>
      <c r="N172" s="47" t="n">
        <f aca="false">'E4 WIN Input'!$E$146*N171*N$8</f>
        <v>0.104430080354651</v>
      </c>
      <c r="O172" s="47" t="n">
        <f aca="false">'E4 WIN Input'!$E$146*O171*O$8</f>
        <v>0.105474381158198</v>
      </c>
      <c r="P172" s="47" t="n">
        <f aca="false">'E4 WIN Input'!$E$146*P171*P$8</f>
        <v>0.10652912496978</v>
      </c>
      <c r="Q172" s="47" t="n">
        <f aca="false">'E4 WIN Input'!$E$146*Q171*Q$8</f>
        <v>0.107594416219477</v>
      </c>
      <c r="R172" s="47" t="n">
        <f aca="false">'E4 WIN Input'!$E$146*R171*R$8</f>
        <v>0.108670360381672</v>
      </c>
      <c r="S172" s="47" t="n">
        <f aca="false">'E4 WIN Input'!$E$146*S171*S$8</f>
        <v>0.109757063985489</v>
      </c>
    </row>
    <row r="173" customFormat="false" ht="15" hidden="false" customHeight="false" outlineLevel="0" collapsed="false">
      <c r="B173" s="24" t="s">
        <v>1764</v>
      </c>
      <c r="C173" s="25" t="s">
        <v>1019</v>
      </c>
      <c r="F173" s="104" t="n">
        <f aca="false">1</f>
        <v>1</v>
      </c>
      <c r="G173" s="104" t="n">
        <f aca="false">F173*(1+'E4 WIN Input'!G149)*G$8</f>
        <v>1.01</v>
      </c>
      <c r="H173" s="104" t="n">
        <f aca="false">G173*(1+'E4 WIN Input'!H149)*H$8</f>
        <v>1.0201</v>
      </c>
      <c r="I173" s="104" t="n">
        <f aca="false">H173*(1+'E4 WIN Input'!I149)*I$8</f>
        <v>1.030301</v>
      </c>
      <c r="J173" s="104" t="n">
        <f aca="false">I173*(1+'E4 WIN Input'!J149)*J$8</f>
        <v>1.04060401</v>
      </c>
      <c r="K173" s="104" t="n">
        <f aca="false">J173*(1+'E4 WIN Input'!K149)*K$8</f>
        <v>1.0510100501</v>
      </c>
      <c r="L173" s="104" t="n">
        <f aca="false">K173*(1+'E4 WIN Input'!L149)*L$8</f>
        <v>1.061520150601</v>
      </c>
      <c r="M173" s="104" t="n">
        <f aca="false">L173*(1+'E4 WIN Input'!M149)*M$8</f>
        <v>1.07213535210701</v>
      </c>
      <c r="N173" s="104" t="n">
        <f aca="false">M173*(1+'E4 WIN Input'!N149)*N$8</f>
        <v>1.08285670562808</v>
      </c>
      <c r="O173" s="104" t="n">
        <f aca="false">N173*(1+'E4 WIN Input'!O149)*O$8</f>
        <v>1.09368527268436</v>
      </c>
      <c r="P173" s="104" t="n">
        <f aca="false">O173*(1+'E4 WIN Input'!P149)*P$8</f>
        <v>1.1046221254112</v>
      </c>
      <c r="Q173" s="104" t="n">
        <f aca="false">P173*(1+'E4 WIN Input'!Q149)*Q$8</f>
        <v>1.11566834666532</v>
      </c>
      <c r="R173" s="104" t="n">
        <f aca="false">Q173*(1+'E4 WIN Input'!R149)*R$8</f>
        <v>1.12682503013197</v>
      </c>
      <c r="S173" s="104" t="n">
        <f aca="false">R173*(1+'E4 WIN Input'!S149)*S$8</f>
        <v>1.13809328043329</v>
      </c>
    </row>
    <row r="174" customFormat="false" ht="15" hidden="false" customHeight="false" outlineLevel="0" collapsed="false">
      <c r="B174" s="24" t="s">
        <v>1765</v>
      </c>
      <c r="C174" s="25" t="s">
        <v>170</v>
      </c>
      <c r="E174" s="47" t="n">
        <f aca="false">SUM(F174:S174)</f>
        <v>0.0230132451842077</v>
      </c>
      <c r="F174" s="47" t="n">
        <f aca="false">'E4 WIN Input'!$E$148*F173*F$8</f>
        <v>0</v>
      </c>
      <c r="G174" s="47" t="n">
        <f aca="false">'E4 WIN Input'!$E$148*G173*G$8</f>
        <v>0.0016665</v>
      </c>
      <c r="H174" s="47" t="n">
        <f aca="false">'E4 WIN Input'!$E$148*H173*H$8</f>
        <v>0.001683165</v>
      </c>
      <c r="I174" s="47" t="n">
        <f aca="false">'E4 WIN Input'!$E$148*I173*I$8</f>
        <v>0.00169999665</v>
      </c>
      <c r="J174" s="47" t="n">
        <f aca="false">'E4 WIN Input'!$E$148*J173*J$8</f>
        <v>0.0017169966165</v>
      </c>
      <c r="K174" s="47" t="n">
        <f aca="false">'E4 WIN Input'!$E$148*K173*K$8</f>
        <v>0.001734166582665</v>
      </c>
      <c r="L174" s="47" t="n">
        <f aca="false">'E4 WIN Input'!$E$148*L173*L$8</f>
        <v>0.00175150824849165</v>
      </c>
      <c r="M174" s="47" t="n">
        <f aca="false">'E4 WIN Input'!$E$148*M173*M$8</f>
        <v>0.00176902333097657</v>
      </c>
      <c r="N174" s="47" t="n">
        <f aca="false">'E4 WIN Input'!$E$148*N173*N$8</f>
        <v>0.00178671356428633</v>
      </c>
      <c r="O174" s="47" t="n">
        <f aca="false">'E4 WIN Input'!$E$148*O173*O$8</f>
        <v>0.0018045806999292</v>
      </c>
      <c r="P174" s="47" t="n">
        <f aca="false">'E4 WIN Input'!$E$148*P173*P$8</f>
        <v>0.00182262650692849</v>
      </c>
      <c r="Q174" s="47" t="n">
        <f aca="false">'E4 WIN Input'!$E$148*Q173*Q$8</f>
        <v>0.00184085277199777</v>
      </c>
      <c r="R174" s="47" t="n">
        <f aca="false">'E4 WIN Input'!$E$148*R173*R$8</f>
        <v>0.00185926129971775</v>
      </c>
      <c r="S174" s="47" t="n">
        <f aca="false">'E4 WIN Input'!$E$148*S173*S$8</f>
        <v>0.00187785391271493</v>
      </c>
    </row>
    <row r="175" customFormat="false" ht="15" hidden="false" customHeight="false" outlineLevel="0" collapsed="false">
      <c r="B175" s="24" t="s">
        <v>1766</v>
      </c>
      <c r="C175" s="25" t="s">
        <v>1019</v>
      </c>
      <c r="F175" s="104" t="n">
        <f aca="false">1</f>
        <v>1</v>
      </c>
      <c r="G175" s="104" t="n">
        <f aca="false">F175*(1+'E4 WIN Input'!G151)*G$8</f>
        <v>1.01</v>
      </c>
      <c r="H175" s="104" t="n">
        <f aca="false">G175*(1+'E4 WIN Input'!H151)*H$8</f>
        <v>1.0201</v>
      </c>
      <c r="I175" s="104" t="n">
        <f aca="false">H175*(1+'E4 WIN Input'!I151)*I$8</f>
        <v>1.030301</v>
      </c>
      <c r="J175" s="104" t="n">
        <f aca="false">I175*(1+'E4 WIN Input'!J151)*J$8</f>
        <v>1.04060401</v>
      </c>
      <c r="K175" s="104" t="n">
        <f aca="false">J175*(1+'E4 WIN Input'!K151)*K$8</f>
        <v>1.0510100501</v>
      </c>
      <c r="L175" s="104" t="n">
        <f aca="false">K175*(1+'E4 WIN Input'!L151)*L$8</f>
        <v>1.061520150601</v>
      </c>
      <c r="M175" s="104" t="n">
        <f aca="false">L175*(1+'E4 WIN Input'!M151)*M$8</f>
        <v>1.07213535210701</v>
      </c>
      <c r="N175" s="104" t="n">
        <f aca="false">M175*(1+'E4 WIN Input'!N151)*N$8</f>
        <v>1.08285670562808</v>
      </c>
      <c r="O175" s="104" t="n">
        <f aca="false">N175*(1+'E4 WIN Input'!O151)*O$8</f>
        <v>1.09368527268436</v>
      </c>
      <c r="P175" s="104" t="n">
        <f aca="false">O175*(1+'E4 WIN Input'!P151)*P$8</f>
        <v>1.1046221254112</v>
      </c>
      <c r="Q175" s="104" t="n">
        <f aca="false">P175*(1+'E4 WIN Input'!Q151)*Q$8</f>
        <v>1.11566834666532</v>
      </c>
      <c r="R175" s="104" t="n">
        <f aca="false">Q175*(1+'E4 WIN Input'!R151)*R$8</f>
        <v>1.12682503013197</v>
      </c>
      <c r="S175" s="104" t="n">
        <f aca="false">R175*(1+'E4 WIN Input'!S151)*S$8</f>
        <v>1.13809328043329</v>
      </c>
    </row>
    <row r="176" customFormat="false" ht="15" hidden="false" customHeight="false" outlineLevel="0" collapsed="false">
      <c r="B176" s="24" t="s">
        <v>1767</v>
      </c>
      <c r="C176" s="25" t="s">
        <v>170</v>
      </c>
      <c r="E176" s="47" t="n">
        <f aca="false">SUM(F176:S176)</f>
        <v>0.719686940306131</v>
      </c>
      <c r="F176" s="47" t="n">
        <f aca="false">'E4 WIN Input'!$E$150*F175*F$8</f>
        <v>0</v>
      </c>
      <c r="G176" s="47" t="n">
        <f aca="false">'E4 WIN Input'!$E$150*G175*G$8</f>
        <v>0.052116</v>
      </c>
      <c r="H176" s="47" t="n">
        <f aca="false">'E4 WIN Input'!$E$150*H175*H$8</f>
        <v>0.05263716</v>
      </c>
      <c r="I176" s="47" t="n">
        <f aca="false">'E4 WIN Input'!$E$150*I175*I$8</f>
        <v>0.0531635316</v>
      </c>
      <c r="J176" s="47" t="n">
        <f aca="false">'E4 WIN Input'!$E$150*J175*J$8</f>
        <v>0.053695166916</v>
      </c>
      <c r="K176" s="47" t="n">
        <f aca="false">'E4 WIN Input'!$E$150*K175*K$8</f>
        <v>0.05423211858516</v>
      </c>
      <c r="L176" s="47" t="n">
        <f aca="false">'E4 WIN Input'!$E$150*L175*L$8</f>
        <v>0.0547744397710116</v>
      </c>
      <c r="M176" s="47" t="n">
        <f aca="false">'E4 WIN Input'!$E$150*M175*M$8</f>
        <v>0.0553221841687217</v>
      </c>
      <c r="N176" s="47" t="n">
        <f aca="false">'E4 WIN Input'!$E$150*N175*N$8</f>
        <v>0.0558754060104089</v>
      </c>
      <c r="O176" s="47" t="n">
        <f aca="false">'E4 WIN Input'!$E$150*O175*O$8</f>
        <v>0.056434160070513</v>
      </c>
      <c r="P176" s="47" t="n">
        <f aca="false">'E4 WIN Input'!$E$150*P175*P$8</f>
        <v>0.0569985016712182</v>
      </c>
      <c r="Q176" s="47" t="n">
        <f aca="false">'E4 WIN Input'!$E$150*Q175*Q$8</f>
        <v>0.0575684866879303</v>
      </c>
      <c r="R176" s="47" t="n">
        <f aca="false">'E4 WIN Input'!$E$150*R175*R$8</f>
        <v>0.0581441715548096</v>
      </c>
      <c r="S176" s="47" t="n">
        <f aca="false">'E4 WIN Input'!$E$150*S175*S$8</f>
        <v>0.0587256132703577</v>
      </c>
    </row>
    <row r="177" customFormat="false" ht="15" hidden="false" customHeight="false" outlineLevel="0" collapsed="false">
      <c r="B177" s="69" t="s">
        <v>1768</v>
      </c>
      <c r="C177" s="25" t="s">
        <v>170</v>
      </c>
      <c r="E177" s="70" t="n">
        <f aca="false">SUM(F177:S177)</f>
        <v>5.80202202525694</v>
      </c>
      <c r="F177" s="68" t="n">
        <f aca="false">F166+F168+F170+F172+F174+F176</f>
        <v>0</v>
      </c>
      <c r="G177" s="68" t="n">
        <f aca="false">G166+G168+G170+G172+G174+G176</f>
        <v>0.4201523786713</v>
      </c>
      <c r="H177" s="68" t="n">
        <f aca="false">H166+H168+H170+H172+H174+H176</f>
        <v>0.424353902458013</v>
      </c>
      <c r="I177" s="68" t="n">
        <f aca="false">I166+I168+I170+I172+I174+I176</f>
        <v>0.428597441482593</v>
      </c>
      <c r="J177" s="68" t="n">
        <f aca="false">J166+J168+J170+J172+J174+J176</f>
        <v>0.432883415897419</v>
      </c>
      <c r="K177" s="68" t="n">
        <f aca="false">K166+K168+K170+K172+K174+K176</f>
        <v>0.437212250056393</v>
      </c>
      <c r="L177" s="68" t="n">
        <f aca="false">L166+L168+L170+L172+L174+L176</f>
        <v>0.441584372556957</v>
      </c>
      <c r="M177" s="68" t="n">
        <f aca="false">M166+M168+M170+M172+M174+M176</f>
        <v>0.446000216282527</v>
      </c>
      <c r="N177" s="68" t="n">
        <f aca="false">N166+N168+N170+N172+N174+N176</f>
        <v>0.450460218445352</v>
      </c>
      <c r="O177" s="68" t="n">
        <f aca="false">O166+O168+O170+O172+O174+O176</f>
        <v>0.454964820629806</v>
      </c>
      <c r="P177" s="68" t="n">
        <f aca="false">P166+P168+P170+P172+P174+P176</f>
        <v>0.459514468836104</v>
      </c>
      <c r="Q177" s="68" t="n">
        <f aca="false">Q166+Q168+Q170+Q172+Q174+Q176</f>
        <v>0.464109613524465</v>
      </c>
      <c r="R177" s="68" t="n">
        <f aca="false">R166+R168+R170+R172+R174+R176</f>
        <v>0.468750709659709</v>
      </c>
      <c r="S177" s="68" t="n">
        <f aca="false">S166+S168+S170+S172+S174+S176</f>
        <v>0.473438216756306</v>
      </c>
    </row>
    <row r="179" customFormat="false" ht="15" hidden="false" customHeight="false" outlineLevel="0" collapsed="false">
      <c r="B179" s="22" t="s">
        <v>1769</v>
      </c>
      <c r="C179" s="23"/>
      <c r="D179" s="23"/>
      <c r="E179" s="23"/>
      <c r="F179" s="23"/>
      <c r="G179" s="23"/>
      <c r="H179" s="23"/>
      <c r="I179" s="23"/>
      <c r="J179" s="23"/>
      <c r="K179" s="23"/>
      <c r="L179" s="23"/>
      <c r="M179" s="23"/>
      <c r="N179" s="23"/>
      <c r="O179" s="23"/>
      <c r="P179" s="23"/>
      <c r="Q179" s="23"/>
      <c r="R179" s="23"/>
      <c r="S179" s="23"/>
    </row>
    <row r="180" customFormat="false" ht="15" hidden="false" customHeight="false" outlineLevel="0" collapsed="false">
      <c r="B180" s="24" t="s">
        <v>1770</v>
      </c>
      <c r="C180" s="25" t="s">
        <v>170</v>
      </c>
      <c r="E180" s="47" t="n">
        <f aca="false">SUM(F180:S180)</f>
        <v>0.56473936246</v>
      </c>
      <c r="F180" s="47" t="n">
        <f aca="false">'E4 WIN Input'!$E$153*F$8</f>
        <v>0</v>
      </c>
      <c r="G180" s="47" t="n">
        <f aca="false">'E4 WIN Input'!$E$153*G$8</f>
        <v>0.04344148942</v>
      </c>
      <c r="H180" s="47" t="n">
        <f aca="false">'E4 WIN Input'!$E$153*H$8</f>
        <v>0.04344148942</v>
      </c>
      <c r="I180" s="47" t="n">
        <f aca="false">'E4 WIN Input'!$E$153*I$8</f>
        <v>0.04344148942</v>
      </c>
      <c r="J180" s="47" t="n">
        <f aca="false">'E4 WIN Input'!$E$153*J$8</f>
        <v>0.04344148942</v>
      </c>
      <c r="K180" s="47" t="n">
        <f aca="false">'E4 WIN Input'!$E$153*K$8</f>
        <v>0.04344148942</v>
      </c>
      <c r="L180" s="47" t="n">
        <f aca="false">'E4 WIN Input'!$E$153*L$8</f>
        <v>0.04344148942</v>
      </c>
      <c r="M180" s="47" t="n">
        <f aca="false">'E4 WIN Input'!$E$153*M$8</f>
        <v>0.04344148942</v>
      </c>
      <c r="N180" s="47" t="n">
        <f aca="false">'E4 WIN Input'!$E$153*N$8</f>
        <v>0.04344148942</v>
      </c>
      <c r="O180" s="47" t="n">
        <f aca="false">'E4 WIN Input'!$E$153*O$8</f>
        <v>0.04344148942</v>
      </c>
      <c r="P180" s="47" t="n">
        <f aca="false">'E4 WIN Input'!$E$153*P$8</f>
        <v>0.04344148942</v>
      </c>
      <c r="Q180" s="47" t="n">
        <f aca="false">'E4 WIN Input'!$E$153*Q$8</f>
        <v>0.04344148942</v>
      </c>
      <c r="R180" s="47" t="n">
        <f aca="false">'E4 WIN Input'!$E$153*R$8</f>
        <v>0.04344148942</v>
      </c>
      <c r="S180" s="47" t="n">
        <f aca="false">'E4 WIN Input'!$E$153*S$8</f>
        <v>0.04344148942</v>
      </c>
    </row>
    <row r="182" customFormat="false" ht="15" hidden="false" customHeight="false" outlineLevel="0" collapsed="false">
      <c r="B182" s="22" t="s">
        <v>1771</v>
      </c>
      <c r="C182" s="23"/>
      <c r="D182" s="23"/>
      <c r="E182" s="23"/>
      <c r="F182" s="23"/>
      <c r="G182" s="23"/>
      <c r="H182" s="23"/>
      <c r="I182" s="23"/>
      <c r="J182" s="23"/>
      <c r="K182" s="23"/>
      <c r="L182" s="23"/>
      <c r="M182" s="23"/>
      <c r="N182" s="23"/>
      <c r="O182" s="23"/>
      <c r="P182" s="23"/>
      <c r="Q182" s="23"/>
      <c r="R182" s="23"/>
      <c r="S182" s="23"/>
    </row>
    <row r="183" customFormat="false" ht="15" hidden="false" customHeight="false" outlineLevel="0" collapsed="false">
      <c r="B183" s="24" t="s">
        <v>1772</v>
      </c>
      <c r="C183" s="25" t="s">
        <v>170</v>
      </c>
      <c r="E183" s="47" t="n">
        <f aca="false">SUM(F183:S183)</f>
        <v>3.85186505912</v>
      </c>
      <c r="F183" s="47" t="n">
        <f aca="false">'E4 WIN Input'!$E$155*F$8</f>
        <v>0</v>
      </c>
      <c r="G183" s="47" t="n">
        <f aca="false">'E4 WIN Input'!$E$155*G$8</f>
        <v>0.29629731224</v>
      </c>
      <c r="H183" s="47" t="n">
        <f aca="false">'E4 WIN Input'!$E$155*H$8</f>
        <v>0.29629731224</v>
      </c>
      <c r="I183" s="47" t="n">
        <f aca="false">'E4 WIN Input'!$E$155*I$8</f>
        <v>0.29629731224</v>
      </c>
      <c r="J183" s="47" t="n">
        <f aca="false">'E4 WIN Input'!$E$155*J$8</f>
        <v>0.29629731224</v>
      </c>
      <c r="K183" s="47" t="n">
        <f aca="false">'E4 WIN Input'!$E$155*K$8</f>
        <v>0.29629731224</v>
      </c>
      <c r="L183" s="47" t="n">
        <f aca="false">'E4 WIN Input'!$E$155*L$8</f>
        <v>0.29629731224</v>
      </c>
      <c r="M183" s="47" t="n">
        <f aca="false">'E4 WIN Input'!$E$155*M$8</f>
        <v>0.29629731224</v>
      </c>
      <c r="N183" s="47" t="n">
        <f aca="false">'E4 WIN Input'!$E$155*N$8</f>
        <v>0.29629731224</v>
      </c>
      <c r="O183" s="47" t="n">
        <f aca="false">'E4 WIN Input'!$E$155*O$8</f>
        <v>0.29629731224</v>
      </c>
      <c r="P183" s="47" t="n">
        <f aca="false">'E4 WIN Input'!$E$155*P$8</f>
        <v>0.29629731224</v>
      </c>
      <c r="Q183" s="47" t="n">
        <f aca="false">'E4 WIN Input'!$E$155*Q$8</f>
        <v>0.29629731224</v>
      </c>
      <c r="R183" s="47" t="n">
        <f aca="false">'E4 WIN Input'!$E$155*R$8</f>
        <v>0.29629731224</v>
      </c>
      <c r="S183" s="47" t="n">
        <f aca="false">'E4 WIN Input'!$E$155*S$8</f>
        <v>0.29629731224</v>
      </c>
    </row>
    <row r="185" customFormat="false" ht="15" hidden="false" customHeight="false" outlineLevel="0" collapsed="false">
      <c r="B185" s="22" t="s">
        <v>1773</v>
      </c>
      <c r="C185" s="23"/>
      <c r="D185" s="23"/>
      <c r="E185" s="23"/>
      <c r="F185" s="23"/>
      <c r="G185" s="23"/>
      <c r="H185" s="23"/>
      <c r="I185" s="23"/>
      <c r="J185" s="23"/>
      <c r="K185" s="23"/>
      <c r="L185" s="23"/>
      <c r="M185" s="23"/>
      <c r="N185" s="23"/>
      <c r="O185" s="23"/>
      <c r="P185" s="23"/>
      <c r="Q185" s="23"/>
      <c r="R185" s="23"/>
      <c r="S185" s="23"/>
    </row>
    <row r="186" customFormat="false" ht="15" hidden="false" customHeight="false" outlineLevel="0" collapsed="false">
      <c r="B186" s="24" t="s">
        <v>1774</v>
      </c>
      <c r="C186" s="25" t="s">
        <v>170</v>
      </c>
      <c r="E186" s="47" t="n">
        <f aca="false">SUM(F186:S186)</f>
        <v>1.08318097836</v>
      </c>
      <c r="F186" s="47" t="n">
        <f aca="false">'E4 WIN Input'!$E$157*F$8</f>
        <v>0</v>
      </c>
      <c r="G186" s="47" t="n">
        <f aca="false">'E4 WIN Input'!$E$157*G$8</f>
        <v>0.08332161372</v>
      </c>
      <c r="H186" s="47" t="n">
        <f aca="false">'E4 WIN Input'!$E$157*H$8</f>
        <v>0.08332161372</v>
      </c>
      <c r="I186" s="47" t="n">
        <f aca="false">'E4 WIN Input'!$E$157*I$8</f>
        <v>0.08332161372</v>
      </c>
      <c r="J186" s="47" t="n">
        <f aca="false">'E4 WIN Input'!$E$157*J$8</f>
        <v>0.08332161372</v>
      </c>
      <c r="K186" s="47" t="n">
        <f aca="false">'E4 WIN Input'!$E$157*K$8</f>
        <v>0.08332161372</v>
      </c>
      <c r="L186" s="47" t="n">
        <f aca="false">'E4 WIN Input'!$E$157*L$8</f>
        <v>0.08332161372</v>
      </c>
      <c r="M186" s="47" t="n">
        <f aca="false">'E4 WIN Input'!$E$157*M$8</f>
        <v>0.08332161372</v>
      </c>
      <c r="N186" s="47" t="n">
        <f aca="false">'E4 WIN Input'!$E$157*N$8</f>
        <v>0.08332161372</v>
      </c>
      <c r="O186" s="47" t="n">
        <f aca="false">'E4 WIN Input'!$E$157*O$8</f>
        <v>0.08332161372</v>
      </c>
      <c r="P186" s="47" t="n">
        <f aca="false">'E4 WIN Input'!$E$157*P$8</f>
        <v>0.08332161372</v>
      </c>
      <c r="Q186" s="47" t="n">
        <f aca="false">'E4 WIN Input'!$E$157*Q$8</f>
        <v>0.08332161372</v>
      </c>
      <c r="R186" s="47" t="n">
        <f aca="false">'E4 WIN Input'!$E$157*R$8</f>
        <v>0.08332161372</v>
      </c>
      <c r="S186" s="47" t="n">
        <f aca="false">'E4 WIN Input'!$E$157*S$8</f>
        <v>0.08332161372</v>
      </c>
    </row>
    <row r="188" customFormat="false" ht="15" hidden="false" customHeight="false" outlineLevel="0" collapsed="false">
      <c r="B188" s="22" t="s">
        <v>1775</v>
      </c>
      <c r="C188" s="23"/>
      <c r="D188" s="23"/>
      <c r="E188" s="23"/>
      <c r="F188" s="23"/>
      <c r="G188" s="23"/>
      <c r="H188" s="23"/>
      <c r="I188" s="23"/>
      <c r="J188" s="23"/>
      <c r="K188" s="23"/>
      <c r="L188" s="23"/>
      <c r="M188" s="23"/>
      <c r="N188" s="23"/>
      <c r="O188" s="23"/>
      <c r="P188" s="23"/>
      <c r="Q188" s="23"/>
      <c r="R188" s="23"/>
      <c r="S188" s="23"/>
    </row>
    <row r="189" customFormat="false" ht="15" hidden="false" customHeight="false" outlineLevel="0" collapsed="false">
      <c r="B189" s="24" t="s">
        <v>1776</v>
      </c>
      <c r="C189" s="25" t="s">
        <v>170</v>
      </c>
      <c r="E189" s="47" t="n">
        <f aca="false">SUM(F189:S189)</f>
        <v>0.21345999961</v>
      </c>
      <c r="F189" s="47" t="n">
        <f aca="false">'E4 WIN Input'!$E$159*F$8</f>
        <v>0</v>
      </c>
      <c r="G189" s="47" t="n">
        <f aca="false">'E4 WIN Input'!$E$159*G$8</f>
        <v>0.01641999997</v>
      </c>
      <c r="H189" s="47" t="n">
        <f aca="false">'E4 WIN Input'!$E$159*H$8</f>
        <v>0.01641999997</v>
      </c>
      <c r="I189" s="47" t="n">
        <f aca="false">'E4 WIN Input'!$E$159*I$8</f>
        <v>0.01641999997</v>
      </c>
      <c r="J189" s="47" t="n">
        <f aca="false">'E4 WIN Input'!$E$159*J$8</f>
        <v>0.01641999997</v>
      </c>
      <c r="K189" s="47" t="n">
        <f aca="false">'E4 WIN Input'!$E$159*K$8</f>
        <v>0.01641999997</v>
      </c>
      <c r="L189" s="47" t="n">
        <f aca="false">'E4 WIN Input'!$E$159*L$8</f>
        <v>0.01641999997</v>
      </c>
      <c r="M189" s="47" t="n">
        <f aca="false">'E4 WIN Input'!$E$159*M$8</f>
        <v>0.01641999997</v>
      </c>
      <c r="N189" s="47" t="n">
        <f aca="false">'E4 WIN Input'!$E$159*N$8</f>
        <v>0.01641999997</v>
      </c>
      <c r="O189" s="47" t="n">
        <f aca="false">'E4 WIN Input'!$E$159*O$8</f>
        <v>0.01641999997</v>
      </c>
      <c r="P189" s="47" t="n">
        <f aca="false">'E4 WIN Input'!$E$159*P$8</f>
        <v>0.01641999997</v>
      </c>
      <c r="Q189" s="47" t="n">
        <f aca="false">'E4 WIN Input'!$E$159*Q$8</f>
        <v>0.01641999997</v>
      </c>
      <c r="R189" s="47" t="n">
        <f aca="false">'E4 WIN Input'!$E$159*R$8</f>
        <v>0.01641999997</v>
      </c>
      <c r="S189" s="47" t="n">
        <f aca="false">'E4 WIN Input'!$E$159*S$8</f>
        <v>0.01641999997</v>
      </c>
    </row>
    <row r="191" customFormat="false" ht="15" hidden="false" customHeight="false" outlineLevel="0" collapsed="false">
      <c r="B191" s="22" t="s">
        <v>1777</v>
      </c>
      <c r="C191" s="23"/>
      <c r="D191" s="23"/>
      <c r="E191" s="23"/>
      <c r="F191" s="23"/>
      <c r="G191" s="23"/>
      <c r="H191" s="23"/>
      <c r="I191" s="23"/>
      <c r="J191" s="23"/>
      <c r="K191" s="23"/>
      <c r="L191" s="23"/>
      <c r="M191" s="23"/>
      <c r="N191" s="23"/>
      <c r="O191" s="23"/>
      <c r="P191" s="23"/>
      <c r="Q191" s="23"/>
      <c r="R191" s="23"/>
      <c r="S191" s="23"/>
    </row>
    <row r="192" customFormat="false" ht="15" hidden="false" customHeight="false" outlineLevel="0" collapsed="false">
      <c r="B192" s="69" t="s">
        <v>1778</v>
      </c>
      <c r="C192" s="25" t="s">
        <v>900</v>
      </c>
      <c r="E192" s="105" t="n">
        <f aca="false">SUM(F192:S192)</f>
        <v>89837582.4111226</v>
      </c>
      <c r="F192" s="106" t="n">
        <f aca="false">F34+F46+F58+F79</f>
        <v>4493028.027</v>
      </c>
      <c r="G192" s="106" t="n">
        <f aca="false">G34+G46+G58+G79</f>
        <v>4599405.22835</v>
      </c>
      <c r="H192" s="106" t="n">
        <f aca="false">H34+H46+H58+H79</f>
        <v>4825815.4897675</v>
      </c>
      <c r="I192" s="106" t="n">
        <f aca="false">I34+I46+I58+I79</f>
        <v>5363403.86425588</v>
      </c>
      <c r="J192" s="106" t="n">
        <f aca="false">J34+J46+J58+J79</f>
        <v>5627723.56146867</v>
      </c>
      <c r="K192" s="106" t="n">
        <f aca="false">K34+K46+K58+K79</f>
        <v>5905105.2237021</v>
      </c>
      <c r="L192" s="106" t="n">
        <f aca="false">L34+L46+L58+L79</f>
        <v>6196195.78841361</v>
      </c>
      <c r="M192" s="106" t="n">
        <f aca="false">M34+M46+M58+M79</f>
        <v>6501674.29350175</v>
      </c>
      <c r="N192" s="106" t="n">
        <f aca="false">N34+N46+N58+N79</f>
        <v>6822253.47247099</v>
      </c>
      <c r="O192" s="106" t="n">
        <f aca="false">O34+O46+O58+O79</f>
        <v>7158681.42896046</v>
      </c>
      <c r="P192" s="106" t="n">
        <f aca="false">P34+P46+P58+P79</f>
        <v>7511743.39458904</v>
      </c>
      <c r="Q192" s="106" t="n">
        <f aca="false">Q34+Q46+Q58+Q79</f>
        <v>7882263.57426627</v>
      </c>
      <c r="R192" s="106" t="n">
        <f aca="false">R34+R46+R58+R79</f>
        <v>8271107.08332527</v>
      </c>
      <c r="S192" s="106" t="n">
        <f aca="false">S34+S46+S58+S79</f>
        <v>8679181.98105106</v>
      </c>
    </row>
    <row r="193" customFormat="false" ht="15" hidden="false" customHeight="false" outlineLevel="0" collapsed="false">
      <c r="B193" s="69" t="s">
        <v>1779</v>
      </c>
      <c r="C193" s="25" t="s">
        <v>170</v>
      </c>
      <c r="E193" s="70" t="n">
        <f aca="false">SUM(F193:S193)</f>
        <v>1102.6466786616</v>
      </c>
      <c r="F193" s="68" t="n">
        <f aca="false">F35+F47+F59+F80</f>
        <v>0</v>
      </c>
      <c r="G193" s="68" t="n">
        <f aca="false">G35+G47+G59+G80</f>
        <v>87.9486723607539</v>
      </c>
      <c r="H193" s="68" t="n">
        <f aca="false">H35+H47+H59+H80</f>
        <v>65.3586410331276</v>
      </c>
      <c r="I193" s="68" t="n">
        <f aca="false">I35+I47+I59+I80</f>
        <v>61.9897288255351</v>
      </c>
      <c r="J193" s="68" t="n">
        <f aca="false">J35+J47+J59+J80</f>
        <v>66.8577054381607</v>
      </c>
      <c r="K193" s="68" t="n">
        <f aca="false">K35+K47+K59+K80</f>
        <v>72.1093080811055</v>
      </c>
      <c r="L193" s="68" t="n">
        <f aca="false">L35+L47+L59+L80</f>
        <v>77.7748685545113</v>
      </c>
      <c r="M193" s="68" t="n">
        <f aca="false">M35+M47+M59+M80</f>
        <v>83.8871242192732</v>
      </c>
      <c r="N193" s="68" t="n">
        <f aca="false">N35+N47+N59+N80</f>
        <v>90.4814093167961</v>
      </c>
      <c r="O193" s="68" t="n">
        <f aca="false">O35+O47+O59+O80</f>
        <v>97.5958615442911</v>
      </c>
      <c r="P193" s="68" t="n">
        <f aca="false">P35+P47+P59+P80</f>
        <v>105.271645104941</v>
      </c>
      <c r="Q193" s="68" t="n">
        <f aca="false">Q35+Q47+Q59+Q80</f>
        <v>93.1878419546129</v>
      </c>
      <c r="R193" s="68" t="n">
        <f aca="false">R35+R47+R59+R80</f>
        <v>97.7168270689103</v>
      </c>
      <c r="S193" s="68" t="n">
        <f aca="false">S35+S47+S59+S80</f>
        <v>102.467045159585</v>
      </c>
    </row>
    <row r="194" customFormat="false" ht="15" hidden="false" customHeight="false" outlineLevel="0" collapsed="false">
      <c r="B194" s="69" t="s">
        <v>1780</v>
      </c>
      <c r="C194" s="25" t="s">
        <v>170</v>
      </c>
      <c r="E194" s="70" t="n">
        <f aca="false">SUM(F194:S194)</f>
        <v>753.053111494752</v>
      </c>
      <c r="F194" s="68" t="n">
        <f aca="false">F95+F103+F111+F119</f>
        <v>0</v>
      </c>
      <c r="G194" s="68" t="n">
        <f aca="false">G95+G103+G111+G119</f>
        <v>71.1614065161973</v>
      </c>
      <c r="H194" s="68" t="n">
        <f aca="false">H95+H103+H111+H119</f>
        <v>49.0981822234332</v>
      </c>
      <c r="I194" s="68" t="n">
        <f aca="false">I95+I103+I111+I119</f>
        <v>42.9266142566558</v>
      </c>
      <c r="J194" s="68" t="n">
        <f aca="false">J95+J103+J111+J119</f>
        <v>46.0653970447575</v>
      </c>
      <c r="K194" s="68" t="n">
        <f aca="false">K95+K103+K111+K119</f>
        <v>49.4418341804361</v>
      </c>
      <c r="L194" s="68" t="n">
        <f aca="false">L95+L103+L111+L119</f>
        <v>53.0742603339529</v>
      </c>
      <c r="M194" s="68" t="n">
        <f aca="false">M95+M103+M111+M119</f>
        <v>56.9824398597723</v>
      </c>
      <c r="N194" s="68" t="n">
        <f aca="false">N95+N103+N111+N119</f>
        <v>61.1876790332437</v>
      </c>
      <c r="O194" s="68" t="n">
        <f aca="false">O95+O103+O111+O119</f>
        <v>65.7129471407233</v>
      </c>
      <c r="P194" s="68" t="n">
        <f aca="false">P95+P103+P111+P119</f>
        <v>70.5830071241576</v>
      </c>
      <c r="Q194" s="68" t="n">
        <f aca="false">Q95+Q103+Q111+Q119</f>
        <v>59.4535077945071</v>
      </c>
      <c r="R194" s="68" t="n">
        <f aca="false">R95+R103+R111+R119</f>
        <v>62.2293229869338</v>
      </c>
      <c r="S194" s="68" t="n">
        <f aca="false">S95+S103+S111+S119</f>
        <v>65.1365129999812</v>
      </c>
    </row>
    <row r="195" customFormat="false" ht="15" hidden="false" customHeight="false" outlineLevel="0" collapsed="false">
      <c r="B195" s="69" t="s">
        <v>1781</v>
      </c>
      <c r="C195" s="25" t="s">
        <v>170</v>
      </c>
      <c r="E195" s="70" t="n">
        <f aca="false">SUM(F195:S195)</f>
        <v>31.6480015229728</v>
      </c>
      <c r="F195" s="68" t="n">
        <f aca="false">F132+F147+F162+F177</f>
        <v>0</v>
      </c>
      <c r="G195" s="68" t="n">
        <f aca="false">G132+G147+G162+G177</f>
        <v>2.2917843231526</v>
      </c>
      <c r="H195" s="68" t="n">
        <f aca="false">H132+H147+H162+H177</f>
        <v>2.31470216638413</v>
      </c>
      <c r="I195" s="68" t="n">
        <f aca="false">I132+I147+I162+I177</f>
        <v>2.33784918804797</v>
      </c>
      <c r="J195" s="68" t="n">
        <f aca="false">J132+J147+J162+J177</f>
        <v>2.36122767992845</v>
      </c>
      <c r="K195" s="68" t="n">
        <f aca="false">K132+K147+K162+K177</f>
        <v>2.38483995672773</v>
      </c>
      <c r="L195" s="68" t="n">
        <f aca="false">L132+L147+L162+L177</f>
        <v>2.40868835629501</v>
      </c>
      <c r="M195" s="68" t="n">
        <f aca="false">M132+M147+M162+M177</f>
        <v>2.43277523985796</v>
      </c>
      <c r="N195" s="68" t="n">
        <f aca="false">N132+N147+N162+N177</f>
        <v>2.45710299225654</v>
      </c>
      <c r="O195" s="68" t="n">
        <f aca="false">O132+O147+O162+O177</f>
        <v>2.4816740221791</v>
      </c>
      <c r="P195" s="68" t="n">
        <f aca="false">P132+P147+P162+P177</f>
        <v>2.50649076240089</v>
      </c>
      <c r="Q195" s="68" t="n">
        <f aca="false">Q132+Q147+Q162+Q177</f>
        <v>2.5315556700249</v>
      </c>
      <c r="R195" s="68" t="n">
        <f aca="false">R132+R147+R162+R177</f>
        <v>2.55687122672515</v>
      </c>
      <c r="S195" s="68" t="n">
        <f aca="false">S132+S147+S162+S177</f>
        <v>2.5824399389924</v>
      </c>
    </row>
    <row r="196" customFormat="false" ht="15" hidden="false" customHeight="false" outlineLevel="0" collapsed="false">
      <c r="B196" s="69" t="s">
        <v>1782</v>
      </c>
      <c r="C196" s="25" t="s">
        <v>170</v>
      </c>
      <c r="E196" s="70" t="n">
        <f aca="false">SUM(F196:S196)</f>
        <v>5.71324539955</v>
      </c>
      <c r="F196" s="68" t="n">
        <f aca="false">F180+F183+F186+F189</f>
        <v>0</v>
      </c>
      <c r="G196" s="68" t="n">
        <f aca="false">G180+G183+G186+G189</f>
        <v>0.43948041535</v>
      </c>
      <c r="H196" s="68" t="n">
        <f aca="false">H180+H183+H186+H189</f>
        <v>0.43948041535</v>
      </c>
      <c r="I196" s="68" t="n">
        <f aca="false">I180+I183+I186+I189</f>
        <v>0.43948041535</v>
      </c>
      <c r="J196" s="68" t="n">
        <f aca="false">J180+J183+J186+J189</f>
        <v>0.43948041535</v>
      </c>
      <c r="K196" s="68" t="n">
        <f aca="false">K180+K183+K186+K189</f>
        <v>0.43948041535</v>
      </c>
      <c r="L196" s="68" t="n">
        <f aca="false">L180+L183+L186+L189</f>
        <v>0.43948041535</v>
      </c>
      <c r="M196" s="68" t="n">
        <f aca="false">M180+M183+M186+M189</f>
        <v>0.43948041535</v>
      </c>
      <c r="N196" s="68" t="n">
        <f aca="false">N180+N183+N186+N189</f>
        <v>0.43948041535</v>
      </c>
      <c r="O196" s="68" t="n">
        <f aca="false">O180+O183+O186+O189</f>
        <v>0.43948041535</v>
      </c>
      <c r="P196" s="68" t="n">
        <f aca="false">P180+P183+P186+P189</f>
        <v>0.43948041535</v>
      </c>
      <c r="Q196" s="68" t="n">
        <f aca="false">Q180+Q183+Q186+Q189</f>
        <v>0.43948041535</v>
      </c>
      <c r="R196" s="68" t="n">
        <f aca="false">R180+R183+R186+R189</f>
        <v>0.43948041535</v>
      </c>
      <c r="S196" s="68" t="n">
        <f aca="false">S180+S183+S186+S189</f>
        <v>0.43948041535</v>
      </c>
    </row>
    <row r="198" customFormat="false" ht="15" hidden="false" customHeight="false" outlineLevel="0" collapsed="false">
      <c r="B198" s="22" t="s">
        <v>1783</v>
      </c>
      <c r="C198" s="23"/>
      <c r="D198" s="23"/>
      <c r="E198" s="23"/>
      <c r="F198" s="23"/>
      <c r="G198" s="23"/>
      <c r="H198" s="23"/>
      <c r="I198" s="23"/>
      <c r="J198" s="23"/>
      <c r="K198" s="23"/>
      <c r="L198" s="23"/>
      <c r="M198" s="23"/>
      <c r="N198" s="23"/>
      <c r="O198" s="23"/>
      <c r="P198" s="23"/>
      <c r="Q198" s="23"/>
      <c r="R198" s="23"/>
      <c r="S198" s="23"/>
    </row>
    <row r="199" customFormat="false" ht="15" hidden="false" customHeight="false" outlineLevel="0" collapsed="false">
      <c r="B199" s="24" t="s">
        <v>1090</v>
      </c>
      <c r="C199" s="25" t="s">
        <v>240</v>
      </c>
      <c r="F199" s="44" t="n">
        <f aca="false">0</f>
        <v>0</v>
      </c>
      <c r="G199" s="44" t="n">
        <f aca="false">0</f>
        <v>0</v>
      </c>
      <c r="H199" s="44" t="n">
        <f aca="false">0</f>
        <v>0</v>
      </c>
      <c r="I199" s="44" t="n">
        <f aca="false">0</f>
        <v>0</v>
      </c>
      <c r="J199" s="44" t="n">
        <f aca="false">0</f>
        <v>0</v>
      </c>
      <c r="K199" s="44" t="n">
        <f aca="false">0</f>
        <v>0</v>
      </c>
      <c r="L199" s="44" t="n">
        <f aca="false">0</f>
        <v>0</v>
      </c>
      <c r="M199" s="44" t="n">
        <f aca="false">0</f>
        <v>0</v>
      </c>
      <c r="N199" s="44" t="n">
        <f aca="false">0</f>
        <v>0</v>
      </c>
      <c r="O199" s="44" t="n">
        <f aca="false">0</f>
        <v>0</v>
      </c>
      <c r="P199" s="44" t="n">
        <f aca="false">0</f>
        <v>0</v>
      </c>
      <c r="Q199" s="44" t="n">
        <f aca="false">0</f>
        <v>0</v>
      </c>
      <c r="R199" s="44" t="n">
        <f aca="false">0</f>
        <v>0</v>
      </c>
      <c r="S199" s="44" t="n">
        <f aca="false">0</f>
        <v>0</v>
      </c>
    </row>
    <row r="200" customFormat="false" ht="15" hidden="false" customHeight="false" outlineLevel="0" collapsed="false">
      <c r="B200" s="24" t="s">
        <v>1091</v>
      </c>
      <c r="C200" s="25" t="s">
        <v>170</v>
      </c>
      <c r="F200" s="47" t="n">
        <f aca="false">0</f>
        <v>0</v>
      </c>
      <c r="G200" s="47" t="n">
        <f aca="false">0</f>
        <v>0</v>
      </c>
      <c r="H200" s="47" t="n">
        <f aca="false">0</f>
        <v>0</v>
      </c>
      <c r="I200" s="47" t="n">
        <f aca="false">0</f>
        <v>0</v>
      </c>
      <c r="J200" s="47" t="n">
        <f aca="false">0</f>
        <v>0</v>
      </c>
      <c r="K200" s="47" t="n">
        <f aca="false">0</f>
        <v>0</v>
      </c>
      <c r="L200" s="47" t="n">
        <f aca="false">0</f>
        <v>0</v>
      </c>
      <c r="M200" s="47" t="n">
        <f aca="false">0</f>
        <v>0</v>
      </c>
      <c r="N200" s="47" t="n">
        <f aca="false">0</f>
        <v>0</v>
      </c>
      <c r="O200" s="47" t="n">
        <f aca="false">0</f>
        <v>0</v>
      </c>
      <c r="P200" s="47" t="n">
        <f aca="false">0</f>
        <v>0</v>
      </c>
      <c r="Q200" s="47" t="n">
        <f aca="false">0</f>
        <v>0</v>
      </c>
      <c r="R200" s="47" t="n">
        <f aca="false">0</f>
        <v>0</v>
      </c>
      <c r="S200" s="47" t="n">
        <f aca="false">0</f>
        <v>0</v>
      </c>
    </row>
    <row r="201" customFormat="false" ht="15" hidden="false" customHeight="false" outlineLevel="0" collapsed="false">
      <c r="B201" s="24" t="s">
        <v>1092</v>
      </c>
      <c r="C201" s="25" t="s">
        <v>170</v>
      </c>
      <c r="F201" s="47" t="n">
        <f aca="false">0</f>
        <v>0</v>
      </c>
      <c r="G201" s="47" t="n">
        <f aca="false">0</f>
        <v>0</v>
      </c>
      <c r="H201" s="47" t="n">
        <f aca="false">0</f>
        <v>0</v>
      </c>
      <c r="I201" s="47" t="n">
        <f aca="false">0</f>
        <v>0</v>
      </c>
      <c r="J201" s="47" t="n">
        <f aca="false">0</f>
        <v>0</v>
      </c>
      <c r="K201" s="47" t="n">
        <f aca="false">0</f>
        <v>0</v>
      </c>
      <c r="L201" s="47" t="n">
        <f aca="false">0</f>
        <v>0</v>
      </c>
      <c r="M201" s="47" t="n">
        <f aca="false">0</f>
        <v>0</v>
      </c>
      <c r="N201" s="47" t="n">
        <f aca="false">0</f>
        <v>0</v>
      </c>
      <c r="O201" s="47" t="n">
        <f aca="false">0</f>
        <v>0</v>
      </c>
      <c r="P201" s="47" t="n">
        <f aca="false">0</f>
        <v>0</v>
      </c>
      <c r="Q201" s="47" t="n">
        <f aca="false">0</f>
        <v>0</v>
      </c>
      <c r="R201" s="47" t="n">
        <f aca="false">0</f>
        <v>0</v>
      </c>
      <c r="S201" s="47" t="n">
        <f aca="false">0</f>
        <v>0</v>
      </c>
    </row>
    <row r="202" customFormat="false" ht="15" hidden="false" customHeight="false" outlineLevel="0" collapsed="false">
      <c r="B202" s="24" t="s">
        <v>1093</v>
      </c>
      <c r="C202" s="25" t="s">
        <v>170</v>
      </c>
      <c r="F202" s="47" t="n">
        <f aca="false">0</f>
        <v>0</v>
      </c>
      <c r="G202" s="47" t="n">
        <f aca="false">0</f>
        <v>0</v>
      </c>
      <c r="H202" s="47" t="n">
        <f aca="false">0</f>
        <v>0</v>
      </c>
      <c r="I202" s="47" t="n">
        <f aca="false">0</f>
        <v>0</v>
      </c>
      <c r="J202" s="47" t="n">
        <f aca="false">0</f>
        <v>0</v>
      </c>
      <c r="K202" s="47" t="n">
        <f aca="false">0</f>
        <v>0</v>
      </c>
      <c r="L202" s="47" t="n">
        <f aca="false">0</f>
        <v>0</v>
      </c>
      <c r="M202" s="47" t="n">
        <f aca="false">0</f>
        <v>0</v>
      </c>
      <c r="N202" s="47" t="n">
        <f aca="false">0</f>
        <v>0</v>
      </c>
      <c r="O202" s="47" t="n">
        <f aca="false">0</f>
        <v>0</v>
      </c>
      <c r="P202" s="47" t="n">
        <f aca="false">0</f>
        <v>0</v>
      </c>
      <c r="Q202" s="47" t="n">
        <f aca="false">0</f>
        <v>0</v>
      </c>
      <c r="R202" s="47" t="n">
        <f aca="false">0</f>
        <v>0</v>
      </c>
      <c r="S202" s="47" t="n">
        <f aca="false">0</f>
        <v>0</v>
      </c>
    </row>
    <row r="203" customFormat="false" ht="15" hidden="false" customHeight="false" outlineLevel="0" collapsed="false">
      <c r="B203" s="69" t="s">
        <v>1094</v>
      </c>
      <c r="C203" s="25" t="s">
        <v>170</v>
      </c>
      <c r="E203" s="70" t="n">
        <f aca="false">SUM(F203:S203)</f>
        <v>5.71324539955</v>
      </c>
      <c r="F203" s="68" t="n">
        <f aca="false">F201+F196</f>
        <v>0</v>
      </c>
      <c r="G203" s="68" t="n">
        <f aca="false">G201+G196</f>
        <v>0.43948041535</v>
      </c>
      <c r="H203" s="68" t="n">
        <f aca="false">H201+H196</f>
        <v>0.43948041535</v>
      </c>
      <c r="I203" s="68" t="n">
        <f aca="false">I201+I196</f>
        <v>0.43948041535</v>
      </c>
      <c r="J203" s="68" t="n">
        <f aca="false">J201+J196</f>
        <v>0.43948041535</v>
      </c>
      <c r="K203" s="68" t="n">
        <f aca="false">K201+K196</f>
        <v>0.43948041535</v>
      </c>
      <c r="L203" s="68" t="n">
        <f aca="false">L201+L196</f>
        <v>0.43948041535</v>
      </c>
      <c r="M203" s="68" t="n">
        <f aca="false">M201+M196</f>
        <v>0.43948041535</v>
      </c>
      <c r="N203" s="68" t="n">
        <f aca="false">N201+N196</f>
        <v>0.43948041535</v>
      </c>
      <c r="O203" s="68" t="n">
        <f aca="false">O201+O196</f>
        <v>0.43948041535</v>
      </c>
      <c r="P203" s="68" t="n">
        <f aca="false">P201+P196</f>
        <v>0.43948041535</v>
      </c>
      <c r="Q203" s="68" t="n">
        <f aca="false">Q201+Q196</f>
        <v>0.43948041535</v>
      </c>
      <c r="R203" s="68" t="n">
        <f aca="false">R201+R196</f>
        <v>0.43948041535</v>
      </c>
      <c r="S203" s="68" t="n">
        <f aca="false">S201+S196</f>
        <v>0.43948041535</v>
      </c>
    </row>
    <row r="205" customFormat="false" ht="15" hidden="false" customHeight="false" outlineLevel="0" collapsed="false">
      <c r="B205" s="22" t="s">
        <v>1784</v>
      </c>
      <c r="C205" s="23"/>
      <c r="D205" s="23"/>
      <c r="E205" s="23"/>
      <c r="F205" s="23"/>
      <c r="G205" s="23"/>
      <c r="H205" s="23"/>
      <c r="I205" s="23"/>
      <c r="J205" s="23"/>
      <c r="K205" s="23"/>
      <c r="L205" s="23"/>
      <c r="M205" s="23"/>
      <c r="N205" s="23"/>
      <c r="O205" s="23"/>
      <c r="P205" s="23"/>
      <c r="Q205" s="23"/>
      <c r="R205" s="23"/>
      <c r="S205" s="23"/>
    </row>
    <row r="206" customFormat="false" ht="15" hidden="false" customHeight="false" outlineLevel="0" collapsed="false">
      <c r="B206" s="24" t="s">
        <v>1096</v>
      </c>
      <c r="C206" s="25" t="s">
        <v>170</v>
      </c>
      <c r="F206" s="47" t="n">
        <f aca="false">'Global Inputs'!$E$60*$G$193/('Global Inputs'!$E$106)</f>
        <v>12.9637748961044</v>
      </c>
      <c r="G206" s="47" t="n">
        <f aca="false">G193*'Global Inputs'!$E$28/G$7</f>
        <v>10.8133613558304</v>
      </c>
      <c r="H206" s="47" t="n">
        <f aca="false">H193*'Global Inputs'!$E$28/H$7</f>
        <v>8.05791464791984</v>
      </c>
      <c r="I206" s="47" t="n">
        <f aca="false">I193*'Global Inputs'!$E$28/I$7</f>
        <v>7.64256930725775</v>
      </c>
      <c r="J206" s="47" t="n">
        <f aca="false">J193*'Global Inputs'!$E$28/J$7</f>
        <v>8.24273080744447</v>
      </c>
      <c r="K206" s="47" t="n">
        <f aca="false">K193*'Global Inputs'!$E$28/K$7</f>
        <v>8.86589853456215</v>
      </c>
      <c r="L206" s="47" t="n">
        <f aca="false">L193*'Global Inputs'!$E$28/L$7</f>
        <v>9.58868242452879</v>
      </c>
      <c r="M206" s="47" t="n">
        <f aca="false">M193*'Global Inputs'!$E$28/M$7</f>
        <v>10.3422481914172</v>
      </c>
      <c r="N206" s="47" t="n">
        <f aca="false">N193*'Global Inputs'!$E$28/N$7</f>
        <v>11.1552422445365</v>
      </c>
      <c r="O206" s="47" t="n">
        <f aca="false">O193*'Global Inputs'!$E$28/O$7</f>
        <v>11.9994911734784</v>
      </c>
      <c r="P206" s="47" t="n">
        <f aca="false">P193*'Global Inputs'!$E$28/P$7</f>
        <v>12.9786959718421</v>
      </c>
      <c r="Q206" s="47" t="n">
        <f aca="false">Q193*'Global Inputs'!$E$28/Q$7</f>
        <v>11.4889120218016</v>
      </c>
      <c r="R206" s="47" t="n">
        <f aca="false">R193*'Global Inputs'!$E$28/R$7</f>
        <v>12.0472800495917</v>
      </c>
      <c r="S206" s="47" t="n">
        <f aca="false">S193*'Global Inputs'!$E$28/S$7</f>
        <v>12.5984071917523</v>
      </c>
      <c r="U206" s="5" t="s">
        <v>1097</v>
      </c>
    </row>
    <row r="207" customFormat="false" ht="15" hidden="false" customHeight="false" outlineLevel="0" collapsed="false">
      <c r="B207" s="24" t="s">
        <v>1098</v>
      </c>
      <c r="C207" s="25" t="s">
        <v>170</v>
      </c>
      <c r="F207" s="47" t="n">
        <f aca="false">'Global Inputs'!$E$63*$G$194/('Global Inputs'!$E$107)</f>
        <v>8.52010176605575</v>
      </c>
      <c r="G207" s="47" t="n">
        <f aca="false">G194*'Global Inputs'!$E$29/G$7</f>
        <v>5.8329021734588</v>
      </c>
      <c r="H207" s="47" t="n">
        <f aca="false">H194*'Global Inputs'!$E$29/H$7</f>
        <v>4.035467032063</v>
      </c>
      <c r="I207" s="47" t="n">
        <f aca="false">I194*'Global Inputs'!$E$29/I$7</f>
        <v>3.52821487041006</v>
      </c>
      <c r="J207" s="47" t="n">
        <f aca="false">J194*'Global Inputs'!$E$29/J$7</f>
        <v>3.78619701737733</v>
      </c>
      <c r="K207" s="47" t="n">
        <f aca="false">K194*'Global Inputs'!$E$29/K$7</f>
        <v>4.05260935905214</v>
      </c>
      <c r="L207" s="47" t="n">
        <f aca="false">L194*'Global Inputs'!$E$29/L$7</f>
        <v>4.36226797265366</v>
      </c>
      <c r="M207" s="47" t="n">
        <f aca="false">M194*'Global Inputs'!$E$29/M$7</f>
        <v>4.68348820765252</v>
      </c>
      <c r="N207" s="47" t="n">
        <f aca="false">N194*'Global Inputs'!$E$29/N$7</f>
        <v>5.02912430410222</v>
      </c>
      <c r="O207" s="47" t="n">
        <f aca="false">O194*'Global Inputs'!$E$29/O$7</f>
        <v>5.38630714268224</v>
      </c>
      <c r="P207" s="47" t="n">
        <f aca="false">P194*'Global Inputs'!$E$29/P$7</f>
        <v>5.80134305130062</v>
      </c>
      <c r="Q207" s="47" t="n">
        <f aca="false">Q194*'Global Inputs'!$E$29/Q$7</f>
        <v>4.88658968174031</v>
      </c>
      <c r="R207" s="47" t="n">
        <f aca="false">R194*'Global Inputs'!$E$29/R$7</f>
        <v>5.1147388756384</v>
      </c>
      <c r="S207" s="47" t="n">
        <f aca="false">S194*'Global Inputs'!$E$29/S$7</f>
        <v>5.33905844262141</v>
      </c>
    </row>
    <row r="208" customFormat="false" ht="15" hidden="false" customHeight="false" outlineLevel="0" collapsed="false">
      <c r="B208" s="24" t="s">
        <v>1099</v>
      </c>
      <c r="C208" s="25" t="s">
        <v>170</v>
      </c>
      <c r="F208" s="47" t="n">
        <f aca="false">F206-F207</f>
        <v>4.4436731300487</v>
      </c>
      <c r="G208" s="47" t="n">
        <f aca="false">G206-G207</f>
        <v>4.9804591823716</v>
      </c>
      <c r="H208" s="47" t="n">
        <f aca="false">H206-H207</f>
        <v>4.02244761585684</v>
      </c>
      <c r="I208" s="47" t="n">
        <f aca="false">I206-I207</f>
        <v>4.11435443684769</v>
      </c>
      <c r="J208" s="47" t="n">
        <f aca="false">J206-J207</f>
        <v>4.45653379006714</v>
      </c>
      <c r="K208" s="47" t="n">
        <f aca="false">K206-K207</f>
        <v>4.81328917551001</v>
      </c>
      <c r="L208" s="47" t="n">
        <f aca="false">L206-L207</f>
        <v>5.22641445187513</v>
      </c>
      <c r="M208" s="47" t="n">
        <f aca="false">M206-M207</f>
        <v>5.65875998376473</v>
      </c>
      <c r="N208" s="47" t="n">
        <f aca="false">N206-N207</f>
        <v>6.12611794043428</v>
      </c>
      <c r="O208" s="47" t="n">
        <f aca="false">O206-O207</f>
        <v>6.61318403079618</v>
      </c>
      <c r="P208" s="47" t="n">
        <f aca="false">P206-P207</f>
        <v>7.17735292054144</v>
      </c>
      <c r="Q208" s="47" t="n">
        <f aca="false">Q206-Q207</f>
        <v>6.60232234006128</v>
      </c>
      <c r="R208" s="47" t="n">
        <f aca="false">R206-R207</f>
        <v>6.93254117395328</v>
      </c>
      <c r="S208" s="47" t="n">
        <f aca="false">S206-S207</f>
        <v>7.25934874913087</v>
      </c>
    </row>
    <row r="209" customFormat="false" ht="15" hidden="false" customHeight="false" outlineLevel="0" collapsed="false">
      <c r="B209" s="24" t="s">
        <v>1100</v>
      </c>
      <c r="C209" s="25" t="s">
        <v>170</v>
      </c>
      <c r="E209" s="47" t="n">
        <f aca="false">SUM(F209:S209)</f>
        <v>2.81567561908217</v>
      </c>
      <c r="F209" s="47" t="n">
        <f aca="false">0</f>
        <v>0</v>
      </c>
      <c r="G209" s="47" t="n">
        <f aca="false">G208-F208</f>
        <v>0.536786052322896</v>
      </c>
      <c r="H209" s="47" t="n">
        <f aca="false">H208-G208</f>
        <v>-0.958011566514756</v>
      </c>
      <c r="I209" s="47" t="n">
        <f aca="false">I208-H208</f>
        <v>0.0919068209908458</v>
      </c>
      <c r="J209" s="47" t="n">
        <f aca="false">J208-I208</f>
        <v>0.342179353219455</v>
      </c>
      <c r="K209" s="47" t="n">
        <f aca="false">K208-J208</f>
        <v>0.356755385442868</v>
      </c>
      <c r="L209" s="47" t="n">
        <f aca="false">L208-K208</f>
        <v>0.413125276365123</v>
      </c>
      <c r="M209" s="47" t="n">
        <f aca="false">M208-L208</f>
        <v>0.432345531889593</v>
      </c>
      <c r="N209" s="47" t="n">
        <f aca="false">N208-M208</f>
        <v>0.467357956669559</v>
      </c>
      <c r="O209" s="47" t="n">
        <f aca="false">O208-N208</f>
        <v>0.4870660903619</v>
      </c>
      <c r="P209" s="47" t="n">
        <f aca="false">P208-O208</f>
        <v>0.564168889745258</v>
      </c>
      <c r="Q209" s="47" t="n">
        <f aca="false">Q208-P208</f>
        <v>-0.575030580480164</v>
      </c>
      <c r="R209" s="47" t="n">
        <f aca="false">R208-Q208</f>
        <v>0.330218833892006</v>
      </c>
      <c r="S209" s="47" t="n">
        <f aca="false">S208-R208</f>
        <v>0.326807575177587</v>
      </c>
    </row>
  </sheetData>
  <hyperlinks>
    <hyperlink ref="C3" r:id="rId1" location="'E4%20WIN%20Input'!A1" display="Input"/>
    <hyperlink ref="D3" r:id="rId2" location="'E4%20WIN%20Calc'!A1" display="Calc"/>
    <hyperlink ref="E3" r:id="rId3" location="'E4%20WIN%20Output'!A1" display="Output"/>
    <hyperlink ref="F3" r:id="rId4" location="'Navigation'!A1" display="Navigation"/>
    <hyperlink ref="G3" r:id="rId5" location="'Global%20Inputs'!A1" display="Global Inputs"/>
    <hyperlink ref="H3" r:id="rId6" location="'Project%20Summary'!A1" display="Project Summary"/>
    <hyperlink ref="I3" r:id="rId7" location="'Funding%20Requirement'!A1" display="Funding"/>
    <hyperlink ref="J3" r:id="rId8" location="'FSL%20Financials%20—%20Without%20BUMN'!A1" display="FSL w/o BUMN"/>
    <hyperlink ref="K3" r:id="rId9" location="'FSL%20Financials%20—%20With%20BUMN'!A1" display="FSL w/ BUMN"/>
    <hyperlink ref="L3" r:id="rId10" location="'Valuation%20—%20Without%20BUMN'!A1" display="Val w/o BUMN"/>
    <hyperlink ref="M3" r:id="rId11" location="'Valuation%20—%20With%20BUMN'!A1" display="Val w/ BUMN"/>
    <hyperlink ref="N3" r:id="rId12" location="'Checks'!A1" display="Checks"/>
    <hyperlink ref="O3" r:id="rId13" location="'Model%20Flow'!A1" display="Model Flow"/>
  </hyperlink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9D08E"/>
    <pageSetUpPr fitToPage="true"/>
  </sheetPr>
  <dimension ref="B1:U6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5" ySplit="9" topLeftCell="F10" activePane="bottomRight" state="frozen"/>
      <selection pane="topLeft" activeCell="A1" activeCellId="0" sqref="A1"/>
      <selection pane="topRight" activeCell="F1" activeCellId="0" sqref="F1"/>
      <selection pane="bottomLeft" activeCell="A10" activeCellId="0" sqref="A10"/>
      <selection pane="bottomRigh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66"/>
    <col collapsed="false" customWidth="true" hidden="false" outlineLevel="0" max="3" min="3" style="0" width="11"/>
    <col collapsed="false" customWidth="true" hidden="false" outlineLevel="0" max="4" min="4" style="0" width="12"/>
    <col collapsed="false" customWidth="true" hidden="false" outlineLevel="0" max="5" min="5" style="0" width="13"/>
    <col collapsed="false" customWidth="true" hidden="false" outlineLevel="0" max="19" min="6" style="0" width="11.5"/>
    <col collapsed="false" customWidth="true" hidden="false" outlineLevel="0" max="20" min="20" style="0" width="40"/>
    <col collapsed="false" customWidth="true" hidden="false" outlineLevel="0" max="21" min="21" style="0" width="48"/>
  </cols>
  <sheetData>
    <row r="1" customFormat="false" ht="21.75" hidden="false" customHeight="true" outlineLevel="0" collapsed="false">
      <c r="B1" s="1" t="s">
        <v>1785</v>
      </c>
    </row>
    <row r="2" customFormat="false" ht="15" hidden="false" customHeight="false" outlineLevel="0" collapsed="false">
      <c r="B2" s="2" t="s">
        <v>1102</v>
      </c>
    </row>
    <row r="3" customFormat="false" ht="15" hidden="false" customHeight="false" outlineLevel="0" collapsed="false">
      <c r="B3" s="5" t="s">
        <v>112</v>
      </c>
      <c r="C3" s="17" t="s">
        <v>27</v>
      </c>
      <c r="D3" s="17" t="s">
        <v>28</v>
      </c>
      <c r="E3" s="17" t="s">
        <v>29</v>
      </c>
      <c r="F3" s="17" t="s">
        <v>113</v>
      </c>
      <c r="G3" s="17" t="s">
        <v>5</v>
      </c>
      <c r="H3" s="17" t="s">
        <v>7</v>
      </c>
      <c r="I3" s="17" t="s">
        <v>114</v>
      </c>
      <c r="J3" s="17" t="s">
        <v>115</v>
      </c>
      <c r="K3" s="17" t="s">
        <v>116</v>
      </c>
      <c r="L3" s="17" t="s">
        <v>117</v>
      </c>
      <c r="M3" s="17" t="s">
        <v>118</v>
      </c>
      <c r="N3" s="17" t="s">
        <v>21</v>
      </c>
      <c r="O3" s="17" t="s">
        <v>3</v>
      </c>
    </row>
    <row r="5" customFormat="false" ht="15" hidden="false" customHeight="false" outlineLevel="0" collapsed="false">
      <c r="B5" s="6" t="s">
        <v>119</v>
      </c>
      <c r="C5" s="6" t="s">
        <v>120</v>
      </c>
      <c r="D5" s="6" t="s">
        <v>121</v>
      </c>
      <c r="E5" s="6" t="s">
        <v>122</v>
      </c>
      <c r="F5" s="18" t="n">
        <f aca="false">'Global Inputs'!F$5</f>
        <v>2023</v>
      </c>
      <c r="G5" s="18" t="n">
        <f aca="false">'Global Inputs'!G$5</f>
        <v>2024</v>
      </c>
      <c r="H5" s="18" t="n">
        <f aca="false">'Global Inputs'!H$5</f>
        <v>2025</v>
      </c>
      <c r="I5" s="18" t="n">
        <f aca="false">'Global Inputs'!I$5</f>
        <v>2026</v>
      </c>
      <c r="J5" s="18" t="n">
        <f aca="false">'Global Inputs'!J$5</f>
        <v>2027</v>
      </c>
      <c r="K5" s="18" t="n">
        <f aca="false">'Global Inputs'!K$5</f>
        <v>2028</v>
      </c>
      <c r="L5" s="18" t="n">
        <f aca="false">'Global Inputs'!L$5</f>
        <v>2029</v>
      </c>
      <c r="M5" s="18" t="n">
        <f aca="false">'Global Inputs'!M$5</f>
        <v>2030</v>
      </c>
      <c r="N5" s="18" t="n">
        <f aca="false">'Global Inputs'!N$5</f>
        <v>2031</v>
      </c>
      <c r="O5" s="18" t="n">
        <f aca="false">'Global Inputs'!O$5</f>
        <v>2032</v>
      </c>
      <c r="P5" s="18" t="n">
        <f aca="false">'Global Inputs'!P$5</f>
        <v>2033</v>
      </c>
      <c r="Q5" s="18" t="n">
        <f aca="false">'Global Inputs'!Q$5</f>
        <v>2034</v>
      </c>
      <c r="R5" s="18" t="n">
        <f aca="false">'Global Inputs'!R$5</f>
        <v>2035</v>
      </c>
      <c r="S5" s="18" t="n">
        <f aca="false">'Global Inputs'!S$5</f>
        <v>2036</v>
      </c>
      <c r="T5" s="6" t="s">
        <v>123</v>
      </c>
      <c r="U5" s="6" t="s">
        <v>124</v>
      </c>
    </row>
    <row r="6" customFormat="false" ht="15" hidden="false" customHeight="false" outlineLevel="0" collapsed="false">
      <c r="B6" s="19" t="s">
        <v>125</v>
      </c>
      <c r="F6" s="20" t="n">
        <f aca="false">'Global Inputs'!F$6</f>
        <v>45291</v>
      </c>
      <c r="G6" s="20" t="n">
        <f aca="false">'Global Inputs'!G$6</f>
        <v>45657</v>
      </c>
      <c r="H6" s="20" t="n">
        <f aca="false">'Global Inputs'!H$6</f>
        <v>46022</v>
      </c>
      <c r="I6" s="20" t="n">
        <f aca="false">'Global Inputs'!I$6</f>
        <v>46387</v>
      </c>
      <c r="J6" s="20" t="n">
        <f aca="false">'Global Inputs'!J$6</f>
        <v>46752</v>
      </c>
      <c r="K6" s="20" t="n">
        <f aca="false">'Global Inputs'!K$6</f>
        <v>47118</v>
      </c>
      <c r="L6" s="20" t="n">
        <f aca="false">'Global Inputs'!L$6</f>
        <v>47483</v>
      </c>
      <c r="M6" s="20" t="n">
        <f aca="false">'Global Inputs'!M$6</f>
        <v>47848</v>
      </c>
      <c r="N6" s="20" t="n">
        <f aca="false">'Global Inputs'!N$6</f>
        <v>48213</v>
      </c>
      <c r="O6" s="20" t="n">
        <f aca="false">'Global Inputs'!O$6</f>
        <v>48579</v>
      </c>
      <c r="P6" s="20" t="n">
        <f aca="false">'Global Inputs'!P$6</f>
        <v>48944</v>
      </c>
      <c r="Q6" s="20" t="n">
        <f aca="false">'Global Inputs'!Q$6</f>
        <v>49309</v>
      </c>
      <c r="R6" s="20" t="n">
        <f aca="false">'Global Inputs'!R$6</f>
        <v>49674</v>
      </c>
      <c r="S6" s="20" t="n">
        <f aca="false">'Global Inputs'!S$6</f>
        <v>50040</v>
      </c>
    </row>
    <row r="7" customFormat="false" ht="15" hidden="false" customHeight="false" outlineLevel="0" collapsed="false">
      <c r="B7" s="19" t="s">
        <v>126</v>
      </c>
      <c r="F7" s="21" t="n">
        <f aca="false">'Global Inputs'!F$7</f>
        <v>365</v>
      </c>
      <c r="G7" s="21" t="n">
        <f aca="false">'Global Inputs'!G$7</f>
        <v>366</v>
      </c>
      <c r="H7" s="21" t="n">
        <f aca="false">'Global Inputs'!H$7</f>
        <v>365</v>
      </c>
      <c r="I7" s="21" t="n">
        <f aca="false">'Global Inputs'!I$7</f>
        <v>365</v>
      </c>
      <c r="J7" s="21" t="n">
        <f aca="false">'Global Inputs'!J$7</f>
        <v>365</v>
      </c>
      <c r="K7" s="21" t="n">
        <f aca="false">'Global Inputs'!K$7</f>
        <v>366</v>
      </c>
      <c r="L7" s="21" t="n">
        <f aca="false">'Global Inputs'!L$7</f>
        <v>365</v>
      </c>
      <c r="M7" s="21" t="n">
        <f aca="false">'Global Inputs'!M$7</f>
        <v>365</v>
      </c>
      <c r="N7" s="21" t="n">
        <f aca="false">'Global Inputs'!N$7</f>
        <v>365</v>
      </c>
      <c r="O7" s="21" t="n">
        <f aca="false">'Global Inputs'!O$7</f>
        <v>366</v>
      </c>
      <c r="P7" s="21" t="n">
        <f aca="false">'Global Inputs'!P$7</f>
        <v>365</v>
      </c>
      <c r="Q7" s="21" t="n">
        <f aca="false">'Global Inputs'!Q$7</f>
        <v>365</v>
      </c>
      <c r="R7" s="21" t="n">
        <f aca="false">'Global Inputs'!R$7</f>
        <v>365</v>
      </c>
      <c r="S7" s="21" t="n">
        <f aca="false">'Global Inputs'!S$7</f>
        <v>366</v>
      </c>
    </row>
    <row r="8" customFormat="false" ht="15" hidden="false" customHeight="false" outlineLevel="0" collapsed="false">
      <c r="B8" s="19" t="s">
        <v>127</v>
      </c>
      <c r="F8" s="21" t="n">
        <f aca="false">'Global Inputs'!F$8</f>
        <v>0</v>
      </c>
      <c r="G8" s="21" t="n">
        <f aca="false">'Global Inputs'!G$8</f>
        <v>1</v>
      </c>
      <c r="H8" s="21" t="n">
        <f aca="false">'Global Inputs'!H$8</f>
        <v>1</v>
      </c>
      <c r="I8" s="21" t="n">
        <f aca="false">'Global Inputs'!I$8</f>
        <v>1</v>
      </c>
      <c r="J8" s="21" t="n">
        <f aca="false">'Global Inputs'!J$8</f>
        <v>1</v>
      </c>
      <c r="K8" s="21" t="n">
        <f aca="false">'Global Inputs'!K$8</f>
        <v>1</v>
      </c>
      <c r="L8" s="21" t="n">
        <f aca="false">'Global Inputs'!L$8</f>
        <v>1</v>
      </c>
      <c r="M8" s="21" t="n">
        <f aca="false">'Global Inputs'!M$8</f>
        <v>1</v>
      </c>
      <c r="N8" s="21" t="n">
        <f aca="false">'Global Inputs'!N$8</f>
        <v>1</v>
      </c>
      <c r="O8" s="21" t="n">
        <f aca="false">'Global Inputs'!O$8</f>
        <v>1</v>
      </c>
      <c r="P8" s="21" t="n">
        <f aca="false">'Global Inputs'!P$8</f>
        <v>1</v>
      </c>
      <c r="Q8" s="21" t="n">
        <f aca="false">'Global Inputs'!Q$8</f>
        <v>1</v>
      </c>
      <c r="R8" s="21" t="n">
        <f aca="false">'Global Inputs'!R$8</f>
        <v>1</v>
      </c>
      <c r="S8" s="21" t="n">
        <f aca="false">'Global Inputs'!S$8</f>
        <v>1</v>
      </c>
    </row>
    <row r="10" customFormat="false" ht="15" hidden="false" customHeight="false" outlineLevel="0" collapsed="false">
      <c r="B10" s="22" t="s">
        <v>1103</v>
      </c>
      <c r="C10" s="23"/>
      <c r="D10" s="23"/>
      <c r="E10" s="23"/>
      <c r="F10" s="23"/>
      <c r="G10" s="23"/>
      <c r="H10" s="23"/>
      <c r="I10" s="23"/>
      <c r="J10" s="23"/>
      <c r="K10" s="23"/>
      <c r="L10" s="23"/>
      <c r="M10" s="23"/>
      <c r="N10" s="23"/>
      <c r="O10" s="23"/>
      <c r="P10" s="23"/>
      <c r="Q10" s="23"/>
      <c r="R10" s="23"/>
      <c r="S10" s="23"/>
    </row>
    <row r="11" customFormat="false" ht="15" hidden="false" customHeight="false" outlineLevel="0" collapsed="false">
      <c r="B11" s="24" t="s">
        <v>345</v>
      </c>
      <c r="C11" s="25" t="s">
        <v>170</v>
      </c>
      <c r="E11" s="47" t="n">
        <f aca="false">SUM(F11:S11)</f>
        <v>1102.6466786616</v>
      </c>
      <c r="F11" s="47" t="n">
        <f aca="false">'E4 WIN Calc'!F193</f>
        <v>0</v>
      </c>
      <c r="G11" s="47" t="n">
        <f aca="false">'E4 WIN Calc'!G193</f>
        <v>87.9486723607539</v>
      </c>
      <c r="H11" s="47" t="n">
        <f aca="false">'E4 WIN Calc'!H193</f>
        <v>65.3586410331276</v>
      </c>
      <c r="I11" s="47" t="n">
        <f aca="false">'E4 WIN Calc'!I193</f>
        <v>61.9897288255351</v>
      </c>
      <c r="J11" s="47" t="n">
        <f aca="false">'E4 WIN Calc'!J193</f>
        <v>66.8577054381607</v>
      </c>
      <c r="K11" s="47" t="n">
        <f aca="false">'E4 WIN Calc'!K193</f>
        <v>72.1093080811055</v>
      </c>
      <c r="L11" s="47" t="n">
        <f aca="false">'E4 WIN Calc'!L193</f>
        <v>77.7748685545113</v>
      </c>
      <c r="M11" s="47" t="n">
        <f aca="false">'E4 WIN Calc'!M193</f>
        <v>83.8871242192732</v>
      </c>
      <c r="N11" s="47" t="n">
        <f aca="false">'E4 WIN Calc'!N193</f>
        <v>90.4814093167961</v>
      </c>
      <c r="O11" s="47" t="n">
        <f aca="false">'E4 WIN Calc'!O193</f>
        <v>97.5958615442911</v>
      </c>
      <c r="P11" s="47" t="n">
        <f aca="false">'E4 WIN Calc'!P193</f>
        <v>105.271645104941</v>
      </c>
      <c r="Q11" s="47" t="n">
        <f aca="false">'E4 WIN Calc'!Q193</f>
        <v>93.1878419546129</v>
      </c>
      <c r="R11" s="47" t="n">
        <f aca="false">'E4 WIN Calc'!R193</f>
        <v>97.7168270689103</v>
      </c>
      <c r="S11" s="47" t="n">
        <f aca="false">'E4 WIN Calc'!S193</f>
        <v>102.467045159585</v>
      </c>
    </row>
    <row r="12" customFormat="false" ht="15" hidden="false" customHeight="false" outlineLevel="0" collapsed="false">
      <c r="B12" s="24" t="s">
        <v>391</v>
      </c>
      <c r="C12" s="25" t="s">
        <v>170</v>
      </c>
      <c r="E12" s="47" t="n">
        <f aca="false">SUM(F12:S12)</f>
        <v>-753.053111494752</v>
      </c>
      <c r="F12" s="47" t="n">
        <f aca="false">-'E4 WIN Calc'!F194</f>
        <v>-0</v>
      </c>
      <c r="G12" s="47" t="n">
        <f aca="false">-'E4 WIN Calc'!G194</f>
        <v>-71.1614065161973</v>
      </c>
      <c r="H12" s="47" t="n">
        <f aca="false">-'E4 WIN Calc'!H194</f>
        <v>-49.0981822234332</v>
      </c>
      <c r="I12" s="47" t="n">
        <f aca="false">-'E4 WIN Calc'!I194</f>
        <v>-42.9266142566558</v>
      </c>
      <c r="J12" s="47" t="n">
        <f aca="false">-'E4 WIN Calc'!J194</f>
        <v>-46.0653970447575</v>
      </c>
      <c r="K12" s="47" t="n">
        <f aca="false">-'E4 WIN Calc'!K194</f>
        <v>-49.4418341804361</v>
      </c>
      <c r="L12" s="47" t="n">
        <f aca="false">-'E4 WIN Calc'!L194</f>
        <v>-53.0742603339529</v>
      </c>
      <c r="M12" s="47" t="n">
        <f aca="false">-'E4 WIN Calc'!M194</f>
        <v>-56.9824398597723</v>
      </c>
      <c r="N12" s="47" t="n">
        <f aca="false">-'E4 WIN Calc'!N194</f>
        <v>-61.1876790332437</v>
      </c>
      <c r="O12" s="47" t="n">
        <f aca="false">-'E4 WIN Calc'!O194</f>
        <v>-65.7129471407233</v>
      </c>
      <c r="P12" s="47" t="n">
        <f aca="false">-'E4 WIN Calc'!P194</f>
        <v>-70.5830071241576</v>
      </c>
      <c r="Q12" s="47" t="n">
        <f aca="false">-'E4 WIN Calc'!Q194</f>
        <v>-59.4535077945071</v>
      </c>
      <c r="R12" s="47" t="n">
        <f aca="false">-'E4 WIN Calc'!R194</f>
        <v>-62.2293229869338</v>
      </c>
      <c r="S12" s="47" t="n">
        <f aca="false">-'E4 WIN Calc'!S194</f>
        <v>-65.1365129999812</v>
      </c>
    </row>
    <row r="13" customFormat="false" ht="15" hidden="false" customHeight="false" outlineLevel="0" collapsed="false">
      <c r="B13" s="69" t="s">
        <v>392</v>
      </c>
      <c r="C13" s="25" t="s">
        <v>170</v>
      </c>
      <c r="E13" s="70" t="n">
        <f aca="false">SUM(F13:S13)</f>
        <v>349.593567166852</v>
      </c>
      <c r="F13" s="68" t="n">
        <f aca="false">F11+F12</f>
        <v>0</v>
      </c>
      <c r="G13" s="68" t="n">
        <f aca="false">G11+G12</f>
        <v>16.7872658445565</v>
      </c>
      <c r="H13" s="68" t="n">
        <f aca="false">H11+H12</f>
        <v>16.2604588096944</v>
      </c>
      <c r="I13" s="68" t="n">
        <f aca="false">I11+I12</f>
        <v>19.0631145688793</v>
      </c>
      <c r="J13" s="68" t="n">
        <f aca="false">J11+J12</f>
        <v>20.7923083934032</v>
      </c>
      <c r="K13" s="68" t="n">
        <f aca="false">K11+K12</f>
        <v>22.6674739006694</v>
      </c>
      <c r="L13" s="68" t="n">
        <f aca="false">L11+L12</f>
        <v>24.7006082205584</v>
      </c>
      <c r="M13" s="68" t="n">
        <f aca="false">M11+M12</f>
        <v>26.9046843595009</v>
      </c>
      <c r="N13" s="68" t="n">
        <f aca="false">N11+N12</f>
        <v>29.2937302835524</v>
      </c>
      <c r="O13" s="68" t="n">
        <f aca="false">O11+O12</f>
        <v>31.8829144035679</v>
      </c>
      <c r="P13" s="68" t="n">
        <f aca="false">P11+P12</f>
        <v>34.6886379807836</v>
      </c>
      <c r="Q13" s="68" t="n">
        <f aca="false">Q11+Q12</f>
        <v>33.7343341601058</v>
      </c>
      <c r="R13" s="68" t="n">
        <f aca="false">R11+R12</f>
        <v>35.4875040819765</v>
      </c>
      <c r="S13" s="68" t="n">
        <f aca="false">S11+S12</f>
        <v>37.330532159604</v>
      </c>
    </row>
    <row r="14" customFormat="false" ht="15" hidden="false" customHeight="false" outlineLevel="0" collapsed="false">
      <c r="B14" s="24" t="s">
        <v>393</v>
      </c>
      <c r="C14" s="25" t="s">
        <v>170</v>
      </c>
      <c r="E14" s="47" t="n">
        <f aca="false">SUM(F14:S14)</f>
        <v>-31.6480015229728</v>
      </c>
      <c r="F14" s="47" t="n">
        <f aca="false">-'E4 WIN Calc'!F195</f>
        <v>-0</v>
      </c>
      <c r="G14" s="47" t="n">
        <f aca="false">-'E4 WIN Calc'!G195</f>
        <v>-2.2917843231526</v>
      </c>
      <c r="H14" s="47" t="n">
        <f aca="false">-'E4 WIN Calc'!H195</f>
        <v>-2.31470216638413</v>
      </c>
      <c r="I14" s="47" t="n">
        <f aca="false">-'E4 WIN Calc'!I195</f>
        <v>-2.33784918804797</v>
      </c>
      <c r="J14" s="47" t="n">
        <f aca="false">-'E4 WIN Calc'!J195</f>
        <v>-2.36122767992845</v>
      </c>
      <c r="K14" s="47" t="n">
        <f aca="false">-'E4 WIN Calc'!K195</f>
        <v>-2.38483995672773</v>
      </c>
      <c r="L14" s="47" t="n">
        <f aca="false">-'E4 WIN Calc'!L195</f>
        <v>-2.40868835629501</v>
      </c>
      <c r="M14" s="47" t="n">
        <f aca="false">-'E4 WIN Calc'!M195</f>
        <v>-2.43277523985796</v>
      </c>
      <c r="N14" s="47" t="n">
        <f aca="false">-'E4 WIN Calc'!N195</f>
        <v>-2.45710299225654</v>
      </c>
      <c r="O14" s="47" t="n">
        <f aca="false">-'E4 WIN Calc'!O195</f>
        <v>-2.4816740221791</v>
      </c>
      <c r="P14" s="47" t="n">
        <f aca="false">-'E4 WIN Calc'!P195</f>
        <v>-2.50649076240089</v>
      </c>
      <c r="Q14" s="47" t="n">
        <f aca="false">-'E4 WIN Calc'!Q195</f>
        <v>-2.5315556700249</v>
      </c>
      <c r="R14" s="47" t="n">
        <f aca="false">-'E4 WIN Calc'!R195</f>
        <v>-2.55687122672515</v>
      </c>
      <c r="S14" s="47" t="n">
        <f aca="false">-'E4 WIN Calc'!S195</f>
        <v>-2.5824399389924</v>
      </c>
    </row>
    <row r="15" customFormat="false" ht="15" hidden="false" customHeight="false" outlineLevel="0" collapsed="false">
      <c r="B15" s="69" t="s">
        <v>346</v>
      </c>
      <c r="C15" s="25" t="s">
        <v>170</v>
      </c>
      <c r="E15" s="70" t="n">
        <f aca="false">SUM(F15:S15)</f>
        <v>317.94556564388</v>
      </c>
      <c r="F15" s="68" t="n">
        <f aca="false">F13+F14</f>
        <v>0</v>
      </c>
      <c r="G15" s="68" t="n">
        <f aca="false">G13+G14</f>
        <v>14.4954815214039</v>
      </c>
      <c r="H15" s="68" t="n">
        <f aca="false">H13+H14</f>
        <v>13.9457566433103</v>
      </c>
      <c r="I15" s="68" t="n">
        <f aca="false">I13+I14</f>
        <v>16.7252653808313</v>
      </c>
      <c r="J15" s="68" t="n">
        <f aca="false">J13+J14</f>
        <v>18.4310807134747</v>
      </c>
      <c r="K15" s="68" t="n">
        <f aca="false">K13+K14</f>
        <v>20.2826339439416</v>
      </c>
      <c r="L15" s="68" t="n">
        <f aca="false">L13+L14</f>
        <v>22.2919198642634</v>
      </c>
      <c r="M15" s="68" t="n">
        <f aca="false">M13+M14</f>
        <v>24.4719091196429</v>
      </c>
      <c r="N15" s="68" t="n">
        <f aca="false">N13+N14</f>
        <v>26.8366272912959</v>
      </c>
      <c r="O15" s="68" t="n">
        <f aca="false">O13+O14</f>
        <v>29.4012403813888</v>
      </c>
      <c r="P15" s="68" t="n">
        <f aca="false">P13+P14</f>
        <v>32.1821472183827</v>
      </c>
      <c r="Q15" s="68" t="n">
        <f aca="false">Q13+Q14</f>
        <v>31.2027784900809</v>
      </c>
      <c r="R15" s="68" t="n">
        <f aca="false">R13+R14</f>
        <v>32.9306328552513</v>
      </c>
      <c r="S15" s="68" t="n">
        <f aca="false">S13+S14</f>
        <v>34.7480922206116</v>
      </c>
    </row>
    <row r="16" customFormat="false" ht="15" hidden="false" customHeight="false" outlineLevel="0" collapsed="false">
      <c r="B16" s="24" t="s">
        <v>349</v>
      </c>
      <c r="C16" s="25" t="s">
        <v>170</v>
      </c>
      <c r="E16" s="47" t="n">
        <f aca="false">SUM(F16:S16)</f>
        <v>-5.71324539955</v>
      </c>
      <c r="F16" s="47" t="n">
        <f aca="false">-'E4 WIN Calc'!F203</f>
        <v>-0</v>
      </c>
      <c r="G16" s="47" t="n">
        <f aca="false">-'E4 WIN Calc'!G203</f>
        <v>-0.43948041535</v>
      </c>
      <c r="H16" s="47" t="n">
        <f aca="false">-'E4 WIN Calc'!H203</f>
        <v>-0.43948041535</v>
      </c>
      <c r="I16" s="47" t="n">
        <f aca="false">-'E4 WIN Calc'!I203</f>
        <v>-0.43948041535</v>
      </c>
      <c r="J16" s="47" t="n">
        <f aca="false">-'E4 WIN Calc'!J203</f>
        <v>-0.43948041535</v>
      </c>
      <c r="K16" s="47" t="n">
        <f aca="false">-'E4 WIN Calc'!K203</f>
        <v>-0.43948041535</v>
      </c>
      <c r="L16" s="47" t="n">
        <f aca="false">-'E4 WIN Calc'!L203</f>
        <v>-0.43948041535</v>
      </c>
      <c r="M16" s="47" t="n">
        <f aca="false">-'E4 WIN Calc'!M203</f>
        <v>-0.43948041535</v>
      </c>
      <c r="N16" s="47" t="n">
        <f aca="false">-'E4 WIN Calc'!N203</f>
        <v>-0.43948041535</v>
      </c>
      <c r="O16" s="47" t="n">
        <f aca="false">-'E4 WIN Calc'!O203</f>
        <v>-0.43948041535</v>
      </c>
      <c r="P16" s="47" t="n">
        <f aca="false">-'E4 WIN Calc'!P203</f>
        <v>-0.43948041535</v>
      </c>
      <c r="Q16" s="47" t="n">
        <f aca="false">-'E4 WIN Calc'!Q203</f>
        <v>-0.43948041535</v>
      </c>
      <c r="R16" s="47" t="n">
        <f aca="false">-'E4 WIN Calc'!R203</f>
        <v>-0.43948041535</v>
      </c>
      <c r="S16" s="47" t="n">
        <f aca="false">-'E4 WIN Calc'!S203</f>
        <v>-0.43948041535</v>
      </c>
    </row>
    <row r="17" customFormat="false" ht="15" hidden="false" customHeight="false" outlineLevel="0" collapsed="false">
      <c r="B17" s="69" t="s">
        <v>347</v>
      </c>
      <c r="C17" s="25" t="s">
        <v>170</v>
      </c>
      <c r="E17" s="70" t="n">
        <f aca="false">SUM(F17:S17)</f>
        <v>312.232320244329</v>
      </c>
      <c r="F17" s="68" t="n">
        <f aca="false">F15+F16</f>
        <v>0</v>
      </c>
      <c r="G17" s="68" t="n">
        <f aca="false">G15+G16</f>
        <v>14.0560011060539</v>
      </c>
      <c r="H17" s="68" t="n">
        <f aca="false">H15+H16</f>
        <v>13.5062762279603</v>
      </c>
      <c r="I17" s="68" t="n">
        <f aca="false">I15+I16</f>
        <v>16.2857849654813</v>
      </c>
      <c r="J17" s="68" t="n">
        <f aca="false">J15+J16</f>
        <v>17.9916002981247</v>
      </c>
      <c r="K17" s="68" t="n">
        <f aca="false">K15+K16</f>
        <v>19.8431535285916</v>
      </c>
      <c r="L17" s="68" t="n">
        <f aca="false">L15+L16</f>
        <v>21.8524394489134</v>
      </c>
      <c r="M17" s="68" t="n">
        <f aca="false">M15+M16</f>
        <v>24.0324287042929</v>
      </c>
      <c r="N17" s="68" t="n">
        <f aca="false">N15+N16</f>
        <v>26.3971468759459</v>
      </c>
      <c r="O17" s="68" t="n">
        <f aca="false">O15+O16</f>
        <v>28.9617599660388</v>
      </c>
      <c r="P17" s="68" t="n">
        <f aca="false">P15+P16</f>
        <v>31.7426668030327</v>
      </c>
      <c r="Q17" s="68" t="n">
        <f aca="false">Q15+Q16</f>
        <v>30.7632980747309</v>
      </c>
      <c r="R17" s="68" t="n">
        <f aca="false">R15+R16</f>
        <v>32.4911524399013</v>
      </c>
      <c r="S17" s="68" t="n">
        <f aca="false">S15+S16</f>
        <v>34.3086118052616</v>
      </c>
    </row>
    <row r="18" customFormat="false" ht="15" hidden="false" customHeight="false" outlineLevel="0" collapsed="false">
      <c r="B18" s="24" t="s">
        <v>1104</v>
      </c>
      <c r="C18" s="25" t="s">
        <v>170</v>
      </c>
      <c r="E18" s="47" t="n">
        <f aca="false">SUM(F18:S18)</f>
        <v>-68.6911104537525</v>
      </c>
      <c r="F18" s="47" t="n">
        <f aca="false">-MAX(0,F17)*'Global Inputs'!$E$27</f>
        <v>-0</v>
      </c>
      <c r="G18" s="47" t="n">
        <f aca="false">-MAX(0,G17)*'Global Inputs'!$E$27</f>
        <v>-3.09232024333187</v>
      </c>
      <c r="H18" s="47" t="n">
        <f aca="false">-MAX(0,H17)*'Global Inputs'!$E$27</f>
        <v>-2.97138077015127</v>
      </c>
      <c r="I18" s="47" t="n">
        <f aca="false">-MAX(0,I17)*'Global Inputs'!$E$27</f>
        <v>-3.58287269240589</v>
      </c>
      <c r="J18" s="47" t="n">
        <f aca="false">-MAX(0,J17)*'Global Inputs'!$E$27</f>
        <v>-3.95815206558744</v>
      </c>
      <c r="K18" s="47" t="n">
        <f aca="false">-MAX(0,K17)*'Global Inputs'!$E$27</f>
        <v>-4.36549377629016</v>
      </c>
      <c r="L18" s="47" t="n">
        <f aca="false">-MAX(0,L17)*'Global Inputs'!$E$27</f>
        <v>-4.80753667876095</v>
      </c>
      <c r="M18" s="47" t="n">
        <f aca="false">-MAX(0,M17)*'Global Inputs'!$E$27</f>
        <v>-5.28713431494445</v>
      </c>
      <c r="N18" s="47" t="n">
        <f aca="false">-MAX(0,N17)*'Global Inputs'!$E$27</f>
        <v>-5.80737231270809</v>
      </c>
      <c r="O18" s="47" t="n">
        <f aca="false">-MAX(0,O17)*'Global Inputs'!$E$27</f>
        <v>-6.37158719252853</v>
      </c>
      <c r="P18" s="47" t="n">
        <f aca="false">-MAX(0,P17)*'Global Inputs'!$E$27</f>
        <v>-6.9833866966672</v>
      </c>
      <c r="Q18" s="47" t="n">
        <f aca="false">-MAX(0,Q17)*'Global Inputs'!$E$27</f>
        <v>-6.7679255764408</v>
      </c>
      <c r="R18" s="47" t="n">
        <f aca="false">-MAX(0,R17)*'Global Inputs'!$E$27</f>
        <v>-7.14805353677829</v>
      </c>
      <c r="S18" s="47" t="n">
        <f aca="false">-MAX(0,S17)*'Global Inputs'!$E$27</f>
        <v>-7.54789459715755</v>
      </c>
    </row>
    <row r="19" customFormat="false" ht="15" hidden="false" customHeight="false" outlineLevel="0" collapsed="false">
      <c r="B19" s="69" t="s">
        <v>1105</v>
      </c>
      <c r="C19" s="25" t="s">
        <v>170</v>
      </c>
      <c r="E19" s="70" t="n">
        <f aca="false">SUM(F19:S19)</f>
        <v>243.541209790577</v>
      </c>
      <c r="F19" s="68" t="n">
        <f aca="false">F17+F18</f>
        <v>0</v>
      </c>
      <c r="G19" s="68" t="n">
        <f aca="false">G17+G18</f>
        <v>10.9636808627221</v>
      </c>
      <c r="H19" s="68" t="n">
        <f aca="false">H17+H18</f>
        <v>10.534895457809</v>
      </c>
      <c r="I19" s="68" t="n">
        <f aca="false">I17+I18</f>
        <v>12.7029122730754</v>
      </c>
      <c r="J19" s="68" t="n">
        <f aca="false">J17+J18</f>
        <v>14.0334482325373</v>
      </c>
      <c r="K19" s="68" t="n">
        <f aca="false">K17+K18</f>
        <v>15.4776597523015</v>
      </c>
      <c r="L19" s="68" t="n">
        <f aca="false">L17+L18</f>
        <v>17.0449027701525</v>
      </c>
      <c r="M19" s="68" t="n">
        <f aca="false">M17+M18</f>
        <v>18.7452943893485</v>
      </c>
      <c r="N19" s="68" t="n">
        <f aca="false">N17+N18</f>
        <v>20.5897745632378</v>
      </c>
      <c r="O19" s="68" t="n">
        <f aca="false">O17+O18</f>
        <v>22.5901727735102</v>
      </c>
      <c r="P19" s="68" t="n">
        <f aca="false">P17+P18</f>
        <v>24.7592801063655</v>
      </c>
      <c r="Q19" s="68" t="n">
        <f aca="false">Q17+Q18</f>
        <v>23.9953724982901</v>
      </c>
      <c r="R19" s="68" t="n">
        <f aca="false">R17+R18</f>
        <v>25.343098903123</v>
      </c>
      <c r="S19" s="68" t="n">
        <f aca="false">S17+S18</f>
        <v>26.760717208104</v>
      </c>
    </row>
    <row r="20" customFormat="false" ht="15" hidden="false" customHeight="false" outlineLevel="0" collapsed="false">
      <c r="B20" s="24" t="s">
        <v>402</v>
      </c>
      <c r="C20" s="25" t="s">
        <v>160</v>
      </c>
      <c r="F20" s="49" t="n">
        <f aca="false">IF(F11=0,0,F15/F11)</f>
        <v>0</v>
      </c>
      <c r="G20" s="49" t="n">
        <f aca="false">IF(G11=0,0,G15/G11)</f>
        <v>0.164817513810162</v>
      </c>
      <c r="H20" s="49" t="n">
        <f aca="false">IF(H11=0,0,H15/H11)</f>
        <v>0.213372806148796</v>
      </c>
      <c r="I20" s="49" t="n">
        <f aca="false">IF(I11=0,0,I15/I11)</f>
        <v>0.26980704219409</v>
      </c>
      <c r="J20" s="49" t="n">
        <f aca="false">IF(J11=0,0,J15/J11)</f>
        <v>0.275676237954687</v>
      </c>
      <c r="K20" s="49" t="n">
        <f aca="false">IF(K11=0,0,K15/K11)</f>
        <v>0.281276224716074</v>
      </c>
      <c r="L20" s="49" t="n">
        <f aca="false">IF(L11=0,0,L15/L11)</f>
        <v>0.286621119116895</v>
      </c>
      <c r="M20" s="49" t="n">
        <f aca="false">IF(M11=0,0,M15/M11)</f>
        <v>0.291724258608218</v>
      </c>
      <c r="N20" s="49" t="n">
        <f aca="false">IF(N11=0,0,N15/N11)</f>
        <v>0.296598245915188</v>
      </c>
      <c r="O20" s="49" t="n">
        <f aca="false">IF(O11=0,0,O15/O11)</f>
        <v>0.301254990899853</v>
      </c>
      <c r="P20" s="49" t="n">
        <f aca="false">IF(P11=0,0,P15/P11)</f>
        <v>0.305705749979509</v>
      </c>
      <c r="Q20" s="49" t="n">
        <f aca="false">IF(Q11=0,0,Q15/Q11)</f>
        <v>0.334837440545927</v>
      </c>
      <c r="R20" s="49" t="n">
        <f aca="false">IF(R11=0,0,R15/R11)</f>
        <v>0.33700063584779</v>
      </c>
      <c r="S20" s="49" t="n">
        <f aca="false">IF(S11=0,0,S15/S11)</f>
        <v>0.339114806780013</v>
      </c>
    </row>
    <row r="21" customFormat="false" ht="15" hidden="false" customHeight="false" outlineLevel="0" collapsed="false">
      <c r="B21" s="24" t="s">
        <v>1106</v>
      </c>
      <c r="C21" s="25" t="s">
        <v>160</v>
      </c>
      <c r="F21" s="49" t="n">
        <f aca="false">IF(F11=0,0,F17/F11)</f>
        <v>0</v>
      </c>
      <c r="G21" s="49" t="n">
        <f aca="false">IF(G11=0,0,G17/G11)</f>
        <v>0.159820503581886</v>
      </c>
      <c r="H21" s="49" t="n">
        <f aca="false">IF(H11=0,0,H17/H11)</f>
        <v>0.20664866977749</v>
      </c>
      <c r="I21" s="49" t="n">
        <f aca="false">IF(I11=0,0,I17/I11)</f>
        <v>0.262717473911143</v>
      </c>
      <c r="J21" s="49" t="n">
        <f aca="false">IF(J11=0,0,J17/J11)</f>
        <v>0.269102868251526</v>
      </c>
      <c r="K21" s="49" t="n">
        <f aca="false">IF(K11=0,0,K17/K11)</f>
        <v>0.275181582747582</v>
      </c>
      <c r="L21" s="49" t="n">
        <f aca="false">IF(L11=0,0,L17/L11)</f>
        <v>0.280970445274329</v>
      </c>
      <c r="M21" s="49" t="n">
        <f aca="false">IF(M11=0,0,M17/M11)</f>
        <v>0.286485309014461</v>
      </c>
      <c r="N21" s="49" t="n">
        <f aca="false">IF(N11=0,0,N17/N11)</f>
        <v>0.291741110967043</v>
      </c>
      <c r="O21" s="49" t="n">
        <f aca="false">IF(O11=0,0,O17/O11)</f>
        <v>0.296751926851891</v>
      </c>
      <c r="P21" s="49" t="n">
        <f aca="false">IF(P11=0,0,P17/P11)</f>
        <v>0.301531022635675</v>
      </c>
      <c r="Q21" s="49" t="n">
        <f aca="false">IF(Q11=0,0,Q17/Q11)</f>
        <v>0.330121370228899</v>
      </c>
      <c r="R21" s="49" t="n">
        <f aca="false">IF(R11=0,0,R17/R11)</f>
        <v>0.332503146228729</v>
      </c>
      <c r="S21" s="49" t="n">
        <f aca="false">IF(S11=0,0,S17/S11)</f>
        <v>0.334825814014919</v>
      </c>
    </row>
    <row r="23" customFormat="false" ht="15" hidden="false" customHeight="false" outlineLevel="0" collapsed="false">
      <c r="B23" s="22" t="s">
        <v>1107</v>
      </c>
      <c r="C23" s="23"/>
      <c r="D23" s="23"/>
      <c r="E23" s="23"/>
      <c r="F23" s="23"/>
      <c r="G23" s="23"/>
      <c r="H23" s="23"/>
      <c r="I23" s="23"/>
      <c r="J23" s="23"/>
      <c r="K23" s="23"/>
      <c r="L23" s="23"/>
      <c r="M23" s="23"/>
      <c r="N23" s="23"/>
      <c r="O23" s="23"/>
      <c r="P23" s="23"/>
      <c r="Q23" s="23"/>
      <c r="R23" s="23"/>
      <c r="S23" s="23"/>
    </row>
    <row r="24" customFormat="false" ht="15" hidden="false" customHeight="false" outlineLevel="0" collapsed="false">
      <c r="B24" s="24" t="s">
        <v>456</v>
      </c>
      <c r="C24" s="25" t="s">
        <v>170</v>
      </c>
      <c r="E24" s="47" t="n">
        <f aca="false">SUM(F24:S24)</f>
        <v>243.541209790577</v>
      </c>
      <c r="F24" s="47" t="n">
        <f aca="false">F19</f>
        <v>0</v>
      </c>
      <c r="G24" s="47" t="n">
        <f aca="false">G19</f>
        <v>10.9636808627221</v>
      </c>
      <c r="H24" s="47" t="n">
        <f aca="false">H19</f>
        <v>10.534895457809</v>
      </c>
      <c r="I24" s="47" t="n">
        <f aca="false">I19</f>
        <v>12.7029122730754</v>
      </c>
      <c r="J24" s="47" t="n">
        <f aca="false">J19</f>
        <v>14.0334482325373</v>
      </c>
      <c r="K24" s="47" t="n">
        <f aca="false">K19</f>
        <v>15.4776597523015</v>
      </c>
      <c r="L24" s="47" t="n">
        <f aca="false">L19</f>
        <v>17.0449027701525</v>
      </c>
      <c r="M24" s="47" t="n">
        <f aca="false">M19</f>
        <v>18.7452943893485</v>
      </c>
      <c r="N24" s="47" t="n">
        <f aca="false">N19</f>
        <v>20.5897745632378</v>
      </c>
      <c r="O24" s="47" t="n">
        <f aca="false">O19</f>
        <v>22.5901727735102</v>
      </c>
      <c r="P24" s="47" t="n">
        <f aca="false">P19</f>
        <v>24.7592801063655</v>
      </c>
      <c r="Q24" s="47" t="n">
        <f aca="false">Q19</f>
        <v>23.9953724982901</v>
      </c>
      <c r="R24" s="47" t="n">
        <f aca="false">R19</f>
        <v>25.343098903123</v>
      </c>
      <c r="S24" s="47" t="n">
        <f aca="false">S19</f>
        <v>26.760717208104</v>
      </c>
    </row>
    <row r="25" customFormat="false" ht="15" hidden="false" customHeight="false" outlineLevel="0" collapsed="false">
      <c r="B25" s="24" t="s">
        <v>419</v>
      </c>
      <c r="C25" s="25" t="s">
        <v>170</v>
      </c>
      <c r="E25" s="47" t="n">
        <f aca="false">SUM(F25:S25)</f>
        <v>5.71324539955</v>
      </c>
      <c r="F25" s="47" t="n">
        <f aca="false">-F16</f>
        <v>0</v>
      </c>
      <c r="G25" s="47" t="n">
        <f aca="false">-G16</f>
        <v>0.43948041535</v>
      </c>
      <c r="H25" s="47" t="n">
        <f aca="false">-H16</f>
        <v>0.43948041535</v>
      </c>
      <c r="I25" s="47" t="n">
        <f aca="false">-I16</f>
        <v>0.43948041535</v>
      </c>
      <c r="J25" s="47" t="n">
        <f aca="false">-J16</f>
        <v>0.43948041535</v>
      </c>
      <c r="K25" s="47" t="n">
        <f aca="false">-K16</f>
        <v>0.43948041535</v>
      </c>
      <c r="L25" s="47" t="n">
        <f aca="false">-L16</f>
        <v>0.43948041535</v>
      </c>
      <c r="M25" s="47" t="n">
        <f aca="false">-M16</f>
        <v>0.43948041535</v>
      </c>
      <c r="N25" s="47" t="n">
        <f aca="false">-N16</f>
        <v>0.43948041535</v>
      </c>
      <c r="O25" s="47" t="n">
        <f aca="false">-O16</f>
        <v>0.43948041535</v>
      </c>
      <c r="P25" s="47" t="n">
        <f aca="false">-P16</f>
        <v>0.43948041535</v>
      </c>
      <c r="Q25" s="47" t="n">
        <f aca="false">-Q16</f>
        <v>0.43948041535</v>
      </c>
      <c r="R25" s="47" t="n">
        <f aca="false">-R16</f>
        <v>0.43948041535</v>
      </c>
      <c r="S25" s="47" t="n">
        <f aca="false">-S16</f>
        <v>0.43948041535</v>
      </c>
    </row>
    <row r="26" customFormat="false" ht="15" hidden="false" customHeight="false" outlineLevel="0" collapsed="false">
      <c r="B26" s="24" t="s">
        <v>1108</v>
      </c>
      <c r="C26" s="25" t="s">
        <v>170</v>
      </c>
      <c r="E26" s="47" t="n">
        <f aca="false">SUM(F26:S26)</f>
        <v>0</v>
      </c>
      <c r="F26" s="47" t="n">
        <f aca="false">-'E4 WIN Calc'!F200</f>
        <v>-0</v>
      </c>
      <c r="G26" s="47" t="n">
        <f aca="false">-'E4 WIN Calc'!G200</f>
        <v>-0</v>
      </c>
      <c r="H26" s="47" t="n">
        <f aca="false">-'E4 WIN Calc'!H200</f>
        <v>-0</v>
      </c>
      <c r="I26" s="47" t="n">
        <f aca="false">-'E4 WIN Calc'!I200</f>
        <v>-0</v>
      </c>
      <c r="J26" s="47" t="n">
        <f aca="false">-'E4 WIN Calc'!J200</f>
        <v>-0</v>
      </c>
      <c r="K26" s="47" t="n">
        <f aca="false">-'E4 WIN Calc'!K200</f>
        <v>-0</v>
      </c>
      <c r="L26" s="47" t="n">
        <f aca="false">-'E4 WIN Calc'!L200</f>
        <v>-0</v>
      </c>
      <c r="M26" s="47" t="n">
        <f aca="false">-'E4 WIN Calc'!M200</f>
        <v>-0</v>
      </c>
      <c r="N26" s="47" t="n">
        <f aca="false">-'E4 WIN Calc'!N200</f>
        <v>-0</v>
      </c>
      <c r="O26" s="47" t="n">
        <f aca="false">-'E4 WIN Calc'!O200</f>
        <v>-0</v>
      </c>
      <c r="P26" s="47" t="n">
        <f aca="false">-'E4 WIN Calc'!P200</f>
        <v>-0</v>
      </c>
      <c r="Q26" s="47" t="n">
        <f aca="false">-'E4 WIN Calc'!Q200</f>
        <v>-0</v>
      </c>
      <c r="R26" s="47" t="n">
        <f aca="false">-'E4 WIN Calc'!R200</f>
        <v>-0</v>
      </c>
      <c r="S26" s="47" t="n">
        <f aca="false">-'E4 WIN Calc'!S200</f>
        <v>-0</v>
      </c>
    </row>
    <row r="27" customFormat="false" ht="15" hidden="false" customHeight="false" outlineLevel="0" collapsed="false">
      <c r="B27" s="24" t="s">
        <v>651</v>
      </c>
      <c r="C27" s="25" t="s">
        <v>170</v>
      </c>
      <c r="E27" s="47" t="n">
        <f aca="false">SUM(F27:S27)</f>
        <v>-2.81567561908217</v>
      </c>
      <c r="F27" s="47" t="n">
        <f aca="false">-'E4 WIN Calc'!F209</f>
        <v>-0</v>
      </c>
      <c r="G27" s="47" t="n">
        <f aca="false">-'E4 WIN Calc'!G209</f>
        <v>-0.536786052322896</v>
      </c>
      <c r="H27" s="47" t="n">
        <f aca="false">-'E4 WIN Calc'!H209</f>
        <v>0.958011566514756</v>
      </c>
      <c r="I27" s="47" t="n">
        <f aca="false">-'E4 WIN Calc'!I209</f>
        <v>-0.0919068209908458</v>
      </c>
      <c r="J27" s="47" t="n">
        <f aca="false">-'E4 WIN Calc'!J209</f>
        <v>-0.342179353219455</v>
      </c>
      <c r="K27" s="47" t="n">
        <f aca="false">-'E4 WIN Calc'!K209</f>
        <v>-0.356755385442868</v>
      </c>
      <c r="L27" s="47" t="n">
        <f aca="false">-'E4 WIN Calc'!L209</f>
        <v>-0.413125276365123</v>
      </c>
      <c r="M27" s="47" t="n">
        <f aca="false">-'E4 WIN Calc'!M209</f>
        <v>-0.432345531889593</v>
      </c>
      <c r="N27" s="47" t="n">
        <f aca="false">-'E4 WIN Calc'!N209</f>
        <v>-0.467357956669559</v>
      </c>
      <c r="O27" s="47" t="n">
        <f aca="false">-'E4 WIN Calc'!O209</f>
        <v>-0.4870660903619</v>
      </c>
      <c r="P27" s="47" t="n">
        <f aca="false">-'E4 WIN Calc'!P209</f>
        <v>-0.564168889745258</v>
      </c>
      <c r="Q27" s="47" t="n">
        <f aca="false">-'E4 WIN Calc'!Q209</f>
        <v>0.575030580480164</v>
      </c>
      <c r="R27" s="47" t="n">
        <f aca="false">-'E4 WIN Calc'!R209</f>
        <v>-0.330218833892006</v>
      </c>
      <c r="S27" s="47" t="n">
        <f aca="false">-'E4 WIN Calc'!S209</f>
        <v>-0.326807575177587</v>
      </c>
    </row>
    <row r="28" customFormat="false" ht="15" hidden="false" customHeight="false" outlineLevel="0" collapsed="false">
      <c r="B28" s="69" t="s">
        <v>1109</v>
      </c>
      <c r="C28" s="25" t="s">
        <v>170</v>
      </c>
      <c r="E28" s="70" t="n">
        <f aca="false">SUM(F28:S28)</f>
        <v>246.438779571045</v>
      </c>
      <c r="F28" s="68" t="n">
        <f aca="false">F24+F25+F26+F27</f>
        <v>0</v>
      </c>
      <c r="G28" s="68" t="n">
        <f aca="false">G24+G25+G26+G27</f>
        <v>10.8663752257492</v>
      </c>
      <c r="H28" s="68" t="n">
        <f aca="false">H24+H25+H26+H27</f>
        <v>11.9323874396738</v>
      </c>
      <c r="I28" s="68" t="n">
        <f aca="false">I24+I25+I26+I27</f>
        <v>13.0504858674346</v>
      </c>
      <c r="J28" s="68" t="n">
        <f aca="false">J24+J25+J26+J27</f>
        <v>14.1307492946678</v>
      </c>
      <c r="K28" s="68" t="n">
        <f aca="false">K24+K25+K26+K27</f>
        <v>15.5603847822086</v>
      </c>
      <c r="L28" s="68" t="n">
        <f aca="false">L24+L25+L26+L27</f>
        <v>17.0712579091374</v>
      </c>
      <c r="M28" s="68" t="n">
        <f aca="false">M24+M25+M26+M27</f>
        <v>18.7524292728089</v>
      </c>
      <c r="N28" s="68" t="n">
        <f aca="false">N24+N25+N26+N27</f>
        <v>20.5618970219182</v>
      </c>
      <c r="O28" s="68" t="n">
        <f aca="false">O24+O25+O26+O27</f>
        <v>22.5425870984983</v>
      </c>
      <c r="P28" s="68" t="n">
        <f aca="false">P24+P25+P26+P27</f>
        <v>24.6345916319703</v>
      </c>
      <c r="Q28" s="68" t="n">
        <f aca="false">Q24+Q25+Q26+Q27</f>
        <v>25.0098834941203</v>
      </c>
      <c r="R28" s="68" t="n">
        <f aca="false">R24+R25+R26+R27</f>
        <v>25.452360484581</v>
      </c>
      <c r="S28" s="68" t="n">
        <f aca="false">S24+S25+S26+S27</f>
        <v>26.8733900482765</v>
      </c>
    </row>
    <row r="29" customFormat="false" ht="15" hidden="false" customHeight="false" outlineLevel="0" collapsed="false">
      <c r="B29" s="24" t="s">
        <v>354</v>
      </c>
      <c r="C29" s="25" t="s">
        <v>170</v>
      </c>
      <c r="F29" s="47" t="n">
        <f aca="false">SUM($F$28:F28)</f>
        <v>0</v>
      </c>
      <c r="G29" s="47" t="n">
        <f aca="false">SUM($F$28:G28)</f>
        <v>10.8663752257492</v>
      </c>
      <c r="H29" s="47" t="n">
        <f aca="false">SUM($F$28:H28)</f>
        <v>22.798762665423</v>
      </c>
      <c r="I29" s="47" t="n">
        <f aca="false">SUM($F$28:I28)</f>
        <v>35.8492485328576</v>
      </c>
      <c r="J29" s="47" t="n">
        <f aca="false">SUM($F$28:J28)</f>
        <v>49.9799978275254</v>
      </c>
      <c r="K29" s="47" t="n">
        <f aca="false">SUM($F$28:K28)</f>
        <v>65.540382609734</v>
      </c>
      <c r="L29" s="47" t="n">
        <f aca="false">SUM($F$28:L28)</f>
        <v>82.6116405188714</v>
      </c>
      <c r="M29" s="47" t="n">
        <f aca="false">SUM($F$28:M28)</f>
        <v>101.36406979168</v>
      </c>
      <c r="N29" s="47" t="n">
        <f aca="false">SUM($F$28:N28)</f>
        <v>121.925966813598</v>
      </c>
      <c r="O29" s="47" t="n">
        <f aca="false">SUM($F$28:O28)</f>
        <v>144.468553912097</v>
      </c>
      <c r="P29" s="47" t="n">
        <f aca="false">SUM($F$28:P28)</f>
        <v>169.103145544067</v>
      </c>
      <c r="Q29" s="47" t="n">
        <f aca="false">SUM($F$28:Q28)</f>
        <v>194.113029038187</v>
      </c>
      <c r="R29" s="47" t="n">
        <f aca="false">SUM($F$28:R28)</f>
        <v>219.565389522768</v>
      </c>
      <c r="S29" s="47" t="n">
        <f aca="false">SUM($F$28:S28)</f>
        <v>246.438779571045</v>
      </c>
    </row>
    <row r="30" customFormat="false" ht="15" hidden="false" customHeight="false" outlineLevel="0" collapsed="false">
      <c r="B30" s="24" t="s">
        <v>1110</v>
      </c>
      <c r="C30" s="25" t="s">
        <v>170</v>
      </c>
      <c r="E30" s="47" t="n">
        <f aca="false">SUM(F30:S30)</f>
        <v>210.589531038187</v>
      </c>
      <c r="F30" s="47" t="n">
        <f aca="false">F28*'Global Inputs'!F16</f>
        <v>0</v>
      </c>
      <c r="G30" s="47" t="n">
        <f aca="false">G28*'Global Inputs'!G16</f>
        <v>0</v>
      </c>
      <c r="H30" s="47" t="n">
        <f aca="false">H28*'Global Inputs'!H16</f>
        <v>0</v>
      </c>
      <c r="I30" s="47" t="n">
        <f aca="false">I28*'Global Inputs'!I16</f>
        <v>0</v>
      </c>
      <c r="J30" s="47" t="n">
        <f aca="false">J28*'Global Inputs'!J16</f>
        <v>14.1307492946678</v>
      </c>
      <c r="K30" s="47" t="n">
        <f aca="false">K28*'Global Inputs'!K16</f>
        <v>15.5603847822086</v>
      </c>
      <c r="L30" s="47" t="n">
        <f aca="false">L28*'Global Inputs'!L16</f>
        <v>17.0712579091374</v>
      </c>
      <c r="M30" s="47" t="n">
        <f aca="false">M28*'Global Inputs'!M16</f>
        <v>18.7524292728089</v>
      </c>
      <c r="N30" s="47" t="n">
        <f aca="false">N28*'Global Inputs'!N16</f>
        <v>20.5618970219182</v>
      </c>
      <c r="O30" s="47" t="n">
        <f aca="false">O28*'Global Inputs'!O16</f>
        <v>22.5425870984983</v>
      </c>
      <c r="P30" s="47" t="n">
        <f aca="false">P28*'Global Inputs'!P16</f>
        <v>24.6345916319703</v>
      </c>
      <c r="Q30" s="47" t="n">
        <f aca="false">Q28*'Global Inputs'!Q16</f>
        <v>25.0098834941203</v>
      </c>
      <c r="R30" s="47" t="n">
        <f aca="false">R28*'Global Inputs'!R16</f>
        <v>25.452360484581</v>
      </c>
      <c r="S30" s="47" t="n">
        <f aca="false">S28*'Global Inputs'!S16</f>
        <v>26.8733900482765</v>
      </c>
    </row>
    <row r="31" customFormat="false" ht="15" hidden="false" customHeight="false" outlineLevel="0" collapsed="false">
      <c r="B31" s="24" t="s">
        <v>1111</v>
      </c>
      <c r="C31" s="25" t="s">
        <v>170</v>
      </c>
      <c r="E31" s="47" t="n">
        <f aca="false">SUM(F31:S31)</f>
        <v>0</v>
      </c>
      <c r="F31" s="47" t="n">
        <f aca="false">MAX(0,-F28)</f>
        <v>-0</v>
      </c>
      <c r="G31" s="47" t="n">
        <f aca="false">MAX(0,-G28)</f>
        <v>0</v>
      </c>
      <c r="H31" s="47" t="n">
        <f aca="false">MAX(0,-H28)</f>
        <v>0</v>
      </c>
      <c r="I31" s="47" t="n">
        <f aca="false">MAX(0,-I28)</f>
        <v>0</v>
      </c>
      <c r="J31" s="47" t="n">
        <f aca="false">MAX(0,-J28)</f>
        <v>0</v>
      </c>
      <c r="K31" s="47" t="n">
        <f aca="false">MAX(0,-K28)</f>
        <v>0</v>
      </c>
      <c r="L31" s="47" t="n">
        <f aca="false">MAX(0,-L28)</f>
        <v>0</v>
      </c>
      <c r="M31" s="47" t="n">
        <f aca="false">MAX(0,-M28)</f>
        <v>0</v>
      </c>
      <c r="N31" s="47" t="n">
        <f aca="false">MAX(0,-N28)</f>
        <v>0</v>
      </c>
      <c r="O31" s="47" t="n">
        <f aca="false">MAX(0,-O28)</f>
        <v>0</v>
      </c>
      <c r="P31" s="47" t="n">
        <f aca="false">MAX(0,-P28)</f>
        <v>0</v>
      </c>
      <c r="Q31" s="47" t="n">
        <f aca="false">MAX(0,-Q28)</f>
        <v>0</v>
      </c>
      <c r="R31" s="47" t="n">
        <f aca="false">MAX(0,-R28)</f>
        <v>0</v>
      </c>
      <c r="S31" s="47" t="n">
        <f aca="false">MAX(0,-S28)</f>
        <v>0</v>
      </c>
    </row>
    <row r="33" customFormat="false" ht="15" hidden="false" customHeight="false" outlineLevel="0" collapsed="false">
      <c r="B33" s="22" t="s">
        <v>1112</v>
      </c>
      <c r="C33" s="23"/>
      <c r="D33" s="23"/>
      <c r="E33" s="23"/>
      <c r="F33" s="23"/>
      <c r="G33" s="23"/>
      <c r="H33" s="23"/>
      <c r="I33" s="23"/>
      <c r="J33" s="23"/>
      <c r="K33" s="23"/>
      <c r="L33" s="23"/>
      <c r="M33" s="23"/>
      <c r="N33" s="23"/>
      <c r="O33" s="23"/>
      <c r="P33" s="23"/>
      <c r="Q33" s="23"/>
      <c r="R33" s="23"/>
      <c r="S33" s="23"/>
    </row>
    <row r="34" customFormat="false" ht="15" hidden="false" customHeight="false" outlineLevel="0" collapsed="false">
      <c r="B34" s="24" t="s">
        <v>1113</v>
      </c>
      <c r="C34" s="25" t="s">
        <v>240</v>
      </c>
      <c r="E34" s="44" t="n">
        <f aca="false">SUM(F34:S34)</f>
        <v>0</v>
      </c>
      <c r="F34" s="44" t="n">
        <f aca="false">'E4 WIN Calc'!F199</f>
        <v>0</v>
      </c>
      <c r="G34" s="44" t="n">
        <f aca="false">'E4 WIN Calc'!G199</f>
        <v>0</v>
      </c>
      <c r="H34" s="44" t="n">
        <f aca="false">'E4 WIN Calc'!H199</f>
        <v>0</v>
      </c>
      <c r="I34" s="44" t="n">
        <f aca="false">'E4 WIN Calc'!I199</f>
        <v>0</v>
      </c>
      <c r="J34" s="44" t="n">
        <f aca="false">'E4 WIN Calc'!J199</f>
        <v>0</v>
      </c>
      <c r="K34" s="44" t="n">
        <f aca="false">'E4 WIN Calc'!K199</f>
        <v>0</v>
      </c>
      <c r="L34" s="44" t="n">
        <f aca="false">'E4 WIN Calc'!L199</f>
        <v>0</v>
      </c>
      <c r="M34" s="44" t="n">
        <f aca="false">'E4 WIN Calc'!M199</f>
        <v>0</v>
      </c>
      <c r="N34" s="44" t="n">
        <f aca="false">'E4 WIN Calc'!N199</f>
        <v>0</v>
      </c>
      <c r="O34" s="44" t="n">
        <f aca="false">'E4 WIN Calc'!O199</f>
        <v>0</v>
      </c>
      <c r="P34" s="44" t="n">
        <f aca="false">'E4 WIN Calc'!P199</f>
        <v>0</v>
      </c>
      <c r="Q34" s="44" t="n">
        <f aca="false">'E4 WIN Calc'!Q199</f>
        <v>0</v>
      </c>
      <c r="R34" s="44" t="n">
        <f aca="false">'E4 WIN Calc'!R199</f>
        <v>0</v>
      </c>
      <c r="S34" s="44" t="n">
        <f aca="false">'E4 WIN Calc'!S199</f>
        <v>0</v>
      </c>
    </row>
    <row r="35" customFormat="false" ht="15" hidden="false" customHeight="false" outlineLevel="0" collapsed="false">
      <c r="B35" s="24" t="s">
        <v>1114</v>
      </c>
      <c r="C35" s="25" t="s">
        <v>170</v>
      </c>
      <c r="E35" s="47" t="n">
        <f aca="false">SUM(F35:S35)</f>
        <v>0</v>
      </c>
      <c r="F35" s="47" t="n">
        <f aca="false">'E4 WIN Calc'!F200</f>
        <v>0</v>
      </c>
      <c r="G35" s="47" t="n">
        <f aca="false">'E4 WIN Calc'!G200</f>
        <v>0</v>
      </c>
      <c r="H35" s="47" t="n">
        <f aca="false">'E4 WIN Calc'!H200</f>
        <v>0</v>
      </c>
      <c r="I35" s="47" t="n">
        <f aca="false">'E4 WIN Calc'!I200</f>
        <v>0</v>
      </c>
      <c r="J35" s="47" t="n">
        <f aca="false">'E4 WIN Calc'!J200</f>
        <v>0</v>
      </c>
      <c r="K35" s="47" t="n">
        <f aca="false">'E4 WIN Calc'!K200</f>
        <v>0</v>
      </c>
      <c r="L35" s="47" t="n">
        <f aca="false">'E4 WIN Calc'!L200</f>
        <v>0</v>
      </c>
      <c r="M35" s="47" t="n">
        <f aca="false">'E4 WIN Calc'!M200</f>
        <v>0</v>
      </c>
      <c r="N35" s="47" t="n">
        <f aca="false">'E4 WIN Calc'!N200</f>
        <v>0</v>
      </c>
      <c r="O35" s="47" t="n">
        <f aca="false">'E4 WIN Calc'!O200</f>
        <v>0</v>
      </c>
      <c r="P35" s="47" t="n">
        <f aca="false">'E4 WIN Calc'!P200</f>
        <v>0</v>
      </c>
      <c r="Q35" s="47" t="n">
        <f aca="false">'E4 WIN Calc'!Q200</f>
        <v>0</v>
      </c>
      <c r="R35" s="47" t="n">
        <f aca="false">'E4 WIN Calc'!R200</f>
        <v>0</v>
      </c>
      <c r="S35" s="47" t="n">
        <f aca="false">'E4 WIN Calc'!S200</f>
        <v>0</v>
      </c>
    </row>
    <row r="36" customFormat="false" ht="15" hidden="false" customHeight="false" outlineLevel="0" collapsed="false">
      <c r="B36" s="24" t="s">
        <v>1115</v>
      </c>
      <c r="C36" s="25" t="s">
        <v>170</v>
      </c>
      <c r="F36" s="47" t="n">
        <f aca="false">'E4 WIN Calc'!F202</f>
        <v>0</v>
      </c>
      <c r="G36" s="47" t="n">
        <f aca="false">'E4 WIN Calc'!G202</f>
        <v>0</v>
      </c>
      <c r="H36" s="47" t="n">
        <f aca="false">'E4 WIN Calc'!H202</f>
        <v>0</v>
      </c>
      <c r="I36" s="47" t="n">
        <f aca="false">'E4 WIN Calc'!I202</f>
        <v>0</v>
      </c>
      <c r="J36" s="47" t="n">
        <f aca="false">'E4 WIN Calc'!J202</f>
        <v>0</v>
      </c>
      <c r="K36" s="47" t="n">
        <f aca="false">'E4 WIN Calc'!K202</f>
        <v>0</v>
      </c>
      <c r="L36" s="47" t="n">
        <f aca="false">'E4 WIN Calc'!L202</f>
        <v>0</v>
      </c>
      <c r="M36" s="47" t="n">
        <f aca="false">'E4 WIN Calc'!M202</f>
        <v>0</v>
      </c>
      <c r="N36" s="47" t="n">
        <f aca="false">'E4 WIN Calc'!N202</f>
        <v>0</v>
      </c>
      <c r="O36" s="47" t="n">
        <f aca="false">'E4 WIN Calc'!O202</f>
        <v>0</v>
      </c>
      <c r="P36" s="47" t="n">
        <f aca="false">'E4 WIN Calc'!P202</f>
        <v>0</v>
      </c>
      <c r="Q36" s="47" t="n">
        <f aca="false">'E4 WIN Calc'!Q202</f>
        <v>0</v>
      </c>
      <c r="R36" s="47" t="n">
        <f aca="false">'E4 WIN Calc'!R202</f>
        <v>0</v>
      </c>
      <c r="S36" s="47" t="n">
        <f aca="false">'E4 WIN Calc'!S202</f>
        <v>0</v>
      </c>
    </row>
    <row r="37" customFormat="false" ht="15" hidden="false" customHeight="false" outlineLevel="0" collapsed="false">
      <c r="B37" s="24" t="s">
        <v>463</v>
      </c>
      <c r="C37" s="25" t="s">
        <v>170</v>
      </c>
      <c r="F37" s="47" t="n">
        <f aca="false">'E4 WIN Calc'!F206</f>
        <v>12.9637748961044</v>
      </c>
      <c r="G37" s="47" t="n">
        <f aca="false">'E4 WIN Calc'!G206</f>
        <v>10.8133613558304</v>
      </c>
      <c r="H37" s="47" t="n">
        <f aca="false">'E4 WIN Calc'!H206</f>
        <v>8.05791464791984</v>
      </c>
      <c r="I37" s="47" t="n">
        <f aca="false">'E4 WIN Calc'!I206</f>
        <v>7.64256930725775</v>
      </c>
      <c r="J37" s="47" t="n">
        <f aca="false">'E4 WIN Calc'!J206</f>
        <v>8.24273080744447</v>
      </c>
      <c r="K37" s="47" t="n">
        <f aca="false">'E4 WIN Calc'!K206</f>
        <v>8.86589853456215</v>
      </c>
      <c r="L37" s="47" t="n">
        <f aca="false">'E4 WIN Calc'!L206</f>
        <v>9.58868242452879</v>
      </c>
      <c r="M37" s="47" t="n">
        <f aca="false">'E4 WIN Calc'!M206</f>
        <v>10.3422481914172</v>
      </c>
      <c r="N37" s="47" t="n">
        <f aca="false">'E4 WIN Calc'!N206</f>
        <v>11.1552422445365</v>
      </c>
      <c r="O37" s="47" t="n">
        <f aca="false">'E4 WIN Calc'!O206</f>
        <v>11.9994911734784</v>
      </c>
      <c r="P37" s="47" t="n">
        <f aca="false">'E4 WIN Calc'!P206</f>
        <v>12.9786959718421</v>
      </c>
      <c r="Q37" s="47" t="n">
        <f aca="false">'E4 WIN Calc'!Q206</f>
        <v>11.4889120218016</v>
      </c>
      <c r="R37" s="47" t="n">
        <f aca="false">'E4 WIN Calc'!R206</f>
        <v>12.0472800495917</v>
      </c>
      <c r="S37" s="47" t="n">
        <f aca="false">'E4 WIN Calc'!S206</f>
        <v>12.5984071917523</v>
      </c>
    </row>
    <row r="38" customFormat="false" ht="15" hidden="false" customHeight="false" outlineLevel="0" collapsed="false">
      <c r="B38" s="24" t="s">
        <v>1116</v>
      </c>
      <c r="C38" s="25" t="s">
        <v>170</v>
      </c>
      <c r="F38" s="47" t="n">
        <f aca="false">-'E4 WIN Calc'!F207</f>
        <v>-8.52010176605575</v>
      </c>
      <c r="G38" s="47" t="n">
        <f aca="false">-'E4 WIN Calc'!G207</f>
        <v>-5.8329021734588</v>
      </c>
      <c r="H38" s="47" t="n">
        <f aca="false">-'E4 WIN Calc'!H207</f>
        <v>-4.035467032063</v>
      </c>
      <c r="I38" s="47" t="n">
        <f aca="false">-'E4 WIN Calc'!I207</f>
        <v>-3.52821487041006</v>
      </c>
      <c r="J38" s="47" t="n">
        <f aca="false">-'E4 WIN Calc'!J207</f>
        <v>-3.78619701737733</v>
      </c>
      <c r="K38" s="47" t="n">
        <f aca="false">-'E4 WIN Calc'!K207</f>
        <v>-4.05260935905214</v>
      </c>
      <c r="L38" s="47" t="n">
        <f aca="false">-'E4 WIN Calc'!L207</f>
        <v>-4.36226797265366</v>
      </c>
      <c r="M38" s="47" t="n">
        <f aca="false">-'E4 WIN Calc'!M207</f>
        <v>-4.68348820765252</v>
      </c>
      <c r="N38" s="47" t="n">
        <f aca="false">-'E4 WIN Calc'!N207</f>
        <v>-5.02912430410222</v>
      </c>
      <c r="O38" s="47" t="n">
        <f aca="false">-'E4 WIN Calc'!O207</f>
        <v>-5.38630714268224</v>
      </c>
      <c r="P38" s="47" t="n">
        <f aca="false">-'E4 WIN Calc'!P207</f>
        <v>-5.80134305130062</v>
      </c>
      <c r="Q38" s="47" t="n">
        <f aca="false">-'E4 WIN Calc'!Q207</f>
        <v>-4.88658968174031</v>
      </c>
      <c r="R38" s="47" t="n">
        <f aca="false">-'E4 WIN Calc'!R207</f>
        <v>-5.1147388756384</v>
      </c>
      <c r="S38" s="47" t="n">
        <f aca="false">-'E4 WIN Calc'!S207</f>
        <v>-5.33905844262141</v>
      </c>
    </row>
    <row r="39" customFormat="false" ht="15" hidden="false" customHeight="false" outlineLevel="0" collapsed="false">
      <c r="B39" s="69" t="s">
        <v>1117</v>
      </c>
      <c r="C39" s="25" t="s">
        <v>170</v>
      </c>
      <c r="F39" s="68" t="n">
        <f aca="false">F36+F37+F38</f>
        <v>4.4436731300487</v>
      </c>
      <c r="G39" s="68" t="n">
        <f aca="false">G36+G37+G38</f>
        <v>4.9804591823716</v>
      </c>
      <c r="H39" s="68" t="n">
        <f aca="false">H36+H37+H38</f>
        <v>4.02244761585684</v>
      </c>
      <c r="I39" s="68" t="n">
        <f aca="false">I36+I37+I38</f>
        <v>4.11435443684769</v>
      </c>
      <c r="J39" s="68" t="n">
        <f aca="false">J36+J37+J38</f>
        <v>4.45653379006714</v>
      </c>
      <c r="K39" s="68" t="n">
        <f aca="false">K36+K37+K38</f>
        <v>4.81328917551001</v>
      </c>
      <c r="L39" s="68" t="n">
        <f aca="false">L36+L37+L38</f>
        <v>5.22641445187513</v>
      </c>
      <c r="M39" s="68" t="n">
        <f aca="false">M36+M37+M38</f>
        <v>5.65875998376473</v>
      </c>
      <c r="N39" s="68" t="n">
        <f aca="false">N36+N37+N38</f>
        <v>6.12611794043428</v>
      </c>
      <c r="O39" s="68" t="n">
        <f aca="false">O36+O37+O38</f>
        <v>6.61318403079618</v>
      </c>
      <c r="P39" s="68" t="n">
        <f aca="false">P36+P37+P38</f>
        <v>7.17735292054144</v>
      </c>
      <c r="Q39" s="68" t="n">
        <f aca="false">Q36+Q37+Q38</f>
        <v>6.60232234006128</v>
      </c>
      <c r="R39" s="68" t="n">
        <f aca="false">R36+R37+R38</f>
        <v>6.93254117395328</v>
      </c>
      <c r="S39" s="68" t="n">
        <f aca="false">S36+S37+S38</f>
        <v>7.25934874913087</v>
      </c>
    </row>
    <row r="40" customFormat="false" ht="15" hidden="false" customHeight="false" outlineLevel="0" collapsed="false">
      <c r="B40" s="5" t="s">
        <v>1118</v>
      </c>
    </row>
    <row r="42" customFormat="false" ht="15" hidden="false" customHeight="false" outlineLevel="0" collapsed="false">
      <c r="B42" s="22" t="s">
        <v>1119</v>
      </c>
      <c r="C42" s="23"/>
      <c r="D42" s="23"/>
      <c r="E42" s="23"/>
      <c r="F42" s="23"/>
      <c r="G42" s="23"/>
      <c r="H42" s="23"/>
      <c r="I42" s="23"/>
      <c r="J42" s="23"/>
      <c r="K42" s="23"/>
      <c r="L42" s="23"/>
      <c r="M42" s="23"/>
      <c r="N42" s="23"/>
      <c r="O42" s="23"/>
      <c r="P42" s="23"/>
      <c r="Q42" s="23"/>
      <c r="R42" s="23"/>
      <c r="S42" s="23"/>
    </row>
    <row r="43" customFormat="false" ht="15" hidden="false" customHeight="false" outlineLevel="0" collapsed="false">
      <c r="B43" s="24" t="s">
        <v>1120</v>
      </c>
      <c r="C43" s="25" t="s">
        <v>143</v>
      </c>
      <c r="F43" s="30" t="n">
        <f aca="false">0</f>
        <v>0</v>
      </c>
      <c r="G43" s="30" t="n">
        <f aca="false">MIN(1,F43+F44)</f>
        <v>0</v>
      </c>
      <c r="H43" s="30" t="n">
        <f aca="false">MIN(1,G43+G44)</f>
        <v>0</v>
      </c>
      <c r="I43" s="30" t="n">
        <f aca="false">MIN(1,H43+H44)</f>
        <v>0</v>
      </c>
      <c r="J43" s="30" t="n">
        <f aca="false">MIN(1,I43+I44)</f>
        <v>0</v>
      </c>
      <c r="K43" s="30" t="n">
        <f aca="false">MIN(1,J43+J44)</f>
        <v>0</v>
      </c>
      <c r="L43" s="30" t="n">
        <f aca="false">MIN(1,K43+K44)</f>
        <v>0</v>
      </c>
      <c r="M43" s="30" t="n">
        <f aca="false">MIN(1,L43+L44)</f>
        <v>0</v>
      </c>
      <c r="N43" s="30" t="n">
        <f aca="false">MIN(1,M43+M44)</f>
        <v>0</v>
      </c>
      <c r="O43" s="30" t="n">
        <f aca="false">MIN(1,N43+N44)</f>
        <v>0</v>
      </c>
      <c r="P43" s="30" t="n">
        <f aca="false">MIN(1,O43+O44)</f>
        <v>0</v>
      </c>
      <c r="Q43" s="30" t="n">
        <f aca="false">MIN(1,P43+P44)</f>
        <v>0</v>
      </c>
      <c r="R43" s="30" t="n">
        <f aca="false">MIN(1,Q43+Q44)</f>
        <v>0</v>
      </c>
      <c r="S43" s="30" t="n">
        <f aca="false">MIN(1,R43+R44)</f>
        <v>0</v>
      </c>
    </row>
    <row r="44" customFormat="false" ht="15" hidden="false" customHeight="false" outlineLevel="0" collapsed="false">
      <c r="B44" s="24" t="s">
        <v>1121</v>
      </c>
      <c r="C44" s="25" t="s">
        <v>143</v>
      </c>
      <c r="F44" s="30" t="n">
        <f aca="false">0</f>
        <v>0</v>
      </c>
      <c r="G44" s="30" t="n">
        <f aca="false">IF(AND(G29&gt;=0,F29&lt;0,G43=0),1,0)</f>
        <v>0</v>
      </c>
      <c r="H44" s="30" t="n">
        <f aca="false">IF(AND(H29&gt;=0,G29&lt;0,H43=0),1,0)</f>
        <v>0</v>
      </c>
      <c r="I44" s="30" t="n">
        <f aca="false">IF(AND(I29&gt;=0,H29&lt;0,I43=0),1,0)</f>
        <v>0</v>
      </c>
      <c r="J44" s="30" t="n">
        <f aca="false">IF(AND(J29&gt;=0,I29&lt;0,J43=0),1,0)</f>
        <v>0</v>
      </c>
      <c r="K44" s="30" t="n">
        <f aca="false">IF(AND(K29&gt;=0,J29&lt;0,K43=0),1,0)</f>
        <v>0</v>
      </c>
      <c r="L44" s="30" t="n">
        <f aca="false">IF(AND(L29&gt;=0,K29&lt;0,L43=0),1,0)</f>
        <v>0</v>
      </c>
      <c r="M44" s="30" t="n">
        <f aca="false">IF(AND(M29&gt;=0,L29&lt;0,M43=0),1,0)</f>
        <v>0</v>
      </c>
      <c r="N44" s="30" t="n">
        <f aca="false">IF(AND(N29&gt;=0,M29&lt;0,N43=0),1,0)</f>
        <v>0</v>
      </c>
      <c r="O44" s="30" t="n">
        <f aca="false">IF(AND(O29&gt;=0,N29&lt;0,O43=0),1,0)</f>
        <v>0</v>
      </c>
      <c r="P44" s="30" t="n">
        <f aca="false">IF(AND(P29&gt;=0,O29&lt;0,P43=0),1,0)</f>
        <v>0</v>
      </c>
      <c r="Q44" s="30" t="n">
        <f aca="false">IF(AND(Q29&gt;=0,P29&lt;0,Q43=0),1,0)</f>
        <v>0</v>
      </c>
      <c r="R44" s="30" t="n">
        <f aca="false">IF(AND(R29&gt;=0,Q29&lt;0,R43=0),1,0)</f>
        <v>0</v>
      </c>
      <c r="S44" s="30" t="n">
        <f aca="false">IF(AND(S29&gt;=0,R29&lt;0,S43=0),1,0)</f>
        <v>0</v>
      </c>
    </row>
    <row r="45" customFormat="false" ht="15" hidden="false" customHeight="false" outlineLevel="0" collapsed="false">
      <c r="B45" s="24" t="s">
        <v>1122</v>
      </c>
      <c r="C45" s="25" t="s">
        <v>170</v>
      </c>
      <c r="F45" s="47" t="n">
        <f aca="false">IF(F$5='Global Inputs'!$E$14,F28*(1+'Global Inputs'!$E$54)/('Global Inputs'!$E$53-'Global Inputs'!$E$54),0)</f>
        <v>0</v>
      </c>
      <c r="G45" s="47" t="n">
        <f aca="false">IF(G$5='Global Inputs'!$E$14,G28*(1+'Global Inputs'!$E$54)/('Global Inputs'!$E$53-'Global Inputs'!$E$54),0)</f>
        <v>0</v>
      </c>
      <c r="H45" s="47" t="n">
        <f aca="false">IF(H$5='Global Inputs'!$E$14,H28*(1+'Global Inputs'!$E$54)/('Global Inputs'!$E$53-'Global Inputs'!$E$54),0)</f>
        <v>0</v>
      </c>
      <c r="I45" s="47" t="n">
        <f aca="false">IF(I$5='Global Inputs'!$E$14,I28*(1+'Global Inputs'!$E$54)/('Global Inputs'!$E$53-'Global Inputs'!$E$54),0)</f>
        <v>0</v>
      </c>
      <c r="J45" s="47" t="n">
        <f aca="false">IF(J$5='Global Inputs'!$E$14,J28*(1+'Global Inputs'!$E$54)/('Global Inputs'!$E$53-'Global Inputs'!$E$54),0)</f>
        <v>0</v>
      </c>
      <c r="K45" s="47" t="n">
        <f aca="false">IF(K$5='Global Inputs'!$E$14,K28*(1+'Global Inputs'!$E$54)/('Global Inputs'!$E$53-'Global Inputs'!$E$54),0)</f>
        <v>0</v>
      </c>
      <c r="L45" s="47" t="n">
        <f aca="false">IF(L$5='Global Inputs'!$E$14,L28*(1+'Global Inputs'!$E$54)/('Global Inputs'!$E$53-'Global Inputs'!$E$54),0)</f>
        <v>0</v>
      </c>
      <c r="M45" s="47" t="n">
        <f aca="false">IF(M$5='Global Inputs'!$E$14,M28*(1+'Global Inputs'!$E$54)/('Global Inputs'!$E$53-'Global Inputs'!$E$54),0)</f>
        <v>0</v>
      </c>
      <c r="N45" s="47" t="n">
        <f aca="false">IF(N$5='Global Inputs'!$E$14,N28*(1+'Global Inputs'!$E$54)/('Global Inputs'!$E$53-'Global Inputs'!$E$54),0)</f>
        <v>0</v>
      </c>
      <c r="O45" s="47" t="n">
        <f aca="false">IF(O$5='Global Inputs'!$E$14,O28*(1+'Global Inputs'!$E$54)/('Global Inputs'!$E$53-'Global Inputs'!$E$54),0)</f>
        <v>0</v>
      </c>
      <c r="P45" s="47" t="n">
        <f aca="false">IF(P$5='Global Inputs'!$E$14,P28*(1+'Global Inputs'!$E$54)/('Global Inputs'!$E$53-'Global Inputs'!$E$54),0)</f>
        <v>0</v>
      </c>
      <c r="Q45" s="47" t="n">
        <f aca="false">IF(Q$5='Global Inputs'!$E$14,Q28*(1+'Global Inputs'!$E$54)/('Global Inputs'!$E$53-'Global Inputs'!$E$54),0)</f>
        <v>0</v>
      </c>
      <c r="R45" s="47" t="n">
        <f aca="false">IF(R$5='Global Inputs'!$E$14,R28*(1+'Global Inputs'!$E$54)/('Global Inputs'!$E$53-'Global Inputs'!$E$54),0)</f>
        <v>0</v>
      </c>
      <c r="S45" s="47" t="n">
        <f aca="false">IF(S$5='Global Inputs'!$E$14,S28*(1+'Global Inputs'!$E$54)/('Global Inputs'!$E$53-'Global Inputs'!$E$54),0)</f>
        <v>312.181292369815</v>
      </c>
    </row>
    <row r="46" customFormat="false" ht="15" hidden="false" customHeight="false" outlineLevel="0" collapsed="false">
      <c r="B46" s="24" t="s">
        <v>1123</v>
      </c>
      <c r="C46" s="25" t="s">
        <v>170</v>
      </c>
      <c r="F46" s="47" t="n">
        <f aca="false">F28+F45</f>
        <v>0</v>
      </c>
      <c r="G46" s="47" t="n">
        <f aca="false">G28+G45</f>
        <v>10.8663752257492</v>
      </c>
      <c r="H46" s="47" t="n">
        <f aca="false">H28+H45</f>
        <v>11.9323874396738</v>
      </c>
      <c r="I46" s="47" t="n">
        <f aca="false">I28+I45</f>
        <v>13.0504858674346</v>
      </c>
      <c r="J46" s="47" t="n">
        <f aca="false">J28+J45</f>
        <v>14.1307492946678</v>
      </c>
      <c r="K46" s="47" t="n">
        <f aca="false">K28+K45</f>
        <v>15.5603847822086</v>
      </c>
      <c r="L46" s="47" t="n">
        <f aca="false">L28+L45</f>
        <v>17.0712579091374</v>
      </c>
      <c r="M46" s="47" t="n">
        <f aca="false">M28+M45</f>
        <v>18.7524292728089</v>
      </c>
      <c r="N46" s="47" t="n">
        <f aca="false">N28+N45</f>
        <v>20.5618970219182</v>
      </c>
      <c r="O46" s="47" t="n">
        <f aca="false">O28+O45</f>
        <v>22.5425870984983</v>
      </c>
      <c r="P46" s="47" t="n">
        <f aca="false">P28+P45</f>
        <v>24.6345916319703</v>
      </c>
      <c r="Q46" s="47" t="n">
        <f aca="false">Q28+Q45</f>
        <v>25.0098834941203</v>
      </c>
      <c r="R46" s="47" t="n">
        <f aca="false">R28+R45</f>
        <v>25.452360484581</v>
      </c>
      <c r="S46" s="47" t="n">
        <f aca="false">S28+S45</f>
        <v>339.054682418092</v>
      </c>
    </row>
    <row r="47" customFormat="false" ht="15" hidden="false" customHeight="false" outlineLevel="0" collapsed="false">
      <c r="B47" s="24" t="s">
        <v>1124</v>
      </c>
      <c r="C47" s="25" t="s">
        <v>170</v>
      </c>
      <c r="E47" s="47" t="n">
        <f aca="false">SUM(F47:S47)</f>
        <v>213.663418002089</v>
      </c>
      <c r="F47" s="47" t="n">
        <f aca="false">F46*'Global Inputs'!F18</f>
        <v>0</v>
      </c>
      <c r="G47" s="47" t="n">
        <f aca="false">G46*'Global Inputs'!G18</f>
        <v>0</v>
      </c>
      <c r="H47" s="47" t="n">
        <f aca="false">H46*'Global Inputs'!H18</f>
        <v>0</v>
      </c>
      <c r="I47" s="47" t="n">
        <f aca="false">I46*'Global Inputs'!I18</f>
        <v>0</v>
      </c>
      <c r="J47" s="47" t="n">
        <f aca="false">J46*'Global Inputs'!J18</f>
        <v>12.6317957376447</v>
      </c>
      <c r="K47" s="47" t="n">
        <f aca="false">K46*'Global Inputs'!K18</f>
        <v>12.4342655539824</v>
      </c>
      <c r="L47" s="47" t="n">
        <f aca="false">L46*'Global Inputs'!L18</f>
        <v>12.1945346675733</v>
      </c>
      <c r="M47" s="47" t="n">
        <f aca="false">M46*'Global Inputs'!M18</f>
        <v>11.9744933795222</v>
      </c>
      <c r="N47" s="47" t="n">
        <f aca="false">N46*'Global Inputs'!N18</f>
        <v>11.7371510811363</v>
      </c>
      <c r="O47" s="47" t="n">
        <f aca="false">O46*'Global Inputs'!O18</f>
        <v>11.5027895567416</v>
      </c>
      <c r="P47" s="47" t="n">
        <f aca="false">P46*'Global Inputs'!P18</f>
        <v>11.2368527156758</v>
      </c>
      <c r="Q47" s="47" t="n">
        <f aca="false">Q46*'Global Inputs'!Q18</f>
        <v>10.1979033761758</v>
      </c>
      <c r="R47" s="47" t="n">
        <f aca="false">R46*'Global Inputs'!R18</f>
        <v>9.27741945856973</v>
      </c>
      <c r="S47" s="47" t="n">
        <f aca="false">S46*'Global Inputs'!S18</f>
        <v>110.476212475067</v>
      </c>
    </row>
    <row r="48" customFormat="false" ht="15" hidden="false" customHeight="false" outlineLevel="0" collapsed="false">
      <c r="B48" s="24" t="s">
        <v>1125</v>
      </c>
      <c r="C48" s="25" t="s">
        <v>170</v>
      </c>
      <c r="E48" s="47" t="n">
        <f aca="false">SUM($F$47:$S$47)</f>
        <v>213.663418002089</v>
      </c>
    </row>
    <row r="49" customFormat="false" ht="15" hidden="false" customHeight="false" outlineLevel="0" collapsed="false">
      <c r="B49" s="24" t="s">
        <v>1126</v>
      </c>
      <c r="C49" s="25" t="s">
        <v>170</v>
      </c>
      <c r="E49" s="47" t="n">
        <f aca="false">SUMPRODUCT($F$28:$S$28,'Global Inputs'!$F$18:$S$18)</f>
        <v>111.943522731448</v>
      </c>
    </row>
    <row r="50" customFormat="false" ht="15" hidden="false" customHeight="false" outlineLevel="0" collapsed="false">
      <c r="B50" s="24" t="s">
        <v>360</v>
      </c>
      <c r="C50" s="25" t="s">
        <v>160</v>
      </c>
      <c r="E50" s="49" t="str">
        <f aca="false">"n/a — existing business (no entry cost / original investment data)"</f>
        <v>n/a — existing business (no entry cost / original investment data)</v>
      </c>
    </row>
    <row r="51" customFormat="false" ht="15" hidden="false" customHeight="false" outlineLevel="0" collapsed="false">
      <c r="B51" s="24" t="s">
        <v>1127</v>
      </c>
      <c r="C51" s="25" t="s">
        <v>160</v>
      </c>
      <c r="E51" s="49" t="str">
        <f aca="false">"n/a — existing business"</f>
        <v>n/a — existing business</v>
      </c>
    </row>
    <row r="52" customFormat="false" ht="15" hidden="false" customHeight="false" outlineLevel="0" collapsed="false">
      <c r="B52" s="24" t="s">
        <v>1128</v>
      </c>
      <c r="C52" s="25" t="s">
        <v>160</v>
      </c>
      <c r="E52" s="49" t="str">
        <f aca="false">"n/a — existing business"</f>
        <v>n/a — existing business</v>
      </c>
    </row>
    <row r="53" customFormat="false" ht="15" hidden="false" customHeight="false" outlineLevel="0" collapsed="false">
      <c r="B53" s="24" t="s">
        <v>1129</v>
      </c>
      <c r="C53" s="25" t="s">
        <v>135</v>
      </c>
      <c r="E53" s="29" t="str">
        <f aca="false">IF(SUM($F$44:$S$44)=0,"not within horizon",SUMPRODUCT($F$44:$S$44,'Global Inputs'!$F$15:$S$15))</f>
        <v>not within horizon</v>
      </c>
    </row>
    <row r="54" customFormat="false" ht="15" hidden="false" customHeight="false" outlineLevel="0" collapsed="false">
      <c r="B54" s="24" t="s">
        <v>1130</v>
      </c>
      <c r="C54" s="25" t="s">
        <v>135</v>
      </c>
      <c r="E54" s="29" t="str">
        <f aca="false">"n/a"</f>
        <v>n/a</v>
      </c>
    </row>
    <row r="55" customFormat="false" ht="15" hidden="false" customHeight="false" outlineLevel="0" collapsed="false">
      <c r="B55" s="24" t="s">
        <v>1131</v>
      </c>
      <c r="C55" s="25" t="s">
        <v>240</v>
      </c>
      <c r="E55" s="44" t="n">
        <f aca="false">0</f>
        <v>0</v>
      </c>
    </row>
    <row r="56" customFormat="false" ht="15" hidden="false" customHeight="false" outlineLevel="0" collapsed="false">
      <c r="B56" s="24" t="s">
        <v>1132</v>
      </c>
      <c r="C56" s="25" t="s">
        <v>240</v>
      </c>
      <c r="E56" s="44" t="n">
        <f aca="false">0</f>
        <v>0</v>
      </c>
    </row>
    <row r="58" customFormat="false" ht="15" hidden="false" customHeight="false" outlineLevel="0" collapsed="false">
      <c r="B58" s="22" t="s">
        <v>1133</v>
      </c>
      <c r="C58" s="23"/>
      <c r="D58" s="23"/>
      <c r="E58" s="23"/>
      <c r="F58" s="23"/>
      <c r="G58" s="23"/>
      <c r="H58" s="23"/>
      <c r="I58" s="23"/>
      <c r="J58" s="23"/>
      <c r="K58" s="23"/>
      <c r="L58" s="23"/>
      <c r="M58" s="23"/>
      <c r="N58" s="23"/>
      <c r="O58" s="23"/>
      <c r="P58" s="23"/>
      <c r="Q58" s="23"/>
      <c r="R58" s="23"/>
      <c r="S58" s="23"/>
    </row>
    <row r="59" customFormat="false" ht="15" hidden="false" customHeight="false" outlineLevel="0" collapsed="false">
      <c r="B59" s="24" t="s">
        <v>1134</v>
      </c>
      <c r="C59" s="25" t="s">
        <v>180</v>
      </c>
      <c r="E59" s="29" t="n">
        <f aca="false">'E4 WIN Input'!$E$22*IF('E4 WIN Input'!$E$23=1,1,0)</f>
        <v>1</v>
      </c>
    </row>
    <row r="60" customFormat="false" ht="15" hidden="false" customHeight="false" outlineLevel="0" collapsed="false">
      <c r="B60" s="24" t="s">
        <v>1135</v>
      </c>
      <c r="C60" s="25" t="s">
        <v>180</v>
      </c>
      <c r="E60" s="29" t="n">
        <f aca="false">'E4 WIN Input'!$E$22</f>
        <v>1</v>
      </c>
    </row>
    <row r="61" customFormat="false" ht="15" hidden="false" customHeight="false" outlineLevel="0" collapsed="false">
      <c r="B61" s="24" t="s">
        <v>897</v>
      </c>
      <c r="C61" s="25" t="s">
        <v>160</v>
      </c>
      <c r="E61" s="49" t="n">
        <f aca="false">'E4 WIN Input'!$E$24</f>
        <v>1</v>
      </c>
    </row>
  </sheetData>
  <hyperlinks>
    <hyperlink ref="C3" r:id="rId1" location="'E4%20WIN%20Input'!A1" display="Input"/>
    <hyperlink ref="D3" r:id="rId2" location="'E4%20WIN%20Calc'!A1" display="Calc"/>
    <hyperlink ref="E3" r:id="rId3" location="'E4%20WIN%20Output'!A1" display="Output"/>
    <hyperlink ref="F3" r:id="rId4" location="'Navigation'!A1" display="Navigation"/>
    <hyperlink ref="G3" r:id="rId5" location="'Global%20Inputs'!A1" display="Global Inputs"/>
    <hyperlink ref="H3" r:id="rId6" location="'Project%20Summary'!A1" display="Project Summary"/>
    <hyperlink ref="I3" r:id="rId7" location="'Funding%20Requirement'!A1" display="Funding"/>
    <hyperlink ref="J3" r:id="rId8" location="'FSL%20Financials%20—%20Without%20BUMN'!A1" display="FSL w/o BUMN"/>
    <hyperlink ref="K3" r:id="rId9" location="'FSL%20Financials%20—%20With%20BUMN'!A1" display="FSL w/ BUMN"/>
    <hyperlink ref="L3" r:id="rId10" location="'Valuation%20—%20Without%20BUMN'!A1" display="Val w/o BUMN"/>
    <hyperlink ref="M3" r:id="rId11" location="'Valuation%20—%20With%20BUMN'!A1" display="Val w/ BUMN"/>
    <hyperlink ref="N3" r:id="rId12" location="'Checks'!A1" display="Checks"/>
    <hyperlink ref="O3" r:id="rId13" location="'Model%20Flow'!A1" display="Model Flow"/>
  </hyperlink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D966"/>
    <pageSetUpPr fitToPage="true"/>
  </sheetPr>
  <dimension ref="B1:U4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5" ySplit="9" topLeftCell="F10" activePane="bottomRight" state="frozen"/>
      <selection pane="topLeft" activeCell="A1" activeCellId="0" sqref="A1"/>
      <selection pane="topRight" activeCell="F1" activeCellId="0" sqref="F1"/>
      <selection pane="bottomLeft" activeCell="A10" activeCellId="0" sqref="A10"/>
      <selection pane="bottomRigh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66"/>
    <col collapsed="false" customWidth="true" hidden="false" outlineLevel="0" max="3" min="3" style="0" width="11"/>
    <col collapsed="false" customWidth="true" hidden="false" outlineLevel="0" max="4" min="4" style="0" width="12"/>
    <col collapsed="false" customWidth="true" hidden="false" outlineLevel="0" max="5" min="5" style="0" width="13"/>
    <col collapsed="false" customWidth="true" hidden="false" outlineLevel="0" max="19" min="6" style="0" width="11.5"/>
    <col collapsed="false" customWidth="true" hidden="false" outlineLevel="0" max="20" min="20" style="0" width="40"/>
    <col collapsed="false" customWidth="true" hidden="false" outlineLevel="0" max="21" min="21" style="0" width="48"/>
  </cols>
  <sheetData>
    <row r="1" customFormat="false" ht="21.75" hidden="false" customHeight="true" outlineLevel="0" collapsed="false">
      <c r="B1" s="1" t="s">
        <v>1786</v>
      </c>
    </row>
    <row r="2" customFormat="false" ht="15" hidden="false" customHeight="false" outlineLevel="0" collapsed="false">
      <c r="B2" s="2" t="s">
        <v>1787</v>
      </c>
    </row>
    <row r="3" customFormat="false" ht="15" hidden="false" customHeight="false" outlineLevel="0" collapsed="false">
      <c r="B3" s="5" t="s">
        <v>112</v>
      </c>
      <c r="C3" s="17" t="s">
        <v>27</v>
      </c>
      <c r="D3" s="17" t="s">
        <v>28</v>
      </c>
      <c r="E3" s="17" t="s">
        <v>29</v>
      </c>
      <c r="F3" s="17" t="s">
        <v>113</v>
      </c>
      <c r="G3" s="17" t="s">
        <v>5</v>
      </c>
      <c r="H3" s="17" t="s">
        <v>7</v>
      </c>
      <c r="I3" s="17" t="s">
        <v>114</v>
      </c>
      <c r="J3" s="17" t="s">
        <v>115</v>
      </c>
      <c r="K3" s="17" t="s">
        <v>116</v>
      </c>
      <c r="L3" s="17" t="s">
        <v>117</v>
      </c>
      <c r="M3" s="17" t="s">
        <v>118</v>
      </c>
      <c r="N3" s="17" t="s">
        <v>21</v>
      </c>
      <c r="O3" s="17" t="s">
        <v>3</v>
      </c>
    </row>
    <row r="5" customFormat="false" ht="15" hidden="false" customHeight="false" outlineLevel="0" collapsed="false">
      <c r="B5" s="6" t="s">
        <v>119</v>
      </c>
      <c r="C5" s="6" t="s">
        <v>120</v>
      </c>
      <c r="D5" s="6" t="s">
        <v>121</v>
      </c>
      <c r="E5" s="6" t="s">
        <v>122</v>
      </c>
      <c r="F5" s="18" t="n">
        <f aca="false">'Global Inputs'!F$5</f>
        <v>2023</v>
      </c>
      <c r="G5" s="18" t="n">
        <f aca="false">'Global Inputs'!G$5</f>
        <v>2024</v>
      </c>
      <c r="H5" s="18" t="n">
        <f aca="false">'Global Inputs'!H$5</f>
        <v>2025</v>
      </c>
      <c r="I5" s="18" t="n">
        <f aca="false">'Global Inputs'!I$5</f>
        <v>2026</v>
      </c>
      <c r="J5" s="18" t="n">
        <f aca="false">'Global Inputs'!J$5</f>
        <v>2027</v>
      </c>
      <c r="K5" s="18" t="n">
        <f aca="false">'Global Inputs'!K$5</f>
        <v>2028</v>
      </c>
      <c r="L5" s="18" t="n">
        <f aca="false">'Global Inputs'!L$5</f>
        <v>2029</v>
      </c>
      <c r="M5" s="18" t="n">
        <f aca="false">'Global Inputs'!M$5</f>
        <v>2030</v>
      </c>
      <c r="N5" s="18" t="n">
        <f aca="false">'Global Inputs'!N$5</f>
        <v>2031</v>
      </c>
      <c r="O5" s="18" t="n">
        <f aca="false">'Global Inputs'!O$5</f>
        <v>2032</v>
      </c>
      <c r="P5" s="18" t="n">
        <f aca="false">'Global Inputs'!P$5</f>
        <v>2033</v>
      </c>
      <c r="Q5" s="18" t="n">
        <f aca="false">'Global Inputs'!Q$5</f>
        <v>2034</v>
      </c>
      <c r="R5" s="18" t="n">
        <f aca="false">'Global Inputs'!R$5</f>
        <v>2035</v>
      </c>
      <c r="S5" s="18" t="n">
        <f aca="false">'Global Inputs'!S$5</f>
        <v>2036</v>
      </c>
      <c r="T5" s="6" t="s">
        <v>123</v>
      </c>
      <c r="U5" s="6" t="s">
        <v>124</v>
      </c>
    </row>
    <row r="6" customFormat="false" ht="15" hidden="false" customHeight="false" outlineLevel="0" collapsed="false">
      <c r="B6" s="19" t="s">
        <v>125</v>
      </c>
      <c r="F6" s="20" t="n">
        <f aca="false">'Global Inputs'!F$6</f>
        <v>45291</v>
      </c>
      <c r="G6" s="20" t="n">
        <f aca="false">'Global Inputs'!G$6</f>
        <v>45657</v>
      </c>
      <c r="H6" s="20" t="n">
        <f aca="false">'Global Inputs'!H$6</f>
        <v>46022</v>
      </c>
      <c r="I6" s="20" t="n">
        <f aca="false">'Global Inputs'!I$6</f>
        <v>46387</v>
      </c>
      <c r="J6" s="20" t="n">
        <f aca="false">'Global Inputs'!J$6</f>
        <v>46752</v>
      </c>
      <c r="K6" s="20" t="n">
        <f aca="false">'Global Inputs'!K$6</f>
        <v>47118</v>
      </c>
      <c r="L6" s="20" t="n">
        <f aca="false">'Global Inputs'!L$6</f>
        <v>47483</v>
      </c>
      <c r="M6" s="20" t="n">
        <f aca="false">'Global Inputs'!M$6</f>
        <v>47848</v>
      </c>
      <c r="N6" s="20" t="n">
        <f aca="false">'Global Inputs'!N$6</f>
        <v>48213</v>
      </c>
      <c r="O6" s="20" t="n">
        <f aca="false">'Global Inputs'!O$6</f>
        <v>48579</v>
      </c>
      <c r="P6" s="20" t="n">
        <f aca="false">'Global Inputs'!P$6</f>
        <v>48944</v>
      </c>
      <c r="Q6" s="20" t="n">
        <f aca="false">'Global Inputs'!Q$6</f>
        <v>49309</v>
      </c>
      <c r="R6" s="20" t="n">
        <f aca="false">'Global Inputs'!R$6</f>
        <v>49674</v>
      </c>
      <c r="S6" s="20" t="n">
        <f aca="false">'Global Inputs'!S$6</f>
        <v>50040</v>
      </c>
    </row>
    <row r="7" customFormat="false" ht="15" hidden="false" customHeight="false" outlineLevel="0" collapsed="false">
      <c r="B7" s="19" t="s">
        <v>126</v>
      </c>
      <c r="F7" s="21" t="n">
        <f aca="false">'Global Inputs'!F$7</f>
        <v>365</v>
      </c>
      <c r="G7" s="21" t="n">
        <f aca="false">'Global Inputs'!G$7</f>
        <v>366</v>
      </c>
      <c r="H7" s="21" t="n">
        <f aca="false">'Global Inputs'!H$7</f>
        <v>365</v>
      </c>
      <c r="I7" s="21" t="n">
        <f aca="false">'Global Inputs'!I$7</f>
        <v>365</v>
      </c>
      <c r="J7" s="21" t="n">
        <f aca="false">'Global Inputs'!J$7</f>
        <v>365</v>
      </c>
      <c r="K7" s="21" t="n">
        <f aca="false">'Global Inputs'!K$7</f>
        <v>366</v>
      </c>
      <c r="L7" s="21" t="n">
        <f aca="false">'Global Inputs'!L$7</f>
        <v>365</v>
      </c>
      <c r="M7" s="21" t="n">
        <f aca="false">'Global Inputs'!M$7</f>
        <v>365</v>
      </c>
      <c r="N7" s="21" t="n">
        <f aca="false">'Global Inputs'!N$7</f>
        <v>365</v>
      </c>
      <c r="O7" s="21" t="n">
        <f aca="false">'Global Inputs'!O$7</f>
        <v>366</v>
      </c>
      <c r="P7" s="21" t="n">
        <f aca="false">'Global Inputs'!P$7</f>
        <v>365</v>
      </c>
      <c r="Q7" s="21" t="n">
        <f aca="false">'Global Inputs'!Q$7</f>
        <v>365</v>
      </c>
      <c r="R7" s="21" t="n">
        <f aca="false">'Global Inputs'!R$7</f>
        <v>365</v>
      </c>
      <c r="S7" s="21" t="n">
        <f aca="false">'Global Inputs'!S$7</f>
        <v>366</v>
      </c>
    </row>
    <row r="8" customFormat="false" ht="15" hidden="false" customHeight="false" outlineLevel="0" collapsed="false">
      <c r="B8" s="19" t="s">
        <v>127</v>
      </c>
      <c r="F8" s="21" t="n">
        <f aca="false">'Global Inputs'!F$8</f>
        <v>0</v>
      </c>
      <c r="G8" s="21" t="n">
        <f aca="false">'Global Inputs'!G$8</f>
        <v>1</v>
      </c>
      <c r="H8" s="21" t="n">
        <f aca="false">'Global Inputs'!H$8</f>
        <v>1</v>
      </c>
      <c r="I8" s="21" t="n">
        <f aca="false">'Global Inputs'!I$8</f>
        <v>1</v>
      </c>
      <c r="J8" s="21" t="n">
        <f aca="false">'Global Inputs'!J$8</f>
        <v>1</v>
      </c>
      <c r="K8" s="21" t="n">
        <f aca="false">'Global Inputs'!K$8</f>
        <v>1</v>
      </c>
      <c r="L8" s="21" t="n">
        <f aca="false">'Global Inputs'!L$8</f>
        <v>1</v>
      </c>
      <c r="M8" s="21" t="n">
        <f aca="false">'Global Inputs'!M$8</f>
        <v>1</v>
      </c>
      <c r="N8" s="21" t="n">
        <f aca="false">'Global Inputs'!N$8</f>
        <v>1</v>
      </c>
      <c r="O8" s="21" t="n">
        <f aca="false">'Global Inputs'!O$8</f>
        <v>1</v>
      </c>
      <c r="P8" s="21" t="n">
        <f aca="false">'Global Inputs'!P$8</f>
        <v>1</v>
      </c>
      <c r="Q8" s="21" t="n">
        <f aca="false">'Global Inputs'!Q$8</f>
        <v>1</v>
      </c>
      <c r="R8" s="21" t="n">
        <f aca="false">'Global Inputs'!R$8</f>
        <v>1</v>
      </c>
      <c r="S8" s="21" t="n">
        <f aca="false">'Global Inputs'!S$8</f>
        <v>1</v>
      </c>
    </row>
    <row r="10" customFormat="false" ht="15" hidden="false" customHeight="false" outlineLevel="0" collapsed="false">
      <c r="B10" s="22" t="s">
        <v>878</v>
      </c>
      <c r="C10" s="23"/>
      <c r="D10" s="23"/>
      <c r="E10" s="23"/>
      <c r="F10" s="23"/>
      <c r="G10" s="23"/>
      <c r="H10" s="23"/>
      <c r="I10" s="23"/>
      <c r="J10" s="23"/>
      <c r="K10" s="23"/>
      <c r="L10" s="23"/>
      <c r="M10" s="23"/>
      <c r="N10" s="23"/>
      <c r="O10" s="23"/>
      <c r="P10" s="23"/>
      <c r="Q10" s="23"/>
      <c r="R10" s="23"/>
      <c r="S10" s="23"/>
    </row>
    <row r="11" customFormat="false" ht="15" hidden="false" customHeight="false" outlineLevel="0" collapsed="false">
      <c r="B11" s="24" t="s">
        <v>879</v>
      </c>
      <c r="E11" s="24" t="s">
        <v>1788</v>
      </c>
    </row>
    <row r="12" customFormat="false" ht="15" hidden="false" customHeight="false" outlineLevel="0" collapsed="false">
      <c r="B12" s="24" t="s">
        <v>25</v>
      </c>
      <c r="E12" s="24" t="s">
        <v>583</v>
      </c>
    </row>
    <row r="13" customFormat="false" ht="15" hidden="false" customHeight="false" outlineLevel="0" collapsed="false">
      <c r="B13" s="24" t="s">
        <v>882</v>
      </c>
      <c r="E13" s="24" t="s">
        <v>1140</v>
      </c>
    </row>
    <row r="14" customFormat="false" ht="15" hidden="false" customHeight="false" outlineLevel="0" collapsed="false">
      <c r="B14" s="24" t="s">
        <v>275</v>
      </c>
      <c r="E14" s="24" t="s">
        <v>291</v>
      </c>
    </row>
    <row r="15" customFormat="false" ht="15" hidden="false" customHeight="false" outlineLevel="0" collapsed="false">
      <c r="B15" s="24" t="s">
        <v>386</v>
      </c>
      <c r="E15" s="24" t="s">
        <v>44</v>
      </c>
    </row>
    <row r="16" customFormat="false" ht="15" hidden="false" customHeight="false" outlineLevel="0" collapsed="false">
      <c r="B16" s="24" t="s">
        <v>884</v>
      </c>
      <c r="E16" s="24" t="s">
        <v>1789</v>
      </c>
    </row>
    <row r="17" customFormat="false" ht="15" hidden="false" customHeight="false" outlineLevel="0" collapsed="false">
      <c r="B17" s="24" t="s">
        <v>886</v>
      </c>
      <c r="E17" s="24" t="s">
        <v>1790</v>
      </c>
    </row>
    <row r="18" customFormat="false" ht="15" hidden="false" customHeight="false" outlineLevel="0" collapsed="false">
      <c r="B18" s="24" t="s">
        <v>888</v>
      </c>
      <c r="E18" s="24" t="s">
        <v>1791</v>
      </c>
    </row>
    <row r="19" customFormat="false" ht="15" hidden="false" customHeight="false" outlineLevel="0" collapsed="false">
      <c r="B19" s="24" t="s">
        <v>890</v>
      </c>
      <c r="E19" s="24" t="s">
        <v>1792</v>
      </c>
    </row>
    <row r="21" customFormat="false" ht="15" hidden="false" customHeight="false" outlineLevel="0" collapsed="false">
      <c r="B21" s="22" t="s">
        <v>892</v>
      </c>
      <c r="C21" s="23"/>
      <c r="D21" s="23"/>
      <c r="E21" s="23"/>
      <c r="F21" s="23"/>
      <c r="G21" s="23"/>
      <c r="H21" s="23"/>
      <c r="I21" s="23"/>
      <c r="J21" s="23"/>
      <c r="K21" s="23"/>
      <c r="L21" s="23"/>
      <c r="M21" s="23"/>
      <c r="N21" s="23"/>
      <c r="O21" s="23"/>
      <c r="P21" s="23"/>
      <c r="Q21" s="23"/>
      <c r="R21" s="23"/>
      <c r="S21" s="23"/>
    </row>
    <row r="22" customFormat="false" ht="15" hidden="false" customHeight="false" outlineLevel="0" collapsed="false">
      <c r="B22" s="24" t="s">
        <v>893</v>
      </c>
      <c r="C22" s="25" t="s">
        <v>180</v>
      </c>
      <c r="D22" s="25" t="s">
        <v>894</v>
      </c>
      <c r="E22" s="65" t="n">
        <f aca="false">'Global Inputs'!$E$93</f>
        <v>1</v>
      </c>
      <c r="T22" s="5" t="s">
        <v>895</v>
      </c>
    </row>
    <row r="23" customFormat="false" ht="15" hidden="false" customHeight="false" outlineLevel="0" collapsed="false">
      <c r="B23" s="24" t="s">
        <v>896</v>
      </c>
      <c r="C23" s="25" t="s">
        <v>175</v>
      </c>
      <c r="D23" s="25" t="s">
        <v>894</v>
      </c>
      <c r="E23" s="65" t="n">
        <f aca="false">'Global Inputs'!$F$93</f>
        <v>1</v>
      </c>
      <c r="T23" s="5" t="s">
        <v>895</v>
      </c>
    </row>
    <row r="24" customFormat="false" ht="15" hidden="false" customHeight="false" outlineLevel="0" collapsed="false">
      <c r="B24" s="24" t="s">
        <v>897</v>
      </c>
      <c r="C24" s="25" t="s">
        <v>160</v>
      </c>
      <c r="D24" s="25" t="s">
        <v>894</v>
      </c>
      <c r="E24" s="67" t="n">
        <f aca="false">'Global Inputs'!$G$93</f>
        <v>1</v>
      </c>
      <c r="T24" s="5" t="s">
        <v>895</v>
      </c>
    </row>
    <row r="25" customFormat="false" ht="15" hidden="false" customHeight="false" outlineLevel="0" collapsed="false">
      <c r="B25" s="24" t="s">
        <v>1793</v>
      </c>
      <c r="C25" s="25" t="s">
        <v>135</v>
      </c>
      <c r="D25" s="28" t="s">
        <v>153</v>
      </c>
      <c r="E25" s="36" t="n">
        <v>2025</v>
      </c>
      <c r="T25" s="5" t="s">
        <v>1794</v>
      </c>
      <c r="U25" s="5" t="s">
        <v>1795</v>
      </c>
    </row>
    <row r="27" customFormat="false" ht="15" hidden="false" customHeight="false" outlineLevel="0" collapsed="false">
      <c r="B27" s="22" t="s">
        <v>898</v>
      </c>
      <c r="C27" s="23"/>
      <c r="D27" s="23"/>
      <c r="E27" s="23"/>
      <c r="F27" s="23"/>
      <c r="G27" s="23"/>
      <c r="H27" s="23"/>
      <c r="I27" s="23"/>
      <c r="J27" s="23"/>
      <c r="K27" s="23"/>
      <c r="L27" s="23"/>
      <c r="M27" s="23"/>
      <c r="N27" s="23"/>
      <c r="O27" s="23"/>
      <c r="P27" s="23"/>
      <c r="Q27" s="23"/>
      <c r="R27" s="23"/>
      <c r="S27" s="23"/>
    </row>
    <row r="28" customFormat="false" ht="15" hidden="false" customHeight="false" outlineLevel="0" collapsed="false">
      <c r="B28" s="24" t="s">
        <v>1796</v>
      </c>
      <c r="C28" s="25" t="s">
        <v>900</v>
      </c>
      <c r="D28" s="28" t="s">
        <v>153</v>
      </c>
      <c r="E28" s="101" t="n">
        <v>2449985.568</v>
      </c>
      <c r="T28" s="5" t="s">
        <v>1797</v>
      </c>
    </row>
    <row r="29" customFormat="false" ht="15" hidden="false" customHeight="false" outlineLevel="0" collapsed="false">
      <c r="B29" s="24" t="s">
        <v>1798</v>
      </c>
      <c r="C29" s="25" t="s">
        <v>160</v>
      </c>
      <c r="D29" s="28" t="s">
        <v>153</v>
      </c>
      <c r="G29" s="35" t="n">
        <v>0</v>
      </c>
      <c r="H29" s="35" t="n">
        <v>0.03</v>
      </c>
      <c r="I29" s="35" t="n">
        <v>0.03</v>
      </c>
      <c r="J29" s="35" t="n">
        <v>0.03</v>
      </c>
      <c r="K29" s="35" t="n">
        <v>0.03</v>
      </c>
      <c r="L29" s="35" t="n">
        <v>0.03</v>
      </c>
      <c r="M29" s="35" t="n">
        <v>0.03</v>
      </c>
      <c r="N29" s="35" t="n">
        <v>0.03</v>
      </c>
      <c r="O29" s="35" t="n">
        <v>0.03</v>
      </c>
      <c r="P29" s="35" t="n">
        <v>0.03</v>
      </c>
      <c r="Q29" s="35" t="n">
        <v>0.03</v>
      </c>
      <c r="R29" s="35" t="n">
        <v>0.03</v>
      </c>
      <c r="S29" s="35" t="n">
        <v>0.03</v>
      </c>
      <c r="T29" s="5" t="s">
        <v>1799</v>
      </c>
    </row>
    <row r="30" customFormat="false" ht="15" hidden="false" customHeight="false" outlineLevel="0" collapsed="false">
      <c r="B30" s="24" t="s">
        <v>1800</v>
      </c>
      <c r="C30" s="25" t="s">
        <v>905</v>
      </c>
      <c r="D30" s="28" t="s">
        <v>153</v>
      </c>
      <c r="G30" s="101" t="n">
        <v>0</v>
      </c>
      <c r="H30" s="101" t="n">
        <v>40944</v>
      </c>
      <c r="I30" s="101" t="n">
        <v>40944</v>
      </c>
      <c r="J30" s="101" t="n">
        <v>49132.8</v>
      </c>
      <c r="K30" s="101" t="n">
        <v>49132.8</v>
      </c>
      <c r="L30" s="101" t="n">
        <v>54046.08</v>
      </c>
      <c r="M30" s="101" t="n">
        <v>54046.08</v>
      </c>
      <c r="N30" s="101" t="n">
        <v>57288.8448</v>
      </c>
      <c r="O30" s="101" t="n">
        <v>57288.8448</v>
      </c>
      <c r="P30" s="101" t="n">
        <v>60726.175488</v>
      </c>
      <c r="Q30" s="101" t="n">
        <v>60726.175488</v>
      </c>
      <c r="R30" s="101" t="n">
        <v>60726.175488</v>
      </c>
      <c r="S30" s="101" t="n">
        <v>60726.175488</v>
      </c>
      <c r="T30" s="5" t="s">
        <v>1801</v>
      </c>
    </row>
    <row r="31" customFormat="false" ht="15" hidden="false" customHeight="false" outlineLevel="0" collapsed="false">
      <c r="B31" s="22" t="s">
        <v>1802</v>
      </c>
      <c r="C31" s="23"/>
      <c r="D31" s="23"/>
      <c r="E31" s="23"/>
      <c r="F31" s="23"/>
      <c r="G31" s="23"/>
      <c r="H31" s="23"/>
      <c r="I31" s="23"/>
      <c r="J31" s="23"/>
      <c r="K31" s="23"/>
      <c r="L31" s="23"/>
      <c r="M31" s="23"/>
      <c r="N31" s="23"/>
      <c r="O31" s="23"/>
      <c r="P31" s="23"/>
      <c r="Q31" s="23"/>
      <c r="R31" s="23"/>
      <c r="S31" s="23"/>
    </row>
    <row r="32" customFormat="false" ht="15" hidden="false" customHeight="false" outlineLevel="0" collapsed="false">
      <c r="B32" s="24" t="s">
        <v>1803</v>
      </c>
      <c r="C32" s="25" t="s">
        <v>160</v>
      </c>
      <c r="D32" s="28" t="s">
        <v>153</v>
      </c>
      <c r="E32" s="35" t="n">
        <v>0.2</v>
      </c>
      <c r="T32" s="5" t="s">
        <v>1804</v>
      </c>
    </row>
    <row r="33" customFormat="false" ht="15" hidden="false" customHeight="false" outlineLevel="0" collapsed="false">
      <c r="B33" s="24" t="s">
        <v>1805</v>
      </c>
      <c r="C33" s="25" t="s">
        <v>160</v>
      </c>
      <c r="D33" s="28" t="s">
        <v>153</v>
      </c>
      <c r="E33" s="103" t="n">
        <v>0.005</v>
      </c>
      <c r="T33" s="5" t="s">
        <v>1806</v>
      </c>
    </row>
    <row r="35" customFormat="false" ht="15" hidden="false" customHeight="false" outlineLevel="0" collapsed="false">
      <c r="B35" s="22" t="s">
        <v>1807</v>
      </c>
      <c r="C35" s="23"/>
      <c r="D35" s="23"/>
      <c r="E35" s="23"/>
      <c r="F35" s="23"/>
      <c r="G35" s="23"/>
      <c r="H35" s="23"/>
      <c r="I35" s="23"/>
      <c r="J35" s="23"/>
      <c r="K35" s="23"/>
      <c r="L35" s="23"/>
      <c r="M35" s="23"/>
      <c r="N35" s="23"/>
      <c r="O35" s="23"/>
      <c r="P35" s="23"/>
      <c r="Q35" s="23"/>
      <c r="R35" s="23"/>
      <c r="S35" s="23"/>
    </row>
    <row r="36" customFormat="false" ht="15" hidden="false" customHeight="false" outlineLevel="0" collapsed="false">
      <c r="B36" s="24" t="s">
        <v>1287</v>
      </c>
      <c r="C36" s="25" t="s">
        <v>240</v>
      </c>
      <c r="D36" s="28" t="s">
        <v>153</v>
      </c>
      <c r="E36" s="37" t="n">
        <v>12.8</v>
      </c>
      <c r="T36" s="5" t="s">
        <v>1808</v>
      </c>
      <c r="U36" s="5" t="s">
        <v>1809</v>
      </c>
    </row>
    <row r="37" customFormat="false" ht="15" hidden="false" customHeight="false" outlineLevel="0" collapsed="false">
      <c r="B37" s="24" t="s">
        <v>1290</v>
      </c>
      <c r="C37" s="25" t="s">
        <v>160</v>
      </c>
      <c r="D37" s="28" t="s">
        <v>153</v>
      </c>
      <c r="E37" s="85" t="n">
        <f aca="false">SUM(F37:S37)</f>
        <v>1</v>
      </c>
      <c r="F37" s="35" t="n">
        <v>0.78125</v>
      </c>
      <c r="G37" s="35" t="n">
        <v>0.1796875</v>
      </c>
      <c r="H37" s="35" t="n">
        <v>0.0390625</v>
      </c>
      <c r="I37" s="35" t="n">
        <v>0</v>
      </c>
      <c r="J37" s="35" t="n">
        <v>0</v>
      </c>
      <c r="K37" s="35" t="n">
        <v>0</v>
      </c>
      <c r="L37" s="35" t="n">
        <v>0</v>
      </c>
      <c r="M37" s="35" t="n">
        <v>0</v>
      </c>
      <c r="N37" s="35" t="n">
        <v>0</v>
      </c>
      <c r="O37" s="35" t="n">
        <v>0</v>
      </c>
      <c r="P37" s="35" t="n">
        <v>0</v>
      </c>
      <c r="Q37" s="35" t="n">
        <v>0</v>
      </c>
      <c r="R37" s="35" t="n">
        <v>0</v>
      </c>
      <c r="S37" s="35" t="n">
        <v>0</v>
      </c>
      <c r="T37" s="5" t="s">
        <v>1810</v>
      </c>
      <c r="U37" s="5" t="s">
        <v>1292</v>
      </c>
    </row>
    <row r="38" customFormat="false" ht="15" hidden="false" customHeight="false" outlineLevel="0" collapsed="false">
      <c r="B38" s="24" t="s">
        <v>1293</v>
      </c>
      <c r="C38" s="25" t="s">
        <v>240</v>
      </c>
      <c r="E38" s="44" t="n">
        <f aca="false">SUM(F38:S38)</f>
        <v>12.8</v>
      </c>
      <c r="F38" s="44" t="n">
        <f aca="false">$E$36*F37</f>
        <v>10</v>
      </c>
      <c r="G38" s="44" t="n">
        <f aca="false">$E$36*G37</f>
        <v>2.3</v>
      </c>
      <c r="H38" s="44" t="n">
        <f aca="false">$E$36*H37</f>
        <v>0.5</v>
      </c>
      <c r="I38" s="44" t="n">
        <f aca="false">$E$36*I37</f>
        <v>0</v>
      </c>
      <c r="J38" s="44" t="n">
        <f aca="false">$E$36*J37</f>
        <v>0</v>
      </c>
      <c r="K38" s="44" t="n">
        <f aca="false">$E$36*K37</f>
        <v>0</v>
      </c>
      <c r="L38" s="44" t="n">
        <f aca="false">$E$36*L37</f>
        <v>0</v>
      </c>
      <c r="M38" s="44" t="n">
        <f aca="false">$E$36*M37</f>
        <v>0</v>
      </c>
      <c r="N38" s="44" t="n">
        <f aca="false">$E$36*N37</f>
        <v>0</v>
      </c>
      <c r="O38" s="44" t="n">
        <f aca="false">$E$36*O37</f>
        <v>0</v>
      </c>
      <c r="P38" s="44" t="n">
        <f aca="false">$E$36*P37</f>
        <v>0</v>
      </c>
      <c r="Q38" s="44" t="n">
        <f aca="false">$E$36*Q37</f>
        <v>0</v>
      </c>
      <c r="R38" s="44" t="n">
        <f aca="false">$E$36*R37</f>
        <v>0</v>
      </c>
      <c r="S38" s="44" t="n">
        <f aca="false">$E$36*S37</f>
        <v>0</v>
      </c>
    </row>
    <row r="39" customFormat="false" ht="15" hidden="false" customHeight="false" outlineLevel="0" collapsed="false">
      <c r="B39" s="24" t="s">
        <v>1294</v>
      </c>
      <c r="C39" s="25" t="s">
        <v>152</v>
      </c>
      <c r="F39" s="107" t="n">
        <f aca="false">'Global Inputs'!F22</f>
        <v>16265</v>
      </c>
      <c r="G39" s="107" t="n">
        <f aca="false">'Global Inputs'!G22</f>
        <v>16265</v>
      </c>
      <c r="H39" s="107" t="n">
        <f aca="false">'Global Inputs'!H22</f>
        <v>16265</v>
      </c>
      <c r="I39" s="107" t="n">
        <f aca="false">'Global Inputs'!I22</f>
        <v>16265</v>
      </c>
      <c r="J39" s="107" t="n">
        <f aca="false">'Global Inputs'!J22</f>
        <v>16265</v>
      </c>
      <c r="K39" s="107" t="n">
        <f aca="false">'Global Inputs'!K22</f>
        <v>16265</v>
      </c>
      <c r="L39" s="107" t="n">
        <f aca="false">'Global Inputs'!L22</f>
        <v>16265</v>
      </c>
      <c r="M39" s="107" t="n">
        <f aca="false">'Global Inputs'!M22</f>
        <v>16265</v>
      </c>
      <c r="N39" s="107" t="n">
        <f aca="false">'Global Inputs'!N22</f>
        <v>16265</v>
      </c>
      <c r="O39" s="107" t="n">
        <f aca="false">'Global Inputs'!O22</f>
        <v>16265</v>
      </c>
      <c r="P39" s="107" t="n">
        <f aca="false">'Global Inputs'!P22</f>
        <v>16265</v>
      </c>
      <c r="Q39" s="107" t="n">
        <f aca="false">'Global Inputs'!Q22</f>
        <v>16265</v>
      </c>
      <c r="R39" s="107" t="n">
        <f aca="false">'Global Inputs'!R22</f>
        <v>16265</v>
      </c>
      <c r="S39" s="107" t="n">
        <f aca="false">'Global Inputs'!S22</f>
        <v>16265</v>
      </c>
    </row>
    <row r="40" customFormat="false" ht="15" hidden="false" customHeight="false" outlineLevel="0" collapsed="false">
      <c r="B40" s="24" t="s">
        <v>1295</v>
      </c>
      <c r="C40" s="25" t="s">
        <v>170</v>
      </c>
      <c r="E40" s="47" t="n">
        <f aca="false">SUM(F40:S40)</f>
        <v>208.192</v>
      </c>
      <c r="F40" s="47" t="n">
        <f aca="false">F38*F39/1000</f>
        <v>162.65</v>
      </c>
      <c r="G40" s="47" t="n">
        <f aca="false">G38*G39/1000</f>
        <v>37.4095</v>
      </c>
      <c r="H40" s="47" t="n">
        <f aca="false">H38*H39/1000</f>
        <v>8.1325</v>
      </c>
      <c r="I40" s="47" t="n">
        <f aca="false">I38*I39/1000</f>
        <v>0</v>
      </c>
      <c r="J40" s="47" t="n">
        <f aca="false">J38*J39/1000</f>
        <v>0</v>
      </c>
      <c r="K40" s="47" t="n">
        <f aca="false">K38*K39/1000</f>
        <v>0</v>
      </c>
      <c r="L40" s="47" t="n">
        <f aca="false">L38*L39/1000</f>
        <v>0</v>
      </c>
      <c r="M40" s="47" t="n">
        <f aca="false">M38*M39/1000</f>
        <v>0</v>
      </c>
      <c r="N40" s="47" t="n">
        <f aca="false">N38*N39/1000</f>
        <v>0</v>
      </c>
      <c r="O40" s="47" t="n">
        <f aca="false">O38*O39/1000</f>
        <v>0</v>
      </c>
      <c r="P40" s="47" t="n">
        <f aca="false">P38*P39/1000</f>
        <v>0</v>
      </c>
      <c r="Q40" s="47" t="n">
        <f aca="false">Q38*Q39/1000</f>
        <v>0</v>
      </c>
      <c r="R40" s="47" t="n">
        <f aca="false">R38*R39/1000</f>
        <v>0</v>
      </c>
      <c r="S40" s="47" t="n">
        <f aca="false">S38*S39/1000</f>
        <v>0</v>
      </c>
    </row>
    <row r="41" customFormat="false" ht="15" hidden="false" customHeight="false" outlineLevel="0" collapsed="false">
      <c r="B41" s="24" t="s">
        <v>1296</v>
      </c>
      <c r="C41" s="25" t="s">
        <v>240</v>
      </c>
      <c r="E41" s="44" t="n">
        <f aca="false">SUMPRODUCT($F$38:$S$38,--('Global Inputs'!$F$15:$S$15&lt;='Global Inputs'!$E$12))</f>
        <v>12.8</v>
      </c>
    </row>
    <row r="42" customFormat="false" ht="15" hidden="false" customHeight="false" outlineLevel="0" collapsed="false">
      <c r="B42" s="24" t="s">
        <v>1297</v>
      </c>
      <c r="C42" s="25" t="s">
        <v>240</v>
      </c>
      <c r="E42" s="44" t="n">
        <f aca="false">SUMPRODUCT($F$38:$S$38,--('Global Inputs'!$F$15:$S$15&gt;'Global Inputs'!$E$12))</f>
        <v>0</v>
      </c>
    </row>
    <row r="43" customFormat="false" ht="15" hidden="false" customHeight="false" outlineLevel="0" collapsed="false">
      <c r="B43" s="24" t="s">
        <v>1298</v>
      </c>
      <c r="C43" s="25" t="s">
        <v>240</v>
      </c>
      <c r="E43" s="44" t="n">
        <f aca="false">$E$36-SUM($F$38:$S$38)</f>
        <v>0</v>
      </c>
    </row>
    <row r="44" customFormat="false" ht="15" hidden="false" customHeight="false" outlineLevel="0" collapsed="false">
      <c r="B44" s="24" t="s">
        <v>1299</v>
      </c>
      <c r="C44" s="25" t="s">
        <v>527</v>
      </c>
      <c r="E44" s="108" t="str">
        <f aca="false">IF(ABS(SUM($F$37:$S$37)-1)&lt;0.000001,"PASS","CHECK: % not 100%")</f>
        <v>PASS</v>
      </c>
    </row>
    <row r="45" customFormat="false" ht="15" hidden="false" customHeight="false" outlineLevel="0" collapsed="false">
      <c r="B45" s="24" t="s">
        <v>1811</v>
      </c>
      <c r="C45" s="25" t="s">
        <v>135</v>
      </c>
      <c r="D45" s="25" t="s">
        <v>894</v>
      </c>
      <c r="E45" s="65" t="n">
        <f aca="false">$E$25</f>
        <v>2025</v>
      </c>
      <c r="T45" s="5" t="s">
        <v>1812</v>
      </c>
    </row>
    <row r="46" customFormat="false" ht="15" hidden="false" customHeight="false" outlineLevel="0" collapsed="false">
      <c r="B46" s="24" t="s">
        <v>1302</v>
      </c>
      <c r="C46" s="25" t="s">
        <v>180</v>
      </c>
      <c r="D46" s="26" t="s">
        <v>190</v>
      </c>
      <c r="E46" s="39" t="n">
        <v>0</v>
      </c>
      <c r="T46" s="5" t="s">
        <v>1303</v>
      </c>
      <c r="U46" s="5" t="s">
        <v>1304</v>
      </c>
    </row>
    <row r="47" customFormat="false" ht="15" hidden="false" customHeight="false" outlineLevel="0" collapsed="false">
      <c r="B47" s="24" t="s">
        <v>1305</v>
      </c>
      <c r="C47" s="25" t="s">
        <v>160</v>
      </c>
      <c r="D47" s="28" t="s">
        <v>153</v>
      </c>
      <c r="E47" s="35" t="n">
        <v>0.526787077113307</v>
      </c>
      <c r="T47" s="5" t="s">
        <v>1813</v>
      </c>
    </row>
    <row r="48" customFormat="false" ht="15" hidden="false" customHeight="false" outlineLevel="0" collapsed="false">
      <c r="B48" s="24" t="s">
        <v>1307</v>
      </c>
      <c r="C48" s="25" t="s">
        <v>145</v>
      </c>
      <c r="D48" s="28" t="s">
        <v>153</v>
      </c>
      <c r="E48" s="36" t="n">
        <v>20</v>
      </c>
      <c r="T48" s="5" t="s">
        <v>1814</v>
      </c>
    </row>
    <row r="49" customFormat="false" ht="15" hidden="false" customHeight="false" outlineLevel="0" collapsed="false">
      <c r="B49" s="24" t="s">
        <v>1309</v>
      </c>
      <c r="C49" s="25" t="s">
        <v>145</v>
      </c>
      <c r="D49" s="28" t="s">
        <v>153</v>
      </c>
      <c r="E49" s="36" t="n">
        <v>8</v>
      </c>
      <c r="T49" s="5" t="s">
        <v>1814</v>
      </c>
    </row>
  </sheetData>
  <hyperlinks>
    <hyperlink ref="C3" r:id="rId1" location="'P01%20CigWharf2%20Input'!A1" display="Input"/>
    <hyperlink ref="D3" r:id="rId2" location="'P01%20CigWharf2%20Calc'!A1" display="Calc"/>
    <hyperlink ref="E3" r:id="rId3" location="'P01%20CigWharf2%20Output'!A1" display="Output"/>
    <hyperlink ref="F3" r:id="rId4" location="'Navigation'!A1" display="Navigation"/>
    <hyperlink ref="G3" r:id="rId5" location="'Global%20Inputs'!A1" display="Global Inputs"/>
    <hyperlink ref="H3" r:id="rId6" location="'Project%20Summary'!A1" display="Project Summary"/>
    <hyperlink ref="I3" r:id="rId7" location="'Funding%20Requirement'!A1" display="Funding"/>
    <hyperlink ref="J3" r:id="rId8" location="'FSL%20Financials%20—%20Without%20BUMN'!A1" display="FSL w/o BUMN"/>
    <hyperlink ref="K3" r:id="rId9" location="'FSL%20Financials%20—%20With%20BUMN'!A1" display="FSL w/ BUMN"/>
    <hyperlink ref="L3" r:id="rId10" location="'Valuation%20—%20Without%20BUMN'!A1" display="Val w/o BUMN"/>
    <hyperlink ref="M3" r:id="rId11" location="'Valuation%20—%20With%20BUMN'!A1" display="Val w/ BUMN"/>
    <hyperlink ref="N3" r:id="rId12" location="'Checks'!A1" display="Checks"/>
    <hyperlink ref="O3" r:id="rId13" location="'Model%20Flow'!A1" display="Model Flow"/>
  </hyperlink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BFBF"/>
    <pageSetUpPr fitToPage="true"/>
  </sheetPr>
  <dimension ref="B1:U5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5" ySplit="9" topLeftCell="F10" activePane="bottomRight" state="frozen"/>
      <selection pane="topLeft" activeCell="A1" activeCellId="0" sqref="A1"/>
      <selection pane="topRight" activeCell="F1" activeCellId="0" sqref="F1"/>
      <selection pane="bottomLeft" activeCell="A10" activeCellId="0" sqref="A10"/>
      <selection pane="bottomRigh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66"/>
    <col collapsed="false" customWidth="true" hidden="false" outlineLevel="0" max="3" min="3" style="0" width="11"/>
    <col collapsed="false" customWidth="true" hidden="false" outlineLevel="0" max="4" min="4" style="0" width="12"/>
    <col collapsed="false" customWidth="true" hidden="false" outlineLevel="0" max="5" min="5" style="0" width="13"/>
    <col collapsed="false" customWidth="true" hidden="false" outlineLevel="0" max="19" min="6" style="0" width="11.5"/>
    <col collapsed="false" customWidth="true" hidden="false" outlineLevel="0" max="20" min="20" style="0" width="40"/>
    <col collapsed="false" customWidth="true" hidden="false" outlineLevel="0" max="21" min="21" style="0" width="48"/>
  </cols>
  <sheetData>
    <row r="1" customFormat="false" ht="21.75" hidden="false" customHeight="true" outlineLevel="0" collapsed="false">
      <c r="B1" s="1" t="s">
        <v>1815</v>
      </c>
    </row>
    <row r="2" customFormat="false" ht="15" hidden="false" customHeight="false" outlineLevel="0" collapsed="false">
      <c r="B2" s="2" t="s">
        <v>1014</v>
      </c>
    </row>
    <row r="3" customFormat="false" ht="15" hidden="false" customHeight="false" outlineLevel="0" collapsed="false">
      <c r="B3" s="5" t="s">
        <v>112</v>
      </c>
      <c r="C3" s="17" t="s">
        <v>27</v>
      </c>
      <c r="D3" s="17" t="s">
        <v>28</v>
      </c>
      <c r="E3" s="17" t="s">
        <v>29</v>
      </c>
      <c r="F3" s="17" t="s">
        <v>113</v>
      </c>
      <c r="G3" s="17" t="s">
        <v>5</v>
      </c>
      <c r="H3" s="17" t="s">
        <v>7</v>
      </c>
      <c r="I3" s="17" t="s">
        <v>114</v>
      </c>
      <c r="J3" s="17" t="s">
        <v>115</v>
      </c>
      <c r="K3" s="17" t="s">
        <v>116</v>
      </c>
      <c r="L3" s="17" t="s">
        <v>117</v>
      </c>
      <c r="M3" s="17" t="s">
        <v>118</v>
      </c>
      <c r="N3" s="17" t="s">
        <v>21</v>
      </c>
      <c r="O3" s="17" t="s">
        <v>3</v>
      </c>
    </row>
    <row r="5" customFormat="false" ht="15" hidden="false" customHeight="false" outlineLevel="0" collapsed="false">
      <c r="B5" s="6" t="s">
        <v>119</v>
      </c>
      <c r="C5" s="6" t="s">
        <v>120</v>
      </c>
      <c r="D5" s="6" t="s">
        <v>121</v>
      </c>
      <c r="E5" s="6" t="s">
        <v>122</v>
      </c>
      <c r="F5" s="18" t="n">
        <f aca="false">'Global Inputs'!F$5</f>
        <v>2023</v>
      </c>
      <c r="G5" s="18" t="n">
        <f aca="false">'Global Inputs'!G$5</f>
        <v>2024</v>
      </c>
      <c r="H5" s="18" t="n">
        <f aca="false">'Global Inputs'!H$5</f>
        <v>2025</v>
      </c>
      <c r="I5" s="18" t="n">
        <f aca="false">'Global Inputs'!I$5</f>
        <v>2026</v>
      </c>
      <c r="J5" s="18" t="n">
        <f aca="false">'Global Inputs'!J$5</f>
        <v>2027</v>
      </c>
      <c r="K5" s="18" t="n">
        <f aca="false">'Global Inputs'!K$5</f>
        <v>2028</v>
      </c>
      <c r="L5" s="18" t="n">
        <f aca="false">'Global Inputs'!L$5</f>
        <v>2029</v>
      </c>
      <c r="M5" s="18" t="n">
        <f aca="false">'Global Inputs'!M$5</f>
        <v>2030</v>
      </c>
      <c r="N5" s="18" t="n">
        <f aca="false">'Global Inputs'!N$5</f>
        <v>2031</v>
      </c>
      <c r="O5" s="18" t="n">
        <f aca="false">'Global Inputs'!O$5</f>
        <v>2032</v>
      </c>
      <c r="P5" s="18" t="n">
        <f aca="false">'Global Inputs'!P$5</f>
        <v>2033</v>
      </c>
      <c r="Q5" s="18" t="n">
        <f aca="false">'Global Inputs'!Q$5</f>
        <v>2034</v>
      </c>
      <c r="R5" s="18" t="n">
        <f aca="false">'Global Inputs'!R$5</f>
        <v>2035</v>
      </c>
      <c r="S5" s="18" t="n">
        <f aca="false">'Global Inputs'!S$5</f>
        <v>2036</v>
      </c>
      <c r="T5" s="6" t="s">
        <v>123</v>
      </c>
      <c r="U5" s="6" t="s">
        <v>124</v>
      </c>
    </row>
    <row r="6" customFormat="false" ht="15" hidden="false" customHeight="false" outlineLevel="0" collapsed="false">
      <c r="B6" s="19" t="s">
        <v>125</v>
      </c>
      <c r="F6" s="20" t="n">
        <f aca="false">'Global Inputs'!F$6</f>
        <v>45291</v>
      </c>
      <c r="G6" s="20" t="n">
        <f aca="false">'Global Inputs'!G$6</f>
        <v>45657</v>
      </c>
      <c r="H6" s="20" t="n">
        <f aca="false">'Global Inputs'!H$6</f>
        <v>46022</v>
      </c>
      <c r="I6" s="20" t="n">
        <f aca="false">'Global Inputs'!I$6</f>
        <v>46387</v>
      </c>
      <c r="J6" s="20" t="n">
        <f aca="false">'Global Inputs'!J$6</f>
        <v>46752</v>
      </c>
      <c r="K6" s="20" t="n">
        <f aca="false">'Global Inputs'!K$6</f>
        <v>47118</v>
      </c>
      <c r="L6" s="20" t="n">
        <f aca="false">'Global Inputs'!L$6</f>
        <v>47483</v>
      </c>
      <c r="M6" s="20" t="n">
        <f aca="false">'Global Inputs'!M$6</f>
        <v>47848</v>
      </c>
      <c r="N6" s="20" t="n">
        <f aca="false">'Global Inputs'!N$6</f>
        <v>48213</v>
      </c>
      <c r="O6" s="20" t="n">
        <f aca="false">'Global Inputs'!O$6</f>
        <v>48579</v>
      </c>
      <c r="P6" s="20" t="n">
        <f aca="false">'Global Inputs'!P$6</f>
        <v>48944</v>
      </c>
      <c r="Q6" s="20" t="n">
        <f aca="false">'Global Inputs'!Q$6</f>
        <v>49309</v>
      </c>
      <c r="R6" s="20" t="n">
        <f aca="false">'Global Inputs'!R$6</f>
        <v>49674</v>
      </c>
      <c r="S6" s="20" t="n">
        <f aca="false">'Global Inputs'!S$6</f>
        <v>50040</v>
      </c>
    </row>
    <row r="7" customFormat="false" ht="15" hidden="false" customHeight="false" outlineLevel="0" collapsed="false">
      <c r="B7" s="19" t="s">
        <v>126</v>
      </c>
      <c r="F7" s="21" t="n">
        <f aca="false">'Global Inputs'!F$7</f>
        <v>365</v>
      </c>
      <c r="G7" s="21" t="n">
        <f aca="false">'Global Inputs'!G$7</f>
        <v>366</v>
      </c>
      <c r="H7" s="21" t="n">
        <f aca="false">'Global Inputs'!H$7</f>
        <v>365</v>
      </c>
      <c r="I7" s="21" t="n">
        <f aca="false">'Global Inputs'!I$7</f>
        <v>365</v>
      </c>
      <c r="J7" s="21" t="n">
        <f aca="false">'Global Inputs'!J$7</f>
        <v>365</v>
      </c>
      <c r="K7" s="21" t="n">
        <f aca="false">'Global Inputs'!K$7</f>
        <v>366</v>
      </c>
      <c r="L7" s="21" t="n">
        <f aca="false">'Global Inputs'!L$7</f>
        <v>365</v>
      </c>
      <c r="M7" s="21" t="n">
        <f aca="false">'Global Inputs'!M$7</f>
        <v>365</v>
      </c>
      <c r="N7" s="21" t="n">
        <f aca="false">'Global Inputs'!N$7</f>
        <v>365</v>
      </c>
      <c r="O7" s="21" t="n">
        <f aca="false">'Global Inputs'!O$7</f>
        <v>366</v>
      </c>
      <c r="P7" s="21" t="n">
        <f aca="false">'Global Inputs'!P$7</f>
        <v>365</v>
      </c>
      <c r="Q7" s="21" t="n">
        <f aca="false">'Global Inputs'!Q$7</f>
        <v>365</v>
      </c>
      <c r="R7" s="21" t="n">
        <f aca="false">'Global Inputs'!R$7</f>
        <v>365</v>
      </c>
      <c r="S7" s="21" t="n">
        <f aca="false">'Global Inputs'!S$7</f>
        <v>366</v>
      </c>
    </row>
    <row r="8" customFormat="false" ht="15" hidden="false" customHeight="false" outlineLevel="0" collapsed="false">
      <c r="B8" s="19" t="s">
        <v>127</v>
      </c>
      <c r="F8" s="21" t="n">
        <f aca="false">'Global Inputs'!F$8</f>
        <v>0</v>
      </c>
      <c r="G8" s="21" t="n">
        <f aca="false">'Global Inputs'!G$8</f>
        <v>1</v>
      </c>
      <c r="H8" s="21" t="n">
        <f aca="false">'Global Inputs'!H$8</f>
        <v>1</v>
      </c>
      <c r="I8" s="21" t="n">
        <f aca="false">'Global Inputs'!I$8</f>
        <v>1</v>
      </c>
      <c r="J8" s="21" t="n">
        <f aca="false">'Global Inputs'!J$8</f>
        <v>1</v>
      </c>
      <c r="K8" s="21" t="n">
        <f aca="false">'Global Inputs'!K$8</f>
        <v>1</v>
      </c>
      <c r="L8" s="21" t="n">
        <f aca="false">'Global Inputs'!L$8</f>
        <v>1</v>
      </c>
      <c r="M8" s="21" t="n">
        <f aca="false">'Global Inputs'!M$8</f>
        <v>1</v>
      </c>
      <c r="N8" s="21" t="n">
        <f aca="false">'Global Inputs'!N$8</f>
        <v>1</v>
      </c>
      <c r="O8" s="21" t="n">
        <f aca="false">'Global Inputs'!O$8</f>
        <v>1</v>
      </c>
      <c r="P8" s="21" t="n">
        <f aca="false">'Global Inputs'!P$8</f>
        <v>1</v>
      </c>
      <c r="Q8" s="21" t="n">
        <f aca="false">'Global Inputs'!Q$8</f>
        <v>1</v>
      </c>
      <c r="R8" s="21" t="n">
        <f aca="false">'Global Inputs'!R$8</f>
        <v>1</v>
      </c>
      <c r="S8" s="21" t="n">
        <f aca="false">'Global Inputs'!S$8</f>
        <v>1</v>
      </c>
    </row>
    <row r="10" customFormat="false" ht="15" hidden="false" customHeight="false" outlineLevel="0" collapsed="false">
      <c r="B10" s="22" t="s">
        <v>1015</v>
      </c>
      <c r="C10" s="23"/>
      <c r="D10" s="23"/>
      <c r="E10" s="23"/>
      <c r="F10" s="23"/>
      <c r="G10" s="23"/>
      <c r="H10" s="23"/>
      <c r="I10" s="23"/>
      <c r="J10" s="23"/>
      <c r="K10" s="23"/>
      <c r="L10" s="23"/>
      <c r="M10" s="23"/>
      <c r="N10" s="23"/>
      <c r="O10" s="23"/>
      <c r="P10" s="23"/>
      <c r="Q10" s="23"/>
      <c r="R10" s="23"/>
      <c r="S10" s="23"/>
    </row>
    <row r="11" customFormat="false" ht="15" hidden="false" customHeight="false" outlineLevel="0" collapsed="false">
      <c r="B11" s="24" t="s">
        <v>1016</v>
      </c>
      <c r="C11" s="25" t="s">
        <v>143</v>
      </c>
      <c r="F11" s="30" t="n">
        <f aca="false">IF(F$5&gt;='P01 CigWharf2 Input'!$E$25,1,0)*F$8</f>
        <v>0</v>
      </c>
      <c r="G11" s="30" t="n">
        <f aca="false">IF(G$5&gt;='P01 CigWharf2 Input'!$E$25,1,0)*G$8</f>
        <v>0</v>
      </c>
      <c r="H11" s="30" t="n">
        <f aca="false">IF(H$5&gt;='P01 CigWharf2 Input'!$E$25,1,0)*H$8</f>
        <v>1</v>
      </c>
      <c r="I11" s="30" t="n">
        <f aca="false">IF(I$5&gt;='P01 CigWharf2 Input'!$E$25,1,0)*I$8</f>
        <v>1</v>
      </c>
      <c r="J11" s="30" t="n">
        <f aca="false">IF(J$5&gt;='P01 CigWharf2 Input'!$E$25,1,0)*J$8</f>
        <v>1</v>
      </c>
      <c r="K11" s="30" t="n">
        <f aca="false">IF(K$5&gt;='P01 CigWharf2 Input'!$E$25,1,0)*K$8</f>
        <v>1</v>
      </c>
      <c r="L11" s="30" t="n">
        <f aca="false">IF(L$5&gt;='P01 CigWharf2 Input'!$E$25,1,0)*L$8</f>
        <v>1</v>
      </c>
      <c r="M11" s="30" t="n">
        <f aca="false">IF(M$5&gt;='P01 CigWharf2 Input'!$E$25,1,0)*M$8</f>
        <v>1</v>
      </c>
      <c r="N11" s="30" t="n">
        <f aca="false">IF(N$5&gt;='P01 CigWharf2 Input'!$E$25,1,0)*N$8</f>
        <v>1</v>
      </c>
      <c r="O11" s="30" t="n">
        <f aca="false">IF(O$5&gt;='P01 CigWharf2 Input'!$E$25,1,0)*O$8</f>
        <v>1</v>
      </c>
      <c r="P11" s="30" t="n">
        <f aca="false">IF(P$5&gt;='P01 CigWharf2 Input'!$E$25,1,0)*P$8</f>
        <v>1</v>
      </c>
      <c r="Q11" s="30" t="n">
        <f aca="false">IF(Q$5&gt;='P01 CigWharf2 Input'!$E$25,1,0)*Q$8</f>
        <v>1</v>
      </c>
      <c r="R11" s="30" t="n">
        <f aca="false">IF(R$5&gt;='P01 CigWharf2 Input'!$E$25,1,0)*R$8</f>
        <v>1</v>
      </c>
      <c r="S11" s="30" t="n">
        <f aca="false">IF(S$5&gt;='P01 CigWharf2 Input'!$E$25,1,0)*S$8</f>
        <v>1</v>
      </c>
    </row>
    <row r="13" customFormat="false" ht="15" hidden="false" customHeight="false" outlineLevel="0" collapsed="false">
      <c r="B13" s="22" t="s">
        <v>1017</v>
      </c>
      <c r="C13" s="23"/>
      <c r="D13" s="23"/>
      <c r="E13" s="23"/>
      <c r="F13" s="23"/>
      <c r="G13" s="23"/>
      <c r="H13" s="23"/>
      <c r="I13" s="23"/>
      <c r="J13" s="23"/>
      <c r="K13" s="23"/>
      <c r="L13" s="23"/>
      <c r="M13" s="23"/>
      <c r="N13" s="23"/>
      <c r="O13" s="23"/>
      <c r="P13" s="23"/>
      <c r="Q13" s="23"/>
      <c r="R13" s="23"/>
      <c r="S13" s="23"/>
    </row>
    <row r="14" customFormat="false" ht="15" hidden="false" customHeight="false" outlineLevel="0" collapsed="false">
      <c r="B14" s="24" t="s">
        <v>1816</v>
      </c>
      <c r="C14" s="25" t="s">
        <v>1019</v>
      </c>
      <c r="F14" s="104" t="n">
        <f aca="false">0</f>
        <v>0</v>
      </c>
      <c r="G14" s="104" t="n">
        <f aca="false">IF(G$5&lt;'P01 CigWharf2 Input'!$E$25,0,IF(G$5='P01 CigWharf2 Input'!$E$25,1,F14*(1+'P01 CigWharf2 Input'!G29)))*G$8</f>
        <v>0</v>
      </c>
      <c r="H14" s="104" t="n">
        <f aca="false">IF(H$5&lt;'P01 CigWharf2 Input'!$E$25,0,IF(H$5='P01 CigWharf2 Input'!$E$25,1,G14*(1+'P01 CigWharf2 Input'!H29)))*H$8</f>
        <v>1</v>
      </c>
      <c r="I14" s="104" t="n">
        <f aca="false">IF(I$5&lt;'P01 CigWharf2 Input'!$E$25,0,IF(I$5='P01 CigWharf2 Input'!$E$25,1,H14*(1+'P01 CigWharf2 Input'!I29)))*I$8</f>
        <v>1.03</v>
      </c>
      <c r="J14" s="104" t="n">
        <f aca="false">IF(J$5&lt;'P01 CigWharf2 Input'!$E$25,0,IF(J$5='P01 CigWharf2 Input'!$E$25,1,I14*(1+'P01 CigWharf2 Input'!J29)))*J$8</f>
        <v>1.0609</v>
      </c>
      <c r="K14" s="104" t="n">
        <f aca="false">IF(K$5&lt;'P01 CigWharf2 Input'!$E$25,0,IF(K$5='P01 CigWharf2 Input'!$E$25,1,J14*(1+'P01 CigWharf2 Input'!K29)))*K$8</f>
        <v>1.092727</v>
      </c>
      <c r="L14" s="104" t="n">
        <f aca="false">IF(L$5&lt;'P01 CigWharf2 Input'!$E$25,0,IF(L$5='P01 CigWharf2 Input'!$E$25,1,K14*(1+'P01 CigWharf2 Input'!L29)))*L$8</f>
        <v>1.12550881</v>
      </c>
      <c r="M14" s="104" t="n">
        <f aca="false">IF(M$5&lt;'P01 CigWharf2 Input'!$E$25,0,IF(M$5='P01 CigWharf2 Input'!$E$25,1,L14*(1+'P01 CigWharf2 Input'!M29)))*M$8</f>
        <v>1.1592740743</v>
      </c>
      <c r="N14" s="104" t="n">
        <f aca="false">IF(N$5&lt;'P01 CigWharf2 Input'!$E$25,0,IF(N$5='P01 CigWharf2 Input'!$E$25,1,M14*(1+'P01 CigWharf2 Input'!N29)))*N$8</f>
        <v>1.194052296529</v>
      </c>
      <c r="O14" s="104" t="n">
        <f aca="false">IF(O$5&lt;'P01 CigWharf2 Input'!$E$25,0,IF(O$5='P01 CigWharf2 Input'!$E$25,1,N14*(1+'P01 CigWharf2 Input'!O29)))*O$8</f>
        <v>1.22987386542487</v>
      </c>
      <c r="P14" s="104" t="n">
        <f aca="false">IF(P$5&lt;'P01 CigWharf2 Input'!$E$25,0,IF(P$5='P01 CigWharf2 Input'!$E$25,1,O14*(1+'P01 CigWharf2 Input'!P29)))*P$8</f>
        <v>1.26677008138762</v>
      </c>
      <c r="Q14" s="104" t="n">
        <f aca="false">IF(Q$5&lt;'P01 CigWharf2 Input'!$E$25,0,IF(Q$5='P01 CigWharf2 Input'!$E$25,1,P14*(1+'P01 CigWharf2 Input'!Q29)))*Q$8</f>
        <v>1.30477318382925</v>
      </c>
      <c r="R14" s="104" t="n">
        <f aca="false">IF(R$5&lt;'P01 CigWharf2 Input'!$E$25,0,IF(R$5='P01 CigWharf2 Input'!$E$25,1,Q14*(1+'P01 CigWharf2 Input'!R29)))*R$8</f>
        <v>1.34391637934412</v>
      </c>
      <c r="S14" s="104" t="n">
        <f aca="false">IF(S$5&lt;'P01 CigWharf2 Input'!$E$25,0,IF(S$5='P01 CigWharf2 Input'!$E$25,1,R14*(1+'P01 CigWharf2 Input'!S29)))*S$8</f>
        <v>1.38423387072445</v>
      </c>
    </row>
    <row r="15" customFormat="false" ht="15" hidden="false" customHeight="false" outlineLevel="0" collapsed="false">
      <c r="B15" s="24" t="s">
        <v>1817</v>
      </c>
      <c r="C15" s="25" t="s">
        <v>900</v>
      </c>
      <c r="E15" s="31" t="n">
        <f aca="false">SUM(F15:S15)</f>
        <v>34770267.6064007</v>
      </c>
      <c r="F15" s="31" t="n">
        <f aca="false">F14*'P01 CigWharf2 Input'!$E$28</f>
        <v>0</v>
      </c>
      <c r="G15" s="31" t="n">
        <f aca="false">G14*'P01 CigWharf2 Input'!$E$28</f>
        <v>0</v>
      </c>
      <c r="H15" s="31" t="n">
        <f aca="false">H14*'P01 CigWharf2 Input'!$E$28</f>
        <v>2449985.568</v>
      </c>
      <c r="I15" s="31" t="n">
        <f aca="false">I14*'P01 CigWharf2 Input'!$E$28</f>
        <v>2523485.13504</v>
      </c>
      <c r="J15" s="31" t="n">
        <f aca="false">J14*'P01 CigWharf2 Input'!$E$28</f>
        <v>2599189.6890912</v>
      </c>
      <c r="K15" s="31" t="n">
        <f aca="false">K14*'P01 CigWharf2 Input'!$E$28</f>
        <v>2677165.37976394</v>
      </c>
      <c r="L15" s="31" t="n">
        <f aca="false">L14*'P01 CigWharf2 Input'!$E$28</f>
        <v>2757480.34115685</v>
      </c>
      <c r="M15" s="31" t="n">
        <f aca="false">M14*'P01 CigWharf2 Input'!$E$28</f>
        <v>2840204.75139156</v>
      </c>
      <c r="N15" s="31" t="n">
        <f aca="false">N14*'P01 CigWharf2 Input'!$E$28</f>
        <v>2925410.89393331</v>
      </c>
      <c r="O15" s="31" t="n">
        <f aca="false">O14*'P01 CigWharf2 Input'!$E$28</f>
        <v>3013173.22075131</v>
      </c>
      <c r="P15" s="31" t="n">
        <f aca="false">P14*'P01 CigWharf2 Input'!$E$28</f>
        <v>3103568.41737385</v>
      </c>
      <c r="Q15" s="31" t="n">
        <f aca="false">Q14*'P01 CigWharf2 Input'!$E$28</f>
        <v>3196675.46989506</v>
      </c>
      <c r="R15" s="31" t="n">
        <f aca="false">R14*'P01 CigWharf2 Input'!$E$28</f>
        <v>3292575.73399191</v>
      </c>
      <c r="S15" s="31" t="n">
        <f aca="false">S14*'P01 CigWharf2 Input'!$E$28</f>
        <v>3391353.00601167</v>
      </c>
    </row>
    <row r="16" customFormat="false" ht="15" hidden="false" customHeight="false" outlineLevel="0" collapsed="false">
      <c r="B16" s="24" t="s">
        <v>1818</v>
      </c>
      <c r="C16" s="25" t="s">
        <v>905</v>
      </c>
      <c r="F16" s="31" t="n">
        <f aca="false">'P01 CigWharf2 Input'!F30</f>
        <v>0</v>
      </c>
      <c r="G16" s="31" t="n">
        <f aca="false">'P01 CigWharf2 Input'!G30</f>
        <v>0</v>
      </c>
      <c r="H16" s="31" t="n">
        <f aca="false">'P01 CigWharf2 Input'!H30</f>
        <v>40944</v>
      </c>
      <c r="I16" s="31" t="n">
        <f aca="false">'P01 CigWharf2 Input'!I30</f>
        <v>40944</v>
      </c>
      <c r="J16" s="31" t="n">
        <f aca="false">'P01 CigWharf2 Input'!J30</f>
        <v>49132.8</v>
      </c>
      <c r="K16" s="31" t="n">
        <f aca="false">'P01 CigWharf2 Input'!K30</f>
        <v>49132.8</v>
      </c>
      <c r="L16" s="31" t="n">
        <f aca="false">'P01 CigWharf2 Input'!L30</f>
        <v>54046.08</v>
      </c>
      <c r="M16" s="31" t="n">
        <f aca="false">'P01 CigWharf2 Input'!M30</f>
        <v>54046.08</v>
      </c>
      <c r="N16" s="31" t="n">
        <f aca="false">'P01 CigWharf2 Input'!N30</f>
        <v>57288.8448</v>
      </c>
      <c r="O16" s="31" t="n">
        <f aca="false">'P01 CigWharf2 Input'!O30</f>
        <v>57288.8448</v>
      </c>
      <c r="P16" s="31" t="n">
        <f aca="false">'P01 CigWharf2 Input'!P30</f>
        <v>60726.175488</v>
      </c>
      <c r="Q16" s="31" t="n">
        <f aca="false">'P01 CigWharf2 Input'!Q30</f>
        <v>60726.175488</v>
      </c>
      <c r="R16" s="31" t="n">
        <f aca="false">'P01 CigWharf2 Input'!R30</f>
        <v>60726.175488</v>
      </c>
      <c r="S16" s="31" t="n">
        <f aca="false">'P01 CigWharf2 Input'!S30</f>
        <v>60726.175488</v>
      </c>
    </row>
    <row r="17" customFormat="false" ht="15" hidden="false" customHeight="false" outlineLevel="0" collapsed="false">
      <c r="B17" s="69" t="s">
        <v>1206</v>
      </c>
      <c r="C17" s="25" t="s">
        <v>170</v>
      </c>
      <c r="E17" s="70" t="n">
        <f aca="false">SUM(F17:S17)</f>
        <v>1894.10258832714</v>
      </c>
      <c r="F17" s="68" t="n">
        <f aca="false">F15*F16/10^9</f>
        <v>0</v>
      </c>
      <c r="G17" s="68" t="n">
        <f aca="false">G15*G16/10^9</f>
        <v>0</v>
      </c>
      <c r="H17" s="68" t="n">
        <f aca="false">H15*H16/10^9</f>
        <v>100.312209096192</v>
      </c>
      <c r="I17" s="68" t="n">
        <f aca="false">I15*I16/10^9</f>
        <v>103.321575369078</v>
      </c>
      <c r="J17" s="68" t="n">
        <f aca="false">J15*J16/10^9</f>
        <v>127.70546715618</v>
      </c>
      <c r="K17" s="68" t="n">
        <f aca="false">K15*K16/10^9</f>
        <v>131.536631170866</v>
      </c>
      <c r="L17" s="68" t="n">
        <f aca="false">L15*L16/10^9</f>
        <v>149.031003116591</v>
      </c>
      <c r="M17" s="68" t="n">
        <f aca="false">M15*M16/10^9</f>
        <v>153.501933210088</v>
      </c>
      <c r="N17" s="68" t="n">
        <f aca="false">N15*N16/10^9</f>
        <v>167.593410678774</v>
      </c>
      <c r="O17" s="68" t="n">
        <f aca="false">O15*O16/10^9</f>
        <v>172.621212999138</v>
      </c>
      <c r="P17" s="68" t="n">
        <f aca="false">P15*P16/10^9</f>
        <v>188.467840352459</v>
      </c>
      <c r="Q17" s="68" t="n">
        <f aca="false">Q15*Q16/10^9</f>
        <v>194.121875563032</v>
      </c>
      <c r="R17" s="68" t="n">
        <f aca="false">R15*R16/10^9</f>
        <v>199.945531829923</v>
      </c>
      <c r="S17" s="68" t="n">
        <f aca="false">S15*S16/10^9</f>
        <v>205.943897784821</v>
      </c>
    </row>
    <row r="19" customFormat="false" ht="15" hidden="false" customHeight="false" outlineLevel="0" collapsed="false">
      <c r="B19" s="22" t="s">
        <v>1029</v>
      </c>
      <c r="C19" s="23"/>
      <c r="D19" s="23"/>
      <c r="E19" s="23"/>
      <c r="F19" s="23"/>
      <c r="G19" s="23"/>
      <c r="H19" s="23"/>
      <c r="I19" s="23"/>
      <c r="J19" s="23"/>
      <c r="K19" s="23"/>
      <c r="L19" s="23"/>
      <c r="M19" s="23"/>
      <c r="N19" s="23"/>
      <c r="O19" s="23"/>
      <c r="P19" s="23"/>
      <c r="Q19" s="23"/>
      <c r="R19" s="23"/>
      <c r="S19" s="23"/>
    </row>
    <row r="20" customFormat="false" ht="15" hidden="false" customHeight="false" outlineLevel="0" collapsed="false">
      <c r="B20" s="24" t="s">
        <v>1819</v>
      </c>
      <c r="C20" s="25" t="s">
        <v>905</v>
      </c>
      <c r="F20" s="94" t="n">
        <f aca="false">'E2 CigadingExist Calc'!F24</f>
        <v>1958.72536674998</v>
      </c>
      <c r="G20" s="94" t="n">
        <f aca="false">'E2 CigadingExist Calc'!G24</f>
        <v>2017.48712775248</v>
      </c>
      <c r="H20" s="94" t="n">
        <f aca="false">'E2 CigadingExist Calc'!H24</f>
        <v>2078.01174158505</v>
      </c>
      <c r="I20" s="94" t="n">
        <f aca="false">'E2 CigadingExist Calc'!I24</f>
        <v>2140.3520938326</v>
      </c>
      <c r="J20" s="94" t="n">
        <f aca="false">'E2 CigadingExist Calc'!J24</f>
        <v>2204.56265664758</v>
      </c>
      <c r="K20" s="94" t="n">
        <f aca="false">'E2 CigadingExist Calc'!K24</f>
        <v>2270.69953634701</v>
      </c>
      <c r="L20" s="94" t="n">
        <f aca="false">'E2 CigadingExist Calc'!L24</f>
        <v>2338.82052243742</v>
      </c>
      <c r="M20" s="94" t="n">
        <f aca="false">'E2 CigadingExist Calc'!M24</f>
        <v>2408.98513811054</v>
      </c>
      <c r="N20" s="94" t="n">
        <f aca="false">'E2 CigadingExist Calc'!N24</f>
        <v>2481.25469225386</v>
      </c>
      <c r="O20" s="94" t="n">
        <f aca="false">'E2 CigadingExist Calc'!O24</f>
        <v>2555.69233302147</v>
      </c>
      <c r="P20" s="94" t="n">
        <f aca="false">'E2 CigadingExist Calc'!P24</f>
        <v>2632.36310301212</v>
      </c>
      <c r="Q20" s="94" t="n">
        <f aca="false">'E2 CigadingExist Calc'!Q24</f>
        <v>2711.33399610248</v>
      </c>
      <c r="R20" s="94" t="n">
        <f aca="false">'E2 CigadingExist Calc'!R24</f>
        <v>2792.67401598556</v>
      </c>
      <c r="S20" s="94" t="n">
        <f aca="false">'E2 CigadingExist Calc'!S24</f>
        <v>2876.45423646512</v>
      </c>
    </row>
    <row r="21" customFormat="false" ht="15" hidden="false" customHeight="false" outlineLevel="0" collapsed="false">
      <c r="B21" s="24" t="s">
        <v>1820</v>
      </c>
      <c r="C21" s="25" t="s">
        <v>170</v>
      </c>
      <c r="E21" s="47" t="n">
        <f aca="false">SUM(F21:S21)</f>
        <v>86.339192320392</v>
      </c>
      <c r="F21" s="47" t="n">
        <f aca="false">F20*F15/10^9</f>
        <v>0</v>
      </c>
      <c r="G21" s="47" t="n">
        <f aca="false">G20*G15/10^9</f>
        <v>0</v>
      </c>
      <c r="H21" s="47" t="n">
        <f aca="false">H20*H15/10^9</f>
        <v>5.09109877701792</v>
      </c>
      <c r="I21" s="47" t="n">
        <f aca="false">I20*I15/10^9</f>
        <v>5.40114669253831</v>
      </c>
      <c r="J21" s="47" t="n">
        <f aca="false">J20*J15/10^9</f>
        <v>5.7300765261139</v>
      </c>
      <c r="K21" s="47" t="n">
        <f aca="false">K20*K15/10^9</f>
        <v>6.07903818655424</v>
      </c>
      <c r="L21" s="47" t="n">
        <f aca="false">L20*L15/10^9</f>
        <v>6.44925161211539</v>
      </c>
      <c r="M21" s="47" t="n">
        <f aca="false">M20*M15/10^9</f>
        <v>6.84201103529322</v>
      </c>
      <c r="N21" s="47" t="n">
        <f aca="false">N20*N15/10^9</f>
        <v>7.25868950734257</v>
      </c>
      <c r="O21" s="47" t="n">
        <f aca="false">O20*O15/10^9</f>
        <v>7.70074369833974</v>
      </c>
      <c r="P21" s="47" t="n">
        <f aca="false">P20*P15/10^9</f>
        <v>8.16971898956863</v>
      </c>
      <c r="Q21" s="47" t="n">
        <f aca="false">Q20*Q15/10^9</f>
        <v>8.66725487603336</v>
      </c>
      <c r="R21" s="47" t="n">
        <f aca="false">R20*R15/10^9</f>
        <v>9.19509069798379</v>
      </c>
      <c r="S21" s="47" t="n">
        <f aca="false">S20*S15/10^9</f>
        <v>9.755071721491</v>
      </c>
    </row>
    <row r="22" customFormat="false" ht="15" hidden="false" customHeight="false" outlineLevel="0" collapsed="false">
      <c r="B22" s="24" t="s">
        <v>1821</v>
      </c>
      <c r="C22" s="25" t="s">
        <v>905</v>
      </c>
      <c r="F22" s="94" t="n">
        <f aca="false">'E2 CigadingExist Calc'!F35</f>
        <v>602.233222577252</v>
      </c>
      <c r="G22" s="94" t="n">
        <f aca="false">'E2 CigadingExist Calc'!G35</f>
        <v>620.30021925457</v>
      </c>
      <c r="H22" s="94" t="n">
        <f aca="false">'E2 CigadingExist Calc'!H35</f>
        <v>638.909225832207</v>
      </c>
      <c r="I22" s="94" t="n">
        <f aca="false">'E2 CigadingExist Calc'!I35</f>
        <v>658.076502607173</v>
      </c>
      <c r="J22" s="94" t="n">
        <f aca="false">'E2 CigadingExist Calc'!J35</f>
        <v>677.818797685388</v>
      </c>
      <c r="K22" s="94" t="n">
        <f aca="false">'E2 CigadingExist Calc'!K35</f>
        <v>698.15336161595</v>
      </c>
      <c r="L22" s="94" t="n">
        <f aca="false">'E2 CigadingExist Calc'!L35</f>
        <v>719.097962464428</v>
      </c>
      <c r="M22" s="94" t="n">
        <f aca="false">'E2 CigadingExist Calc'!M35</f>
        <v>740.670901338361</v>
      </c>
      <c r="N22" s="94" t="n">
        <f aca="false">'E2 CigadingExist Calc'!N35</f>
        <v>762.891028378512</v>
      </c>
      <c r="O22" s="94" t="n">
        <f aca="false">'E2 CigadingExist Calc'!O35</f>
        <v>785.777759229867</v>
      </c>
      <c r="P22" s="94" t="n">
        <f aca="false">'E2 CigadingExist Calc'!P35</f>
        <v>809.351092006763</v>
      </c>
      <c r="Q22" s="94" t="n">
        <f aca="false">'E2 CigadingExist Calc'!Q35</f>
        <v>833.631624766966</v>
      </c>
      <c r="R22" s="94" t="n">
        <f aca="false">'E2 CigadingExist Calc'!R35</f>
        <v>858.640573509975</v>
      </c>
      <c r="S22" s="94" t="n">
        <f aca="false">'E2 CigadingExist Calc'!S35</f>
        <v>884.399790715275</v>
      </c>
    </row>
    <row r="23" customFormat="false" ht="15" hidden="false" customHeight="false" outlineLevel="0" collapsed="false">
      <c r="B23" s="24" t="s">
        <v>1822</v>
      </c>
      <c r="C23" s="25" t="s">
        <v>170</v>
      </c>
      <c r="E23" s="47" t="n">
        <f aca="false">SUM(F23:S23)</f>
        <v>26.5460032878943</v>
      </c>
      <c r="F23" s="47" t="n">
        <f aca="false">F22*F15/10^9</f>
        <v>0</v>
      </c>
      <c r="G23" s="47" t="n">
        <f aca="false">G22*G15/10^9</f>
        <v>0</v>
      </c>
      <c r="H23" s="47" t="n">
        <f aca="false">H22*H15/10^9</f>
        <v>1.56531838255096</v>
      </c>
      <c r="I23" s="47" t="n">
        <f aca="false">I22*I15/10^9</f>
        <v>1.66064627204831</v>
      </c>
      <c r="J23" s="47" t="n">
        <f aca="false">J22*J15/10^9</f>
        <v>1.76177963001605</v>
      </c>
      <c r="K23" s="47" t="n">
        <f aca="false">K22*K15/10^9</f>
        <v>1.86907200948403</v>
      </c>
      <c r="L23" s="47" t="n">
        <f aca="false">L22*L15/10^9</f>
        <v>1.98289849486161</v>
      </c>
      <c r="M23" s="47" t="n">
        <f aca="false">M22*M15/10^9</f>
        <v>2.10365701319868</v>
      </c>
      <c r="N23" s="47" t="n">
        <f aca="false">N22*N15/10^9</f>
        <v>2.23176972530248</v>
      </c>
      <c r="O23" s="47" t="n">
        <f aca="false">O22*O15/10^9</f>
        <v>2.3676845015734</v>
      </c>
      <c r="P23" s="47" t="n">
        <f aca="false">P22*P15/10^9</f>
        <v>2.51187648771922</v>
      </c>
      <c r="Q23" s="47" t="n">
        <f aca="false">Q22*Q15/10^9</f>
        <v>2.66484976582133</v>
      </c>
      <c r="R23" s="47" t="n">
        <f aca="false">R22*R15/10^9</f>
        <v>2.82713911655984</v>
      </c>
      <c r="S23" s="47" t="n">
        <f aca="false">S22*S15/10^9</f>
        <v>2.99931188875834</v>
      </c>
    </row>
    <row r="24" customFormat="false" ht="15" hidden="false" customHeight="false" outlineLevel="0" collapsed="false">
      <c r="B24" s="24" t="s">
        <v>1823</v>
      </c>
      <c r="C24" s="25" t="s">
        <v>170</v>
      </c>
      <c r="E24" s="47" t="n">
        <f aca="false">SUM(F24:S24)</f>
        <v>12.49152</v>
      </c>
      <c r="F24" s="47" t="n">
        <f aca="false">SUM($F$35:$S$35)*'P01 CigWharf2 Input'!$E$33*F11</f>
        <v>0</v>
      </c>
      <c r="G24" s="47" t="n">
        <f aca="false">SUM($F$35:$S$35)*'P01 CigWharf2 Input'!$E$33*G11</f>
        <v>0</v>
      </c>
      <c r="H24" s="47" t="n">
        <f aca="false">SUM($F$35:$S$35)*'P01 CigWharf2 Input'!$E$33*H11</f>
        <v>1.04096</v>
      </c>
      <c r="I24" s="47" t="n">
        <f aca="false">SUM($F$35:$S$35)*'P01 CigWharf2 Input'!$E$33*I11</f>
        <v>1.04096</v>
      </c>
      <c r="J24" s="47" t="n">
        <f aca="false">SUM($F$35:$S$35)*'P01 CigWharf2 Input'!$E$33*J11</f>
        <v>1.04096</v>
      </c>
      <c r="K24" s="47" t="n">
        <f aca="false">SUM($F$35:$S$35)*'P01 CigWharf2 Input'!$E$33*K11</f>
        <v>1.04096</v>
      </c>
      <c r="L24" s="47" t="n">
        <f aca="false">SUM($F$35:$S$35)*'P01 CigWharf2 Input'!$E$33*L11</f>
        <v>1.04096</v>
      </c>
      <c r="M24" s="47" t="n">
        <f aca="false">SUM($F$35:$S$35)*'P01 CigWharf2 Input'!$E$33*M11</f>
        <v>1.04096</v>
      </c>
      <c r="N24" s="47" t="n">
        <f aca="false">SUM($F$35:$S$35)*'P01 CigWharf2 Input'!$E$33*N11</f>
        <v>1.04096</v>
      </c>
      <c r="O24" s="47" t="n">
        <f aca="false">SUM($F$35:$S$35)*'P01 CigWharf2 Input'!$E$33*O11</f>
        <v>1.04096</v>
      </c>
      <c r="P24" s="47" t="n">
        <f aca="false">SUM($F$35:$S$35)*'P01 CigWharf2 Input'!$E$33*P11</f>
        <v>1.04096</v>
      </c>
      <c r="Q24" s="47" t="n">
        <f aca="false">SUM($F$35:$S$35)*'P01 CigWharf2 Input'!$E$33*Q11</f>
        <v>1.04096</v>
      </c>
      <c r="R24" s="47" t="n">
        <f aca="false">SUM($F$35:$S$35)*'P01 CigWharf2 Input'!$E$33*R11</f>
        <v>1.04096</v>
      </c>
      <c r="S24" s="47" t="n">
        <f aca="false">SUM($F$35:$S$35)*'P01 CigWharf2 Input'!$E$33*S11</f>
        <v>1.04096</v>
      </c>
    </row>
    <row r="25" customFormat="false" ht="15" hidden="false" customHeight="false" outlineLevel="0" collapsed="false">
      <c r="B25" s="24" t="s">
        <v>1824</v>
      </c>
      <c r="C25" s="25" t="s">
        <v>905</v>
      </c>
      <c r="F25" s="94" t="n">
        <f aca="false">'E2 CigadingExist Calc'!F30</f>
        <v>699.281612434893</v>
      </c>
      <c r="G25" s="94" t="n">
        <f aca="false">'E2 CigadingExist Calc'!G30</f>
        <v>720.26006080794</v>
      </c>
      <c r="H25" s="94" t="n">
        <f aca="false">'E2 CigadingExist Calc'!H30</f>
        <v>741.867862632178</v>
      </c>
      <c r="I25" s="94" t="n">
        <f aca="false">'E2 CigadingExist Calc'!I30</f>
        <v>764.123898511144</v>
      </c>
      <c r="J25" s="94" t="n">
        <f aca="false">'E2 CigadingExist Calc'!J30</f>
        <v>787.047615466478</v>
      </c>
      <c r="K25" s="94" t="n">
        <f aca="false">'E2 CigadingExist Calc'!K30</f>
        <v>810.659043930472</v>
      </c>
      <c r="L25" s="94" t="n">
        <f aca="false">'E2 CigadingExist Calc'!L30</f>
        <v>834.978815248387</v>
      </c>
      <c r="M25" s="94" t="n">
        <f aca="false">'E2 CigadingExist Calc'!M30</f>
        <v>860.028179705838</v>
      </c>
      <c r="N25" s="94" t="n">
        <f aca="false">'E2 CigadingExist Calc'!N30</f>
        <v>885.829025097013</v>
      </c>
      <c r="O25" s="94" t="n">
        <f aca="false">'E2 CigadingExist Calc'!O30</f>
        <v>912.403895849924</v>
      </c>
      <c r="P25" s="94" t="n">
        <f aca="false">'E2 CigadingExist Calc'!P30</f>
        <v>939.776012725421</v>
      </c>
      <c r="Q25" s="94" t="n">
        <f aca="false">'E2 CigadingExist Calc'!Q30</f>
        <v>967.969293107184</v>
      </c>
      <c r="R25" s="94" t="n">
        <f aca="false">'E2 CigadingExist Calc'!R30</f>
        <v>997.0083719004</v>
      </c>
      <c r="S25" s="94" t="n">
        <f aca="false">'E2 CigadingExist Calc'!S30</f>
        <v>1026.91862305741</v>
      </c>
    </row>
    <row r="26" customFormat="false" ht="15" hidden="false" customHeight="false" outlineLevel="0" collapsed="false">
      <c r="B26" s="24" t="s">
        <v>1825</v>
      </c>
      <c r="C26" s="25" t="s">
        <v>170</v>
      </c>
      <c r="E26" s="47" t="n">
        <f aca="false">SUM(F26:S26)</f>
        <v>30.823825865036</v>
      </c>
      <c r="F26" s="47" t="n">
        <f aca="false">F25*F15/10^9</f>
        <v>0</v>
      </c>
      <c r="G26" s="47" t="n">
        <f aca="false">G25*G15/10^9</f>
        <v>0</v>
      </c>
      <c r="H26" s="47" t="n">
        <f aca="false">H25*H15/10^9</f>
        <v>1.81756555681184</v>
      </c>
      <c r="I26" s="47" t="n">
        <f aca="false">I25*I15/10^9</f>
        <v>1.92825529922168</v>
      </c>
      <c r="J26" s="47" t="n">
        <f aca="false">J25*J15/10^9</f>
        <v>2.04568604694429</v>
      </c>
      <c r="K26" s="47" t="n">
        <f aca="false">K25*K15/10^9</f>
        <v>2.17026832720319</v>
      </c>
      <c r="L26" s="47" t="n">
        <f aca="false">L25*L15/10^9</f>
        <v>2.30243766832987</v>
      </c>
      <c r="M26" s="47" t="n">
        <f aca="false">M25*M15/10^9</f>
        <v>2.44265612233116</v>
      </c>
      <c r="N26" s="47" t="n">
        <f aca="false">N25*N15/10^9</f>
        <v>2.59141388018112</v>
      </c>
      <c r="O26" s="47" t="n">
        <f aca="false">O25*O15/10^9</f>
        <v>2.74923098548415</v>
      </c>
      <c r="P26" s="47" t="n">
        <f aca="false">P25*P15/10^9</f>
        <v>2.91665915250014</v>
      </c>
      <c r="Q26" s="47" t="n">
        <f aca="false">Q25*Q15/10^9</f>
        <v>3.0942836948874</v>
      </c>
      <c r="R26" s="47" t="n">
        <f aca="false">R25*R15/10^9</f>
        <v>3.28272557190604</v>
      </c>
      <c r="S26" s="47" t="n">
        <f aca="false">S25*S15/10^9</f>
        <v>3.48264355923512</v>
      </c>
    </row>
    <row r="27" customFormat="false" ht="15" hidden="false" customHeight="false" outlineLevel="0" collapsed="false">
      <c r="B27" s="69" t="s">
        <v>1059</v>
      </c>
      <c r="C27" s="25" t="s">
        <v>170</v>
      </c>
      <c r="E27" s="70" t="n">
        <f aca="false">SUM(F27:S27)</f>
        <v>156.200541473322</v>
      </c>
      <c r="F27" s="68" t="n">
        <f aca="false">F21+F23+F24+F26</f>
        <v>0</v>
      </c>
      <c r="G27" s="68" t="n">
        <f aca="false">G21+G23+G24+G26</f>
        <v>0</v>
      </c>
      <c r="H27" s="68" t="n">
        <f aca="false">H21+H23+H24+H26</f>
        <v>9.51494271638072</v>
      </c>
      <c r="I27" s="68" t="n">
        <f aca="false">I21+I23+I24+I26</f>
        <v>10.0310082638083</v>
      </c>
      <c r="J27" s="68" t="n">
        <f aca="false">J21+J23+J24+J26</f>
        <v>10.5785022030742</v>
      </c>
      <c r="K27" s="68" t="n">
        <f aca="false">K21+K23+K24+K26</f>
        <v>11.1593385232415</v>
      </c>
      <c r="L27" s="68" t="n">
        <f aca="false">L21+L23+L24+L26</f>
        <v>11.7755477753069</v>
      </c>
      <c r="M27" s="68" t="n">
        <f aca="false">M21+M23+M24+M26</f>
        <v>12.4292841708231</v>
      </c>
      <c r="N27" s="68" t="n">
        <f aca="false">N21+N23+N24+N26</f>
        <v>13.1228331128262</v>
      </c>
      <c r="O27" s="68" t="n">
        <f aca="false">O21+O23+O24+O26</f>
        <v>13.8586191853973</v>
      </c>
      <c r="P27" s="68" t="n">
        <f aca="false">P21+P23+P24+P26</f>
        <v>14.639214629788</v>
      </c>
      <c r="Q27" s="68" t="n">
        <f aca="false">Q21+Q23+Q24+Q26</f>
        <v>15.4673483367421</v>
      </c>
      <c r="R27" s="68" t="n">
        <f aca="false">R21+R23+R24+R26</f>
        <v>16.3459153864497</v>
      </c>
      <c r="S27" s="68" t="n">
        <f aca="false">S21+S23+S24+S26</f>
        <v>17.2779871694845</v>
      </c>
    </row>
    <row r="29" customFormat="false" ht="15" hidden="false" customHeight="false" outlineLevel="0" collapsed="false">
      <c r="B29" s="22" t="s">
        <v>1826</v>
      </c>
      <c r="C29" s="23"/>
      <c r="D29" s="23"/>
      <c r="E29" s="23"/>
      <c r="F29" s="23"/>
      <c r="G29" s="23"/>
      <c r="H29" s="23"/>
      <c r="I29" s="23"/>
      <c r="J29" s="23"/>
      <c r="K29" s="23"/>
      <c r="L29" s="23"/>
      <c r="M29" s="23"/>
      <c r="N29" s="23"/>
      <c r="O29" s="23"/>
      <c r="P29" s="23"/>
      <c r="Q29" s="23"/>
      <c r="R29" s="23"/>
      <c r="S29" s="23"/>
    </row>
    <row r="30" customFormat="false" ht="15" hidden="false" customHeight="false" outlineLevel="0" collapsed="false">
      <c r="B30" s="69" t="s">
        <v>1827</v>
      </c>
      <c r="C30" s="25" t="s">
        <v>170</v>
      </c>
      <c r="E30" s="70" t="n">
        <f aca="false">SUM(F30:S30)</f>
        <v>378.820517665428</v>
      </c>
      <c r="F30" s="68" t="n">
        <f aca="false">F17*'P01 CigWharf2 Input'!$E$32</f>
        <v>0</v>
      </c>
      <c r="G30" s="68" t="n">
        <f aca="false">G17*'P01 CigWharf2 Input'!$E$32</f>
        <v>0</v>
      </c>
      <c r="H30" s="68" t="n">
        <f aca="false">H17*'P01 CigWharf2 Input'!$E$32</f>
        <v>20.0624418192384</v>
      </c>
      <c r="I30" s="68" t="n">
        <f aca="false">I17*'P01 CigWharf2 Input'!$E$32</f>
        <v>20.6643150738156</v>
      </c>
      <c r="J30" s="68" t="n">
        <f aca="false">J17*'P01 CigWharf2 Input'!$E$32</f>
        <v>25.541093431236</v>
      </c>
      <c r="K30" s="68" t="n">
        <f aca="false">K17*'P01 CigWharf2 Input'!$E$32</f>
        <v>26.3073262341731</v>
      </c>
      <c r="L30" s="68" t="n">
        <f aca="false">L17*'P01 CigWharf2 Input'!$E$32</f>
        <v>29.8062006233181</v>
      </c>
      <c r="M30" s="68" t="n">
        <f aca="false">M17*'P01 CigWharf2 Input'!$E$32</f>
        <v>30.7003866420177</v>
      </c>
      <c r="N30" s="68" t="n">
        <f aca="false">N17*'P01 CigWharf2 Input'!$E$32</f>
        <v>33.5186821357549</v>
      </c>
      <c r="O30" s="68" t="n">
        <f aca="false">O17*'P01 CigWharf2 Input'!$E$32</f>
        <v>34.5242425998275</v>
      </c>
      <c r="P30" s="68" t="n">
        <f aca="false">P17*'P01 CigWharf2 Input'!$E$32</f>
        <v>37.6935680704917</v>
      </c>
      <c r="Q30" s="68" t="n">
        <f aca="false">Q17*'P01 CigWharf2 Input'!$E$32</f>
        <v>38.8243751126065</v>
      </c>
      <c r="R30" s="68" t="n">
        <f aca="false">R17*'P01 CigWharf2 Input'!$E$32</f>
        <v>39.9891063659847</v>
      </c>
      <c r="S30" s="68" t="n">
        <f aca="false">S17*'P01 CigWharf2 Input'!$E$32</f>
        <v>41.1887795569642</v>
      </c>
    </row>
    <row r="32" customFormat="false" ht="15" hidden="false" customHeight="false" outlineLevel="0" collapsed="false">
      <c r="B32" s="22" t="s">
        <v>1828</v>
      </c>
      <c r="C32" s="23"/>
      <c r="D32" s="23"/>
      <c r="E32" s="23"/>
      <c r="F32" s="23"/>
      <c r="G32" s="23"/>
      <c r="H32" s="23"/>
      <c r="I32" s="23"/>
      <c r="J32" s="23"/>
      <c r="K32" s="23"/>
      <c r="L32" s="23"/>
      <c r="M32" s="23"/>
      <c r="N32" s="23"/>
      <c r="O32" s="23"/>
      <c r="P32" s="23"/>
      <c r="Q32" s="23"/>
      <c r="R32" s="23"/>
      <c r="S32" s="23"/>
    </row>
    <row r="33" customFormat="false" ht="15" hidden="false" customHeight="false" outlineLevel="0" collapsed="false">
      <c r="B33" s="24" t="s">
        <v>1330</v>
      </c>
      <c r="C33" s="25" t="s">
        <v>240</v>
      </c>
      <c r="E33" s="44" t="n">
        <f aca="false">SUM(F33:S33)</f>
        <v>12.8</v>
      </c>
      <c r="F33" s="44" t="n">
        <f aca="false">'P01 CigWharf2 Input'!F38</f>
        <v>10</v>
      </c>
      <c r="G33" s="44" t="n">
        <f aca="false">'P01 CigWharf2 Input'!G38</f>
        <v>2.3</v>
      </c>
      <c r="H33" s="44" t="n">
        <f aca="false">'P01 CigWharf2 Input'!H38</f>
        <v>0.5</v>
      </c>
      <c r="I33" s="44" t="n">
        <f aca="false">'P01 CigWharf2 Input'!I38</f>
        <v>0</v>
      </c>
      <c r="J33" s="44" t="n">
        <f aca="false">'P01 CigWharf2 Input'!J38</f>
        <v>0</v>
      </c>
      <c r="K33" s="44" t="n">
        <f aca="false">'P01 CigWharf2 Input'!K38</f>
        <v>0</v>
      </c>
      <c r="L33" s="44" t="n">
        <f aca="false">'P01 CigWharf2 Input'!L38</f>
        <v>0</v>
      </c>
      <c r="M33" s="44" t="n">
        <f aca="false">'P01 CigWharf2 Input'!M38</f>
        <v>0</v>
      </c>
      <c r="N33" s="44" t="n">
        <f aca="false">'P01 CigWharf2 Input'!N38</f>
        <v>0</v>
      </c>
      <c r="O33" s="44" t="n">
        <f aca="false">'P01 CigWharf2 Input'!O38</f>
        <v>0</v>
      </c>
      <c r="P33" s="44" t="n">
        <f aca="false">'P01 CigWharf2 Input'!P38</f>
        <v>0</v>
      </c>
      <c r="Q33" s="44" t="n">
        <f aca="false">'P01 CigWharf2 Input'!Q38</f>
        <v>0</v>
      </c>
      <c r="R33" s="44" t="n">
        <f aca="false">'P01 CigWharf2 Input'!R38</f>
        <v>0</v>
      </c>
      <c r="S33" s="44" t="n">
        <f aca="false">'P01 CigWharf2 Input'!S38</f>
        <v>0</v>
      </c>
    </row>
    <row r="34" customFormat="false" ht="15" hidden="false" customHeight="false" outlineLevel="0" collapsed="false">
      <c r="B34" s="24" t="s">
        <v>1331</v>
      </c>
      <c r="C34" s="25" t="s">
        <v>152</v>
      </c>
      <c r="F34" s="34" t="n">
        <f aca="false">'Global Inputs'!F22</f>
        <v>16265</v>
      </c>
      <c r="G34" s="34" t="n">
        <f aca="false">'Global Inputs'!G22</f>
        <v>16265</v>
      </c>
      <c r="H34" s="34" t="n">
        <f aca="false">'Global Inputs'!H22</f>
        <v>16265</v>
      </c>
      <c r="I34" s="34" t="n">
        <f aca="false">'Global Inputs'!I22</f>
        <v>16265</v>
      </c>
      <c r="J34" s="34" t="n">
        <f aca="false">'Global Inputs'!J22</f>
        <v>16265</v>
      </c>
      <c r="K34" s="34" t="n">
        <f aca="false">'Global Inputs'!K22</f>
        <v>16265</v>
      </c>
      <c r="L34" s="34" t="n">
        <f aca="false">'Global Inputs'!L22</f>
        <v>16265</v>
      </c>
      <c r="M34" s="34" t="n">
        <f aca="false">'Global Inputs'!M22</f>
        <v>16265</v>
      </c>
      <c r="N34" s="34" t="n">
        <f aca="false">'Global Inputs'!N22</f>
        <v>16265</v>
      </c>
      <c r="O34" s="34" t="n">
        <f aca="false">'Global Inputs'!O22</f>
        <v>16265</v>
      </c>
      <c r="P34" s="34" t="n">
        <f aca="false">'Global Inputs'!P22</f>
        <v>16265</v>
      </c>
      <c r="Q34" s="34" t="n">
        <f aca="false">'Global Inputs'!Q22</f>
        <v>16265</v>
      </c>
      <c r="R34" s="34" t="n">
        <f aca="false">'Global Inputs'!R22</f>
        <v>16265</v>
      </c>
      <c r="S34" s="34" t="n">
        <f aca="false">'Global Inputs'!S22</f>
        <v>16265</v>
      </c>
    </row>
    <row r="35" customFormat="false" ht="15" hidden="false" customHeight="false" outlineLevel="0" collapsed="false">
      <c r="B35" s="24" t="s">
        <v>351</v>
      </c>
      <c r="C35" s="25" t="s">
        <v>170</v>
      </c>
      <c r="E35" s="47" t="n">
        <f aca="false">SUM(F35:S35)</f>
        <v>208.192</v>
      </c>
      <c r="F35" s="47" t="n">
        <f aca="false">'P01 CigWharf2 Input'!F40</f>
        <v>162.65</v>
      </c>
      <c r="G35" s="47" t="n">
        <f aca="false">'P01 CigWharf2 Input'!G40</f>
        <v>37.4095</v>
      </c>
      <c r="H35" s="47" t="n">
        <f aca="false">'P01 CigWharf2 Input'!H40</f>
        <v>8.1325</v>
      </c>
      <c r="I35" s="47" t="n">
        <f aca="false">'P01 CigWharf2 Input'!I40</f>
        <v>0</v>
      </c>
      <c r="J35" s="47" t="n">
        <f aca="false">'P01 CigWharf2 Input'!J40</f>
        <v>0</v>
      </c>
      <c r="K35" s="47" t="n">
        <f aca="false">'P01 CigWharf2 Input'!K40</f>
        <v>0</v>
      </c>
      <c r="L35" s="47" t="n">
        <f aca="false">'P01 CigWharf2 Input'!L40</f>
        <v>0</v>
      </c>
      <c r="M35" s="47" t="n">
        <f aca="false">'P01 CigWharf2 Input'!M40</f>
        <v>0</v>
      </c>
      <c r="N35" s="47" t="n">
        <f aca="false">'P01 CigWharf2 Input'!N40</f>
        <v>0</v>
      </c>
      <c r="O35" s="47" t="n">
        <f aca="false">'P01 CigWharf2 Input'!O40</f>
        <v>0</v>
      </c>
      <c r="P35" s="47" t="n">
        <f aca="false">'P01 CigWharf2 Input'!P40</f>
        <v>0</v>
      </c>
      <c r="Q35" s="47" t="n">
        <f aca="false">'P01 CigWharf2 Input'!Q40</f>
        <v>0</v>
      </c>
      <c r="R35" s="47" t="n">
        <f aca="false">'P01 CigWharf2 Input'!R40</f>
        <v>0</v>
      </c>
      <c r="S35" s="47" t="n">
        <f aca="false">'P01 CigWharf2 Input'!S40</f>
        <v>0</v>
      </c>
    </row>
    <row r="36" customFormat="false" ht="15" hidden="false" customHeight="false" outlineLevel="0" collapsed="false">
      <c r="B36" s="24" t="s">
        <v>1332</v>
      </c>
      <c r="C36" s="25" t="s">
        <v>170</v>
      </c>
      <c r="F36" s="47" t="n">
        <f aca="false">SUM($F$35:F35)</f>
        <v>162.65</v>
      </c>
      <c r="G36" s="47" t="n">
        <f aca="false">SUM($F$35:G35)</f>
        <v>200.0595</v>
      </c>
      <c r="H36" s="47" t="n">
        <f aca="false">SUM($F$35:H35)</f>
        <v>208.192</v>
      </c>
      <c r="I36" s="47" t="n">
        <f aca="false">SUM($F$35:I35)</f>
        <v>208.192</v>
      </c>
      <c r="J36" s="47" t="n">
        <f aca="false">SUM($F$35:J35)</f>
        <v>208.192</v>
      </c>
      <c r="K36" s="47" t="n">
        <f aca="false">SUM($F$35:K35)</f>
        <v>208.192</v>
      </c>
      <c r="L36" s="47" t="n">
        <f aca="false">SUM($F$35:L35)</f>
        <v>208.192</v>
      </c>
      <c r="M36" s="47" t="n">
        <f aca="false">SUM($F$35:M35)</f>
        <v>208.192</v>
      </c>
      <c r="N36" s="47" t="n">
        <f aca="false">SUM($F$35:N35)</f>
        <v>208.192</v>
      </c>
      <c r="O36" s="47" t="n">
        <f aca="false">SUM($F$35:O35)</f>
        <v>208.192</v>
      </c>
      <c r="P36" s="47" t="n">
        <f aca="false">SUM($F$35:P35)</f>
        <v>208.192</v>
      </c>
      <c r="Q36" s="47" t="n">
        <f aca="false">SUM($F$35:Q35)</f>
        <v>208.192</v>
      </c>
      <c r="R36" s="47" t="n">
        <f aca="false">SUM($F$35:R35)</f>
        <v>208.192</v>
      </c>
      <c r="S36" s="47" t="n">
        <f aca="false">SUM($F$35:S35)</f>
        <v>208.192</v>
      </c>
    </row>
    <row r="37" customFormat="false" ht="15" hidden="false" customHeight="false" outlineLevel="0" collapsed="false">
      <c r="B37" s="24" t="s">
        <v>1333</v>
      </c>
      <c r="C37" s="25" t="s">
        <v>143</v>
      </c>
      <c r="F37" s="30" t="n">
        <f aca="false">IF(F$5&gt;='P01 CigWharf2 Input'!$E$45,1,0)*F$8</f>
        <v>0</v>
      </c>
      <c r="G37" s="30" t="n">
        <f aca="false">IF(G$5&gt;='P01 CigWharf2 Input'!$E$45,1,0)*G$8</f>
        <v>0</v>
      </c>
      <c r="H37" s="30" t="n">
        <f aca="false">IF(H$5&gt;='P01 CigWharf2 Input'!$E$45,1,0)*H$8</f>
        <v>1</v>
      </c>
      <c r="I37" s="30" t="n">
        <f aca="false">IF(I$5&gt;='P01 CigWharf2 Input'!$E$45,1,0)*I$8</f>
        <v>1</v>
      </c>
      <c r="J37" s="30" t="n">
        <f aca="false">IF(J$5&gt;='P01 CigWharf2 Input'!$E$45,1,0)*J$8</f>
        <v>1</v>
      </c>
      <c r="K37" s="30" t="n">
        <f aca="false">IF(K$5&gt;='P01 CigWharf2 Input'!$E$45,1,0)*K$8</f>
        <v>1</v>
      </c>
      <c r="L37" s="30" t="n">
        <f aca="false">IF(L$5&gt;='P01 CigWharf2 Input'!$E$45,1,0)*L$8</f>
        <v>1</v>
      </c>
      <c r="M37" s="30" t="n">
        <f aca="false">IF(M$5&gt;='P01 CigWharf2 Input'!$E$45,1,0)*M$8</f>
        <v>1</v>
      </c>
      <c r="N37" s="30" t="n">
        <f aca="false">IF(N$5&gt;='P01 CigWharf2 Input'!$E$45,1,0)*N$8</f>
        <v>1</v>
      </c>
      <c r="O37" s="30" t="n">
        <f aca="false">IF(O$5&gt;='P01 CigWharf2 Input'!$E$45,1,0)*O$8</f>
        <v>1</v>
      </c>
      <c r="P37" s="30" t="n">
        <f aca="false">IF(P$5&gt;='P01 CigWharf2 Input'!$E$45,1,0)*P$8</f>
        <v>1</v>
      </c>
      <c r="Q37" s="30" t="n">
        <f aca="false">IF(Q$5&gt;='P01 CigWharf2 Input'!$E$45,1,0)*Q$8</f>
        <v>1</v>
      </c>
      <c r="R37" s="30" t="n">
        <f aca="false">IF(R$5&gt;='P01 CigWharf2 Input'!$E$45,1,0)*R$8</f>
        <v>1</v>
      </c>
      <c r="S37" s="30" t="n">
        <f aca="false">IF(S$5&gt;='P01 CigWharf2 Input'!$E$45,1,0)*S$8</f>
        <v>1</v>
      </c>
    </row>
    <row r="38" customFormat="false" ht="15" hidden="false" customHeight="false" outlineLevel="0" collapsed="false">
      <c r="B38" s="24" t="s">
        <v>1334</v>
      </c>
      <c r="C38" s="25" t="s">
        <v>135</v>
      </c>
      <c r="F38" s="29" t="n">
        <f aca="false">MAX(F$5,'P01 CigWharf2 Input'!$E$45)</f>
        <v>2025</v>
      </c>
      <c r="G38" s="29" t="n">
        <f aca="false">MAX(G$5,'P01 CigWharf2 Input'!$E$45)</f>
        <v>2025</v>
      </c>
      <c r="H38" s="29" t="n">
        <f aca="false">MAX(H$5,'P01 CigWharf2 Input'!$E$45)</f>
        <v>2025</v>
      </c>
      <c r="I38" s="29" t="n">
        <f aca="false">MAX(I$5,'P01 CigWharf2 Input'!$E$45)</f>
        <v>2026</v>
      </c>
      <c r="J38" s="29" t="n">
        <f aca="false">MAX(J$5,'P01 CigWharf2 Input'!$E$45)</f>
        <v>2027</v>
      </c>
      <c r="K38" s="29" t="n">
        <f aca="false">MAX(K$5,'P01 CigWharf2 Input'!$E$45)</f>
        <v>2028</v>
      </c>
      <c r="L38" s="29" t="n">
        <f aca="false">MAX(L$5,'P01 CigWharf2 Input'!$E$45)</f>
        <v>2029</v>
      </c>
      <c r="M38" s="29" t="n">
        <f aca="false">MAX(M$5,'P01 CigWharf2 Input'!$E$45)</f>
        <v>2030</v>
      </c>
      <c r="N38" s="29" t="n">
        <f aca="false">MAX(N$5,'P01 CigWharf2 Input'!$E$45)</f>
        <v>2031</v>
      </c>
      <c r="O38" s="29" t="n">
        <f aca="false">MAX(O$5,'P01 CigWharf2 Input'!$E$45)</f>
        <v>2032</v>
      </c>
      <c r="P38" s="29" t="n">
        <f aca="false">MAX(P$5,'P01 CigWharf2 Input'!$E$45)</f>
        <v>2033</v>
      </c>
      <c r="Q38" s="29" t="n">
        <f aca="false">MAX(Q$5,'P01 CigWharf2 Input'!$E$45)</f>
        <v>2034</v>
      </c>
      <c r="R38" s="29" t="n">
        <f aca="false">MAX(R$5,'P01 CigWharf2 Input'!$E$45)</f>
        <v>2035</v>
      </c>
      <c r="S38" s="29" t="n">
        <f aca="false">MAX(S$5,'P01 CigWharf2 Input'!$E$45)</f>
        <v>2036</v>
      </c>
    </row>
    <row r="39" customFormat="false" ht="15" hidden="false" customHeight="false" outlineLevel="0" collapsed="false">
      <c r="B39" s="24" t="s">
        <v>1335</v>
      </c>
      <c r="C39" s="25" t="s">
        <v>170</v>
      </c>
      <c r="E39" s="47" t="n">
        <f aca="false">SUM(F39:S39)</f>
        <v>65.8037130950241</v>
      </c>
      <c r="F39" s="47" t="n">
        <f aca="false">IF('Global Inputs'!$E$33=1,SUM($F$35:$S$35)*'P01 CigWharf2 Input'!$E$47/'P01 CigWharf2 Input'!$E$48*F37,SUMPRODUCT($F$35:$S$35,--($F$38:$S$38&lt;=F$5),--(F$5&lt;$F$38:$S$38+'P01 CigWharf2 Input'!$E$48))*'P01 CigWharf2 Input'!$E$47/'P01 CigWharf2 Input'!$E$48)</f>
        <v>0</v>
      </c>
      <c r="G39" s="47" t="n">
        <f aca="false">IF('Global Inputs'!$E$33=1,SUM($F$35:$S$35)*'P01 CigWharf2 Input'!$E$47/'P01 CigWharf2 Input'!$E$48*G37,SUMPRODUCT($F$35:$S$35,--($F$38:$S$38&lt;=G$5),--(G$5&lt;$F$38:$S$38+'P01 CigWharf2 Input'!$E$48))*'P01 CigWharf2 Input'!$E$47/'P01 CigWharf2 Input'!$E$48)</f>
        <v>0</v>
      </c>
      <c r="H39" s="47" t="n">
        <f aca="false">IF('Global Inputs'!$E$33=1,SUM($F$35:$S$35)*'P01 CigWharf2 Input'!$E$47/'P01 CigWharf2 Input'!$E$48*H37,SUMPRODUCT($F$35:$S$35,--($F$38:$S$38&lt;=H$5),--(H$5&lt;$F$38:$S$38+'P01 CigWharf2 Input'!$E$48))*'P01 CigWharf2 Input'!$E$47/'P01 CigWharf2 Input'!$E$48)</f>
        <v>5.48364275791868</v>
      </c>
      <c r="I39" s="47" t="n">
        <f aca="false">IF('Global Inputs'!$E$33=1,SUM($F$35:$S$35)*'P01 CigWharf2 Input'!$E$47/'P01 CigWharf2 Input'!$E$48*I37,SUMPRODUCT($F$35:$S$35,--($F$38:$S$38&lt;=I$5),--(I$5&lt;$F$38:$S$38+'P01 CigWharf2 Input'!$E$48))*'P01 CigWharf2 Input'!$E$47/'P01 CigWharf2 Input'!$E$48)</f>
        <v>5.48364275791868</v>
      </c>
      <c r="J39" s="47" t="n">
        <f aca="false">IF('Global Inputs'!$E$33=1,SUM($F$35:$S$35)*'P01 CigWharf2 Input'!$E$47/'P01 CigWharf2 Input'!$E$48*J37,SUMPRODUCT($F$35:$S$35,--($F$38:$S$38&lt;=J$5),--(J$5&lt;$F$38:$S$38+'P01 CigWharf2 Input'!$E$48))*'P01 CigWharf2 Input'!$E$47/'P01 CigWharf2 Input'!$E$48)</f>
        <v>5.48364275791868</v>
      </c>
      <c r="K39" s="47" t="n">
        <f aca="false">IF('Global Inputs'!$E$33=1,SUM($F$35:$S$35)*'P01 CigWharf2 Input'!$E$47/'P01 CigWharf2 Input'!$E$48*K37,SUMPRODUCT($F$35:$S$35,--($F$38:$S$38&lt;=K$5),--(K$5&lt;$F$38:$S$38+'P01 CigWharf2 Input'!$E$48))*'P01 CigWharf2 Input'!$E$47/'P01 CigWharf2 Input'!$E$48)</f>
        <v>5.48364275791868</v>
      </c>
      <c r="L39" s="47" t="n">
        <f aca="false">IF('Global Inputs'!$E$33=1,SUM($F$35:$S$35)*'P01 CigWharf2 Input'!$E$47/'P01 CigWharf2 Input'!$E$48*L37,SUMPRODUCT($F$35:$S$35,--($F$38:$S$38&lt;=L$5),--(L$5&lt;$F$38:$S$38+'P01 CigWharf2 Input'!$E$48))*'P01 CigWharf2 Input'!$E$47/'P01 CigWharf2 Input'!$E$48)</f>
        <v>5.48364275791868</v>
      </c>
      <c r="M39" s="47" t="n">
        <f aca="false">IF('Global Inputs'!$E$33=1,SUM($F$35:$S$35)*'P01 CigWharf2 Input'!$E$47/'P01 CigWharf2 Input'!$E$48*M37,SUMPRODUCT($F$35:$S$35,--($F$38:$S$38&lt;=M$5),--(M$5&lt;$F$38:$S$38+'P01 CigWharf2 Input'!$E$48))*'P01 CigWharf2 Input'!$E$47/'P01 CigWharf2 Input'!$E$48)</f>
        <v>5.48364275791868</v>
      </c>
      <c r="N39" s="47" t="n">
        <f aca="false">IF('Global Inputs'!$E$33=1,SUM($F$35:$S$35)*'P01 CigWharf2 Input'!$E$47/'P01 CigWharf2 Input'!$E$48*N37,SUMPRODUCT($F$35:$S$35,--($F$38:$S$38&lt;=N$5),--(N$5&lt;$F$38:$S$38+'P01 CigWharf2 Input'!$E$48))*'P01 CigWharf2 Input'!$E$47/'P01 CigWharf2 Input'!$E$48)</f>
        <v>5.48364275791868</v>
      </c>
      <c r="O39" s="47" t="n">
        <f aca="false">IF('Global Inputs'!$E$33=1,SUM($F$35:$S$35)*'P01 CigWharf2 Input'!$E$47/'P01 CigWharf2 Input'!$E$48*O37,SUMPRODUCT($F$35:$S$35,--($F$38:$S$38&lt;=O$5),--(O$5&lt;$F$38:$S$38+'P01 CigWharf2 Input'!$E$48))*'P01 CigWharf2 Input'!$E$47/'P01 CigWharf2 Input'!$E$48)</f>
        <v>5.48364275791868</v>
      </c>
      <c r="P39" s="47" t="n">
        <f aca="false">IF('Global Inputs'!$E$33=1,SUM($F$35:$S$35)*'P01 CigWharf2 Input'!$E$47/'P01 CigWharf2 Input'!$E$48*P37,SUMPRODUCT($F$35:$S$35,--($F$38:$S$38&lt;=P$5),--(P$5&lt;$F$38:$S$38+'P01 CigWharf2 Input'!$E$48))*'P01 CigWharf2 Input'!$E$47/'P01 CigWharf2 Input'!$E$48)</f>
        <v>5.48364275791868</v>
      </c>
      <c r="Q39" s="47" t="n">
        <f aca="false">IF('Global Inputs'!$E$33=1,SUM($F$35:$S$35)*'P01 CigWharf2 Input'!$E$47/'P01 CigWharf2 Input'!$E$48*Q37,SUMPRODUCT($F$35:$S$35,--($F$38:$S$38&lt;=Q$5),--(Q$5&lt;$F$38:$S$38+'P01 CigWharf2 Input'!$E$48))*'P01 CigWharf2 Input'!$E$47/'P01 CigWharf2 Input'!$E$48)</f>
        <v>5.48364275791868</v>
      </c>
      <c r="R39" s="47" t="n">
        <f aca="false">IF('Global Inputs'!$E$33=1,SUM($F$35:$S$35)*'P01 CigWharf2 Input'!$E$47/'P01 CigWharf2 Input'!$E$48*R37,SUMPRODUCT($F$35:$S$35,--($F$38:$S$38&lt;=R$5),--(R$5&lt;$F$38:$S$38+'P01 CigWharf2 Input'!$E$48))*'P01 CigWharf2 Input'!$E$47/'P01 CigWharf2 Input'!$E$48)</f>
        <v>5.48364275791868</v>
      </c>
      <c r="S39" s="47" t="n">
        <f aca="false">IF('Global Inputs'!$E$33=1,SUM($F$35:$S$35)*'P01 CigWharf2 Input'!$E$47/'P01 CigWharf2 Input'!$E$48*S37,SUMPRODUCT($F$35:$S$35,--($F$38:$S$38&lt;=S$5),--(S$5&lt;$F$38:$S$38+'P01 CigWharf2 Input'!$E$48))*'P01 CigWharf2 Input'!$E$47/'P01 CigWharf2 Input'!$E$48)</f>
        <v>5.48364275791868</v>
      </c>
      <c r="T39" s="5" t="s">
        <v>1336</v>
      </c>
    </row>
    <row r="40" customFormat="false" ht="15" hidden="false" customHeight="false" outlineLevel="0" collapsed="false">
      <c r="B40" s="24" t="s">
        <v>1337</v>
      </c>
      <c r="C40" s="25" t="s">
        <v>170</v>
      </c>
      <c r="E40" s="47" t="n">
        <f aca="false">SUM(F40:S40)</f>
        <v>98.5191448416264</v>
      </c>
      <c r="F40" s="47" t="n">
        <f aca="false">IF('Global Inputs'!$E$33=1,SUM($F$35:$S$35)*(1-'P01 CigWharf2 Input'!$E$47)/'P01 CigWharf2 Input'!$E$49*F37,SUMPRODUCT($F$35:$S$35,--($F$38:$S$38&lt;=F$5),--(F$5&lt;$F$38:$S$38+'P01 CigWharf2 Input'!$E$49))*(1-'P01 CigWharf2 Input'!$E$47)/'P01 CigWharf2 Input'!$E$49)</f>
        <v>0</v>
      </c>
      <c r="G40" s="47" t="n">
        <f aca="false">IF('Global Inputs'!$E$33=1,SUM($F$35:$S$35)*(1-'P01 CigWharf2 Input'!$E$47)/'P01 CigWharf2 Input'!$E$49*G37,SUMPRODUCT($F$35:$S$35,--($F$38:$S$38&lt;=G$5),--(G$5&lt;$F$38:$S$38+'P01 CigWharf2 Input'!$E$49))*(1-'P01 CigWharf2 Input'!$E$47)/'P01 CigWharf2 Input'!$E$49)</f>
        <v>0</v>
      </c>
      <c r="H40" s="47" t="n">
        <f aca="false">IF('Global Inputs'!$E$33=1,SUM($F$35:$S$35)*(1-'P01 CigWharf2 Input'!$E$47)/'P01 CigWharf2 Input'!$E$49*H37,SUMPRODUCT($F$35:$S$35,--($F$38:$S$38&lt;=H$5),--(H$5&lt;$F$38:$S$38+'P01 CigWharf2 Input'!$E$49))*(1-'P01 CigWharf2 Input'!$E$47)/'P01 CigWharf2 Input'!$E$49)</f>
        <v>12.3148931052033</v>
      </c>
      <c r="I40" s="47" t="n">
        <f aca="false">IF('Global Inputs'!$E$33=1,SUM($F$35:$S$35)*(1-'P01 CigWharf2 Input'!$E$47)/'P01 CigWharf2 Input'!$E$49*I37,SUMPRODUCT($F$35:$S$35,--($F$38:$S$38&lt;=I$5),--(I$5&lt;$F$38:$S$38+'P01 CigWharf2 Input'!$E$49))*(1-'P01 CigWharf2 Input'!$E$47)/'P01 CigWharf2 Input'!$E$49)</f>
        <v>12.3148931052033</v>
      </c>
      <c r="J40" s="47" t="n">
        <f aca="false">IF('Global Inputs'!$E$33=1,SUM($F$35:$S$35)*(1-'P01 CigWharf2 Input'!$E$47)/'P01 CigWharf2 Input'!$E$49*J37,SUMPRODUCT($F$35:$S$35,--($F$38:$S$38&lt;=J$5),--(J$5&lt;$F$38:$S$38+'P01 CigWharf2 Input'!$E$49))*(1-'P01 CigWharf2 Input'!$E$47)/'P01 CigWharf2 Input'!$E$49)</f>
        <v>12.3148931052033</v>
      </c>
      <c r="K40" s="47" t="n">
        <f aca="false">IF('Global Inputs'!$E$33=1,SUM($F$35:$S$35)*(1-'P01 CigWharf2 Input'!$E$47)/'P01 CigWharf2 Input'!$E$49*K37,SUMPRODUCT($F$35:$S$35,--($F$38:$S$38&lt;=K$5),--(K$5&lt;$F$38:$S$38+'P01 CigWharf2 Input'!$E$49))*(1-'P01 CigWharf2 Input'!$E$47)/'P01 CigWharf2 Input'!$E$49)</f>
        <v>12.3148931052033</v>
      </c>
      <c r="L40" s="47" t="n">
        <f aca="false">IF('Global Inputs'!$E$33=1,SUM($F$35:$S$35)*(1-'P01 CigWharf2 Input'!$E$47)/'P01 CigWharf2 Input'!$E$49*L37,SUMPRODUCT($F$35:$S$35,--($F$38:$S$38&lt;=L$5),--(L$5&lt;$F$38:$S$38+'P01 CigWharf2 Input'!$E$49))*(1-'P01 CigWharf2 Input'!$E$47)/'P01 CigWharf2 Input'!$E$49)</f>
        <v>12.3148931052033</v>
      </c>
      <c r="M40" s="47" t="n">
        <f aca="false">IF('Global Inputs'!$E$33=1,SUM($F$35:$S$35)*(1-'P01 CigWharf2 Input'!$E$47)/'P01 CigWharf2 Input'!$E$49*M37,SUMPRODUCT($F$35:$S$35,--($F$38:$S$38&lt;=M$5),--(M$5&lt;$F$38:$S$38+'P01 CigWharf2 Input'!$E$49))*(1-'P01 CigWharf2 Input'!$E$47)/'P01 CigWharf2 Input'!$E$49)</f>
        <v>12.3148931052033</v>
      </c>
      <c r="N40" s="47" t="n">
        <f aca="false">IF('Global Inputs'!$E$33=1,SUM($F$35:$S$35)*(1-'P01 CigWharf2 Input'!$E$47)/'P01 CigWharf2 Input'!$E$49*N37,SUMPRODUCT($F$35:$S$35,--($F$38:$S$38&lt;=N$5),--(N$5&lt;$F$38:$S$38+'P01 CigWharf2 Input'!$E$49))*(1-'P01 CigWharf2 Input'!$E$47)/'P01 CigWharf2 Input'!$E$49)</f>
        <v>12.3148931052033</v>
      </c>
      <c r="O40" s="47" t="n">
        <f aca="false">IF('Global Inputs'!$E$33=1,SUM($F$35:$S$35)*(1-'P01 CigWharf2 Input'!$E$47)/'P01 CigWharf2 Input'!$E$49*O37,SUMPRODUCT($F$35:$S$35,--($F$38:$S$38&lt;=O$5),--(O$5&lt;$F$38:$S$38+'P01 CigWharf2 Input'!$E$49))*(1-'P01 CigWharf2 Input'!$E$47)/'P01 CigWharf2 Input'!$E$49)</f>
        <v>12.3148931052033</v>
      </c>
      <c r="P40" s="47" t="n">
        <f aca="false">IF('Global Inputs'!$E$33=1,SUM($F$35:$S$35)*(1-'P01 CigWharf2 Input'!$E$47)/'P01 CigWharf2 Input'!$E$49*P37,SUMPRODUCT($F$35:$S$35,--($F$38:$S$38&lt;=P$5),--(P$5&lt;$F$38:$S$38+'P01 CigWharf2 Input'!$E$49))*(1-'P01 CigWharf2 Input'!$E$47)/'P01 CigWharf2 Input'!$E$49)</f>
        <v>0</v>
      </c>
      <c r="Q40" s="47" t="n">
        <f aca="false">IF('Global Inputs'!$E$33=1,SUM($F$35:$S$35)*(1-'P01 CigWharf2 Input'!$E$47)/'P01 CigWharf2 Input'!$E$49*Q37,SUMPRODUCT($F$35:$S$35,--($F$38:$S$38&lt;=Q$5),--(Q$5&lt;$F$38:$S$38+'P01 CigWharf2 Input'!$E$49))*(1-'P01 CigWharf2 Input'!$E$47)/'P01 CigWharf2 Input'!$E$49)</f>
        <v>0</v>
      </c>
      <c r="R40" s="47" t="n">
        <f aca="false">IF('Global Inputs'!$E$33=1,SUM($F$35:$S$35)*(1-'P01 CigWharf2 Input'!$E$47)/'P01 CigWharf2 Input'!$E$49*R37,SUMPRODUCT($F$35:$S$35,--($F$38:$S$38&lt;=R$5),--(R$5&lt;$F$38:$S$38+'P01 CigWharf2 Input'!$E$49))*(1-'P01 CigWharf2 Input'!$E$47)/'P01 CigWharf2 Input'!$E$49)</f>
        <v>0</v>
      </c>
      <c r="S40" s="47" t="n">
        <f aca="false">IF('Global Inputs'!$E$33=1,SUM($F$35:$S$35)*(1-'P01 CigWharf2 Input'!$E$47)/'P01 CigWharf2 Input'!$E$49*S37,SUMPRODUCT($F$35:$S$35,--($F$38:$S$38&lt;=S$5),--(S$5&lt;$F$38:$S$38+'P01 CigWharf2 Input'!$E$49))*(1-'P01 CigWharf2 Input'!$E$47)/'P01 CigWharf2 Input'!$E$49)</f>
        <v>0</v>
      </c>
    </row>
    <row r="41" customFormat="false" ht="15" hidden="false" customHeight="false" outlineLevel="0" collapsed="false">
      <c r="B41" s="24" t="s">
        <v>1338</v>
      </c>
      <c r="C41" s="25" t="s">
        <v>170</v>
      </c>
      <c r="E41" s="47" t="n">
        <f aca="false">SUM(F41:S41)</f>
        <v>164.322857936651</v>
      </c>
      <c r="F41" s="47" t="n">
        <f aca="false">F39+F40</f>
        <v>0</v>
      </c>
      <c r="G41" s="47" t="n">
        <f aca="false">G39+G40</f>
        <v>0</v>
      </c>
      <c r="H41" s="47" t="n">
        <f aca="false">H39+H40</f>
        <v>17.798535863122</v>
      </c>
      <c r="I41" s="47" t="n">
        <f aca="false">I39+I40</f>
        <v>17.798535863122</v>
      </c>
      <c r="J41" s="47" t="n">
        <f aca="false">J39+J40</f>
        <v>17.798535863122</v>
      </c>
      <c r="K41" s="47" t="n">
        <f aca="false">K39+K40</f>
        <v>17.798535863122</v>
      </c>
      <c r="L41" s="47" t="n">
        <f aca="false">L39+L40</f>
        <v>17.798535863122</v>
      </c>
      <c r="M41" s="47" t="n">
        <f aca="false">M39+M40</f>
        <v>17.798535863122</v>
      </c>
      <c r="N41" s="47" t="n">
        <f aca="false">N39+N40</f>
        <v>17.798535863122</v>
      </c>
      <c r="O41" s="47" t="n">
        <f aca="false">O39+O40</f>
        <v>17.798535863122</v>
      </c>
      <c r="P41" s="47" t="n">
        <f aca="false">P39+P40</f>
        <v>5.48364275791868</v>
      </c>
      <c r="Q41" s="47" t="n">
        <f aca="false">Q39+Q40</f>
        <v>5.48364275791868</v>
      </c>
      <c r="R41" s="47" t="n">
        <f aca="false">R39+R40</f>
        <v>5.48364275791868</v>
      </c>
      <c r="S41" s="47" t="n">
        <f aca="false">S39+S40</f>
        <v>5.48364275791868</v>
      </c>
    </row>
    <row r="42" customFormat="false" ht="15" hidden="false" customHeight="false" outlineLevel="0" collapsed="false">
      <c r="B42" s="24" t="s">
        <v>1339</v>
      </c>
      <c r="C42" s="25" t="s">
        <v>170</v>
      </c>
      <c r="F42" s="47" t="n">
        <f aca="false">F35</f>
        <v>162.65</v>
      </c>
      <c r="G42" s="47" t="n">
        <f aca="false">F42+G35-G41</f>
        <v>200.0595</v>
      </c>
      <c r="H42" s="47" t="n">
        <f aca="false">G42+H35-H41</f>
        <v>190.393464136878</v>
      </c>
      <c r="I42" s="47" t="n">
        <f aca="false">H42+I35-I41</f>
        <v>172.594928273756</v>
      </c>
      <c r="J42" s="47" t="n">
        <f aca="false">I42+J35-J41</f>
        <v>154.796392410634</v>
      </c>
      <c r="K42" s="47" t="n">
        <f aca="false">J42+K35-K41</f>
        <v>136.997856547512</v>
      </c>
      <c r="L42" s="47" t="n">
        <f aca="false">K42+L35-L41</f>
        <v>119.19932068439</v>
      </c>
      <c r="M42" s="47" t="n">
        <f aca="false">L42+M35-M41</f>
        <v>101.400784821268</v>
      </c>
      <c r="N42" s="47" t="n">
        <f aca="false">M42+N35-N41</f>
        <v>83.6022489581462</v>
      </c>
      <c r="O42" s="47" t="n">
        <f aca="false">N42+O35-O41</f>
        <v>65.8037130950242</v>
      </c>
      <c r="P42" s="47" t="n">
        <f aca="false">O42+P35-P41</f>
        <v>60.3200703371055</v>
      </c>
      <c r="Q42" s="47" t="n">
        <f aca="false">P42+Q35-Q41</f>
        <v>54.8364275791868</v>
      </c>
      <c r="R42" s="47" t="n">
        <f aca="false">Q42+R35-R41</f>
        <v>49.3527848212682</v>
      </c>
      <c r="S42" s="47" t="n">
        <f aca="false">R42+S35-S41</f>
        <v>43.8691420633495</v>
      </c>
    </row>
    <row r="43" customFormat="false" ht="15" hidden="false" customHeight="false" outlineLevel="0" collapsed="false">
      <c r="B43" s="24" t="s">
        <v>1340</v>
      </c>
      <c r="C43" s="25" t="s">
        <v>143</v>
      </c>
      <c r="F43" s="30" t="n">
        <f aca="false">IF(F35&gt;0,1,0)</f>
        <v>1</v>
      </c>
      <c r="G43" s="30" t="n">
        <f aca="false">IF(AND(G36&gt;0,F36=0),1,0)</f>
        <v>0</v>
      </c>
      <c r="H43" s="30" t="n">
        <f aca="false">IF(AND(H36&gt;0,G36=0),1,0)</f>
        <v>0</v>
      </c>
      <c r="I43" s="30" t="n">
        <f aca="false">IF(AND(I36&gt;0,H36=0),1,0)</f>
        <v>0</v>
      </c>
      <c r="J43" s="30" t="n">
        <f aca="false">IF(AND(J36&gt;0,I36=0),1,0)</f>
        <v>0</v>
      </c>
      <c r="K43" s="30" t="n">
        <f aca="false">IF(AND(K36&gt;0,J36=0),1,0)</f>
        <v>0</v>
      </c>
      <c r="L43" s="30" t="n">
        <f aca="false">IF(AND(L36&gt;0,K36=0),1,0)</f>
        <v>0</v>
      </c>
      <c r="M43" s="30" t="n">
        <f aca="false">IF(AND(M36&gt;0,L36=0),1,0)</f>
        <v>0</v>
      </c>
      <c r="N43" s="30" t="n">
        <f aca="false">IF(AND(N36&gt;0,M36=0),1,0)</f>
        <v>0</v>
      </c>
      <c r="O43" s="30" t="n">
        <f aca="false">IF(AND(O36&gt;0,N36=0),1,0)</f>
        <v>0</v>
      </c>
      <c r="P43" s="30" t="n">
        <f aca="false">IF(AND(P36&gt;0,O36=0),1,0)</f>
        <v>0</v>
      </c>
      <c r="Q43" s="30" t="n">
        <f aca="false">IF(AND(Q36&gt;0,P36=0),1,0)</f>
        <v>0</v>
      </c>
      <c r="R43" s="30" t="n">
        <f aca="false">IF(AND(R36&gt;0,Q36=0),1,0)</f>
        <v>0</v>
      </c>
      <c r="S43" s="30" t="n">
        <f aca="false">IF(AND(S36&gt;0,R36=0),1,0)</f>
        <v>0</v>
      </c>
    </row>
    <row r="44" customFormat="false" ht="15" hidden="false" customHeight="false" outlineLevel="0" collapsed="false">
      <c r="B44" s="69" t="s">
        <v>1094</v>
      </c>
      <c r="C44" s="25" t="s">
        <v>170</v>
      </c>
      <c r="E44" s="70" t="n">
        <f aca="false">SUM(F44:S44)</f>
        <v>164.322857936651</v>
      </c>
      <c r="F44" s="68" t="n">
        <f aca="false">F41</f>
        <v>0</v>
      </c>
      <c r="G44" s="68" t="n">
        <f aca="false">G41</f>
        <v>0</v>
      </c>
      <c r="H44" s="68" t="n">
        <f aca="false">H41</f>
        <v>17.798535863122</v>
      </c>
      <c r="I44" s="68" t="n">
        <f aca="false">I41</f>
        <v>17.798535863122</v>
      </c>
      <c r="J44" s="68" t="n">
        <f aca="false">J41</f>
        <v>17.798535863122</v>
      </c>
      <c r="K44" s="68" t="n">
        <f aca="false">K41</f>
        <v>17.798535863122</v>
      </c>
      <c r="L44" s="68" t="n">
        <f aca="false">L41</f>
        <v>17.798535863122</v>
      </c>
      <c r="M44" s="68" t="n">
        <f aca="false">M41</f>
        <v>17.798535863122</v>
      </c>
      <c r="N44" s="68" t="n">
        <f aca="false">N41</f>
        <v>17.798535863122</v>
      </c>
      <c r="O44" s="68" t="n">
        <f aca="false">O41</f>
        <v>17.798535863122</v>
      </c>
      <c r="P44" s="68" t="n">
        <f aca="false">P41</f>
        <v>5.48364275791868</v>
      </c>
      <c r="Q44" s="68" t="n">
        <f aca="false">Q41</f>
        <v>5.48364275791868</v>
      </c>
      <c r="R44" s="68" t="n">
        <f aca="false">R41</f>
        <v>5.48364275791868</v>
      </c>
      <c r="S44" s="68" t="n">
        <f aca="false">S41</f>
        <v>5.48364275791868</v>
      </c>
    </row>
    <row r="46" customFormat="false" ht="15" hidden="false" customHeight="false" outlineLevel="0" collapsed="false">
      <c r="B46" s="22" t="s">
        <v>1829</v>
      </c>
      <c r="C46" s="23"/>
      <c r="D46" s="23"/>
      <c r="E46" s="23"/>
      <c r="F46" s="23"/>
      <c r="G46" s="23"/>
      <c r="H46" s="23"/>
      <c r="I46" s="23"/>
      <c r="J46" s="23"/>
      <c r="K46" s="23"/>
      <c r="L46" s="23"/>
      <c r="M46" s="23"/>
      <c r="N46" s="23"/>
      <c r="O46" s="23"/>
      <c r="P46" s="23"/>
      <c r="Q46" s="23"/>
      <c r="R46" s="23"/>
      <c r="S46" s="23"/>
    </row>
    <row r="47" customFormat="false" ht="15" hidden="false" customHeight="false" outlineLevel="0" collapsed="false">
      <c r="B47" s="24" t="s">
        <v>1096</v>
      </c>
      <c r="C47" s="25" t="s">
        <v>170</v>
      </c>
      <c r="F47" s="47" t="n">
        <f aca="false">0</f>
        <v>0</v>
      </c>
      <c r="G47" s="47" t="n">
        <f aca="false">G17*'Global Inputs'!$E$28/G$7</f>
        <v>0</v>
      </c>
      <c r="H47" s="47" t="n">
        <f aca="false">H17*'Global Inputs'!$E$28/H$7</f>
        <v>12.3672586556949</v>
      </c>
      <c r="I47" s="47" t="n">
        <f aca="false">I17*'Global Inputs'!$E$28/I$7</f>
        <v>12.7382764153658</v>
      </c>
      <c r="J47" s="47" t="n">
        <f aca="false">J17*'Global Inputs'!$E$28/J$7</f>
        <v>15.7445096493921</v>
      </c>
      <c r="K47" s="47" t="n">
        <f aca="false">K17*'Global Inputs'!$E$28/K$7</f>
        <v>16.1725366193687</v>
      </c>
      <c r="L47" s="47" t="n">
        <f aca="false">L17*'Global Inputs'!$E$28/L$7</f>
        <v>18.3736853157441</v>
      </c>
      <c r="M47" s="47" t="n">
        <f aca="false">M17*'Global Inputs'!$E$28/M$7</f>
        <v>18.9248958752164</v>
      </c>
      <c r="N47" s="47" t="n">
        <f aca="false">N17*'Global Inputs'!$E$28/N$7</f>
        <v>20.6622013165612</v>
      </c>
      <c r="O47" s="47" t="n">
        <f aca="false">O17*'Global Inputs'!$E$28/O$7</f>
        <v>21.2239196310415</v>
      </c>
      <c r="P47" s="47" t="n">
        <f aca="false">P17*'Global Inputs'!$E$28/P$7</f>
        <v>23.2357611393442</v>
      </c>
      <c r="Q47" s="47" t="n">
        <f aca="false">Q17*'Global Inputs'!$E$28/Q$7</f>
        <v>23.9328339735245</v>
      </c>
      <c r="R47" s="47" t="n">
        <f aca="false">R17*'Global Inputs'!$E$28/R$7</f>
        <v>24.6508189927303</v>
      </c>
      <c r="S47" s="47" t="n">
        <f aca="false">S17*'Global Inputs'!$E$28/S$7</f>
        <v>25.3209710391173</v>
      </c>
    </row>
    <row r="48" customFormat="false" ht="15" hidden="false" customHeight="false" outlineLevel="0" collapsed="false">
      <c r="B48" s="24" t="s">
        <v>1098</v>
      </c>
      <c r="C48" s="25" t="s">
        <v>170</v>
      </c>
      <c r="F48" s="47" t="n">
        <f aca="false">0</f>
        <v>0</v>
      </c>
      <c r="G48" s="47" t="n">
        <f aca="false">G27*'Global Inputs'!$E$29/G$7</f>
        <v>0</v>
      </c>
      <c r="H48" s="47" t="n">
        <f aca="false">H27*'Global Inputs'!$E$29/H$7</f>
        <v>0.782050086277868</v>
      </c>
      <c r="I48" s="47" t="n">
        <f aca="false">I27*'Global Inputs'!$E$29/I$7</f>
        <v>0.824466432641779</v>
      </c>
      <c r="J48" s="47" t="n">
        <f aca="false">J27*'Global Inputs'!$E$29/J$7</f>
        <v>0.869465934499253</v>
      </c>
      <c r="K48" s="47" t="n">
        <f aca="false">K27*'Global Inputs'!$E$29/K$7</f>
        <v>0.914699878954218</v>
      </c>
      <c r="L48" s="47" t="n">
        <f aca="false">L27*'Global Inputs'!$E$29/L$7</f>
        <v>0.967853241806044</v>
      </c>
      <c r="M48" s="47" t="n">
        <f aca="false">M27*'Global Inputs'!$E$29/M$7</f>
        <v>1.02158500034162</v>
      </c>
      <c r="N48" s="47" t="n">
        <f aca="false">N27*'Global Inputs'!$E$29/N$7</f>
        <v>1.07858902297201</v>
      </c>
      <c r="O48" s="47" t="n">
        <f aca="false">O27*'Global Inputs'!$E$29/O$7</f>
        <v>1.13595239224568</v>
      </c>
      <c r="P48" s="47" t="n">
        <f aca="false">P27*'Global Inputs'!$E$29/P$7</f>
        <v>1.20322312025655</v>
      </c>
      <c r="Q48" s="47" t="n">
        <f aca="false">Q27*'Global Inputs'!$E$29/Q$7</f>
        <v>1.27128890438976</v>
      </c>
      <c r="R48" s="47" t="n">
        <f aca="false">R27*'Global Inputs'!$E$29/R$7</f>
        <v>1.34349989477669</v>
      </c>
      <c r="S48" s="47" t="n">
        <f aca="false">S27*'Global Inputs'!$E$29/S$7</f>
        <v>1.41622845651512</v>
      </c>
    </row>
    <row r="49" customFormat="false" ht="15" hidden="false" customHeight="false" outlineLevel="0" collapsed="false">
      <c r="B49" s="24" t="s">
        <v>1099</v>
      </c>
      <c r="C49" s="25" t="s">
        <v>170</v>
      </c>
      <c r="F49" s="47" t="n">
        <f aca="false">F47-F48</f>
        <v>0</v>
      </c>
      <c r="G49" s="47" t="n">
        <f aca="false">G47-G48</f>
        <v>0</v>
      </c>
      <c r="H49" s="47" t="n">
        <f aca="false">H47-H48</f>
        <v>11.585208569417</v>
      </c>
      <c r="I49" s="47" t="n">
        <f aca="false">I47-I48</f>
        <v>11.913809982724</v>
      </c>
      <c r="J49" s="47" t="n">
        <f aca="false">J47-J48</f>
        <v>14.8750437148928</v>
      </c>
      <c r="K49" s="47" t="n">
        <f aca="false">K47-K48</f>
        <v>15.2578367404145</v>
      </c>
      <c r="L49" s="47" t="n">
        <f aca="false">L47-L48</f>
        <v>17.405832073938</v>
      </c>
      <c r="M49" s="47" t="n">
        <f aca="false">M47-M48</f>
        <v>17.9033108748748</v>
      </c>
      <c r="N49" s="47" t="n">
        <f aca="false">N47-N48</f>
        <v>19.5836122935892</v>
      </c>
      <c r="O49" s="47" t="n">
        <f aca="false">O47-O48</f>
        <v>20.0879672387958</v>
      </c>
      <c r="P49" s="47" t="n">
        <f aca="false">P47-P48</f>
        <v>22.0325380190877</v>
      </c>
      <c r="Q49" s="47" t="n">
        <f aca="false">Q47-Q48</f>
        <v>22.6615450691348</v>
      </c>
      <c r="R49" s="47" t="n">
        <f aca="false">R47-R48</f>
        <v>23.3073190979536</v>
      </c>
      <c r="S49" s="47" t="n">
        <f aca="false">S47-S48</f>
        <v>23.9047425826022</v>
      </c>
    </row>
    <row r="50" customFormat="false" ht="15" hidden="false" customHeight="false" outlineLevel="0" collapsed="false">
      <c r="B50" s="24" t="s">
        <v>1100</v>
      </c>
      <c r="C50" s="25" t="s">
        <v>170</v>
      </c>
      <c r="E50" s="47" t="n">
        <f aca="false">SUM(F50:S50)</f>
        <v>23.9047425826022</v>
      </c>
      <c r="F50" s="47" t="n">
        <f aca="false">0</f>
        <v>0</v>
      </c>
      <c r="G50" s="47" t="n">
        <f aca="false">G49-F49</f>
        <v>0</v>
      </c>
      <c r="H50" s="47" t="n">
        <f aca="false">H49-G49</f>
        <v>11.585208569417</v>
      </c>
      <c r="I50" s="47" t="n">
        <f aca="false">I49-H49</f>
        <v>0.328601413306934</v>
      </c>
      <c r="J50" s="47" t="n">
        <f aca="false">J49-I49</f>
        <v>2.96123373216884</v>
      </c>
      <c r="K50" s="47" t="n">
        <f aca="false">K49-J49</f>
        <v>0.382793025521675</v>
      </c>
      <c r="L50" s="47" t="n">
        <f aca="false">L49-K49</f>
        <v>2.14799533352352</v>
      </c>
      <c r="M50" s="47" t="n">
        <f aca="false">M49-L49</f>
        <v>0.497478800936744</v>
      </c>
      <c r="N50" s="47" t="n">
        <f aca="false">N49-M49</f>
        <v>1.68030141871447</v>
      </c>
      <c r="O50" s="47" t="n">
        <f aca="false">O49-N49</f>
        <v>0.504354945206618</v>
      </c>
      <c r="P50" s="47" t="n">
        <f aca="false">P49-O49</f>
        <v>1.94457078029182</v>
      </c>
      <c r="Q50" s="47" t="n">
        <f aca="false">Q49-P49</f>
        <v>0.629007050047115</v>
      </c>
      <c r="R50" s="47" t="n">
        <f aca="false">R49-Q49</f>
        <v>0.645774028818806</v>
      </c>
      <c r="S50" s="47" t="n">
        <f aca="false">S49-R49</f>
        <v>0.597423484648626</v>
      </c>
    </row>
  </sheetData>
  <hyperlinks>
    <hyperlink ref="C3" r:id="rId1" location="'P01%20CigWharf2%20Input'!A1" display="Input"/>
    <hyperlink ref="D3" r:id="rId2" location="'P01%20CigWharf2%20Calc'!A1" display="Calc"/>
    <hyperlink ref="E3" r:id="rId3" location="'P01%20CigWharf2%20Output'!A1" display="Output"/>
    <hyperlink ref="F3" r:id="rId4" location="'Navigation'!A1" display="Navigation"/>
    <hyperlink ref="G3" r:id="rId5" location="'Global%20Inputs'!A1" display="Global Inputs"/>
    <hyperlink ref="H3" r:id="rId6" location="'Project%20Summary'!A1" display="Project Summary"/>
    <hyperlink ref="I3" r:id="rId7" location="'Funding%20Requirement'!A1" display="Funding"/>
    <hyperlink ref="J3" r:id="rId8" location="'FSL%20Financials%20—%20Without%20BUMN'!A1" display="FSL w/o BUMN"/>
    <hyperlink ref="K3" r:id="rId9" location="'FSL%20Financials%20—%20With%20BUMN'!A1" display="FSL w/ BUMN"/>
    <hyperlink ref="L3" r:id="rId10" location="'Valuation%20—%20Without%20BUMN'!A1" display="Val w/o BUMN"/>
    <hyperlink ref="M3" r:id="rId11" location="'Valuation%20—%20With%20BUMN'!A1" display="Val w/ BUMN"/>
    <hyperlink ref="N3" r:id="rId12" location="'Checks'!A1" display="Checks"/>
    <hyperlink ref="O3" r:id="rId13" location="'Model%20Flow'!A1" display="Model Flow"/>
  </hyperlink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9D08E"/>
    <pageSetUpPr fitToPage="true"/>
  </sheetPr>
  <dimension ref="B1:U6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5" ySplit="9" topLeftCell="F10" activePane="bottomRight" state="frozen"/>
      <selection pane="topLeft" activeCell="A1" activeCellId="0" sqref="A1"/>
      <selection pane="topRight" activeCell="F1" activeCellId="0" sqref="F1"/>
      <selection pane="bottomLeft" activeCell="A10" activeCellId="0" sqref="A10"/>
      <selection pane="bottomRigh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66"/>
    <col collapsed="false" customWidth="true" hidden="false" outlineLevel="0" max="3" min="3" style="0" width="11"/>
    <col collapsed="false" customWidth="true" hidden="false" outlineLevel="0" max="4" min="4" style="0" width="12"/>
    <col collapsed="false" customWidth="true" hidden="false" outlineLevel="0" max="5" min="5" style="0" width="13"/>
    <col collapsed="false" customWidth="true" hidden="false" outlineLevel="0" max="19" min="6" style="0" width="11.5"/>
    <col collapsed="false" customWidth="true" hidden="false" outlineLevel="0" max="20" min="20" style="0" width="40"/>
    <col collapsed="false" customWidth="true" hidden="false" outlineLevel="0" max="21" min="21" style="0" width="48"/>
  </cols>
  <sheetData>
    <row r="1" customFormat="false" ht="21.75" hidden="false" customHeight="true" outlineLevel="0" collapsed="false">
      <c r="B1" s="1" t="s">
        <v>1830</v>
      </c>
    </row>
    <row r="2" customFormat="false" ht="15" hidden="false" customHeight="false" outlineLevel="0" collapsed="false">
      <c r="B2" s="2" t="s">
        <v>1102</v>
      </c>
    </row>
    <row r="3" customFormat="false" ht="15" hidden="false" customHeight="false" outlineLevel="0" collapsed="false">
      <c r="B3" s="5" t="s">
        <v>112</v>
      </c>
      <c r="C3" s="17" t="s">
        <v>27</v>
      </c>
      <c r="D3" s="17" t="s">
        <v>28</v>
      </c>
      <c r="E3" s="17" t="s">
        <v>29</v>
      </c>
      <c r="F3" s="17" t="s">
        <v>113</v>
      </c>
      <c r="G3" s="17" t="s">
        <v>5</v>
      </c>
      <c r="H3" s="17" t="s">
        <v>7</v>
      </c>
      <c r="I3" s="17" t="s">
        <v>114</v>
      </c>
      <c r="J3" s="17" t="s">
        <v>115</v>
      </c>
      <c r="K3" s="17" t="s">
        <v>116</v>
      </c>
      <c r="L3" s="17" t="s">
        <v>117</v>
      </c>
      <c r="M3" s="17" t="s">
        <v>118</v>
      </c>
      <c r="N3" s="17" t="s">
        <v>21</v>
      </c>
      <c r="O3" s="17" t="s">
        <v>3</v>
      </c>
    </row>
    <row r="5" customFormat="false" ht="15" hidden="false" customHeight="false" outlineLevel="0" collapsed="false">
      <c r="B5" s="6" t="s">
        <v>119</v>
      </c>
      <c r="C5" s="6" t="s">
        <v>120</v>
      </c>
      <c r="D5" s="6" t="s">
        <v>121</v>
      </c>
      <c r="E5" s="6" t="s">
        <v>122</v>
      </c>
      <c r="F5" s="18" t="n">
        <f aca="false">'Global Inputs'!F$5</f>
        <v>2023</v>
      </c>
      <c r="G5" s="18" t="n">
        <f aca="false">'Global Inputs'!G$5</f>
        <v>2024</v>
      </c>
      <c r="H5" s="18" t="n">
        <f aca="false">'Global Inputs'!H$5</f>
        <v>2025</v>
      </c>
      <c r="I5" s="18" t="n">
        <f aca="false">'Global Inputs'!I$5</f>
        <v>2026</v>
      </c>
      <c r="J5" s="18" t="n">
        <f aca="false">'Global Inputs'!J$5</f>
        <v>2027</v>
      </c>
      <c r="K5" s="18" t="n">
        <f aca="false">'Global Inputs'!K$5</f>
        <v>2028</v>
      </c>
      <c r="L5" s="18" t="n">
        <f aca="false">'Global Inputs'!L$5</f>
        <v>2029</v>
      </c>
      <c r="M5" s="18" t="n">
        <f aca="false">'Global Inputs'!M$5</f>
        <v>2030</v>
      </c>
      <c r="N5" s="18" t="n">
        <f aca="false">'Global Inputs'!N$5</f>
        <v>2031</v>
      </c>
      <c r="O5" s="18" t="n">
        <f aca="false">'Global Inputs'!O$5</f>
        <v>2032</v>
      </c>
      <c r="P5" s="18" t="n">
        <f aca="false">'Global Inputs'!P$5</f>
        <v>2033</v>
      </c>
      <c r="Q5" s="18" t="n">
        <f aca="false">'Global Inputs'!Q$5</f>
        <v>2034</v>
      </c>
      <c r="R5" s="18" t="n">
        <f aca="false">'Global Inputs'!R$5</f>
        <v>2035</v>
      </c>
      <c r="S5" s="18" t="n">
        <f aca="false">'Global Inputs'!S$5</f>
        <v>2036</v>
      </c>
      <c r="T5" s="6" t="s">
        <v>123</v>
      </c>
      <c r="U5" s="6" t="s">
        <v>124</v>
      </c>
    </row>
    <row r="6" customFormat="false" ht="15" hidden="false" customHeight="false" outlineLevel="0" collapsed="false">
      <c r="B6" s="19" t="s">
        <v>125</v>
      </c>
      <c r="F6" s="20" t="n">
        <f aca="false">'Global Inputs'!F$6</f>
        <v>45291</v>
      </c>
      <c r="G6" s="20" t="n">
        <f aca="false">'Global Inputs'!G$6</f>
        <v>45657</v>
      </c>
      <c r="H6" s="20" t="n">
        <f aca="false">'Global Inputs'!H$6</f>
        <v>46022</v>
      </c>
      <c r="I6" s="20" t="n">
        <f aca="false">'Global Inputs'!I$6</f>
        <v>46387</v>
      </c>
      <c r="J6" s="20" t="n">
        <f aca="false">'Global Inputs'!J$6</f>
        <v>46752</v>
      </c>
      <c r="K6" s="20" t="n">
        <f aca="false">'Global Inputs'!K$6</f>
        <v>47118</v>
      </c>
      <c r="L6" s="20" t="n">
        <f aca="false">'Global Inputs'!L$6</f>
        <v>47483</v>
      </c>
      <c r="M6" s="20" t="n">
        <f aca="false">'Global Inputs'!M$6</f>
        <v>47848</v>
      </c>
      <c r="N6" s="20" t="n">
        <f aca="false">'Global Inputs'!N$6</f>
        <v>48213</v>
      </c>
      <c r="O6" s="20" t="n">
        <f aca="false">'Global Inputs'!O$6</f>
        <v>48579</v>
      </c>
      <c r="P6" s="20" t="n">
        <f aca="false">'Global Inputs'!P$6</f>
        <v>48944</v>
      </c>
      <c r="Q6" s="20" t="n">
        <f aca="false">'Global Inputs'!Q$6</f>
        <v>49309</v>
      </c>
      <c r="R6" s="20" t="n">
        <f aca="false">'Global Inputs'!R$6</f>
        <v>49674</v>
      </c>
      <c r="S6" s="20" t="n">
        <f aca="false">'Global Inputs'!S$6</f>
        <v>50040</v>
      </c>
    </row>
    <row r="7" customFormat="false" ht="15" hidden="false" customHeight="false" outlineLevel="0" collapsed="false">
      <c r="B7" s="19" t="s">
        <v>126</v>
      </c>
      <c r="F7" s="21" t="n">
        <f aca="false">'Global Inputs'!F$7</f>
        <v>365</v>
      </c>
      <c r="G7" s="21" t="n">
        <f aca="false">'Global Inputs'!G$7</f>
        <v>366</v>
      </c>
      <c r="H7" s="21" t="n">
        <f aca="false">'Global Inputs'!H$7</f>
        <v>365</v>
      </c>
      <c r="I7" s="21" t="n">
        <f aca="false">'Global Inputs'!I$7</f>
        <v>365</v>
      </c>
      <c r="J7" s="21" t="n">
        <f aca="false">'Global Inputs'!J$7</f>
        <v>365</v>
      </c>
      <c r="K7" s="21" t="n">
        <f aca="false">'Global Inputs'!K$7</f>
        <v>366</v>
      </c>
      <c r="L7" s="21" t="n">
        <f aca="false">'Global Inputs'!L$7</f>
        <v>365</v>
      </c>
      <c r="M7" s="21" t="n">
        <f aca="false">'Global Inputs'!M$7</f>
        <v>365</v>
      </c>
      <c r="N7" s="21" t="n">
        <f aca="false">'Global Inputs'!N$7</f>
        <v>365</v>
      </c>
      <c r="O7" s="21" t="n">
        <f aca="false">'Global Inputs'!O$7</f>
        <v>366</v>
      </c>
      <c r="P7" s="21" t="n">
        <f aca="false">'Global Inputs'!P$7</f>
        <v>365</v>
      </c>
      <c r="Q7" s="21" t="n">
        <f aca="false">'Global Inputs'!Q$7</f>
        <v>365</v>
      </c>
      <c r="R7" s="21" t="n">
        <f aca="false">'Global Inputs'!R$7</f>
        <v>365</v>
      </c>
      <c r="S7" s="21" t="n">
        <f aca="false">'Global Inputs'!S$7</f>
        <v>366</v>
      </c>
    </row>
    <row r="8" customFormat="false" ht="15" hidden="false" customHeight="false" outlineLevel="0" collapsed="false">
      <c r="B8" s="19" t="s">
        <v>127</v>
      </c>
      <c r="F8" s="21" t="n">
        <f aca="false">'Global Inputs'!F$8</f>
        <v>0</v>
      </c>
      <c r="G8" s="21" t="n">
        <f aca="false">'Global Inputs'!G$8</f>
        <v>1</v>
      </c>
      <c r="H8" s="21" t="n">
        <f aca="false">'Global Inputs'!H$8</f>
        <v>1</v>
      </c>
      <c r="I8" s="21" t="n">
        <f aca="false">'Global Inputs'!I$8</f>
        <v>1</v>
      </c>
      <c r="J8" s="21" t="n">
        <f aca="false">'Global Inputs'!J$8</f>
        <v>1</v>
      </c>
      <c r="K8" s="21" t="n">
        <f aca="false">'Global Inputs'!K$8</f>
        <v>1</v>
      </c>
      <c r="L8" s="21" t="n">
        <f aca="false">'Global Inputs'!L$8</f>
        <v>1</v>
      </c>
      <c r="M8" s="21" t="n">
        <f aca="false">'Global Inputs'!M$8</f>
        <v>1</v>
      </c>
      <c r="N8" s="21" t="n">
        <f aca="false">'Global Inputs'!N$8</f>
        <v>1</v>
      </c>
      <c r="O8" s="21" t="n">
        <f aca="false">'Global Inputs'!O$8</f>
        <v>1</v>
      </c>
      <c r="P8" s="21" t="n">
        <f aca="false">'Global Inputs'!P$8</f>
        <v>1</v>
      </c>
      <c r="Q8" s="21" t="n">
        <f aca="false">'Global Inputs'!Q$8</f>
        <v>1</v>
      </c>
      <c r="R8" s="21" t="n">
        <f aca="false">'Global Inputs'!R$8</f>
        <v>1</v>
      </c>
      <c r="S8" s="21" t="n">
        <f aca="false">'Global Inputs'!S$8</f>
        <v>1</v>
      </c>
    </row>
    <row r="10" customFormat="false" ht="15" hidden="false" customHeight="false" outlineLevel="0" collapsed="false">
      <c r="B10" s="22" t="s">
        <v>1103</v>
      </c>
      <c r="C10" s="23"/>
      <c r="D10" s="23"/>
      <c r="E10" s="23"/>
      <c r="F10" s="23"/>
      <c r="G10" s="23"/>
      <c r="H10" s="23"/>
      <c r="I10" s="23"/>
      <c r="J10" s="23"/>
      <c r="K10" s="23"/>
      <c r="L10" s="23"/>
      <c r="M10" s="23"/>
      <c r="N10" s="23"/>
      <c r="O10" s="23"/>
      <c r="P10" s="23"/>
      <c r="Q10" s="23"/>
      <c r="R10" s="23"/>
      <c r="S10" s="23"/>
    </row>
    <row r="11" customFormat="false" ht="15" hidden="false" customHeight="false" outlineLevel="0" collapsed="false">
      <c r="B11" s="24" t="s">
        <v>345</v>
      </c>
      <c r="C11" s="25" t="s">
        <v>170</v>
      </c>
      <c r="E11" s="47" t="n">
        <f aca="false">SUM(F11:S11)</f>
        <v>1894.10258832714</v>
      </c>
      <c r="F11" s="47" t="n">
        <f aca="false">'P01 CigWharf2 Calc'!F17</f>
        <v>0</v>
      </c>
      <c r="G11" s="47" t="n">
        <f aca="false">'P01 CigWharf2 Calc'!G17</f>
        <v>0</v>
      </c>
      <c r="H11" s="47" t="n">
        <f aca="false">'P01 CigWharf2 Calc'!H17</f>
        <v>100.312209096192</v>
      </c>
      <c r="I11" s="47" t="n">
        <f aca="false">'P01 CigWharf2 Calc'!I17</f>
        <v>103.321575369078</v>
      </c>
      <c r="J11" s="47" t="n">
        <f aca="false">'P01 CigWharf2 Calc'!J17</f>
        <v>127.70546715618</v>
      </c>
      <c r="K11" s="47" t="n">
        <f aca="false">'P01 CigWharf2 Calc'!K17</f>
        <v>131.536631170866</v>
      </c>
      <c r="L11" s="47" t="n">
        <f aca="false">'P01 CigWharf2 Calc'!L17</f>
        <v>149.031003116591</v>
      </c>
      <c r="M11" s="47" t="n">
        <f aca="false">'P01 CigWharf2 Calc'!M17</f>
        <v>153.501933210088</v>
      </c>
      <c r="N11" s="47" t="n">
        <f aca="false">'P01 CigWharf2 Calc'!N17</f>
        <v>167.593410678774</v>
      </c>
      <c r="O11" s="47" t="n">
        <f aca="false">'P01 CigWharf2 Calc'!O17</f>
        <v>172.621212999138</v>
      </c>
      <c r="P11" s="47" t="n">
        <f aca="false">'P01 CigWharf2 Calc'!P17</f>
        <v>188.467840352459</v>
      </c>
      <c r="Q11" s="47" t="n">
        <f aca="false">'P01 CigWharf2 Calc'!Q17</f>
        <v>194.121875563032</v>
      </c>
      <c r="R11" s="47" t="n">
        <f aca="false">'P01 CigWharf2 Calc'!R17</f>
        <v>199.945531829923</v>
      </c>
      <c r="S11" s="47" t="n">
        <f aca="false">'P01 CigWharf2 Calc'!S17</f>
        <v>205.943897784821</v>
      </c>
    </row>
    <row r="12" customFormat="false" ht="15" hidden="false" customHeight="false" outlineLevel="0" collapsed="false">
      <c r="B12" s="24" t="s">
        <v>391</v>
      </c>
      <c r="C12" s="25" t="s">
        <v>170</v>
      </c>
      <c r="E12" s="47" t="n">
        <f aca="false">SUM(F12:S12)</f>
        <v>-156.200541473322</v>
      </c>
      <c r="F12" s="47" t="n">
        <f aca="false">-'P01 CigWharf2 Calc'!F27</f>
        <v>-0</v>
      </c>
      <c r="G12" s="47" t="n">
        <f aca="false">-'P01 CigWharf2 Calc'!G27</f>
        <v>-0</v>
      </c>
      <c r="H12" s="47" t="n">
        <f aca="false">-'P01 CigWharf2 Calc'!H27</f>
        <v>-9.51494271638072</v>
      </c>
      <c r="I12" s="47" t="n">
        <f aca="false">-'P01 CigWharf2 Calc'!I27</f>
        <v>-10.0310082638083</v>
      </c>
      <c r="J12" s="47" t="n">
        <f aca="false">-'P01 CigWharf2 Calc'!J27</f>
        <v>-10.5785022030742</v>
      </c>
      <c r="K12" s="47" t="n">
        <f aca="false">-'P01 CigWharf2 Calc'!K27</f>
        <v>-11.1593385232415</v>
      </c>
      <c r="L12" s="47" t="n">
        <f aca="false">-'P01 CigWharf2 Calc'!L27</f>
        <v>-11.7755477753069</v>
      </c>
      <c r="M12" s="47" t="n">
        <f aca="false">-'P01 CigWharf2 Calc'!M27</f>
        <v>-12.4292841708231</v>
      </c>
      <c r="N12" s="47" t="n">
        <f aca="false">-'P01 CigWharf2 Calc'!N27</f>
        <v>-13.1228331128262</v>
      </c>
      <c r="O12" s="47" t="n">
        <f aca="false">-'P01 CigWharf2 Calc'!O27</f>
        <v>-13.8586191853973</v>
      </c>
      <c r="P12" s="47" t="n">
        <f aca="false">-'P01 CigWharf2 Calc'!P27</f>
        <v>-14.639214629788</v>
      </c>
      <c r="Q12" s="47" t="n">
        <f aca="false">-'P01 CigWharf2 Calc'!Q27</f>
        <v>-15.4673483367421</v>
      </c>
      <c r="R12" s="47" t="n">
        <f aca="false">-'P01 CigWharf2 Calc'!R27</f>
        <v>-16.3459153864497</v>
      </c>
      <c r="S12" s="47" t="n">
        <f aca="false">-'P01 CigWharf2 Calc'!S27</f>
        <v>-17.2779871694845</v>
      </c>
    </row>
    <row r="13" customFormat="false" ht="15" hidden="false" customHeight="false" outlineLevel="0" collapsed="false">
      <c r="B13" s="69" t="s">
        <v>392</v>
      </c>
      <c r="C13" s="25" t="s">
        <v>170</v>
      </c>
      <c r="E13" s="70" t="n">
        <f aca="false">SUM(F13:S13)</f>
        <v>1737.90204685382</v>
      </c>
      <c r="F13" s="68" t="n">
        <f aca="false">F11+F12</f>
        <v>0</v>
      </c>
      <c r="G13" s="68" t="n">
        <f aca="false">G11+G12</f>
        <v>0</v>
      </c>
      <c r="H13" s="68" t="n">
        <f aca="false">H11+H12</f>
        <v>90.7972663798113</v>
      </c>
      <c r="I13" s="68" t="n">
        <f aca="false">I11+I12</f>
        <v>93.2905671052695</v>
      </c>
      <c r="J13" s="68" t="n">
        <f aca="false">J11+J12</f>
        <v>117.126964953106</v>
      </c>
      <c r="K13" s="68" t="n">
        <f aca="false">K11+K12</f>
        <v>120.377292647624</v>
      </c>
      <c r="L13" s="68" t="n">
        <f aca="false">L11+L12</f>
        <v>137.255455341284</v>
      </c>
      <c r="M13" s="68" t="n">
        <f aca="false">M11+M12</f>
        <v>141.072649039265</v>
      </c>
      <c r="N13" s="68" t="n">
        <f aca="false">N11+N12</f>
        <v>154.470577565948</v>
      </c>
      <c r="O13" s="68" t="n">
        <f aca="false">O11+O12</f>
        <v>158.76259381374</v>
      </c>
      <c r="P13" s="68" t="n">
        <f aca="false">P11+P12</f>
        <v>173.828625722671</v>
      </c>
      <c r="Q13" s="68" t="n">
        <f aca="false">Q11+Q12</f>
        <v>178.65452722629</v>
      </c>
      <c r="R13" s="68" t="n">
        <f aca="false">R11+R12</f>
        <v>183.599616443474</v>
      </c>
      <c r="S13" s="68" t="n">
        <f aca="false">S11+S12</f>
        <v>188.665910615337</v>
      </c>
    </row>
    <row r="14" customFormat="false" ht="15" hidden="false" customHeight="false" outlineLevel="0" collapsed="false">
      <c r="B14" s="24" t="s">
        <v>393</v>
      </c>
      <c r="C14" s="25" t="s">
        <v>170</v>
      </c>
      <c r="E14" s="47" t="n">
        <f aca="false">SUM(F14:S14)</f>
        <v>-378.820517665428</v>
      </c>
      <c r="F14" s="47" t="n">
        <f aca="false">-'P01 CigWharf2 Calc'!F30</f>
        <v>-0</v>
      </c>
      <c r="G14" s="47" t="n">
        <f aca="false">-'P01 CigWharf2 Calc'!G30</f>
        <v>-0</v>
      </c>
      <c r="H14" s="47" t="n">
        <f aca="false">-'P01 CigWharf2 Calc'!H30</f>
        <v>-20.0624418192384</v>
      </c>
      <c r="I14" s="47" t="n">
        <f aca="false">-'P01 CigWharf2 Calc'!I30</f>
        <v>-20.6643150738156</v>
      </c>
      <c r="J14" s="47" t="n">
        <f aca="false">-'P01 CigWharf2 Calc'!J30</f>
        <v>-25.541093431236</v>
      </c>
      <c r="K14" s="47" t="n">
        <f aca="false">-'P01 CigWharf2 Calc'!K30</f>
        <v>-26.3073262341731</v>
      </c>
      <c r="L14" s="47" t="n">
        <f aca="false">-'P01 CigWharf2 Calc'!L30</f>
        <v>-29.8062006233181</v>
      </c>
      <c r="M14" s="47" t="n">
        <f aca="false">-'P01 CigWharf2 Calc'!M30</f>
        <v>-30.7003866420177</v>
      </c>
      <c r="N14" s="47" t="n">
        <f aca="false">-'P01 CigWharf2 Calc'!N30</f>
        <v>-33.5186821357549</v>
      </c>
      <c r="O14" s="47" t="n">
        <f aca="false">-'P01 CigWharf2 Calc'!O30</f>
        <v>-34.5242425998275</v>
      </c>
      <c r="P14" s="47" t="n">
        <f aca="false">-'P01 CigWharf2 Calc'!P30</f>
        <v>-37.6935680704917</v>
      </c>
      <c r="Q14" s="47" t="n">
        <f aca="false">-'P01 CigWharf2 Calc'!Q30</f>
        <v>-38.8243751126065</v>
      </c>
      <c r="R14" s="47" t="n">
        <f aca="false">-'P01 CigWharf2 Calc'!R30</f>
        <v>-39.9891063659847</v>
      </c>
      <c r="S14" s="47" t="n">
        <f aca="false">-'P01 CigWharf2 Calc'!S30</f>
        <v>-41.1887795569642</v>
      </c>
    </row>
    <row r="15" customFormat="false" ht="15" hidden="false" customHeight="false" outlineLevel="0" collapsed="false">
      <c r="B15" s="69" t="s">
        <v>346</v>
      </c>
      <c r="C15" s="25" t="s">
        <v>170</v>
      </c>
      <c r="E15" s="70" t="n">
        <f aca="false">SUM(F15:S15)</f>
        <v>1359.08152918839</v>
      </c>
      <c r="F15" s="68" t="n">
        <f aca="false">F13+F14</f>
        <v>0</v>
      </c>
      <c r="G15" s="68" t="n">
        <f aca="false">G13+G14</f>
        <v>0</v>
      </c>
      <c r="H15" s="68" t="n">
        <f aca="false">H13+H14</f>
        <v>70.7348245605729</v>
      </c>
      <c r="I15" s="68" t="n">
        <f aca="false">I13+I14</f>
        <v>72.6262520314539</v>
      </c>
      <c r="J15" s="68" t="n">
        <f aca="false">J13+J14</f>
        <v>91.5858715218699</v>
      </c>
      <c r="K15" s="68" t="n">
        <f aca="false">K13+K14</f>
        <v>94.069966413451</v>
      </c>
      <c r="L15" s="68" t="n">
        <f aca="false">L13+L14</f>
        <v>107.449254717966</v>
      </c>
      <c r="M15" s="68" t="n">
        <f aca="false">M13+M14</f>
        <v>110.372262397248</v>
      </c>
      <c r="N15" s="68" t="n">
        <f aca="false">N13+N14</f>
        <v>120.951895430193</v>
      </c>
      <c r="O15" s="68" t="n">
        <f aca="false">O13+O14</f>
        <v>124.238351213913</v>
      </c>
      <c r="P15" s="68" t="n">
        <f aca="false">P13+P14</f>
        <v>136.135057652179</v>
      </c>
      <c r="Q15" s="68" t="n">
        <f aca="false">Q13+Q14</f>
        <v>139.830152113684</v>
      </c>
      <c r="R15" s="68" t="n">
        <f aca="false">R13+R14</f>
        <v>143.610510077489</v>
      </c>
      <c r="S15" s="68" t="n">
        <f aca="false">S13+S14</f>
        <v>147.477131058372</v>
      </c>
    </row>
    <row r="16" customFormat="false" ht="15" hidden="false" customHeight="false" outlineLevel="0" collapsed="false">
      <c r="B16" s="24" t="s">
        <v>349</v>
      </c>
      <c r="C16" s="25" t="s">
        <v>170</v>
      </c>
      <c r="E16" s="47" t="n">
        <f aca="false">SUM(F16:S16)</f>
        <v>-164.322857936651</v>
      </c>
      <c r="F16" s="47" t="n">
        <f aca="false">-'P01 CigWharf2 Calc'!F44</f>
        <v>-0</v>
      </c>
      <c r="G16" s="47" t="n">
        <f aca="false">-'P01 CigWharf2 Calc'!G44</f>
        <v>-0</v>
      </c>
      <c r="H16" s="47" t="n">
        <f aca="false">-'P01 CigWharf2 Calc'!H44</f>
        <v>-17.798535863122</v>
      </c>
      <c r="I16" s="47" t="n">
        <f aca="false">-'P01 CigWharf2 Calc'!I44</f>
        <v>-17.798535863122</v>
      </c>
      <c r="J16" s="47" t="n">
        <f aca="false">-'P01 CigWharf2 Calc'!J44</f>
        <v>-17.798535863122</v>
      </c>
      <c r="K16" s="47" t="n">
        <f aca="false">-'P01 CigWharf2 Calc'!K44</f>
        <v>-17.798535863122</v>
      </c>
      <c r="L16" s="47" t="n">
        <f aca="false">-'P01 CigWharf2 Calc'!L44</f>
        <v>-17.798535863122</v>
      </c>
      <c r="M16" s="47" t="n">
        <f aca="false">-'P01 CigWharf2 Calc'!M44</f>
        <v>-17.798535863122</v>
      </c>
      <c r="N16" s="47" t="n">
        <f aca="false">-'P01 CigWharf2 Calc'!N44</f>
        <v>-17.798535863122</v>
      </c>
      <c r="O16" s="47" t="n">
        <f aca="false">-'P01 CigWharf2 Calc'!O44</f>
        <v>-17.798535863122</v>
      </c>
      <c r="P16" s="47" t="n">
        <f aca="false">-'P01 CigWharf2 Calc'!P44</f>
        <v>-5.48364275791868</v>
      </c>
      <c r="Q16" s="47" t="n">
        <f aca="false">-'P01 CigWharf2 Calc'!Q44</f>
        <v>-5.48364275791868</v>
      </c>
      <c r="R16" s="47" t="n">
        <f aca="false">-'P01 CigWharf2 Calc'!R44</f>
        <v>-5.48364275791868</v>
      </c>
      <c r="S16" s="47" t="n">
        <f aca="false">-'P01 CigWharf2 Calc'!S44</f>
        <v>-5.48364275791868</v>
      </c>
    </row>
    <row r="17" customFormat="false" ht="15" hidden="false" customHeight="false" outlineLevel="0" collapsed="false">
      <c r="B17" s="69" t="s">
        <v>347</v>
      </c>
      <c r="C17" s="25" t="s">
        <v>170</v>
      </c>
      <c r="E17" s="70" t="n">
        <f aca="false">SUM(F17:S17)</f>
        <v>1194.75867125174</v>
      </c>
      <c r="F17" s="68" t="n">
        <f aca="false">F15+F16</f>
        <v>0</v>
      </c>
      <c r="G17" s="68" t="n">
        <f aca="false">G15+G16</f>
        <v>0</v>
      </c>
      <c r="H17" s="68" t="n">
        <f aca="false">H15+H16</f>
        <v>52.9362886974509</v>
      </c>
      <c r="I17" s="68" t="n">
        <f aca="false">I15+I16</f>
        <v>54.8277161683319</v>
      </c>
      <c r="J17" s="68" t="n">
        <f aca="false">J15+J16</f>
        <v>73.7873356587479</v>
      </c>
      <c r="K17" s="68" t="n">
        <f aca="false">K15+K16</f>
        <v>76.271430550329</v>
      </c>
      <c r="L17" s="68" t="n">
        <f aca="false">L15+L16</f>
        <v>89.6507188548437</v>
      </c>
      <c r="M17" s="68" t="n">
        <f aca="false">M15+M16</f>
        <v>92.5737265341256</v>
      </c>
      <c r="N17" s="68" t="n">
        <f aca="false">N15+N16</f>
        <v>103.153359567071</v>
      </c>
      <c r="O17" s="68" t="n">
        <f aca="false">O15+O16</f>
        <v>106.439815350791</v>
      </c>
      <c r="P17" s="68" t="n">
        <f aca="false">P15+P16</f>
        <v>130.65141489426</v>
      </c>
      <c r="Q17" s="68" t="n">
        <f aca="false">Q15+Q16</f>
        <v>134.346509355765</v>
      </c>
      <c r="R17" s="68" t="n">
        <f aca="false">R15+R16</f>
        <v>138.12686731957</v>
      </c>
      <c r="S17" s="68" t="n">
        <f aca="false">S15+S16</f>
        <v>141.993488300454</v>
      </c>
    </row>
    <row r="18" customFormat="false" ht="15" hidden="false" customHeight="false" outlineLevel="0" collapsed="false">
      <c r="B18" s="24" t="s">
        <v>1104</v>
      </c>
      <c r="C18" s="25" t="s">
        <v>170</v>
      </c>
      <c r="E18" s="47" t="n">
        <f aca="false">SUM(F18:S18)</f>
        <v>-262.846907675383</v>
      </c>
      <c r="F18" s="47" t="n">
        <f aca="false">-MAX(0,F17)*'Global Inputs'!$E$27</f>
        <v>-0</v>
      </c>
      <c r="G18" s="47" t="n">
        <f aca="false">-MAX(0,G17)*'Global Inputs'!$E$27</f>
        <v>-0</v>
      </c>
      <c r="H18" s="47" t="n">
        <f aca="false">-MAX(0,H17)*'Global Inputs'!$E$27</f>
        <v>-11.6459835134392</v>
      </c>
      <c r="I18" s="47" t="n">
        <f aca="false">-MAX(0,I17)*'Global Inputs'!$E$27</f>
        <v>-12.062097557033</v>
      </c>
      <c r="J18" s="47" t="n">
        <f aca="false">-MAX(0,J17)*'Global Inputs'!$E$27</f>
        <v>-16.2332138449245</v>
      </c>
      <c r="K18" s="47" t="n">
        <f aca="false">-MAX(0,K17)*'Global Inputs'!$E$27</f>
        <v>-16.7797147210724</v>
      </c>
      <c r="L18" s="47" t="n">
        <f aca="false">-MAX(0,L17)*'Global Inputs'!$E$27</f>
        <v>-19.7231581480656</v>
      </c>
      <c r="M18" s="47" t="n">
        <f aca="false">-MAX(0,M17)*'Global Inputs'!$E$27</f>
        <v>-20.3662198375076</v>
      </c>
      <c r="N18" s="47" t="n">
        <f aca="false">-MAX(0,N17)*'Global Inputs'!$E$27</f>
        <v>-22.6937391047557</v>
      </c>
      <c r="O18" s="47" t="n">
        <f aca="false">-MAX(0,O17)*'Global Inputs'!$E$27</f>
        <v>-23.416759377174</v>
      </c>
      <c r="P18" s="47" t="n">
        <f aca="false">-MAX(0,P17)*'Global Inputs'!$E$27</f>
        <v>-28.7433112767372</v>
      </c>
      <c r="Q18" s="47" t="n">
        <f aca="false">-MAX(0,Q17)*'Global Inputs'!$E$27</f>
        <v>-29.5562320582683</v>
      </c>
      <c r="R18" s="47" t="n">
        <f aca="false">-MAX(0,R17)*'Global Inputs'!$E$27</f>
        <v>-30.3879108103055</v>
      </c>
      <c r="S18" s="47" t="n">
        <f aca="false">-MAX(0,S17)*'Global Inputs'!$E$27</f>
        <v>-31.2385674260998</v>
      </c>
    </row>
    <row r="19" customFormat="false" ht="15" hidden="false" customHeight="false" outlineLevel="0" collapsed="false">
      <c r="B19" s="69" t="s">
        <v>1105</v>
      </c>
      <c r="C19" s="25" t="s">
        <v>170</v>
      </c>
      <c r="E19" s="70" t="n">
        <f aca="false">SUM(F19:S19)</f>
        <v>931.911763576358</v>
      </c>
      <c r="F19" s="68" t="n">
        <f aca="false">F17+F18</f>
        <v>0</v>
      </c>
      <c r="G19" s="68" t="n">
        <f aca="false">G17+G18</f>
        <v>0</v>
      </c>
      <c r="H19" s="68" t="n">
        <f aca="false">H17+H18</f>
        <v>41.2903051840117</v>
      </c>
      <c r="I19" s="68" t="n">
        <f aca="false">I17+I18</f>
        <v>42.7656186112989</v>
      </c>
      <c r="J19" s="68" t="n">
        <f aca="false">J17+J18</f>
        <v>57.5541218138233</v>
      </c>
      <c r="K19" s="68" t="n">
        <f aca="false">K17+K18</f>
        <v>59.4917158292566</v>
      </c>
      <c r="L19" s="68" t="n">
        <f aca="false">L17+L18</f>
        <v>69.927560706778</v>
      </c>
      <c r="M19" s="68" t="n">
        <f aca="false">M17+M18</f>
        <v>72.207506696618</v>
      </c>
      <c r="N19" s="68" t="n">
        <f aca="false">N17+N18</f>
        <v>80.4596204623157</v>
      </c>
      <c r="O19" s="68" t="n">
        <f aca="false">O17+O18</f>
        <v>83.0230559736169</v>
      </c>
      <c r="P19" s="68" t="n">
        <f aca="false">P17+P18</f>
        <v>101.908103617523</v>
      </c>
      <c r="Q19" s="68" t="n">
        <f aca="false">Q17+Q18</f>
        <v>104.790277297497</v>
      </c>
      <c r="R19" s="68" t="n">
        <f aca="false">R17+R18</f>
        <v>107.738956509265</v>
      </c>
      <c r="S19" s="68" t="n">
        <f aca="false">S17+S18</f>
        <v>110.754920874354</v>
      </c>
    </row>
    <row r="20" customFormat="false" ht="15" hidden="false" customHeight="false" outlineLevel="0" collapsed="false">
      <c r="B20" s="24" t="s">
        <v>402</v>
      </c>
      <c r="C20" s="25" t="s">
        <v>160</v>
      </c>
      <c r="F20" s="49" t="n">
        <f aca="false">IF(F11=0,0,F15/F11)</f>
        <v>0</v>
      </c>
      <c r="G20" s="49" t="n">
        <f aca="false">IF(G11=0,0,G15/G11)</f>
        <v>0</v>
      </c>
      <c r="H20" s="49" t="n">
        <f aca="false">IF(H11=0,0,H15/H11)</f>
        <v>0.705146713424917</v>
      </c>
      <c r="I20" s="49" t="n">
        <f aca="false">IF(I11=0,0,I15/I11)</f>
        <v>0.702914679456093</v>
      </c>
      <c r="J20" s="49" t="n">
        <f aca="false">IF(J11=0,0,J15/J11)</f>
        <v>0.717164844711487</v>
      </c>
      <c r="K20" s="49" t="n">
        <f aca="false">IF(K11=0,0,K15/K11)</f>
        <v>0.715161742976787</v>
      </c>
      <c r="L20" s="49" t="n">
        <f aca="false">IF(L11=0,0,L15/L11)</f>
        <v>0.720985918842037</v>
      </c>
      <c r="M20" s="49" t="n">
        <f aca="false">IF(M11=0,0,M15/M11)</f>
        <v>0.719028484456858</v>
      </c>
      <c r="N20" s="49" t="n">
        <f aca="false">IF(N11=0,0,N15/N11)</f>
        <v>0.721698394586774</v>
      </c>
      <c r="O20" s="49" t="n">
        <f aca="false">IF(O11=0,0,O15/O11)</f>
        <v>0.719716592505543</v>
      </c>
      <c r="P20" s="49" t="n">
        <f aca="false">IF(P11=0,0,P15/P11)</f>
        <v>0.722325131956673</v>
      </c>
      <c r="Q20" s="49" t="n">
        <f aca="false">IF(Q11=0,0,Q15/Q11)</f>
        <v>0.720321456343442</v>
      </c>
      <c r="R20" s="49" t="n">
        <f aca="false">IF(R11=0,0,R15/R11)</f>
        <v>0.718248158701772</v>
      </c>
      <c r="S20" s="49" t="n">
        <f aca="false">IF(S11=0,0,S15/S11)</f>
        <v>0.716103427412366</v>
      </c>
    </row>
    <row r="21" customFormat="false" ht="15" hidden="false" customHeight="false" outlineLevel="0" collapsed="false">
      <c r="B21" s="24" t="s">
        <v>1106</v>
      </c>
      <c r="C21" s="25" t="s">
        <v>160</v>
      </c>
      <c r="F21" s="49" t="n">
        <f aca="false">IF(F11=0,0,F17/F11)</f>
        <v>0</v>
      </c>
      <c r="G21" s="49" t="n">
        <f aca="false">IF(G11=0,0,G17/G11)</f>
        <v>0</v>
      </c>
      <c r="H21" s="49" t="n">
        <f aca="false">IF(H11=0,0,H17/H11)</f>
        <v>0.527715311769168</v>
      </c>
      <c r="I21" s="49" t="n">
        <f aca="false">IF(I11=0,0,I17/I11)</f>
        <v>0.530651182702938</v>
      </c>
      <c r="J21" s="49" t="n">
        <f aca="false">IF(J11=0,0,J17/J11)</f>
        <v>0.577793083584339</v>
      </c>
      <c r="K21" s="49" t="n">
        <f aca="false">IF(K11=0,0,K17/K11)</f>
        <v>0.579849353532954</v>
      </c>
      <c r="L21" s="49" t="n">
        <f aca="false">IF(L11=0,0,L17/L11)</f>
        <v>0.601557508035477</v>
      </c>
      <c r="M21" s="49" t="n">
        <f aca="false">IF(M11=0,0,M17/M11)</f>
        <v>0.60307857105243</v>
      </c>
      <c r="N21" s="49" t="n">
        <f aca="false">IF(N11=0,0,N17/N11)</f>
        <v>0.615497704529595</v>
      </c>
      <c r="O21" s="49" t="n">
        <f aca="false">IF(O11=0,0,O17/O11)</f>
        <v>0.616609126430612</v>
      </c>
      <c r="P21" s="49" t="n">
        <f aca="false">IF(P11=0,0,P17/P11)</f>
        <v>0.693229224943235</v>
      </c>
      <c r="Q21" s="49" t="n">
        <f aca="false">IF(Q11=0,0,Q17/Q11)</f>
        <v>0.692073002932336</v>
      </c>
      <c r="R21" s="49" t="n">
        <f aca="false">IF(R11=0,0,R17/R11)</f>
        <v>0.690822475778369</v>
      </c>
      <c r="S21" s="49" t="n">
        <f aca="false">IF(S11=0,0,S17/S11)</f>
        <v>0.689476550787703</v>
      </c>
    </row>
    <row r="23" customFormat="false" ht="15" hidden="false" customHeight="false" outlineLevel="0" collapsed="false">
      <c r="B23" s="22" t="s">
        <v>1107</v>
      </c>
      <c r="C23" s="23"/>
      <c r="D23" s="23"/>
      <c r="E23" s="23"/>
      <c r="F23" s="23"/>
      <c r="G23" s="23"/>
      <c r="H23" s="23"/>
      <c r="I23" s="23"/>
      <c r="J23" s="23"/>
      <c r="K23" s="23"/>
      <c r="L23" s="23"/>
      <c r="M23" s="23"/>
      <c r="N23" s="23"/>
      <c r="O23" s="23"/>
      <c r="P23" s="23"/>
      <c r="Q23" s="23"/>
      <c r="R23" s="23"/>
      <c r="S23" s="23"/>
    </row>
    <row r="24" customFormat="false" ht="15" hidden="false" customHeight="false" outlineLevel="0" collapsed="false">
      <c r="B24" s="24" t="s">
        <v>456</v>
      </c>
      <c r="C24" s="25" t="s">
        <v>170</v>
      </c>
      <c r="E24" s="47" t="n">
        <f aca="false">SUM(F24:S24)</f>
        <v>931.911763576358</v>
      </c>
      <c r="F24" s="47" t="n">
        <f aca="false">F19</f>
        <v>0</v>
      </c>
      <c r="G24" s="47" t="n">
        <f aca="false">G19</f>
        <v>0</v>
      </c>
      <c r="H24" s="47" t="n">
        <f aca="false">H19</f>
        <v>41.2903051840117</v>
      </c>
      <c r="I24" s="47" t="n">
        <f aca="false">I19</f>
        <v>42.7656186112989</v>
      </c>
      <c r="J24" s="47" t="n">
        <f aca="false">J19</f>
        <v>57.5541218138233</v>
      </c>
      <c r="K24" s="47" t="n">
        <f aca="false">K19</f>
        <v>59.4917158292566</v>
      </c>
      <c r="L24" s="47" t="n">
        <f aca="false">L19</f>
        <v>69.927560706778</v>
      </c>
      <c r="M24" s="47" t="n">
        <f aca="false">M19</f>
        <v>72.207506696618</v>
      </c>
      <c r="N24" s="47" t="n">
        <f aca="false">N19</f>
        <v>80.4596204623157</v>
      </c>
      <c r="O24" s="47" t="n">
        <f aca="false">O19</f>
        <v>83.0230559736169</v>
      </c>
      <c r="P24" s="47" t="n">
        <f aca="false">P19</f>
        <v>101.908103617523</v>
      </c>
      <c r="Q24" s="47" t="n">
        <f aca="false">Q19</f>
        <v>104.790277297497</v>
      </c>
      <c r="R24" s="47" t="n">
        <f aca="false">R19</f>
        <v>107.738956509265</v>
      </c>
      <c r="S24" s="47" t="n">
        <f aca="false">S19</f>
        <v>110.754920874354</v>
      </c>
    </row>
    <row r="25" customFormat="false" ht="15" hidden="false" customHeight="false" outlineLevel="0" collapsed="false">
      <c r="B25" s="24" t="s">
        <v>419</v>
      </c>
      <c r="C25" s="25" t="s">
        <v>170</v>
      </c>
      <c r="E25" s="47" t="n">
        <f aca="false">SUM(F25:S25)</f>
        <v>164.322857936651</v>
      </c>
      <c r="F25" s="47" t="n">
        <f aca="false">-F16</f>
        <v>0</v>
      </c>
      <c r="G25" s="47" t="n">
        <f aca="false">-G16</f>
        <v>0</v>
      </c>
      <c r="H25" s="47" t="n">
        <f aca="false">-H16</f>
        <v>17.798535863122</v>
      </c>
      <c r="I25" s="47" t="n">
        <f aca="false">-I16</f>
        <v>17.798535863122</v>
      </c>
      <c r="J25" s="47" t="n">
        <f aca="false">-J16</f>
        <v>17.798535863122</v>
      </c>
      <c r="K25" s="47" t="n">
        <f aca="false">-K16</f>
        <v>17.798535863122</v>
      </c>
      <c r="L25" s="47" t="n">
        <f aca="false">-L16</f>
        <v>17.798535863122</v>
      </c>
      <c r="M25" s="47" t="n">
        <f aca="false">-M16</f>
        <v>17.798535863122</v>
      </c>
      <c r="N25" s="47" t="n">
        <f aca="false">-N16</f>
        <v>17.798535863122</v>
      </c>
      <c r="O25" s="47" t="n">
        <f aca="false">-O16</f>
        <v>17.798535863122</v>
      </c>
      <c r="P25" s="47" t="n">
        <f aca="false">-P16</f>
        <v>5.48364275791868</v>
      </c>
      <c r="Q25" s="47" t="n">
        <f aca="false">-Q16</f>
        <v>5.48364275791868</v>
      </c>
      <c r="R25" s="47" t="n">
        <f aca="false">-R16</f>
        <v>5.48364275791868</v>
      </c>
      <c r="S25" s="47" t="n">
        <f aca="false">-S16</f>
        <v>5.48364275791868</v>
      </c>
    </row>
    <row r="26" customFormat="false" ht="15" hidden="false" customHeight="false" outlineLevel="0" collapsed="false">
      <c r="B26" s="24" t="s">
        <v>1108</v>
      </c>
      <c r="C26" s="25" t="s">
        <v>170</v>
      </c>
      <c r="E26" s="47" t="n">
        <f aca="false">SUM(F26:S26)</f>
        <v>-208.192</v>
      </c>
      <c r="F26" s="47" t="n">
        <f aca="false">-'P01 CigWharf2 Calc'!F35</f>
        <v>-162.65</v>
      </c>
      <c r="G26" s="47" t="n">
        <f aca="false">-'P01 CigWharf2 Calc'!G35</f>
        <v>-37.4095</v>
      </c>
      <c r="H26" s="47" t="n">
        <f aca="false">-'P01 CigWharf2 Calc'!H35</f>
        <v>-8.1325</v>
      </c>
      <c r="I26" s="47" t="n">
        <f aca="false">-'P01 CigWharf2 Calc'!I35</f>
        <v>-0</v>
      </c>
      <c r="J26" s="47" t="n">
        <f aca="false">-'P01 CigWharf2 Calc'!J35</f>
        <v>-0</v>
      </c>
      <c r="K26" s="47" t="n">
        <f aca="false">-'P01 CigWharf2 Calc'!K35</f>
        <v>-0</v>
      </c>
      <c r="L26" s="47" t="n">
        <f aca="false">-'P01 CigWharf2 Calc'!L35</f>
        <v>-0</v>
      </c>
      <c r="M26" s="47" t="n">
        <f aca="false">-'P01 CigWharf2 Calc'!M35</f>
        <v>-0</v>
      </c>
      <c r="N26" s="47" t="n">
        <f aca="false">-'P01 CigWharf2 Calc'!N35</f>
        <v>-0</v>
      </c>
      <c r="O26" s="47" t="n">
        <f aca="false">-'P01 CigWharf2 Calc'!O35</f>
        <v>-0</v>
      </c>
      <c r="P26" s="47" t="n">
        <f aca="false">-'P01 CigWharf2 Calc'!P35</f>
        <v>-0</v>
      </c>
      <c r="Q26" s="47" t="n">
        <f aca="false">-'P01 CigWharf2 Calc'!Q35</f>
        <v>-0</v>
      </c>
      <c r="R26" s="47" t="n">
        <f aca="false">-'P01 CigWharf2 Calc'!R35</f>
        <v>-0</v>
      </c>
      <c r="S26" s="47" t="n">
        <f aca="false">-'P01 CigWharf2 Calc'!S35</f>
        <v>-0</v>
      </c>
    </row>
    <row r="27" customFormat="false" ht="15" hidden="false" customHeight="false" outlineLevel="0" collapsed="false">
      <c r="B27" s="24" t="s">
        <v>651</v>
      </c>
      <c r="C27" s="25" t="s">
        <v>170</v>
      </c>
      <c r="E27" s="47" t="n">
        <f aca="false">SUM(F27:S27)</f>
        <v>-23.9047425826022</v>
      </c>
      <c r="F27" s="47" t="n">
        <f aca="false">-'P01 CigWharf2 Calc'!F50</f>
        <v>-0</v>
      </c>
      <c r="G27" s="47" t="n">
        <f aca="false">-'P01 CigWharf2 Calc'!G50</f>
        <v>-0</v>
      </c>
      <c r="H27" s="47" t="n">
        <f aca="false">-'P01 CigWharf2 Calc'!H50</f>
        <v>-11.585208569417</v>
      </c>
      <c r="I27" s="47" t="n">
        <f aca="false">-'P01 CigWharf2 Calc'!I50</f>
        <v>-0.328601413306934</v>
      </c>
      <c r="J27" s="47" t="n">
        <f aca="false">-'P01 CigWharf2 Calc'!J50</f>
        <v>-2.96123373216884</v>
      </c>
      <c r="K27" s="47" t="n">
        <f aca="false">-'P01 CigWharf2 Calc'!K50</f>
        <v>-0.382793025521675</v>
      </c>
      <c r="L27" s="47" t="n">
        <f aca="false">-'P01 CigWharf2 Calc'!L50</f>
        <v>-2.14799533352352</v>
      </c>
      <c r="M27" s="47" t="n">
        <f aca="false">-'P01 CigWharf2 Calc'!M50</f>
        <v>-0.497478800936744</v>
      </c>
      <c r="N27" s="47" t="n">
        <f aca="false">-'P01 CigWharf2 Calc'!N50</f>
        <v>-1.68030141871447</v>
      </c>
      <c r="O27" s="47" t="n">
        <f aca="false">-'P01 CigWharf2 Calc'!O50</f>
        <v>-0.504354945206618</v>
      </c>
      <c r="P27" s="47" t="n">
        <f aca="false">-'P01 CigWharf2 Calc'!P50</f>
        <v>-1.94457078029182</v>
      </c>
      <c r="Q27" s="47" t="n">
        <f aca="false">-'P01 CigWharf2 Calc'!Q50</f>
        <v>-0.629007050047115</v>
      </c>
      <c r="R27" s="47" t="n">
        <f aca="false">-'P01 CigWharf2 Calc'!R50</f>
        <v>-0.645774028818806</v>
      </c>
      <c r="S27" s="47" t="n">
        <f aca="false">-'P01 CigWharf2 Calc'!S50</f>
        <v>-0.597423484648626</v>
      </c>
    </row>
    <row r="28" customFormat="false" ht="15" hidden="false" customHeight="false" outlineLevel="0" collapsed="false">
      <c r="B28" s="69" t="s">
        <v>1109</v>
      </c>
      <c r="C28" s="25" t="s">
        <v>170</v>
      </c>
      <c r="E28" s="70" t="n">
        <f aca="false">SUM(F28:S28)</f>
        <v>864.137878930406</v>
      </c>
      <c r="F28" s="68" t="n">
        <f aca="false">F24+F25+F26+F27</f>
        <v>-162.65</v>
      </c>
      <c r="G28" s="68" t="n">
        <f aca="false">G24+G25+G26+G27</f>
        <v>-37.4095</v>
      </c>
      <c r="H28" s="68" t="n">
        <f aca="false">H24+H25+H26+H27</f>
        <v>39.3711324777166</v>
      </c>
      <c r="I28" s="68" t="n">
        <f aca="false">I24+I25+I26+I27</f>
        <v>60.2355530611139</v>
      </c>
      <c r="J28" s="68" t="n">
        <f aca="false">J24+J25+J26+J27</f>
        <v>72.3914239447765</v>
      </c>
      <c r="K28" s="68" t="n">
        <f aca="false">K24+K25+K26+K27</f>
        <v>76.9074586668569</v>
      </c>
      <c r="L28" s="68" t="n">
        <f aca="false">L24+L25+L26+L27</f>
        <v>85.5781012363765</v>
      </c>
      <c r="M28" s="68" t="n">
        <f aca="false">M24+M25+M26+M27</f>
        <v>89.5085637588032</v>
      </c>
      <c r="N28" s="68" t="n">
        <f aca="false">N24+N25+N26+N27</f>
        <v>96.5778549067232</v>
      </c>
      <c r="O28" s="68" t="n">
        <f aca="false">O24+O25+O26+O27</f>
        <v>100.317236891532</v>
      </c>
      <c r="P28" s="68" t="n">
        <f aca="false">P24+P25+P26+P27</f>
        <v>105.44717559515</v>
      </c>
      <c r="Q28" s="68" t="n">
        <f aca="false">Q24+Q25+Q26+Q27</f>
        <v>109.644913005368</v>
      </c>
      <c r="R28" s="68" t="n">
        <f aca="false">R24+R25+R26+R27</f>
        <v>112.576825238365</v>
      </c>
      <c r="S28" s="68" t="n">
        <f aca="false">S24+S25+S26+S27</f>
        <v>115.641140147624</v>
      </c>
    </row>
    <row r="29" customFormat="false" ht="15" hidden="false" customHeight="false" outlineLevel="0" collapsed="false">
      <c r="B29" s="24" t="s">
        <v>354</v>
      </c>
      <c r="C29" s="25" t="s">
        <v>170</v>
      </c>
      <c r="F29" s="47" t="n">
        <f aca="false">SUM($F$28:F28)</f>
        <v>-162.65</v>
      </c>
      <c r="G29" s="47" t="n">
        <f aca="false">SUM($F$28:G28)</f>
        <v>-200.0595</v>
      </c>
      <c r="H29" s="47" t="n">
        <f aca="false">SUM($F$28:H28)</f>
        <v>-160.688367522283</v>
      </c>
      <c r="I29" s="47" t="n">
        <f aca="false">SUM($F$28:I28)</f>
        <v>-100.452814461169</v>
      </c>
      <c r="J29" s="47" t="n">
        <f aca="false">SUM($F$28:J28)</f>
        <v>-28.061390516393</v>
      </c>
      <c r="K29" s="47" t="n">
        <f aca="false">SUM($F$28:K28)</f>
        <v>48.8460681504639</v>
      </c>
      <c r="L29" s="47" t="n">
        <f aca="false">SUM($F$28:L28)</f>
        <v>134.42416938684</v>
      </c>
      <c r="M29" s="47" t="n">
        <f aca="false">SUM($F$28:M28)</f>
        <v>223.932733145644</v>
      </c>
      <c r="N29" s="47" t="n">
        <f aca="false">SUM($F$28:N28)</f>
        <v>320.510588052367</v>
      </c>
      <c r="O29" s="47" t="n">
        <f aca="false">SUM($F$28:O28)</f>
        <v>420.827824943899</v>
      </c>
      <c r="P29" s="47" t="n">
        <f aca="false">SUM($F$28:P28)</f>
        <v>526.275000539049</v>
      </c>
      <c r="Q29" s="47" t="n">
        <f aca="false">SUM($F$28:Q28)</f>
        <v>635.919913544417</v>
      </c>
      <c r="R29" s="47" t="n">
        <f aca="false">SUM($F$28:R28)</f>
        <v>748.496738782782</v>
      </c>
      <c r="S29" s="47" t="n">
        <f aca="false">SUM($F$28:S28)</f>
        <v>864.137878930406</v>
      </c>
    </row>
    <row r="30" customFormat="false" ht="15" hidden="false" customHeight="false" outlineLevel="0" collapsed="false">
      <c r="B30" s="24" t="s">
        <v>1110</v>
      </c>
      <c r="C30" s="25" t="s">
        <v>170</v>
      </c>
      <c r="E30" s="47" t="n">
        <f aca="false">SUM(F30:S30)</f>
        <v>964.590693391575</v>
      </c>
      <c r="F30" s="47" t="n">
        <f aca="false">F28*'Global Inputs'!F16</f>
        <v>-0</v>
      </c>
      <c r="G30" s="47" t="n">
        <f aca="false">G28*'Global Inputs'!G16</f>
        <v>-0</v>
      </c>
      <c r="H30" s="47" t="n">
        <f aca="false">H28*'Global Inputs'!H16</f>
        <v>0</v>
      </c>
      <c r="I30" s="47" t="n">
        <f aca="false">I28*'Global Inputs'!I16</f>
        <v>0</v>
      </c>
      <c r="J30" s="47" t="n">
        <f aca="false">J28*'Global Inputs'!J16</f>
        <v>72.3914239447765</v>
      </c>
      <c r="K30" s="47" t="n">
        <f aca="false">K28*'Global Inputs'!K16</f>
        <v>76.9074586668569</v>
      </c>
      <c r="L30" s="47" t="n">
        <f aca="false">L28*'Global Inputs'!L16</f>
        <v>85.5781012363765</v>
      </c>
      <c r="M30" s="47" t="n">
        <f aca="false">M28*'Global Inputs'!M16</f>
        <v>89.5085637588032</v>
      </c>
      <c r="N30" s="47" t="n">
        <f aca="false">N28*'Global Inputs'!N16</f>
        <v>96.5778549067232</v>
      </c>
      <c r="O30" s="47" t="n">
        <f aca="false">O28*'Global Inputs'!O16</f>
        <v>100.317236891532</v>
      </c>
      <c r="P30" s="47" t="n">
        <f aca="false">P28*'Global Inputs'!P16</f>
        <v>105.44717559515</v>
      </c>
      <c r="Q30" s="47" t="n">
        <f aca="false">Q28*'Global Inputs'!Q16</f>
        <v>109.644913005368</v>
      </c>
      <c r="R30" s="47" t="n">
        <f aca="false">R28*'Global Inputs'!R16</f>
        <v>112.576825238365</v>
      </c>
      <c r="S30" s="47" t="n">
        <f aca="false">S28*'Global Inputs'!S16</f>
        <v>115.641140147624</v>
      </c>
    </row>
    <row r="31" customFormat="false" ht="15" hidden="false" customHeight="false" outlineLevel="0" collapsed="false">
      <c r="B31" s="24" t="s">
        <v>1111</v>
      </c>
      <c r="C31" s="25" t="s">
        <v>170</v>
      </c>
      <c r="E31" s="47" t="n">
        <f aca="false">SUM(F31:S31)</f>
        <v>200.0595</v>
      </c>
      <c r="F31" s="47" t="n">
        <f aca="false">MAX(0,-F28)</f>
        <v>162.65</v>
      </c>
      <c r="G31" s="47" t="n">
        <f aca="false">MAX(0,-G28)</f>
        <v>37.4095</v>
      </c>
      <c r="H31" s="47" t="n">
        <f aca="false">MAX(0,-H28)</f>
        <v>0</v>
      </c>
      <c r="I31" s="47" t="n">
        <f aca="false">MAX(0,-I28)</f>
        <v>0</v>
      </c>
      <c r="J31" s="47" t="n">
        <f aca="false">MAX(0,-J28)</f>
        <v>0</v>
      </c>
      <c r="K31" s="47" t="n">
        <f aca="false">MAX(0,-K28)</f>
        <v>0</v>
      </c>
      <c r="L31" s="47" t="n">
        <f aca="false">MAX(0,-L28)</f>
        <v>0</v>
      </c>
      <c r="M31" s="47" t="n">
        <f aca="false">MAX(0,-M28)</f>
        <v>0</v>
      </c>
      <c r="N31" s="47" t="n">
        <f aca="false">MAX(0,-N28)</f>
        <v>0</v>
      </c>
      <c r="O31" s="47" t="n">
        <f aca="false">MAX(0,-O28)</f>
        <v>0</v>
      </c>
      <c r="P31" s="47" t="n">
        <f aca="false">MAX(0,-P28)</f>
        <v>0</v>
      </c>
      <c r="Q31" s="47" t="n">
        <f aca="false">MAX(0,-Q28)</f>
        <v>0</v>
      </c>
      <c r="R31" s="47" t="n">
        <f aca="false">MAX(0,-R28)</f>
        <v>0</v>
      </c>
      <c r="S31" s="47" t="n">
        <f aca="false">MAX(0,-S28)</f>
        <v>0</v>
      </c>
    </row>
    <row r="33" customFormat="false" ht="15" hidden="false" customHeight="false" outlineLevel="0" collapsed="false">
      <c r="B33" s="22" t="s">
        <v>1112</v>
      </c>
      <c r="C33" s="23"/>
      <c r="D33" s="23"/>
      <c r="E33" s="23"/>
      <c r="F33" s="23"/>
      <c r="G33" s="23"/>
      <c r="H33" s="23"/>
      <c r="I33" s="23"/>
      <c r="J33" s="23"/>
      <c r="K33" s="23"/>
      <c r="L33" s="23"/>
      <c r="M33" s="23"/>
      <c r="N33" s="23"/>
      <c r="O33" s="23"/>
      <c r="P33" s="23"/>
      <c r="Q33" s="23"/>
      <c r="R33" s="23"/>
      <c r="S33" s="23"/>
    </row>
    <row r="34" customFormat="false" ht="15" hidden="false" customHeight="false" outlineLevel="0" collapsed="false">
      <c r="B34" s="24" t="s">
        <v>1113</v>
      </c>
      <c r="C34" s="25" t="s">
        <v>240</v>
      </c>
      <c r="E34" s="44" t="n">
        <f aca="false">SUM(F34:S34)</f>
        <v>12.8</v>
      </c>
      <c r="F34" s="44" t="n">
        <f aca="false">'P01 CigWharf2 Calc'!F33</f>
        <v>10</v>
      </c>
      <c r="G34" s="44" t="n">
        <f aca="false">'P01 CigWharf2 Calc'!G33</f>
        <v>2.3</v>
      </c>
      <c r="H34" s="44" t="n">
        <f aca="false">'P01 CigWharf2 Calc'!H33</f>
        <v>0.5</v>
      </c>
      <c r="I34" s="44" t="n">
        <f aca="false">'P01 CigWharf2 Calc'!I33</f>
        <v>0</v>
      </c>
      <c r="J34" s="44" t="n">
        <f aca="false">'P01 CigWharf2 Calc'!J33</f>
        <v>0</v>
      </c>
      <c r="K34" s="44" t="n">
        <f aca="false">'P01 CigWharf2 Calc'!K33</f>
        <v>0</v>
      </c>
      <c r="L34" s="44" t="n">
        <f aca="false">'P01 CigWharf2 Calc'!L33</f>
        <v>0</v>
      </c>
      <c r="M34" s="44" t="n">
        <f aca="false">'P01 CigWharf2 Calc'!M33</f>
        <v>0</v>
      </c>
      <c r="N34" s="44" t="n">
        <f aca="false">'P01 CigWharf2 Calc'!N33</f>
        <v>0</v>
      </c>
      <c r="O34" s="44" t="n">
        <f aca="false">'P01 CigWharf2 Calc'!O33</f>
        <v>0</v>
      </c>
      <c r="P34" s="44" t="n">
        <f aca="false">'P01 CigWharf2 Calc'!P33</f>
        <v>0</v>
      </c>
      <c r="Q34" s="44" t="n">
        <f aca="false">'P01 CigWharf2 Calc'!Q33</f>
        <v>0</v>
      </c>
      <c r="R34" s="44" t="n">
        <f aca="false">'P01 CigWharf2 Calc'!R33</f>
        <v>0</v>
      </c>
      <c r="S34" s="44" t="n">
        <f aca="false">'P01 CigWharf2 Calc'!S33</f>
        <v>0</v>
      </c>
    </row>
    <row r="35" customFormat="false" ht="15" hidden="false" customHeight="false" outlineLevel="0" collapsed="false">
      <c r="B35" s="24" t="s">
        <v>1114</v>
      </c>
      <c r="C35" s="25" t="s">
        <v>170</v>
      </c>
      <c r="E35" s="47" t="n">
        <f aca="false">SUM(F35:S35)</f>
        <v>208.192</v>
      </c>
      <c r="F35" s="47" t="n">
        <f aca="false">'P01 CigWharf2 Calc'!F35</f>
        <v>162.65</v>
      </c>
      <c r="G35" s="47" t="n">
        <f aca="false">'P01 CigWharf2 Calc'!G35</f>
        <v>37.4095</v>
      </c>
      <c r="H35" s="47" t="n">
        <f aca="false">'P01 CigWharf2 Calc'!H35</f>
        <v>8.1325</v>
      </c>
      <c r="I35" s="47" t="n">
        <f aca="false">'P01 CigWharf2 Calc'!I35</f>
        <v>0</v>
      </c>
      <c r="J35" s="47" t="n">
        <f aca="false">'P01 CigWharf2 Calc'!J35</f>
        <v>0</v>
      </c>
      <c r="K35" s="47" t="n">
        <f aca="false">'P01 CigWharf2 Calc'!K35</f>
        <v>0</v>
      </c>
      <c r="L35" s="47" t="n">
        <f aca="false">'P01 CigWharf2 Calc'!L35</f>
        <v>0</v>
      </c>
      <c r="M35" s="47" t="n">
        <f aca="false">'P01 CigWharf2 Calc'!M35</f>
        <v>0</v>
      </c>
      <c r="N35" s="47" t="n">
        <f aca="false">'P01 CigWharf2 Calc'!N35</f>
        <v>0</v>
      </c>
      <c r="O35" s="47" t="n">
        <f aca="false">'P01 CigWharf2 Calc'!O35</f>
        <v>0</v>
      </c>
      <c r="P35" s="47" t="n">
        <f aca="false">'P01 CigWharf2 Calc'!P35</f>
        <v>0</v>
      </c>
      <c r="Q35" s="47" t="n">
        <f aca="false">'P01 CigWharf2 Calc'!Q35</f>
        <v>0</v>
      </c>
      <c r="R35" s="47" t="n">
        <f aca="false">'P01 CigWharf2 Calc'!R35</f>
        <v>0</v>
      </c>
      <c r="S35" s="47" t="n">
        <f aca="false">'P01 CigWharf2 Calc'!S35</f>
        <v>0</v>
      </c>
    </row>
    <row r="36" customFormat="false" ht="15" hidden="false" customHeight="false" outlineLevel="0" collapsed="false">
      <c r="B36" s="24" t="s">
        <v>1115</v>
      </c>
      <c r="C36" s="25" t="s">
        <v>170</v>
      </c>
      <c r="F36" s="47" t="n">
        <f aca="false">'P01 CigWharf2 Calc'!F42</f>
        <v>162.65</v>
      </c>
      <c r="G36" s="47" t="n">
        <f aca="false">'P01 CigWharf2 Calc'!G42</f>
        <v>200.0595</v>
      </c>
      <c r="H36" s="47" t="n">
        <f aca="false">'P01 CigWharf2 Calc'!H42</f>
        <v>190.393464136878</v>
      </c>
      <c r="I36" s="47" t="n">
        <f aca="false">'P01 CigWharf2 Calc'!I42</f>
        <v>172.594928273756</v>
      </c>
      <c r="J36" s="47" t="n">
        <f aca="false">'P01 CigWharf2 Calc'!J42</f>
        <v>154.796392410634</v>
      </c>
      <c r="K36" s="47" t="n">
        <f aca="false">'P01 CigWharf2 Calc'!K42</f>
        <v>136.997856547512</v>
      </c>
      <c r="L36" s="47" t="n">
        <f aca="false">'P01 CigWharf2 Calc'!L42</f>
        <v>119.19932068439</v>
      </c>
      <c r="M36" s="47" t="n">
        <f aca="false">'P01 CigWharf2 Calc'!M42</f>
        <v>101.400784821268</v>
      </c>
      <c r="N36" s="47" t="n">
        <f aca="false">'P01 CigWharf2 Calc'!N42</f>
        <v>83.6022489581462</v>
      </c>
      <c r="O36" s="47" t="n">
        <f aca="false">'P01 CigWharf2 Calc'!O42</f>
        <v>65.8037130950242</v>
      </c>
      <c r="P36" s="47" t="n">
        <f aca="false">'P01 CigWharf2 Calc'!P42</f>
        <v>60.3200703371055</v>
      </c>
      <c r="Q36" s="47" t="n">
        <f aca="false">'P01 CigWharf2 Calc'!Q42</f>
        <v>54.8364275791868</v>
      </c>
      <c r="R36" s="47" t="n">
        <f aca="false">'P01 CigWharf2 Calc'!R42</f>
        <v>49.3527848212682</v>
      </c>
      <c r="S36" s="47" t="n">
        <f aca="false">'P01 CigWharf2 Calc'!S42</f>
        <v>43.8691420633495</v>
      </c>
    </row>
    <row r="37" customFormat="false" ht="15" hidden="false" customHeight="false" outlineLevel="0" collapsed="false">
      <c r="B37" s="24" t="s">
        <v>463</v>
      </c>
      <c r="C37" s="25" t="s">
        <v>170</v>
      </c>
      <c r="F37" s="47" t="n">
        <f aca="false">'P01 CigWharf2 Calc'!F47</f>
        <v>0</v>
      </c>
      <c r="G37" s="47" t="n">
        <f aca="false">'P01 CigWharf2 Calc'!G47</f>
        <v>0</v>
      </c>
      <c r="H37" s="47" t="n">
        <f aca="false">'P01 CigWharf2 Calc'!H47</f>
        <v>12.3672586556949</v>
      </c>
      <c r="I37" s="47" t="n">
        <f aca="false">'P01 CigWharf2 Calc'!I47</f>
        <v>12.7382764153658</v>
      </c>
      <c r="J37" s="47" t="n">
        <f aca="false">'P01 CigWharf2 Calc'!J47</f>
        <v>15.7445096493921</v>
      </c>
      <c r="K37" s="47" t="n">
        <f aca="false">'P01 CigWharf2 Calc'!K47</f>
        <v>16.1725366193687</v>
      </c>
      <c r="L37" s="47" t="n">
        <f aca="false">'P01 CigWharf2 Calc'!L47</f>
        <v>18.3736853157441</v>
      </c>
      <c r="M37" s="47" t="n">
        <f aca="false">'P01 CigWharf2 Calc'!M47</f>
        <v>18.9248958752164</v>
      </c>
      <c r="N37" s="47" t="n">
        <f aca="false">'P01 CigWharf2 Calc'!N47</f>
        <v>20.6622013165612</v>
      </c>
      <c r="O37" s="47" t="n">
        <f aca="false">'P01 CigWharf2 Calc'!O47</f>
        <v>21.2239196310415</v>
      </c>
      <c r="P37" s="47" t="n">
        <f aca="false">'P01 CigWharf2 Calc'!P47</f>
        <v>23.2357611393442</v>
      </c>
      <c r="Q37" s="47" t="n">
        <f aca="false">'P01 CigWharf2 Calc'!Q47</f>
        <v>23.9328339735245</v>
      </c>
      <c r="R37" s="47" t="n">
        <f aca="false">'P01 CigWharf2 Calc'!R47</f>
        <v>24.6508189927303</v>
      </c>
      <c r="S37" s="47" t="n">
        <f aca="false">'P01 CigWharf2 Calc'!S47</f>
        <v>25.3209710391173</v>
      </c>
    </row>
    <row r="38" customFormat="false" ht="15" hidden="false" customHeight="false" outlineLevel="0" collapsed="false">
      <c r="B38" s="24" t="s">
        <v>1116</v>
      </c>
      <c r="C38" s="25" t="s">
        <v>170</v>
      </c>
      <c r="F38" s="47" t="n">
        <f aca="false">-'P01 CigWharf2 Calc'!F48</f>
        <v>-0</v>
      </c>
      <c r="G38" s="47" t="n">
        <f aca="false">-'P01 CigWharf2 Calc'!G48</f>
        <v>-0</v>
      </c>
      <c r="H38" s="47" t="n">
        <f aca="false">-'P01 CigWharf2 Calc'!H48</f>
        <v>-0.782050086277868</v>
      </c>
      <c r="I38" s="47" t="n">
        <f aca="false">-'P01 CigWharf2 Calc'!I48</f>
        <v>-0.824466432641779</v>
      </c>
      <c r="J38" s="47" t="n">
        <f aca="false">-'P01 CigWharf2 Calc'!J48</f>
        <v>-0.869465934499253</v>
      </c>
      <c r="K38" s="47" t="n">
        <f aca="false">-'P01 CigWharf2 Calc'!K48</f>
        <v>-0.914699878954218</v>
      </c>
      <c r="L38" s="47" t="n">
        <f aca="false">-'P01 CigWharf2 Calc'!L48</f>
        <v>-0.967853241806044</v>
      </c>
      <c r="M38" s="47" t="n">
        <f aca="false">-'P01 CigWharf2 Calc'!M48</f>
        <v>-1.02158500034162</v>
      </c>
      <c r="N38" s="47" t="n">
        <f aca="false">-'P01 CigWharf2 Calc'!N48</f>
        <v>-1.07858902297201</v>
      </c>
      <c r="O38" s="47" t="n">
        <f aca="false">-'P01 CigWharf2 Calc'!O48</f>
        <v>-1.13595239224568</v>
      </c>
      <c r="P38" s="47" t="n">
        <f aca="false">-'P01 CigWharf2 Calc'!P48</f>
        <v>-1.20322312025655</v>
      </c>
      <c r="Q38" s="47" t="n">
        <f aca="false">-'P01 CigWharf2 Calc'!Q48</f>
        <v>-1.27128890438976</v>
      </c>
      <c r="R38" s="47" t="n">
        <f aca="false">-'P01 CigWharf2 Calc'!R48</f>
        <v>-1.34349989477669</v>
      </c>
      <c r="S38" s="47" t="n">
        <f aca="false">-'P01 CigWharf2 Calc'!S48</f>
        <v>-1.41622845651512</v>
      </c>
    </row>
    <row r="39" customFormat="false" ht="15" hidden="false" customHeight="false" outlineLevel="0" collapsed="false">
      <c r="B39" s="69" t="s">
        <v>1117</v>
      </c>
      <c r="C39" s="25" t="s">
        <v>170</v>
      </c>
      <c r="F39" s="68" t="n">
        <f aca="false">F36+F37+F38</f>
        <v>162.65</v>
      </c>
      <c r="G39" s="68" t="n">
        <f aca="false">G36+G37+G38</f>
        <v>200.0595</v>
      </c>
      <c r="H39" s="68" t="n">
        <f aca="false">H36+H37+H38</f>
        <v>201.978672706295</v>
      </c>
      <c r="I39" s="68" t="n">
        <f aca="false">I36+I37+I38</f>
        <v>184.50873825648</v>
      </c>
      <c r="J39" s="68" t="n">
        <f aca="false">J36+J37+J38</f>
        <v>169.671436125527</v>
      </c>
      <c r="K39" s="68" t="n">
        <f aca="false">K36+K37+K38</f>
        <v>152.255693287927</v>
      </c>
      <c r="L39" s="68" t="n">
        <f aca="false">L36+L37+L38</f>
        <v>136.605152758328</v>
      </c>
      <c r="M39" s="68" t="n">
        <f aca="false">M36+M37+M38</f>
        <v>119.304095696143</v>
      </c>
      <c r="N39" s="68" t="n">
        <f aca="false">N36+N37+N38</f>
        <v>103.185861251735</v>
      </c>
      <c r="O39" s="68" t="n">
        <f aca="false">O36+O37+O38</f>
        <v>85.89168033382</v>
      </c>
      <c r="P39" s="68" t="n">
        <f aca="false">P36+P37+P38</f>
        <v>82.3526083561932</v>
      </c>
      <c r="Q39" s="68" t="n">
        <f aca="false">Q36+Q37+Q38</f>
        <v>77.4979726483216</v>
      </c>
      <c r="R39" s="68" t="n">
        <f aca="false">R36+R37+R38</f>
        <v>72.6601039192217</v>
      </c>
      <c r="S39" s="68" t="n">
        <f aca="false">S36+S37+S38</f>
        <v>67.7738846459517</v>
      </c>
    </row>
    <row r="41" customFormat="false" ht="15" hidden="false" customHeight="false" outlineLevel="0" collapsed="false">
      <c r="B41" s="22" t="s">
        <v>1119</v>
      </c>
      <c r="C41" s="23"/>
      <c r="D41" s="23"/>
      <c r="E41" s="23"/>
      <c r="F41" s="23"/>
      <c r="G41" s="23"/>
      <c r="H41" s="23"/>
      <c r="I41" s="23"/>
      <c r="J41" s="23"/>
      <c r="K41" s="23"/>
      <c r="L41" s="23"/>
      <c r="M41" s="23"/>
      <c r="N41" s="23"/>
      <c r="O41" s="23"/>
      <c r="P41" s="23"/>
      <c r="Q41" s="23"/>
      <c r="R41" s="23"/>
      <c r="S41" s="23"/>
    </row>
    <row r="42" customFormat="false" ht="15" hidden="false" customHeight="false" outlineLevel="0" collapsed="false">
      <c r="B42" s="24" t="s">
        <v>1120</v>
      </c>
      <c r="C42" s="25" t="s">
        <v>143</v>
      </c>
      <c r="F42" s="30" t="n">
        <f aca="false">0</f>
        <v>0</v>
      </c>
      <c r="G42" s="30" t="n">
        <f aca="false">MIN(1,F42+F43)</f>
        <v>0</v>
      </c>
      <c r="H42" s="30" t="n">
        <f aca="false">MIN(1,G42+G43)</f>
        <v>0</v>
      </c>
      <c r="I42" s="30" t="n">
        <f aca="false">MIN(1,H42+H43)</f>
        <v>0</v>
      </c>
      <c r="J42" s="30" t="n">
        <f aca="false">MIN(1,I42+I43)</f>
        <v>0</v>
      </c>
      <c r="K42" s="30" t="n">
        <f aca="false">MIN(1,J42+J43)</f>
        <v>0</v>
      </c>
      <c r="L42" s="30" t="n">
        <f aca="false">MIN(1,K42+K43)</f>
        <v>1</v>
      </c>
      <c r="M42" s="30" t="n">
        <f aca="false">MIN(1,L42+L43)</f>
        <v>1</v>
      </c>
      <c r="N42" s="30" t="n">
        <f aca="false">MIN(1,M42+M43)</f>
        <v>1</v>
      </c>
      <c r="O42" s="30" t="n">
        <f aca="false">MIN(1,N42+N43)</f>
        <v>1</v>
      </c>
      <c r="P42" s="30" t="n">
        <f aca="false">MIN(1,O42+O43)</f>
        <v>1</v>
      </c>
      <c r="Q42" s="30" t="n">
        <f aca="false">MIN(1,P42+P43)</f>
        <v>1</v>
      </c>
      <c r="R42" s="30" t="n">
        <f aca="false">MIN(1,Q42+Q43)</f>
        <v>1</v>
      </c>
      <c r="S42" s="30" t="n">
        <f aca="false">MIN(1,R42+R43)</f>
        <v>1</v>
      </c>
    </row>
    <row r="43" customFormat="false" ht="15" hidden="false" customHeight="false" outlineLevel="0" collapsed="false">
      <c r="B43" s="24" t="s">
        <v>1121</v>
      </c>
      <c r="C43" s="25" t="s">
        <v>143</v>
      </c>
      <c r="F43" s="30" t="n">
        <f aca="false">0</f>
        <v>0</v>
      </c>
      <c r="G43" s="30" t="n">
        <f aca="false">IF(AND(G29&gt;=0,F29&lt;0,G42=0),1,0)</f>
        <v>0</v>
      </c>
      <c r="H43" s="30" t="n">
        <f aca="false">IF(AND(H29&gt;=0,G29&lt;0,H42=0),1,0)</f>
        <v>0</v>
      </c>
      <c r="I43" s="30" t="n">
        <f aca="false">IF(AND(I29&gt;=0,H29&lt;0,I42=0),1,0)</f>
        <v>0</v>
      </c>
      <c r="J43" s="30" t="n">
        <f aca="false">IF(AND(J29&gt;=0,I29&lt;0,J42=0),1,0)</f>
        <v>0</v>
      </c>
      <c r="K43" s="30" t="n">
        <f aca="false">IF(AND(K29&gt;=0,J29&lt;0,K42=0),1,0)</f>
        <v>1</v>
      </c>
      <c r="L43" s="30" t="n">
        <f aca="false">IF(AND(L29&gt;=0,K29&lt;0,L42=0),1,0)</f>
        <v>0</v>
      </c>
      <c r="M43" s="30" t="n">
        <f aca="false">IF(AND(M29&gt;=0,L29&lt;0,M42=0),1,0)</f>
        <v>0</v>
      </c>
      <c r="N43" s="30" t="n">
        <f aca="false">IF(AND(N29&gt;=0,M29&lt;0,N42=0),1,0)</f>
        <v>0</v>
      </c>
      <c r="O43" s="30" t="n">
        <f aca="false">IF(AND(O29&gt;=0,N29&lt;0,O42=0),1,0)</f>
        <v>0</v>
      </c>
      <c r="P43" s="30" t="n">
        <f aca="false">IF(AND(P29&gt;=0,O29&lt;0,P42=0),1,0)</f>
        <v>0</v>
      </c>
      <c r="Q43" s="30" t="n">
        <f aca="false">IF(AND(Q29&gt;=0,P29&lt;0,Q42=0),1,0)</f>
        <v>0</v>
      </c>
      <c r="R43" s="30" t="n">
        <f aca="false">IF(AND(R29&gt;=0,Q29&lt;0,R42=0),1,0)</f>
        <v>0</v>
      </c>
      <c r="S43" s="30" t="n">
        <f aca="false">IF(AND(S29&gt;=0,R29&lt;0,S42=0),1,0)</f>
        <v>0</v>
      </c>
    </row>
    <row r="44" customFormat="false" ht="15" hidden="false" customHeight="false" outlineLevel="0" collapsed="false">
      <c r="B44" s="24" t="s">
        <v>1122</v>
      </c>
      <c r="C44" s="25" t="s">
        <v>170</v>
      </c>
      <c r="F44" s="47" t="n">
        <f aca="false">IF(F$5='Global Inputs'!$E$14,F28*(1+'Global Inputs'!$E$54)/('Global Inputs'!$E$53-'Global Inputs'!$E$54),0)</f>
        <v>0</v>
      </c>
      <c r="G44" s="47" t="n">
        <f aca="false">IF(G$5='Global Inputs'!$E$14,G28*(1+'Global Inputs'!$E$54)/('Global Inputs'!$E$53-'Global Inputs'!$E$54),0)</f>
        <v>0</v>
      </c>
      <c r="H44" s="47" t="n">
        <f aca="false">IF(H$5='Global Inputs'!$E$14,H28*(1+'Global Inputs'!$E$54)/('Global Inputs'!$E$53-'Global Inputs'!$E$54),0)</f>
        <v>0</v>
      </c>
      <c r="I44" s="47" t="n">
        <f aca="false">IF(I$5='Global Inputs'!$E$14,I28*(1+'Global Inputs'!$E$54)/('Global Inputs'!$E$53-'Global Inputs'!$E$54),0)</f>
        <v>0</v>
      </c>
      <c r="J44" s="47" t="n">
        <f aca="false">IF(J$5='Global Inputs'!$E$14,J28*(1+'Global Inputs'!$E$54)/('Global Inputs'!$E$53-'Global Inputs'!$E$54),0)</f>
        <v>0</v>
      </c>
      <c r="K44" s="47" t="n">
        <f aca="false">IF(K$5='Global Inputs'!$E$14,K28*(1+'Global Inputs'!$E$54)/('Global Inputs'!$E$53-'Global Inputs'!$E$54),0)</f>
        <v>0</v>
      </c>
      <c r="L44" s="47" t="n">
        <f aca="false">IF(L$5='Global Inputs'!$E$14,L28*(1+'Global Inputs'!$E$54)/('Global Inputs'!$E$53-'Global Inputs'!$E$54),0)</f>
        <v>0</v>
      </c>
      <c r="M44" s="47" t="n">
        <f aca="false">IF(M$5='Global Inputs'!$E$14,M28*(1+'Global Inputs'!$E$54)/('Global Inputs'!$E$53-'Global Inputs'!$E$54),0)</f>
        <v>0</v>
      </c>
      <c r="N44" s="47" t="n">
        <f aca="false">IF(N$5='Global Inputs'!$E$14,N28*(1+'Global Inputs'!$E$54)/('Global Inputs'!$E$53-'Global Inputs'!$E$54),0)</f>
        <v>0</v>
      </c>
      <c r="O44" s="47" t="n">
        <f aca="false">IF(O$5='Global Inputs'!$E$14,O28*(1+'Global Inputs'!$E$54)/('Global Inputs'!$E$53-'Global Inputs'!$E$54),0)</f>
        <v>0</v>
      </c>
      <c r="P44" s="47" t="n">
        <f aca="false">IF(P$5='Global Inputs'!$E$14,P28*(1+'Global Inputs'!$E$54)/('Global Inputs'!$E$53-'Global Inputs'!$E$54),0)</f>
        <v>0</v>
      </c>
      <c r="Q44" s="47" t="n">
        <f aca="false">IF(Q$5='Global Inputs'!$E$14,Q28*(1+'Global Inputs'!$E$54)/('Global Inputs'!$E$53-'Global Inputs'!$E$54),0)</f>
        <v>0</v>
      </c>
      <c r="R44" s="47" t="n">
        <f aca="false">IF(R$5='Global Inputs'!$E$14,R28*(1+'Global Inputs'!$E$54)/('Global Inputs'!$E$53-'Global Inputs'!$E$54),0)</f>
        <v>0</v>
      </c>
      <c r="S44" s="47" t="n">
        <f aca="false">IF(S$5='Global Inputs'!$E$14,S28*(1+'Global Inputs'!$E$54)/('Global Inputs'!$E$53-'Global Inputs'!$E$54),0)</f>
        <v>1343.37351995974</v>
      </c>
    </row>
    <row r="45" customFormat="false" ht="15" hidden="false" customHeight="false" outlineLevel="0" collapsed="false">
      <c r="B45" s="24" t="s">
        <v>1123</v>
      </c>
      <c r="C45" s="25" t="s">
        <v>170</v>
      </c>
      <c r="F45" s="47" t="n">
        <f aca="false">F28+F44</f>
        <v>-162.65</v>
      </c>
      <c r="G45" s="47" t="n">
        <f aca="false">G28+G44</f>
        <v>-37.4095</v>
      </c>
      <c r="H45" s="47" t="n">
        <f aca="false">H28+H44</f>
        <v>39.3711324777166</v>
      </c>
      <c r="I45" s="47" t="n">
        <f aca="false">I28+I44</f>
        <v>60.2355530611139</v>
      </c>
      <c r="J45" s="47" t="n">
        <f aca="false">J28+J44</f>
        <v>72.3914239447765</v>
      </c>
      <c r="K45" s="47" t="n">
        <f aca="false">K28+K44</f>
        <v>76.9074586668569</v>
      </c>
      <c r="L45" s="47" t="n">
        <f aca="false">L28+L44</f>
        <v>85.5781012363765</v>
      </c>
      <c r="M45" s="47" t="n">
        <f aca="false">M28+M44</f>
        <v>89.5085637588032</v>
      </c>
      <c r="N45" s="47" t="n">
        <f aca="false">N28+N44</f>
        <v>96.5778549067232</v>
      </c>
      <c r="O45" s="47" t="n">
        <f aca="false">O28+O44</f>
        <v>100.317236891532</v>
      </c>
      <c r="P45" s="47" t="n">
        <f aca="false">P28+P44</f>
        <v>105.44717559515</v>
      </c>
      <c r="Q45" s="47" t="n">
        <f aca="false">Q28+Q44</f>
        <v>109.644913005368</v>
      </c>
      <c r="R45" s="47" t="n">
        <f aca="false">R28+R44</f>
        <v>112.576825238365</v>
      </c>
      <c r="S45" s="47" t="n">
        <f aca="false">S28+S44</f>
        <v>1459.01466010736</v>
      </c>
    </row>
    <row r="46" customFormat="false" ht="15" hidden="false" customHeight="false" outlineLevel="0" collapsed="false">
      <c r="B46" s="24" t="s">
        <v>1124</v>
      </c>
      <c r="C46" s="25" t="s">
        <v>170</v>
      </c>
      <c r="E46" s="47" t="n">
        <f aca="false">SUM(F46:S46)</f>
        <v>960.014663512148</v>
      </c>
      <c r="F46" s="47" t="n">
        <f aca="false">F45*'Global Inputs'!F18</f>
        <v>-0</v>
      </c>
      <c r="G46" s="47" t="n">
        <f aca="false">G45*'Global Inputs'!G18</f>
        <v>-0</v>
      </c>
      <c r="H46" s="47" t="n">
        <f aca="false">H45*'Global Inputs'!H18</f>
        <v>0</v>
      </c>
      <c r="I46" s="47" t="n">
        <f aca="false">I45*'Global Inputs'!I18</f>
        <v>0</v>
      </c>
      <c r="J46" s="47" t="n">
        <f aca="false">J45*'Global Inputs'!J18</f>
        <v>64.7123278008136</v>
      </c>
      <c r="K46" s="47" t="n">
        <f aca="false">K45*'Global Inputs'!K18</f>
        <v>61.4565627733718</v>
      </c>
      <c r="L46" s="47" t="n">
        <f aca="false">L45*'Global Inputs'!L18</f>
        <v>61.1311203817918</v>
      </c>
      <c r="M46" s="47" t="n">
        <f aca="false">M45*'Global Inputs'!M18</f>
        <v>57.1563123127983</v>
      </c>
      <c r="N46" s="47" t="n">
        <f aca="false">N45*'Global Inputs'!N18</f>
        <v>55.1286135186822</v>
      </c>
      <c r="O46" s="47" t="n">
        <f aca="false">O45*'Global Inputs'!O18</f>
        <v>51.1888036557241</v>
      </c>
      <c r="P46" s="47" t="n">
        <f aca="false">P45*'Global Inputs'!P18</f>
        <v>48.0988034690606</v>
      </c>
      <c r="Q46" s="47" t="n">
        <f aca="false">Q45*'Global Inputs'!Q18</f>
        <v>44.7082541900212</v>
      </c>
      <c r="R46" s="47" t="n">
        <f aca="false">R45*'Global Inputs'!R18</f>
        <v>41.0344034567292</v>
      </c>
      <c r="S46" s="47" t="n">
        <f aca="false">S45*'Global Inputs'!S18</f>
        <v>475.399461953155</v>
      </c>
    </row>
    <row r="47" customFormat="false" ht="15" hidden="false" customHeight="false" outlineLevel="0" collapsed="false">
      <c r="B47" s="24" t="s">
        <v>1125</v>
      </c>
      <c r="C47" s="25" t="s">
        <v>170</v>
      </c>
      <c r="E47" s="47" t="n">
        <f aca="false">SUM($F$46:$S$46)</f>
        <v>960.014663512148</v>
      </c>
    </row>
    <row r="48" customFormat="false" ht="15" hidden="false" customHeight="false" outlineLevel="0" collapsed="false">
      <c r="B48" s="24" t="s">
        <v>1126</v>
      </c>
      <c r="C48" s="25" t="s">
        <v>170</v>
      </c>
      <c r="E48" s="47" t="n">
        <f aca="false">SUMPRODUCT($F$28:$S$28,'Global Inputs'!$F$18:$S$18)</f>
        <v>522.295245021876</v>
      </c>
    </row>
    <row r="49" customFormat="false" ht="15" hidden="false" customHeight="false" outlineLevel="0" collapsed="false">
      <c r="B49" s="24" t="s">
        <v>1831</v>
      </c>
      <c r="C49" s="25" t="s">
        <v>160</v>
      </c>
      <c r="E49" s="49" t="n">
        <f aca="false">IFERROR(IRR($F$28:$S$28),"n/a")</f>
        <v>0.275873560051958</v>
      </c>
    </row>
    <row r="50" customFormat="false" ht="15" hidden="false" customHeight="false" outlineLevel="0" collapsed="false">
      <c r="B50" s="24" t="s">
        <v>1832</v>
      </c>
      <c r="C50" s="25" t="s">
        <v>160</v>
      </c>
      <c r="E50" s="49" t="n">
        <f aca="false">IFERROR(IRR($F$45:$S$45),"n/a")</f>
        <v>0.323882288247527</v>
      </c>
    </row>
    <row r="51" customFormat="false" ht="15" hidden="false" customHeight="false" outlineLevel="0" collapsed="false">
      <c r="B51" s="24" t="s">
        <v>1128</v>
      </c>
      <c r="C51" s="25" t="s">
        <v>160</v>
      </c>
      <c r="E51" s="49" t="str">
        <f aca="false">"= project IRR (no project-level debt in v29; corporate LT loan is not project debt)"</f>
        <v>= project IRR (no project-level debt in v29; corporate LT loan is not project debt)</v>
      </c>
    </row>
    <row r="52" customFormat="false" ht="15" hidden="false" customHeight="false" outlineLevel="0" collapsed="false">
      <c r="B52" s="24" t="s">
        <v>1129</v>
      </c>
      <c r="C52" s="25" t="s">
        <v>135</v>
      </c>
      <c r="E52" s="29" t="n">
        <f aca="false">IF(SUM($F$43:$S$43)=0,"not within horizon",SUMPRODUCT($F$43:$S$43,'Global Inputs'!$F$15:$S$15))</f>
        <v>2028</v>
      </c>
    </row>
    <row r="53" customFormat="false" ht="15" hidden="false" customHeight="false" outlineLevel="0" collapsed="false">
      <c r="B53" s="24" t="s">
        <v>1130</v>
      </c>
      <c r="C53" s="25" t="s">
        <v>135</v>
      </c>
      <c r="E53" s="29" t="n">
        <f aca="false">IF(SUM('P01 CigWharf2 Calc'!$F$33:$S$33)=0,"n/a",SUMPRODUCT('P01 CigWharf2 Calc'!$F$43:$S$43,'Global Inputs'!$F$15:$S$15))</f>
        <v>2023</v>
      </c>
    </row>
    <row r="54" customFormat="false" ht="15" hidden="false" customHeight="false" outlineLevel="0" collapsed="false">
      <c r="B54" s="24" t="s">
        <v>1131</v>
      </c>
      <c r="C54" s="25" t="s">
        <v>240</v>
      </c>
      <c r="E54" s="44" t="n">
        <f aca="false">'P01 CigWharf2 Input'!$E$36</f>
        <v>12.8</v>
      </c>
    </row>
    <row r="55" customFormat="false" ht="15" hidden="false" customHeight="false" outlineLevel="0" collapsed="false">
      <c r="B55" s="24" t="s">
        <v>1132</v>
      </c>
      <c r="C55" s="25" t="s">
        <v>240</v>
      </c>
      <c r="E55" s="44" t="n">
        <f aca="false">'P01 CigWharf2 Input'!$E$42</f>
        <v>0</v>
      </c>
    </row>
    <row r="57" customFormat="false" ht="15" hidden="false" customHeight="false" outlineLevel="0" collapsed="false">
      <c r="B57" s="22" t="s">
        <v>1133</v>
      </c>
      <c r="C57" s="23"/>
      <c r="D57" s="23"/>
      <c r="E57" s="23"/>
      <c r="F57" s="23"/>
      <c r="G57" s="23"/>
      <c r="H57" s="23"/>
      <c r="I57" s="23"/>
      <c r="J57" s="23"/>
      <c r="K57" s="23"/>
      <c r="L57" s="23"/>
      <c r="M57" s="23"/>
      <c r="N57" s="23"/>
      <c r="O57" s="23"/>
      <c r="P57" s="23"/>
      <c r="Q57" s="23"/>
      <c r="R57" s="23"/>
      <c r="S57" s="23"/>
    </row>
    <row r="58" customFormat="false" ht="15" hidden="false" customHeight="false" outlineLevel="0" collapsed="false">
      <c r="B58" s="24" t="s">
        <v>1134</v>
      </c>
      <c r="C58" s="25" t="s">
        <v>180</v>
      </c>
      <c r="E58" s="29" t="n">
        <f aca="false">'P01 CigWharf2 Input'!$E$22*IF('P01 CigWharf2 Input'!$E$23=1,1,0)</f>
        <v>1</v>
      </c>
    </row>
    <row r="59" customFormat="false" ht="15" hidden="false" customHeight="false" outlineLevel="0" collapsed="false">
      <c r="B59" s="24" t="s">
        <v>1135</v>
      </c>
      <c r="C59" s="25" t="s">
        <v>180</v>
      </c>
      <c r="E59" s="29" t="n">
        <f aca="false">'P01 CigWharf2 Input'!$E$22</f>
        <v>1</v>
      </c>
    </row>
    <row r="60" customFormat="false" ht="15" hidden="false" customHeight="false" outlineLevel="0" collapsed="false">
      <c r="B60" s="24" t="s">
        <v>897</v>
      </c>
      <c r="C60" s="25" t="s">
        <v>160</v>
      </c>
      <c r="E60" s="49" t="n">
        <f aca="false">'P01 CigWharf2 Input'!$E$24</f>
        <v>1</v>
      </c>
    </row>
  </sheetData>
  <hyperlinks>
    <hyperlink ref="C3" r:id="rId1" location="'P01%20CigWharf2%20Input'!A1" display="Input"/>
    <hyperlink ref="D3" r:id="rId2" location="'P01%20CigWharf2%20Calc'!A1" display="Calc"/>
    <hyperlink ref="E3" r:id="rId3" location="'P01%20CigWharf2%20Output'!A1" display="Output"/>
    <hyperlink ref="F3" r:id="rId4" location="'Navigation'!A1" display="Navigation"/>
    <hyperlink ref="G3" r:id="rId5" location="'Global%20Inputs'!A1" display="Global Inputs"/>
    <hyperlink ref="H3" r:id="rId6" location="'Project%20Summary'!A1" display="Project Summary"/>
    <hyperlink ref="I3" r:id="rId7" location="'Funding%20Requirement'!A1" display="Funding"/>
    <hyperlink ref="J3" r:id="rId8" location="'FSL%20Financials%20—%20Without%20BUMN'!A1" display="FSL w/o BUMN"/>
    <hyperlink ref="K3" r:id="rId9" location="'FSL%20Financials%20—%20With%20BUMN'!A1" display="FSL w/ BUMN"/>
    <hyperlink ref="L3" r:id="rId10" location="'Valuation%20—%20Without%20BUMN'!A1" display="Val w/o BUMN"/>
    <hyperlink ref="M3" r:id="rId11" location="'Valuation%20—%20With%20BUMN'!A1" display="Val w/ BUMN"/>
    <hyperlink ref="N3" r:id="rId12" location="'Checks'!A1" display="Checks"/>
    <hyperlink ref="O3" r:id="rId13" location="'Model%20Flow'!A1" display="Model Flow"/>
  </hyperlink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D966"/>
    <pageSetUpPr fitToPage="true"/>
  </sheetPr>
  <dimension ref="B1:U4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5" ySplit="9" topLeftCell="F10" activePane="bottomRight" state="frozen"/>
      <selection pane="topLeft" activeCell="A1" activeCellId="0" sqref="A1"/>
      <selection pane="topRight" activeCell="F1" activeCellId="0" sqref="F1"/>
      <selection pane="bottomLeft" activeCell="A10" activeCellId="0" sqref="A10"/>
      <selection pane="bottomRigh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66"/>
    <col collapsed="false" customWidth="true" hidden="false" outlineLevel="0" max="3" min="3" style="0" width="11"/>
    <col collapsed="false" customWidth="true" hidden="false" outlineLevel="0" max="4" min="4" style="0" width="12"/>
    <col collapsed="false" customWidth="true" hidden="false" outlineLevel="0" max="5" min="5" style="0" width="13"/>
    <col collapsed="false" customWidth="true" hidden="false" outlineLevel="0" max="19" min="6" style="0" width="11.5"/>
    <col collapsed="false" customWidth="true" hidden="false" outlineLevel="0" max="20" min="20" style="0" width="40"/>
    <col collapsed="false" customWidth="true" hidden="false" outlineLevel="0" max="21" min="21" style="0" width="48"/>
  </cols>
  <sheetData>
    <row r="1" customFormat="false" ht="21.75" hidden="false" customHeight="true" outlineLevel="0" collapsed="false">
      <c r="B1" s="1" t="s">
        <v>1833</v>
      </c>
    </row>
    <row r="2" customFormat="false" ht="15" hidden="false" customHeight="false" outlineLevel="0" collapsed="false">
      <c r="B2" s="2" t="s">
        <v>1834</v>
      </c>
    </row>
    <row r="3" customFormat="false" ht="15" hidden="false" customHeight="false" outlineLevel="0" collapsed="false">
      <c r="B3" s="5" t="s">
        <v>112</v>
      </c>
      <c r="C3" s="17" t="s">
        <v>27</v>
      </c>
      <c r="D3" s="17" t="s">
        <v>28</v>
      </c>
      <c r="E3" s="17" t="s">
        <v>29</v>
      </c>
      <c r="F3" s="17" t="s">
        <v>113</v>
      </c>
      <c r="G3" s="17" t="s">
        <v>5</v>
      </c>
      <c r="H3" s="17" t="s">
        <v>7</v>
      </c>
      <c r="I3" s="17" t="s">
        <v>114</v>
      </c>
      <c r="J3" s="17" t="s">
        <v>115</v>
      </c>
      <c r="K3" s="17" t="s">
        <v>116</v>
      </c>
      <c r="L3" s="17" t="s">
        <v>117</v>
      </c>
      <c r="M3" s="17" t="s">
        <v>118</v>
      </c>
      <c r="N3" s="17" t="s">
        <v>21</v>
      </c>
      <c r="O3" s="17" t="s">
        <v>3</v>
      </c>
    </row>
    <row r="5" customFormat="false" ht="15" hidden="false" customHeight="false" outlineLevel="0" collapsed="false">
      <c r="B5" s="6" t="s">
        <v>119</v>
      </c>
      <c r="C5" s="6" t="s">
        <v>120</v>
      </c>
      <c r="D5" s="6" t="s">
        <v>121</v>
      </c>
      <c r="E5" s="6" t="s">
        <v>122</v>
      </c>
      <c r="F5" s="18" t="n">
        <f aca="false">'Global Inputs'!F$5</f>
        <v>2023</v>
      </c>
      <c r="G5" s="18" t="n">
        <f aca="false">'Global Inputs'!G$5</f>
        <v>2024</v>
      </c>
      <c r="H5" s="18" t="n">
        <f aca="false">'Global Inputs'!H$5</f>
        <v>2025</v>
      </c>
      <c r="I5" s="18" t="n">
        <f aca="false">'Global Inputs'!I$5</f>
        <v>2026</v>
      </c>
      <c r="J5" s="18" t="n">
        <f aca="false">'Global Inputs'!J$5</f>
        <v>2027</v>
      </c>
      <c r="K5" s="18" t="n">
        <f aca="false">'Global Inputs'!K$5</f>
        <v>2028</v>
      </c>
      <c r="L5" s="18" t="n">
        <f aca="false">'Global Inputs'!L$5</f>
        <v>2029</v>
      </c>
      <c r="M5" s="18" t="n">
        <f aca="false">'Global Inputs'!M$5</f>
        <v>2030</v>
      </c>
      <c r="N5" s="18" t="n">
        <f aca="false">'Global Inputs'!N$5</f>
        <v>2031</v>
      </c>
      <c r="O5" s="18" t="n">
        <f aca="false">'Global Inputs'!O$5</f>
        <v>2032</v>
      </c>
      <c r="P5" s="18" t="n">
        <f aca="false">'Global Inputs'!P$5</f>
        <v>2033</v>
      </c>
      <c r="Q5" s="18" t="n">
        <f aca="false">'Global Inputs'!Q$5</f>
        <v>2034</v>
      </c>
      <c r="R5" s="18" t="n">
        <f aca="false">'Global Inputs'!R$5</f>
        <v>2035</v>
      </c>
      <c r="S5" s="18" t="n">
        <f aca="false">'Global Inputs'!S$5</f>
        <v>2036</v>
      </c>
      <c r="T5" s="6" t="s">
        <v>123</v>
      </c>
      <c r="U5" s="6" t="s">
        <v>124</v>
      </c>
    </row>
    <row r="6" customFormat="false" ht="15" hidden="false" customHeight="false" outlineLevel="0" collapsed="false">
      <c r="B6" s="19" t="s">
        <v>125</v>
      </c>
      <c r="F6" s="20" t="n">
        <f aca="false">'Global Inputs'!F$6</f>
        <v>45291</v>
      </c>
      <c r="G6" s="20" t="n">
        <f aca="false">'Global Inputs'!G$6</f>
        <v>45657</v>
      </c>
      <c r="H6" s="20" t="n">
        <f aca="false">'Global Inputs'!H$6</f>
        <v>46022</v>
      </c>
      <c r="I6" s="20" t="n">
        <f aca="false">'Global Inputs'!I$6</f>
        <v>46387</v>
      </c>
      <c r="J6" s="20" t="n">
        <f aca="false">'Global Inputs'!J$6</f>
        <v>46752</v>
      </c>
      <c r="K6" s="20" t="n">
        <f aca="false">'Global Inputs'!K$6</f>
        <v>47118</v>
      </c>
      <c r="L6" s="20" t="n">
        <f aca="false">'Global Inputs'!L$6</f>
        <v>47483</v>
      </c>
      <c r="M6" s="20" t="n">
        <f aca="false">'Global Inputs'!M$6</f>
        <v>47848</v>
      </c>
      <c r="N6" s="20" t="n">
        <f aca="false">'Global Inputs'!N$6</f>
        <v>48213</v>
      </c>
      <c r="O6" s="20" t="n">
        <f aca="false">'Global Inputs'!O$6</f>
        <v>48579</v>
      </c>
      <c r="P6" s="20" t="n">
        <f aca="false">'Global Inputs'!P$6</f>
        <v>48944</v>
      </c>
      <c r="Q6" s="20" t="n">
        <f aca="false">'Global Inputs'!Q$6</f>
        <v>49309</v>
      </c>
      <c r="R6" s="20" t="n">
        <f aca="false">'Global Inputs'!R$6</f>
        <v>49674</v>
      </c>
      <c r="S6" s="20" t="n">
        <f aca="false">'Global Inputs'!S$6</f>
        <v>50040</v>
      </c>
    </row>
    <row r="7" customFormat="false" ht="15" hidden="false" customHeight="false" outlineLevel="0" collapsed="false">
      <c r="B7" s="19" t="s">
        <v>126</v>
      </c>
      <c r="F7" s="21" t="n">
        <f aca="false">'Global Inputs'!F$7</f>
        <v>365</v>
      </c>
      <c r="G7" s="21" t="n">
        <f aca="false">'Global Inputs'!G$7</f>
        <v>366</v>
      </c>
      <c r="H7" s="21" t="n">
        <f aca="false">'Global Inputs'!H$7</f>
        <v>365</v>
      </c>
      <c r="I7" s="21" t="n">
        <f aca="false">'Global Inputs'!I$7</f>
        <v>365</v>
      </c>
      <c r="J7" s="21" t="n">
        <f aca="false">'Global Inputs'!J$7</f>
        <v>365</v>
      </c>
      <c r="K7" s="21" t="n">
        <f aca="false">'Global Inputs'!K$7</f>
        <v>366</v>
      </c>
      <c r="L7" s="21" t="n">
        <f aca="false">'Global Inputs'!L$7</f>
        <v>365</v>
      </c>
      <c r="M7" s="21" t="n">
        <f aca="false">'Global Inputs'!M$7</f>
        <v>365</v>
      </c>
      <c r="N7" s="21" t="n">
        <f aca="false">'Global Inputs'!N$7</f>
        <v>365</v>
      </c>
      <c r="O7" s="21" t="n">
        <f aca="false">'Global Inputs'!O$7</f>
        <v>366</v>
      </c>
      <c r="P7" s="21" t="n">
        <f aca="false">'Global Inputs'!P$7</f>
        <v>365</v>
      </c>
      <c r="Q7" s="21" t="n">
        <f aca="false">'Global Inputs'!Q$7</f>
        <v>365</v>
      </c>
      <c r="R7" s="21" t="n">
        <f aca="false">'Global Inputs'!R$7</f>
        <v>365</v>
      </c>
      <c r="S7" s="21" t="n">
        <f aca="false">'Global Inputs'!S$7</f>
        <v>366</v>
      </c>
    </row>
    <row r="8" customFormat="false" ht="15" hidden="false" customHeight="false" outlineLevel="0" collapsed="false">
      <c r="B8" s="19" t="s">
        <v>127</v>
      </c>
      <c r="F8" s="21" t="n">
        <f aca="false">'Global Inputs'!F$8</f>
        <v>0</v>
      </c>
      <c r="G8" s="21" t="n">
        <f aca="false">'Global Inputs'!G$8</f>
        <v>1</v>
      </c>
      <c r="H8" s="21" t="n">
        <f aca="false">'Global Inputs'!H$8</f>
        <v>1</v>
      </c>
      <c r="I8" s="21" t="n">
        <f aca="false">'Global Inputs'!I$8</f>
        <v>1</v>
      </c>
      <c r="J8" s="21" t="n">
        <f aca="false">'Global Inputs'!J$8</f>
        <v>1</v>
      </c>
      <c r="K8" s="21" t="n">
        <f aca="false">'Global Inputs'!K$8</f>
        <v>1</v>
      </c>
      <c r="L8" s="21" t="n">
        <f aca="false">'Global Inputs'!L$8</f>
        <v>1</v>
      </c>
      <c r="M8" s="21" t="n">
        <f aca="false">'Global Inputs'!M$8</f>
        <v>1</v>
      </c>
      <c r="N8" s="21" t="n">
        <f aca="false">'Global Inputs'!N$8</f>
        <v>1</v>
      </c>
      <c r="O8" s="21" t="n">
        <f aca="false">'Global Inputs'!O$8</f>
        <v>1</v>
      </c>
      <c r="P8" s="21" t="n">
        <f aca="false">'Global Inputs'!P$8</f>
        <v>1</v>
      </c>
      <c r="Q8" s="21" t="n">
        <f aca="false">'Global Inputs'!Q$8</f>
        <v>1</v>
      </c>
      <c r="R8" s="21" t="n">
        <f aca="false">'Global Inputs'!R$8</f>
        <v>1</v>
      </c>
      <c r="S8" s="21" t="n">
        <f aca="false">'Global Inputs'!S$8</f>
        <v>1</v>
      </c>
    </row>
    <row r="10" customFormat="false" ht="15" hidden="false" customHeight="false" outlineLevel="0" collapsed="false">
      <c r="B10" s="22" t="s">
        <v>878</v>
      </c>
      <c r="C10" s="23"/>
      <c r="D10" s="23"/>
      <c r="E10" s="23"/>
      <c r="F10" s="23"/>
      <c r="G10" s="23"/>
      <c r="H10" s="23"/>
      <c r="I10" s="23"/>
      <c r="J10" s="23"/>
      <c r="K10" s="23"/>
      <c r="L10" s="23"/>
      <c r="M10" s="23"/>
      <c r="N10" s="23"/>
      <c r="O10" s="23"/>
      <c r="P10" s="23"/>
      <c r="Q10" s="23"/>
      <c r="R10" s="23"/>
      <c r="S10" s="23"/>
    </row>
    <row r="11" customFormat="false" ht="15" hidden="false" customHeight="false" outlineLevel="0" collapsed="false">
      <c r="B11" s="24" t="s">
        <v>879</v>
      </c>
      <c r="E11" s="24" t="s">
        <v>1835</v>
      </c>
    </row>
    <row r="12" customFormat="false" ht="15" hidden="false" customHeight="false" outlineLevel="0" collapsed="false">
      <c r="B12" s="24" t="s">
        <v>25</v>
      </c>
      <c r="E12" s="24" t="s">
        <v>1836</v>
      </c>
    </row>
    <row r="13" customFormat="false" ht="15" hidden="false" customHeight="false" outlineLevel="0" collapsed="false">
      <c r="B13" s="24" t="s">
        <v>882</v>
      </c>
      <c r="E13" s="24" t="s">
        <v>1140</v>
      </c>
    </row>
    <row r="14" customFormat="false" ht="15" hidden="false" customHeight="false" outlineLevel="0" collapsed="false">
      <c r="B14" s="24" t="s">
        <v>275</v>
      </c>
      <c r="E14" s="24" t="s">
        <v>291</v>
      </c>
    </row>
    <row r="15" customFormat="false" ht="15" hidden="false" customHeight="false" outlineLevel="0" collapsed="false">
      <c r="B15" s="24" t="s">
        <v>386</v>
      </c>
      <c r="E15" s="24" t="s">
        <v>47</v>
      </c>
    </row>
    <row r="16" customFormat="false" ht="15" hidden="false" customHeight="false" outlineLevel="0" collapsed="false">
      <c r="B16" s="24" t="s">
        <v>884</v>
      </c>
      <c r="E16" s="24" t="s">
        <v>1837</v>
      </c>
    </row>
    <row r="17" customFormat="false" ht="15" hidden="false" customHeight="false" outlineLevel="0" collapsed="false">
      <c r="B17" s="24" t="s">
        <v>886</v>
      </c>
      <c r="E17" s="24" t="s">
        <v>1838</v>
      </c>
    </row>
    <row r="18" customFormat="false" ht="15" hidden="false" customHeight="false" outlineLevel="0" collapsed="false">
      <c r="B18" s="24" t="s">
        <v>888</v>
      </c>
      <c r="E18" s="24" t="s">
        <v>1839</v>
      </c>
    </row>
    <row r="19" customFormat="false" ht="15" hidden="false" customHeight="false" outlineLevel="0" collapsed="false">
      <c r="B19" s="24" t="s">
        <v>890</v>
      </c>
      <c r="E19" s="24" t="s">
        <v>1840</v>
      </c>
    </row>
    <row r="21" customFormat="false" ht="15" hidden="false" customHeight="false" outlineLevel="0" collapsed="false">
      <c r="B21" s="22" t="s">
        <v>892</v>
      </c>
      <c r="C21" s="23"/>
      <c r="D21" s="23"/>
      <c r="E21" s="23"/>
      <c r="F21" s="23"/>
      <c r="G21" s="23"/>
      <c r="H21" s="23"/>
      <c r="I21" s="23"/>
      <c r="J21" s="23"/>
      <c r="K21" s="23"/>
      <c r="L21" s="23"/>
      <c r="M21" s="23"/>
      <c r="N21" s="23"/>
      <c r="O21" s="23"/>
      <c r="P21" s="23"/>
      <c r="Q21" s="23"/>
      <c r="R21" s="23"/>
      <c r="S21" s="23"/>
    </row>
    <row r="22" customFormat="false" ht="15" hidden="false" customHeight="false" outlineLevel="0" collapsed="false">
      <c r="B22" s="24" t="s">
        <v>893</v>
      </c>
      <c r="C22" s="25" t="s">
        <v>180</v>
      </c>
      <c r="D22" s="25" t="s">
        <v>894</v>
      </c>
      <c r="E22" s="65" t="n">
        <f aca="false">'Global Inputs'!$E$94</f>
        <v>1</v>
      </c>
      <c r="T22" s="5" t="s">
        <v>895</v>
      </c>
    </row>
    <row r="23" customFormat="false" ht="15" hidden="false" customHeight="false" outlineLevel="0" collapsed="false">
      <c r="B23" s="24" t="s">
        <v>896</v>
      </c>
      <c r="C23" s="25" t="s">
        <v>175</v>
      </c>
      <c r="D23" s="25" t="s">
        <v>894</v>
      </c>
      <c r="E23" s="65" t="n">
        <f aca="false">'Global Inputs'!$F$94</f>
        <v>1</v>
      </c>
      <c r="T23" s="5" t="s">
        <v>895</v>
      </c>
    </row>
    <row r="24" customFormat="false" ht="15" hidden="false" customHeight="false" outlineLevel="0" collapsed="false">
      <c r="B24" s="24" t="s">
        <v>897</v>
      </c>
      <c r="C24" s="25" t="s">
        <v>160</v>
      </c>
      <c r="D24" s="25" t="s">
        <v>894</v>
      </c>
      <c r="E24" s="67" t="n">
        <f aca="false">'Global Inputs'!$G$94</f>
        <v>1</v>
      </c>
      <c r="T24" s="5" t="s">
        <v>895</v>
      </c>
    </row>
    <row r="25" customFormat="false" ht="15" hidden="false" customHeight="false" outlineLevel="0" collapsed="false">
      <c r="B25" s="24" t="s">
        <v>1793</v>
      </c>
      <c r="C25" s="25" t="s">
        <v>135</v>
      </c>
      <c r="D25" s="28" t="s">
        <v>153</v>
      </c>
      <c r="E25" s="36" t="n">
        <v>2025</v>
      </c>
      <c r="T25" s="5" t="s">
        <v>1841</v>
      </c>
      <c r="U25" s="5" t="s">
        <v>1842</v>
      </c>
    </row>
    <row r="27" customFormat="false" ht="15" hidden="false" customHeight="false" outlineLevel="0" collapsed="false">
      <c r="B27" s="22" t="s">
        <v>898</v>
      </c>
      <c r="C27" s="23"/>
      <c r="D27" s="23"/>
      <c r="E27" s="23"/>
      <c r="F27" s="23"/>
      <c r="G27" s="23"/>
      <c r="H27" s="23"/>
      <c r="I27" s="23"/>
      <c r="J27" s="23"/>
      <c r="K27" s="23"/>
      <c r="L27" s="23"/>
      <c r="M27" s="23"/>
      <c r="N27" s="23"/>
      <c r="O27" s="23"/>
      <c r="P27" s="23"/>
      <c r="Q27" s="23"/>
      <c r="R27" s="23"/>
      <c r="S27" s="23"/>
    </row>
    <row r="28" customFormat="false" ht="15" hidden="false" customHeight="false" outlineLevel="0" collapsed="false">
      <c r="B28" s="24" t="s">
        <v>1843</v>
      </c>
      <c r="C28" s="25" t="s">
        <v>900</v>
      </c>
      <c r="D28" s="28" t="s">
        <v>153</v>
      </c>
      <c r="E28" s="101" t="n">
        <v>2100000</v>
      </c>
      <c r="T28" s="5" t="s">
        <v>1844</v>
      </c>
      <c r="U28" s="5" t="s">
        <v>1845</v>
      </c>
    </row>
    <row r="29" customFormat="false" ht="15" hidden="false" customHeight="false" outlineLevel="0" collapsed="false">
      <c r="B29" s="24" t="s">
        <v>1846</v>
      </c>
      <c r="C29" s="25" t="s">
        <v>905</v>
      </c>
      <c r="D29" s="28" t="s">
        <v>153</v>
      </c>
      <c r="G29" s="101" t="n">
        <v>15000</v>
      </c>
      <c r="H29" s="101" t="n">
        <v>15000</v>
      </c>
      <c r="I29" s="101" t="n">
        <v>15000</v>
      </c>
      <c r="J29" s="101" t="n">
        <v>15000</v>
      </c>
      <c r="K29" s="101" t="n">
        <v>15000</v>
      </c>
      <c r="L29" s="101" t="n">
        <v>15000</v>
      </c>
      <c r="M29" s="101" t="n">
        <v>15000</v>
      </c>
      <c r="N29" s="101" t="n">
        <v>15000</v>
      </c>
      <c r="O29" s="101" t="n">
        <v>15000</v>
      </c>
      <c r="P29" s="101" t="n">
        <v>15000</v>
      </c>
      <c r="Q29" s="101" t="n">
        <v>15000</v>
      </c>
      <c r="R29" s="101" t="n">
        <v>15000</v>
      </c>
      <c r="S29" s="101" t="n">
        <v>15000</v>
      </c>
      <c r="T29" s="5" t="s">
        <v>1847</v>
      </c>
    </row>
    <row r="30" customFormat="false" ht="15" hidden="false" customHeight="false" outlineLevel="0" collapsed="false">
      <c r="B30" s="22" t="s">
        <v>1802</v>
      </c>
      <c r="C30" s="23"/>
      <c r="D30" s="23"/>
      <c r="E30" s="23"/>
      <c r="F30" s="23"/>
      <c r="G30" s="23"/>
      <c r="H30" s="23"/>
      <c r="I30" s="23"/>
      <c r="J30" s="23"/>
      <c r="K30" s="23"/>
      <c r="L30" s="23"/>
      <c r="M30" s="23"/>
      <c r="N30" s="23"/>
      <c r="O30" s="23"/>
      <c r="P30" s="23"/>
      <c r="Q30" s="23"/>
      <c r="R30" s="23"/>
      <c r="S30" s="23"/>
    </row>
    <row r="31" customFormat="false" ht="15" hidden="false" customHeight="false" outlineLevel="0" collapsed="false">
      <c r="B31" s="24" t="s">
        <v>1848</v>
      </c>
      <c r="C31" s="25" t="s">
        <v>160</v>
      </c>
      <c r="D31" s="28" t="s">
        <v>153</v>
      </c>
      <c r="G31" s="35" t="n">
        <v>0</v>
      </c>
      <c r="H31" s="35" t="n">
        <v>0.3</v>
      </c>
      <c r="I31" s="35" t="n">
        <v>0.3</v>
      </c>
      <c r="J31" s="35" t="n">
        <v>0.3</v>
      </c>
      <c r="K31" s="35" t="n">
        <v>0.3</v>
      </c>
      <c r="L31" s="35" t="n">
        <v>0.3</v>
      </c>
      <c r="M31" s="35" t="n">
        <v>0.3</v>
      </c>
      <c r="N31" s="35" t="n">
        <v>0.3</v>
      </c>
      <c r="O31" s="35" t="n">
        <v>0.3</v>
      </c>
      <c r="P31" s="35" t="n">
        <v>0.3</v>
      </c>
      <c r="Q31" s="35" t="n">
        <v>0.3</v>
      </c>
      <c r="R31" s="35" t="n">
        <v>0.3</v>
      </c>
      <c r="S31" s="35" t="n">
        <v>0.3</v>
      </c>
      <c r="T31" s="5" t="s">
        <v>1849</v>
      </c>
    </row>
    <row r="32" customFormat="false" ht="15" hidden="false" customHeight="false" outlineLevel="0" collapsed="false">
      <c r="B32" s="24" t="s">
        <v>1850</v>
      </c>
      <c r="C32" s="25" t="s">
        <v>160</v>
      </c>
      <c r="D32" s="28" t="s">
        <v>153</v>
      </c>
      <c r="G32" s="35" t="n">
        <v>0</v>
      </c>
      <c r="H32" s="35" t="n">
        <v>0.3</v>
      </c>
      <c r="I32" s="35" t="n">
        <v>0.3</v>
      </c>
      <c r="J32" s="35" t="n">
        <v>0.3</v>
      </c>
      <c r="K32" s="35" t="n">
        <v>0.3</v>
      </c>
      <c r="L32" s="35" t="n">
        <v>0.3</v>
      </c>
      <c r="M32" s="35" t="n">
        <v>0.3</v>
      </c>
      <c r="N32" s="35" t="n">
        <v>0.3</v>
      </c>
      <c r="O32" s="35" t="n">
        <v>0.3</v>
      </c>
      <c r="P32" s="35" t="n">
        <v>0.3</v>
      </c>
      <c r="Q32" s="35" t="n">
        <v>0.3</v>
      </c>
      <c r="R32" s="35" t="n">
        <v>0.3</v>
      </c>
      <c r="S32" s="35" t="n">
        <v>0.3</v>
      </c>
      <c r="T32" s="5" t="s">
        <v>1851</v>
      </c>
    </row>
    <row r="33" customFormat="false" ht="15" hidden="false" customHeight="false" outlineLevel="0" collapsed="false">
      <c r="B33" s="24" t="s">
        <v>1805</v>
      </c>
      <c r="C33" s="25" t="s">
        <v>160</v>
      </c>
      <c r="D33" s="28" t="s">
        <v>153</v>
      </c>
      <c r="E33" s="103" t="n">
        <v>0.005</v>
      </c>
      <c r="T33" s="5" t="s">
        <v>1852</v>
      </c>
    </row>
    <row r="35" customFormat="false" ht="15" hidden="false" customHeight="false" outlineLevel="0" collapsed="false">
      <c r="B35" s="22" t="s">
        <v>1807</v>
      </c>
      <c r="C35" s="23"/>
      <c r="D35" s="23"/>
      <c r="E35" s="23"/>
      <c r="F35" s="23"/>
      <c r="G35" s="23"/>
      <c r="H35" s="23"/>
      <c r="I35" s="23"/>
      <c r="J35" s="23"/>
      <c r="K35" s="23"/>
      <c r="L35" s="23"/>
      <c r="M35" s="23"/>
      <c r="N35" s="23"/>
      <c r="O35" s="23"/>
      <c r="P35" s="23"/>
      <c r="Q35" s="23"/>
      <c r="R35" s="23"/>
      <c r="S35" s="23"/>
    </row>
    <row r="36" customFormat="false" ht="15" hidden="false" customHeight="false" outlineLevel="0" collapsed="false">
      <c r="B36" s="24" t="s">
        <v>1287</v>
      </c>
      <c r="C36" s="25" t="s">
        <v>240</v>
      </c>
      <c r="D36" s="28" t="s">
        <v>153</v>
      </c>
      <c r="E36" s="37" t="n">
        <v>8</v>
      </c>
      <c r="T36" s="5" t="s">
        <v>1853</v>
      </c>
      <c r="U36" s="5" t="s">
        <v>1854</v>
      </c>
    </row>
    <row r="37" customFormat="false" ht="15" hidden="false" customHeight="false" outlineLevel="0" collapsed="false">
      <c r="B37" s="24" t="s">
        <v>1290</v>
      </c>
      <c r="C37" s="25" t="s">
        <v>160</v>
      </c>
      <c r="D37" s="28" t="s">
        <v>153</v>
      </c>
      <c r="E37" s="85" t="n">
        <f aca="false">SUM(F37:S37)</f>
        <v>1</v>
      </c>
      <c r="F37" s="35" t="n">
        <v>0.275</v>
      </c>
      <c r="G37" s="35" t="n">
        <v>0.675</v>
      </c>
      <c r="H37" s="35" t="n">
        <v>0.05</v>
      </c>
      <c r="I37" s="35" t="n">
        <v>0</v>
      </c>
      <c r="J37" s="35" t="n">
        <v>0</v>
      </c>
      <c r="K37" s="35" t="n">
        <v>0</v>
      </c>
      <c r="L37" s="35" t="n">
        <v>0</v>
      </c>
      <c r="M37" s="35" t="n">
        <v>0</v>
      </c>
      <c r="N37" s="35" t="n">
        <v>0</v>
      </c>
      <c r="O37" s="35" t="n">
        <v>0</v>
      </c>
      <c r="P37" s="35" t="n">
        <v>0</v>
      </c>
      <c r="Q37" s="35" t="n">
        <v>0</v>
      </c>
      <c r="R37" s="35" t="n">
        <v>0</v>
      </c>
      <c r="S37" s="35" t="n">
        <v>0</v>
      </c>
      <c r="T37" s="5" t="s">
        <v>1855</v>
      </c>
      <c r="U37" s="5" t="s">
        <v>1292</v>
      </c>
    </row>
    <row r="38" customFormat="false" ht="15" hidden="false" customHeight="false" outlineLevel="0" collapsed="false">
      <c r="B38" s="24" t="s">
        <v>1293</v>
      </c>
      <c r="C38" s="25" t="s">
        <v>240</v>
      </c>
      <c r="E38" s="44" t="n">
        <f aca="false">SUM(F38:S38)</f>
        <v>8</v>
      </c>
      <c r="F38" s="44" t="n">
        <f aca="false">$E$36*F37</f>
        <v>2.2</v>
      </c>
      <c r="G38" s="44" t="n">
        <f aca="false">$E$36*G37</f>
        <v>5.4</v>
      </c>
      <c r="H38" s="44" t="n">
        <f aca="false">$E$36*H37</f>
        <v>0.4</v>
      </c>
      <c r="I38" s="44" t="n">
        <f aca="false">$E$36*I37</f>
        <v>0</v>
      </c>
      <c r="J38" s="44" t="n">
        <f aca="false">$E$36*J37</f>
        <v>0</v>
      </c>
      <c r="K38" s="44" t="n">
        <f aca="false">$E$36*K37</f>
        <v>0</v>
      </c>
      <c r="L38" s="44" t="n">
        <f aca="false">$E$36*L37</f>
        <v>0</v>
      </c>
      <c r="M38" s="44" t="n">
        <f aca="false">$E$36*M37</f>
        <v>0</v>
      </c>
      <c r="N38" s="44" t="n">
        <f aca="false">$E$36*N37</f>
        <v>0</v>
      </c>
      <c r="O38" s="44" t="n">
        <f aca="false">$E$36*O37</f>
        <v>0</v>
      </c>
      <c r="P38" s="44" t="n">
        <f aca="false">$E$36*P37</f>
        <v>0</v>
      </c>
      <c r="Q38" s="44" t="n">
        <f aca="false">$E$36*Q37</f>
        <v>0</v>
      </c>
      <c r="R38" s="44" t="n">
        <f aca="false">$E$36*R37</f>
        <v>0</v>
      </c>
      <c r="S38" s="44" t="n">
        <f aca="false">$E$36*S37</f>
        <v>0</v>
      </c>
    </row>
    <row r="39" customFormat="false" ht="15" hidden="false" customHeight="false" outlineLevel="0" collapsed="false">
      <c r="B39" s="24" t="s">
        <v>1294</v>
      </c>
      <c r="C39" s="25" t="s">
        <v>152</v>
      </c>
      <c r="F39" s="107" t="n">
        <f aca="false">'Global Inputs'!F22</f>
        <v>16265</v>
      </c>
      <c r="G39" s="107" t="n">
        <f aca="false">'Global Inputs'!G22</f>
        <v>16265</v>
      </c>
      <c r="H39" s="107" t="n">
        <f aca="false">'Global Inputs'!H22</f>
        <v>16265</v>
      </c>
      <c r="I39" s="107" t="n">
        <f aca="false">'Global Inputs'!I22</f>
        <v>16265</v>
      </c>
      <c r="J39" s="107" t="n">
        <f aca="false">'Global Inputs'!J22</f>
        <v>16265</v>
      </c>
      <c r="K39" s="107" t="n">
        <f aca="false">'Global Inputs'!K22</f>
        <v>16265</v>
      </c>
      <c r="L39" s="107" t="n">
        <f aca="false">'Global Inputs'!L22</f>
        <v>16265</v>
      </c>
      <c r="M39" s="107" t="n">
        <f aca="false">'Global Inputs'!M22</f>
        <v>16265</v>
      </c>
      <c r="N39" s="107" t="n">
        <f aca="false">'Global Inputs'!N22</f>
        <v>16265</v>
      </c>
      <c r="O39" s="107" t="n">
        <f aca="false">'Global Inputs'!O22</f>
        <v>16265</v>
      </c>
      <c r="P39" s="107" t="n">
        <f aca="false">'Global Inputs'!P22</f>
        <v>16265</v>
      </c>
      <c r="Q39" s="107" t="n">
        <f aca="false">'Global Inputs'!Q22</f>
        <v>16265</v>
      </c>
      <c r="R39" s="107" t="n">
        <f aca="false">'Global Inputs'!R22</f>
        <v>16265</v>
      </c>
      <c r="S39" s="107" t="n">
        <f aca="false">'Global Inputs'!S22</f>
        <v>16265</v>
      </c>
    </row>
    <row r="40" customFormat="false" ht="15" hidden="false" customHeight="false" outlineLevel="0" collapsed="false">
      <c r="B40" s="24" t="s">
        <v>1295</v>
      </c>
      <c r="C40" s="25" t="s">
        <v>170</v>
      </c>
      <c r="E40" s="47" t="n">
        <f aca="false">SUM(F40:S40)</f>
        <v>130.12</v>
      </c>
      <c r="F40" s="47" t="n">
        <f aca="false">F38*F39/1000</f>
        <v>35.783</v>
      </c>
      <c r="G40" s="47" t="n">
        <f aca="false">G38*G39/1000</f>
        <v>87.831</v>
      </c>
      <c r="H40" s="47" t="n">
        <f aca="false">H38*H39/1000</f>
        <v>6.506</v>
      </c>
      <c r="I40" s="47" t="n">
        <f aca="false">I38*I39/1000</f>
        <v>0</v>
      </c>
      <c r="J40" s="47" t="n">
        <f aca="false">J38*J39/1000</f>
        <v>0</v>
      </c>
      <c r="K40" s="47" t="n">
        <f aca="false">K38*K39/1000</f>
        <v>0</v>
      </c>
      <c r="L40" s="47" t="n">
        <f aca="false">L38*L39/1000</f>
        <v>0</v>
      </c>
      <c r="M40" s="47" t="n">
        <f aca="false">M38*M39/1000</f>
        <v>0</v>
      </c>
      <c r="N40" s="47" t="n">
        <f aca="false">N38*N39/1000</f>
        <v>0</v>
      </c>
      <c r="O40" s="47" t="n">
        <f aca="false">O38*O39/1000</f>
        <v>0</v>
      </c>
      <c r="P40" s="47" t="n">
        <f aca="false">P38*P39/1000</f>
        <v>0</v>
      </c>
      <c r="Q40" s="47" t="n">
        <f aca="false">Q38*Q39/1000</f>
        <v>0</v>
      </c>
      <c r="R40" s="47" t="n">
        <f aca="false">R38*R39/1000</f>
        <v>0</v>
      </c>
      <c r="S40" s="47" t="n">
        <f aca="false">S38*S39/1000</f>
        <v>0</v>
      </c>
    </row>
    <row r="41" customFormat="false" ht="15" hidden="false" customHeight="false" outlineLevel="0" collapsed="false">
      <c r="B41" s="24" t="s">
        <v>1296</v>
      </c>
      <c r="C41" s="25" t="s">
        <v>240</v>
      </c>
      <c r="E41" s="44" t="n">
        <f aca="false">SUMPRODUCT($F$38:$S$38,--('Global Inputs'!$F$15:$S$15&lt;='Global Inputs'!$E$12))</f>
        <v>8</v>
      </c>
    </row>
    <row r="42" customFormat="false" ht="15" hidden="false" customHeight="false" outlineLevel="0" collapsed="false">
      <c r="B42" s="24" t="s">
        <v>1297</v>
      </c>
      <c r="C42" s="25" t="s">
        <v>240</v>
      </c>
      <c r="E42" s="44" t="n">
        <f aca="false">SUMPRODUCT($F$38:$S$38,--('Global Inputs'!$F$15:$S$15&gt;'Global Inputs'!$E$12))</f>
        <v>0</v>
      </c>
    </row>
    <row r="43" customFormat="false" ht="15" hidden="false" customHeight="false" outlineLevel="0" collapsed="false">
      <c r="B43" s="24" t="s">
        <v>1298</v>
      </c>
      <c r="C43" s="25" t="s">
        <v>240</v>
      </c>
      <c r="E43" s="44" t="n">
        <f aca="false">$E$36-SUM($F$38:$S$38)</f>
        <v>0</v>
      </c>
    </row>
    <row r="44" customFormat="false" ht="15" hidden="false" customHeight="false" outlineLevel="0" collapsed="false">
      <c r="B44" s="24" t="s">
        <v>1299</v>
      </c>
      <c r="C44" s="25" t="s">
        <v>527</v>
      </c>
      <c r="E44" s="108" t="str">
        <f aca="false">IF(ABS(SUM($F$37:$S$37)-1)&lt;0.000001,"PASS","CHECK: % not 100%")</f>
        <v>PASS</v>
      </c>
    </row>
    <row r="45" customFormat="false" ht="15" hidden="false" customHeight="false" outlineLevel="0" collapsed="false">
      <c r="B45" s="24" t="s">
        <v>1811</v>
      </c>
      <c r="C45" s="25" t="s">
        <v>135</v>
      </c>
      <c r="D45" s="25" t="s">
        <v>894</v>
      </c>
      <c r="E45" s="65" t="n">
        <f aca="false">$E$25</f>
        <v>2025</v>
      </c>
      <c r="T45" s="5" t="s">
        <v>1812</v>
      </c>
    </row>
    <row r="46" customFormat="false" ht="15" hidden="false" customHeight="false" outlineLevel="0" collapsed="false">
      <c r="B46" s="24" t="s">
        <v>1302</v>
      </c>
      <c r="C46" s="25" t="s">
        <v>180</v>
      </c>
      <c r="D46" s="26" t="s">
        <v>190</v>
      </c>
      <c r="E46" s="39" t="n">
        <v>0</v>
      </c>
      <c r="T46" s="5" t="s">
        <v>1303</v>
      </c>
      <c r="U46" s="5" t="s">
        <v>1304</v>
      </c>
    </row>
    <row r="47" customFormat="false" ht="15" hidden="false" customHeight="false" outlineLevel="0" collapsed="false">
      <c r="B47" s="24" t="s">
        <v>1305</v>
      </c>
      <c r="C47" s="25" t="s">
        <v>160</v>
      </c>
      <c r="D47" s="28" t="s">
        <v>153</v>
      </c>
      <c r="E47" s="35" t="n">
        <v>0.906340833572477</v>
      </c>
      <c r="T47" s="5" t="s">
        <v>1856</v>
      </c>
    </row>
    <row r="48" customFormat="false" ht="15" hidden="false" customHeight="false" outlineLevel="0" collapsed="false">
      <c r="B48" s="24" t="s">
        <v>1307</v>
      </c>
      <c r="C48" s="25" t="s">
        <v>145</v>
      </c>
      <c r="D48" s="28" t="s">
        <v>153</v>
      </c>
      <c r="E48" s="36" t="n">
        <v>20</v>
      </c>
      <c r="T48" s="5" t="s">
        <v>1857</v>
      </c>
    </row>
    <row r="49" customFormat="false" ht="15" hidden="false" customHeight="false" outlineLevel="0" collapsed="false">
      <c r="B49" s="24" t="s">
        <v>1309</v>
      </c>
      <c r="C49" s="25" t="s">
        <v>145</v>
      </c>
      <c r="D49" s="28" t="s">
        <v>153</v>
      </c>
      <c r="E49" s="36" t="n">
        <v>8</v>
      </c>
      <c r="T49" s="5" t="s">
        <v>1857</v>
      </c>
    </row>
  </sheetData>
  <hyperlinks>
    <hyperlink ref="C3" r:id="rId1" location="'P02%20CigConveyor%20Input'!A1" display="Input"/>
    <hyperlink ref="D3" r:id="rId2" location="'P02%20CigConveyor%20Calc'!A1" display="Calc"/>
    <hyperlink ref="E3" r:id="rId3" location="'P02%20CigConveyor%20Output'!A1" display="Output"/>
    <hyperlink ref="F3" r:id="rId4" location="'Navigation'!A1" display="Navigation"/>
    <hyperlink ref="G3" r:id="rId5" location="'Global%20Inputs'!A1" display="Global Inputs"/>
    <hyperlink ref="H3" r:id="rId6" location="'Project%20Summary'!A1" display="Project Summary"/>
    <hyperlink ref="I3" r:id="rId7" location="'Funding%20Requirement'!A1" display="Funding"/>
    <hyperlink ref="J3" r:id="rId8" location="'FSL%20Financials%20—%20Without%20BUMN'!A1" display="FSL w/o BUMN"/>
    <hyperlink ref="K3" r:id="rId9" location="'FSL%20Financials%20—%20With%20BUMN'!A1" display="FSL w/ BUMN"/>
    <hyperlink ref="L3" r:id="rId10" location="'Valuation%20—%20Without%20BUMN'!A1" display="Val w/o BUMN"/>
    <hyperlink ref="M3" r:id="rId11" location="'Valuation%20—%20With%20BUMN'!A1" display="Val w/ BUMN"/>
    <hyperlink ref="N3" r:id="rId12" location="'Checks'!A1" display="Checks"/>
    <hyperlink ref="O3" r:id="rId13" location="'Model%20Flow'!A1" display="Model Flow"/>
  </hyperlink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BFBF"/>
    <pageSetUpPr fitToPage="true"/>
  </sheetPr>
  <dimension ref="B1:U4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5" ySplit="9" topLeftCell="F10" activePane="bottomRight" state="frozen"/>
      <selection pane="topLeft" activeCell="A1" activeCellId="0" sqref="A1"/>
      <selection pane="topRight" activeCell="F1" activeCellId="0" sqref="F1"/>
      <selection pane="bottomLeft" activeCell="A10" activeCellId="0" sqref="A10"/>
      <selection pane="bottomRigh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66"/>
    <col collapsed="false" customWidth="true" hidden="false" outlineLevel="0" max="3" min="3" style="0" width="11"/>
    <col collapsed="false" customWidth="true" hidden="false" outlineLevel="0" max="4" min="4" style="0" width="12"/>
    <col collapsed="false" customWidth="true" hidden="false" outlineLevel="0" max="5" min="5" style="0" width="13"/>
    <col collapsed="false" customWidth="true" hidden="false" outlineLevel="0" max="19" min="6" style="0" width="11.5"/>
    <col collapsed="false" customWidth="true" hidden="false" outlineLevel="0" max="20" min="20" style="0" width="40"/>
    <col collapsed="false" customWidth="true" hidden="false" outlineLevel="0" max="21" min="21" style="0" width="48"/>
  </cols>
  <sheetData>
    <row r="1" customFormat="false" ht="21.75" hidden="false" customHeight="true" outlineLevel="0" collapsed="false">
      <c r="B1" s="1" t="s">
        <v>1858</v>
      </c>
    </row>
    <row r="2" customFormat="false" ht="15" hidden="false" customHeight="false" outlineLevel="0" collapsed="false">
      <c r="B2" s="2" t="s">
        <v>1014</v>
      </c>
    </row>
    <row r="3" customFormat="false" ht="15" hidden="false" customHeight="false" outlineLevel="0" collapsed="false">
      <c r="B3" s="5" t="s">
        <v>112</v>
      </c>
      <c r="C3" s="17" t="s">
        <v>27</v>
      </c>
      <c r="D3" s="17" t="s">
        <v>28</v>
      </c>
      <c r="E3" s="17" t="s">
        <v>29</v>
      </c>
      <c r="F3" s="17" t="s">
        <v>113</v>
      </c>
      <c r="G3" s="17" t="s">
        <v>5</v>
      </c>
      <c r="H3" s="17" t="s">
        <v>7</v>
      </c>
      <c r="I3" s="17" t="s">
        <v>114</v>
      </c>
      <c r="J3" s="17" t="s">
        <v>115</v>
      </c>
      <c r="K3" s="17" t="s">
        <v>116</v>
      </c>
      <c r="L3" s="17" t="s">
        <v>117</v>
      </c>
      <c r="M3" s="17" t="s">
        <v>118</v>
      </c>
      <c r="N3" s="17" t="s">
        <v>21</v>
      </c>
      <c r="O3" s="17" t="s">
        <v>3</v>
      </c>
    </row>
    <row r="5" customFormat="false" ht="15" hidden="false" customHeight="false" outlineLevel="0" collapsed="false">
      <c r="B5" s="6" t="s">
        <v>119</v>
      </c>
      <c r="C5" s="6" t="s">
        <v>120</v>
      </c>
      <c r="D5" s="6" t="s">
        <v>121</v>
      </c>
      <c r="E5" s="6" t="s">
        <v>122</v>
      </c>
      <c r="F5" s="18" t="n">
        <f aca="false">'Global Inputs'!F$5</f>
        <v>2023</v>
      </c>
      <c r="G5" s="18" t="n">
        <f aca="false">'Global Inputs'!G$5</f>
        <v>2024</v>
      </c>
      <c r="H5" s="18" t="n">
        <f aca="false">'Global Inputs'!H$5</f>
        <v>2025</v>
      </c>
      <c r="I5" s="18" t="n">
        <f aca="false">'Global Inputs'!I$5</f>
        <v>2026</v>
      </c>
      <c r="J5" s="18" t="n">
        <f aca="false">'Global Inputs'!J$5</f>
        <v>2027</v>
      </c>
      <c r="K5" s="18" t="n">
        <f aca="false">'Global Inputs'!K$5</f>
        <v>2028</v>
      </c>
      <c r="L5" s="18" t="n">
        <f aca="false">'Global Inputs'!L$5</f>
        <v>2029</v>
      </c>
      <c r="M5" s="18" t="n">
        <f aca="false">'Global Inputs'!M$5</f>
        <v>2030</v>
      </c>
      <c r="N5" s="18" t="n">
        <f aca="false">'Global Inputs'!N$5</f>
        <v>2031</v>
      </c>
      <c r="O5" s="18" t="n">
        <f aca="false">'Global Inputs'!O$5</f>
        <v>2032</v>
      </c>
      <c r="P5" s="18" t="n">
        <f aca="false">'Global Inputs'!P$5</f>
        <v>2033</v>
      </c>
      <c r="Q5" s="18" t="n">
        <f aca="false">'Global Inputs'!Q$5</f>
        <v>2034</v>
      </c>
      <c r="R5" s="18" t="n">
        <f aca="false">'Global Inputs'!R$5</f>
        <v>2035</v>
      </c>
      <c r="S5" s="18" t="n">
        <f aca="false">'Global Inputs'!S$5</f>
        <v>2036</v>
      </c>
      <c r="T5" s="6" t="s">
        <v>123</v>
      </c>
      <c r="U5" s="6" t="s">
        <v>124</v>
      </c>
    </row>
    <row r="6" customFormat="false" ht="15" hidden="false" customHeight="false" outlineLevel="0" collapsed="false">
      <c r="B6" s="19" t="s">
        <v>125</v>
      </c>
      <c r="F6" s="20" t="n">
        <f aca="false">'Global Inputs'!F$6</f>
        <v>45291</v>
      </c>
      <c r="G6" s="20" t="n">
        <f aca="false">'Global Inputs'!G$6</f>
        <v>45657</v>
      </c>
      <c r="H6" s="20" t="n">
        <f aca="false">'Global Inputs'!H$6</f>
        <v>46022</v>
      </c>
      <c r="I6" s="20" t="n">
        <f aca="false">'Global Inputs'!I$6</f>
        <v>46387</v>
      </c>
      <c r="J6" s="20" t="n">
        <f aca="false">'Global Inputs'!J$6</f>
        <v>46752</v>
      </c>
      <c r="K6" s="20" t="n">
        <f aca="false">'Global Inputs'!K$6</f>
        <v>47118</v>
      </c>
      <c r="L6" s="20" t="n">
        <f aca="false">'Global Inputs'!L$6</f>
        <v>47483</v>
      </c>
      <c r="M6" s="20" t="n">
        <f aca="false">'Global Inputs'!M$6</f>
        <v>47848</v>
      </c>
      <c r="N6" s="20" t="n">
        <f aca="false">'Global Inputs'!N$6</f>
        <v>48213</v>
      </c>
      <c r="O6" s="20" t="n">
        <f aca="false">'Global Inputs'!O$6</f>
        <v>48579</v>
      </c>
      <c r="P6" s="20" t="n">
        <f aca="false">'Global Inputs'!P$6</f>
        <v>48944</v>
      </c>
      <c r="Q6" s="20" t="n">
        <f aca="false">'Global Inputs'!Q$6</f>
        <v>49309</v>
      </c>
      <c r="R6" s="20" t="n">
        <f aca="false">'Global Inputs'!R$6</f>
        <v>49674</v>
      </c>
      <c r="S6" s="20" t="n">
        <f aca="false">'Global Inputs'!S$6</f>
        <v>50040</v>
      </c>
    </row>
    <row r="7" customFormat="false" ht="15" hidden="false" customHeight="false" outlineLevel="0" collapsed="false">
      <c r="B7" s="19" t="s">
        <v>126</v>
      </c>
      <c r="F7" s="21" t="n">
        <f aca="false">'Global Inputs'!F$7</f>
        <v>365</v>
      </c>
      <c r="G7" s="21" t="n">
        <f aca="false">'Global Inputs'!G$7</f>
        <v>366</v>
      </c>
      <c r="H7" s="21" t="n">
        <f aca="false">'Global Inputs'!H$7</f>
        <v>365</v>
      </c>
      <c r="I7" s="21" t="n">
        <f aca="false">'Global Inputs'!I$7</f>
        <v>365</v>
      </c>
      <c r="J7" s="21" t="n">
        <f aca="false">'Global Inputs'!J$7</f>
        <v>365</v>
      </c>
      <c r="K7" s="21" t="n">
        <f aca="false">'Global Inputs'!K$7</f>
        <v>366</v>
      </c>
      <c r="L7" s="21" t="n">
        <f aca="false">'Global Inputs'!L$7</f>
        <v>365</v>
      </c>
      <c r="M7" s="21" t="n">
        <f aca="false">'Global Inputs'!M$7</f>
        <v>365</v>
      </c>
      <c r="N7" s="21" t="n">
        <f aca="false">'Global Inputs'!N$7</f>
        <v>365</v>
      </c>
      <c r="O7" s="21" t="n">
        <f aca="false">'Global Inputs'!O$7</f>
        <v>366</v>
      </c>
      <c r="P7" s="21" t="n">
        <f aca="false">'Global Inputs'!P$7</f>
        <v>365</v>
      </c>
      <c r="Q7" s="21" t="n">
        <f aca="false">'Global Inputs'!Q$7</f>
        <v>365</v>
      </c>
      <c r="R7" s="21" t="n">
        <f aca="false">'Global Inputs'!R$7</f>
        <v>365</v>
      </c>
      <c r="S7" s="21" t="n">
        <f aca="false">'Global Inputs'!S$7</f>
        <v>366</v>
      </c>
    </row>
    <row r="8" customFormat="false" ht="15" hidden="false" customHeight="false" outlineLevel="0" collapsed="false">
      <c r="B8" s="19" t="s">
        <v>127</v>
      </c>
      <c r="F8" s="21" t="n">
        <f aca="false">'Global Inputs'!F$8</f>
        <v>0</v>
      </c>
      <c r="G8" s="21" t="n">
        <f aca="false">'Global Inputs'!G$8</f>
        <v>1</v>
      </c>
      <c r="H8" s="21" t="n">
        <f aca="false">'Global Inputs'!H$8</f>
        <v>1</v>
      </c>
      <c r="I8" s="21" t="n">
        <f aca="false">'Global Inputs'!I$8</f>
        <v>1</v>
      </c>
      <c r="J8" s="21" t="n">
        <f aca="false">'Global Inputs'!J$8</f>
        <v>1</v>
      </c>
      <c r="K8" s="21" t="n">
        <f aca="false">'Global Inputs'!K$8</f>
        <v>1</v>
      </c>
      <c r="L8" s="21" t="n">
        <f aca="false">'Global Inputs'!L$8</f>
        <v>1</v>
      </c>
      <c r="M8" s="21" t="n">
        <f aca="false">'Global Inputs'!M$8</f>
        <v>1</v>
      </c>
      <c r="N8" s="21" t="n">
        <f aca="false">'Global Inputs'!N$8</f>
        <v>1</v>
      </c>
      <c r="O8" s="21" t="n">
        <f aca="false">'Global Inputs'!O$8</f>
        <v>1</v>
      </c>
      <c r="P8" s="21" t="n">
        <f aca="false">'Global Inputs'!P$8</f>
        <v>1</v>
      </c>
      <c r="Q8" s="21" t="n">
        <f aca="false">'Global Inputs'!Q$8</f>
        <v>1</v>
      </c>
      <c r="R8" s="21" t="n">
        <f aca="false">'Global Inputs'!R$8</f>
        <v>1</v>
      </c>
      <c r="S8" s="21" t="n">
        <f aca="false">'Global Inputs'!S$8</f>
        <v>1</v>
      </c>
    </row>
    <row r="10" customFormat="false" ht="15" hidden="false" customHeight="false" outlineLevel="0" collapsed="false">
      <c r="B10" s="22" t="s">
        <v>1015</v>
      </c>
      <c r="C10" s="23"/>
      <c r="D10" s="23"/>
      <c r="E10" s="23"/>
      <c r="F10" s="23"/>
      <c r="G10" s="23"/>
      <c r="H10" s="23"/>
      <c r="I10" s="23"/>
      <c r="J10" s="23"/>
      <c r="K10" s="23"/>
      <c r="L10" s="23"/>
      <c r="M10" s="23"/>
      <c r="N10" s="23"/>
      <c r="O10" s="23"/>
      <c r="P10" s="23"/>
      <c r="Q10" s="23"/>
      <c r="R10" s="23"/>
      <c r="S10" s="23"/>
    </row>
    <row r="11" customFormat="false" ht="15" hidden="false" customHeight="false" outlineLevel="0" collapsed="false">
      <c r="B11" s="24" t="s">
        <v>1016</v>
      </c>
      <c r="C11" s="25" t="s">
        <v>143</v>
      </c>
      <c r="F11" s="30" t="n">
        <f aca="false">IF(F$5&gt;='P02 CigConveyor Input'!$E$25,1,0)*F$8</f>
        <v>0</v>
      </c>
      <c r="G11" s="30" t="n">
        <f aca="false">IF(G$5&gt;='P02 CigConveyor Input'!$E$25,1,0)*G$8</f>
        <v>0</v>
      </c>
      <c r="H11" s="30" t="n">
        <f aca="false">IF(H$5&gt;='P02 CigConveyor Input'!$E$25,1,0)*H$8</f>
        <v>1</v>
      </c>
      <c r="I11" s="30" t="n">
        <f aca="false">IF(I$5&gt;='P02 CigConveyor Input'!$E$25,1,0)*I$8</f>
        <v>1</v>
      </c>
      <c r="J11" s="30" t="n">
        <f aca="false">IF(J$5&gt;='P02 CigConveyor Input'!$E$25,1,0)*J$8</f>
        <v>1</v>
      </c>
      <c r="K11" s="30" t="n">
        <f aca="false">IF(K$5&gt;='P02 CigConveyor Input'!$E$25,1,0)*K$8</f>
        <v>1</v>
      </c>
      <c r="L11" s="30" t="n">
        <f aca="false">IF(L$5&gt;='P02 CigConveyor Input'!$E$25,1,0)*L$8</f>
        <v>1</v>
      </c>
      <c r="M11" s="30" t="n">
        <f aca="false">IF(M$5&gt;='P02 CigConveyor Input'!$E$25,1,0)*M$8</f>
        <v>1</v>
      </c>
      <c r="N11" s="30" t="n">
        <f aca="false">IF(N$5&gt;='P02 CigConveyor Input'!$E$25,1,0)*N$8</f>
        <v>1</v>
      </c>
      <c r="O11" s="30" t="n">
        <f aca="false">IF(O$5&gt;='P02 CigConveyor Input'!$E$25,1,0)*O$8</f>
        <v>1</v>
      </c>
      <c r="P11" s="30" t="n">
        <f aca="false">IF(P$5&gt;='P02 CigConveyor Input'!$E$25,1,0)*P$8</f>
        <v>1</v>
      </c>
      <c r="Q11" s="30" t="n">
        <f aca="false">IF(Q$5&gt;='P02 CigConveyor Input'!$E$25,1,0)*Q$8</f>
        <v>1</v>
      </c>
      <c r="R11" s="30" t="n">
        <f aca="false">IF(R$5&gt;='P02 CigConveyor Input'!$E$25,1,0)*R$8</f>
        <v>1</v>
      </c>
      <c r="S11" s="30" t="n">
        <f aca="false">IF(S$5&gt;='P02 CigConveyor Input'!$E$25,1,0)*S$8</f>
        <v>1</v>
      </c>
    </row>
    <row r="13" customFormat="false" ht="15" hidden="false" customHeight="false" outlineLevel="0" collapsed="false">
      <c r="B13" s="22" t="s">
        <v>1017</v>
      </c>
      <c r="C13" s="23"/>
      <c r="D13" s="23"/>
      <c r="E13" s="23"/>
      <c r="F13" s="23"/>
      <c r="G13" s="23"/>
      <c r="H13" s="23"/>
      <c r="I13" s="23"/>
      <c r="J13" s="23"/>
      <c r="K13" s="23"/>
      <c r="L13" s="23"/>
      <c r="M13" s="23"/>
      <c r="N13" s="23"/>
      <c r="O13" s="23"/>
      <c r="P13" s="23"/>
      <c r="Q13" s="23"/>
      <c r="R13" s="23"/>
      <c r="S13" s="23"/>
    </row>
    <row r="14" customFormat="false" ht="15" hidden="false" customHeight="false" outlineLevel="0" collapsed="false">
      <c r="B14" s="24" t="s">
        <v>1859</v>
      </c>
      <c r="C14" s="25" t="s">
        <v>1019</v>
      </c>
      <c r="F14" s="104" t="n">
        <f aca="false">'P01 CigWharf2 Calc'!F14</f>
        <v>0</v>
      </c>
      <c r="G14" s="104" t="n">
        <f aca="false">'P01 CigWharf2 Calc'!G14</f>
        <v>0</v>
      </c>
      <c r="H14" s="104" t="n">
        <f aca="false">'P01 CigWharf2 Calc'!H14</f>
        <v>1</v>
      </c>
      <c r="I14" s="104" t="n">
        <f aca="false">'P01 CigWharf2 Calc'!I14</f>
        <v>1.03</v>
      </c>
      <c r="J14" s="104" t="n">
        <f aca="false">'P01 CigWharf2 Calc'!J14</f>
        <v>1.0609</v>
      </c>
      <c r="K14" s="104" t="n">
        <f aca="false">'P01 CigWharf2 Calc'!K14</f>
        <v>1.092727</v>
      </c>
      <c r="L14" s="104" t="n">
        <f aca="false">'P01 CigWharf2 Calc'!L14</f>
        <v>1.12550881</v>
      </c>
      <c r="M14" s="104" t="n">
        <f aca="false">'P01 CigWharf2 Calc'!M14</f>
        <v>1.1592740743</v>
      </c>
      <c r="N14" s="104" t="n">
        <f aca="false">'P01 CigWharf2 Calc'!N14</f>
        <v>1.194052296529</v>
      </c>
      <c r="O14" s="104" t="n">
        <f aca="false">'P01 CigWharf2 Calc'!O14</f>
        <v>1.22987386542487</v>
      </c>
      <c r="P14" s="104" t="n">
        <f aca="false">'P01 CigWharf2 Calc'!P14</f>
        <v>1.26677008138762</v>
      </c>
      <c r="Q14" s="104" t="n">
        <f aca="false">'P01 CigWharf2 Calc'!Q14</f>
        <v>1.30477318382925</v>
      </c>
      <c r="R14" s="104" t="n">
        <f aca="false">'P01 CigWharf2 Calc'!R14</f>
        <v>1.34391637934412</v>
      </c>
      <c r="S14" s="104" t="n">
        <f aca="false">'P01 CigWharf2 Calc'!S14</f>
        <v>1.38423387072445</v>
      </c>
    </row>
    <row r="15" customFormat="false" ht="15" hidden="false" customHeight="false" outlineLevel="0" collapsed="false">
      <c r="B15" s="24" t="s">
        <v>1817</v>
      </c>
      <c r="C15" s="25" t="s">
        <v>900</v>
      </c>
      <c r="E15" s="31" t="n">
        <f aca="false">SUM(F15:S15)</f>
        <v>29803262.0792325</v>
      </c>
      <c r="F15" s="31" t="n">
        <f aca="false">'P02 CigConveyor Input'!$E$28*F14*F11</f>
        <v>0</v>
      </c>
      <c r="G15" s="31" t="n">
        <f aca="false">'P02 CigConveyor Input'!$E$28*G14*G11</f>
        <v>0</v>
      </c>
      <c r="H15" s="31" t="n">
        <f aca="false">'P02 CigConveyor Input'!$E$28*H14*H11</f>
        <v>2100000</v>
      </c>
      <c r="I15" s="31" t="n">
        <f aca="false">'P02 CigConveyor Input'!$E$28*I14*I11</f>
        <v>2163000</v>
      </c>
      <c r="J15" s="31" t="n">
        <f aca="false">'P02 CigConveyor Input'!$E$28*J14*J11</f>
        <v>2227890</v>
      </c>
      <c r="K15" s="31" t="n">
        <f aca="false">'P02 CigConveyor Input'!$E$28*K14*K11</f>
        <v>2294726.7</v>
      </c>
      <c r="L15" s="31" t="n">
        <f aca="false">'P02 CigConveyor Input'!$E$28*L14*L11</f>
        <v>2363568.501</v>
      </c>
      <c r="M15" s="31" t="n">
        <f aca="false">'P02 CigConveyor Input'!$E$28*M14*M11</f>
        <v>2434475.55603</v>
      </c>
      <c r="N15" s="31" t="n">
        <f aca="false">'P02 CigConveyor Input'!$E$28*N14*N11</f>
        <v>2507509.8227109</v>
      </c>
      <c r="O15" s="31" t="n">
        <f aca="false">'P02 CigConveyor Input'!$E$28*O14*O11</f>
        <v>2582735.11739223</v>
      </c>
      <c r="P15" s="31" t="n">
        <f aca="false">'P02 CigConveyor Input'!$E$28*P14*P11</f>
        <v>2660217.17091399</v>
      </c>
      <c r="Q15" s="31" t="n">
        <f aca="false">'P02 CigConveyor Input'!$E$28*Q14*Q11</f>
        <v>2740023.68604141</v>
      </c>
      <c r="R15" s="31" t="n">
        <f aca="false">'P02 CigConveyor Input'!$E$28*R14*R11</f>
        <v>2822224.39662266</v>
      </c>
      <c r="S15" s="31" t="n">
        <f aca="false">'P02 CigConveyor Input'!$E$28*S14*S11</f>
        <v>2906891.12852134</v>
      </c>
    </row>
    <row r="16" customFormat="false" ht="15" hidden="false" customHeight="false" outlineLevel="0" collapsed="false">
      <c r="B16" s="24" t="s">
        <v>1818</v>
      </c>
      <c r="C16" s="25" t="s">
        <v>905</v>
      </c>
      <c r="F16" s="31" t="n">
        <f aca="false">'P02 CigConveyor Input'!F29</f>
        <v>0</v>
      </c>
      <c r="G16" s="31" t="n">
        <f aca="false">'P02 CigConveyor Input'!G29</f>
        <v>15000</v>
      </c>
      <c r="H16" s="31" t="n">
        <f aca="false">'P02 CigConveyor Input'!H29</f>
        <v>15000</v>
      </c>
      <c r="I16" s="31" t="n">
        <f aca="false">'P02 CigConveyor Input'!I29</f>
        <v>15000</v>
      </c>
      <c r="J16" s="31" t="n">
        <f aca="false">'P02 CigConveyor Input'!J29</f>
        <v>15000</v>
      </c>
      <c r="K16" s="31" t="n">
        <f aca="false">'P02 CigConveyor Input'!K29</f>
        <v>15000</v>
      </c>
      <c r="L16" s="31" t="n">
        <f aca="false">'P02 CigConveyor Input'!L29</f>
        <v>15000</v>
      </c>
      <c r="M16" s="31" t="n">
        <f aca="false">'P02 CigConveyor Input'!M29</f>
        <v>15000</v>
      </c>
      <c r="N16" s="31" t="n">
        <f aca="false">'P02 CigConveyor Input'!N29</f>
        <v>15000</v>
      </c>
      <c r="O16" s="31" t="n">
        <f aca="false">'P02 CigConveyor Input'!O29</f>
        <v>15000</v>
      </c>
      <c r="P16" s="31" t="n">
        <f aca="false">'P02 CigConveyor Input'!P29</f>
        <v>15000</v>
      </c>
      <c r="Q16" s="31" t="n">
        <f aca="false">'P02 CigConveyor Input'!Q29</f>
        <v>15000</v>
      </c>
      <c r="R16" s="31" t="n">
        <f aca="false">'P02 CigConveyor Input'!R29</f>
        <v>15000</v>
      </c>
      <c r="S16" s="31" t="n">
        <f aca="false">'P02 CigConveyor Input'!S29</f>
        <v>15000</v>
      </c>
    </row>
    <row r="17" customFormat="false" ht="15" hidden="false" customHeight="false" outlineLevel="0" collapsed="false">
      <c r="B17" s="69" t="s">
        <v>1206</v>
      </c>
      <c r="C17" s="25" t="s">
        <v>170</v>
      </c>
      <c r="E17" s="70" t="n">
        <f aca="false">SUM(F17:S17)</f>
        <v>447.048931188488</v>
      </c>
      <c r="F17" s="68" t="n">
        <f aca="false">F15*F16/10^9</f>
        <v>0</v>
      </c>
      <c r="G17" s="68" t="n">
        <f aca="false">G15*G16/10^9</f>
        <v>0</v>
      </c>
      <c r="H17" s="68" t="n">
        <f aca="false">H15*H16/10^9</f>
        <v>31.5</v>
      </c>
      <c r="I17" s="68" t="n">
        <f aca="false">I15*I16/10^9</f>
        <v>32.445</v>
      </c>
      <c r="J17" s="68" t="n">
        <f aca="false">J15*J16/10^9</f>
        <v>33.41835</v>
      </c>
      <c r="K17" s="68" t="n">
        <f aca="false">K15*K16/10^9</f>
        <v>34.4209005</v>
      </c>
      <c r="L17" s="68" t="n">
        <f aca="false">L15*L16/10^9</f>
        <v>35.453527515</v>
      </c>
      <c r="M17" s="68" t="n">
        <f aca="false">M15*M16/10^9</f>
        <v>36.51713334045</v>
      </c>
      <c r="N17" s="68" t="n">
        <f aca="false">N15*N16/10^9</f>
        <v>37.6126473406635</v>
      </c>
      <c r="O17" s="68" t="n">
        <f aca="false">O15*O16/10^9</f>
        <v>38.7410267608834</v>
      </c>
      <c r="P17" s="68" t="n">
        <f aca="false">P15*P16/10^9</f>
        <v>39.9032575637099</v>
      </c>
      <c r="Q17" s="68" t="n">
        <f aca="false">Q15*Q16/10^9</f>
        <v>41.1003552906212</v>
      </c>
      <c r="R17" s="68" t="n">
        <f aca="false">R15*R16/10^9</f>
        <v>42.3333659493399</v>
      </c>
      <c r="S17" s="68" t="n">
        <f aca="false">S15*S16/10^9</f>
        <v>43.6033669278201</v>
      </c>
    </row>
    <row r="19" customFormat="false" ht="15" hidden="false" customHeight="false" outlineLevel="0" collapsed="false">
      <c r="B19" s="22" t="s">
        <v>1029</v>
      </c>
      <c r="C19" s="23"/>
      <c r="D19" s="23"/>
      <c r="E19" s="23"/>
      <c r="F19" s="23"/>
      <c r="G19" s="23"/>
      <c r="H19" s="23"/>
      <c r="I19" s="23"/>
      <c r="J19" s="23"/>
      <c r="K19" s="23"/>
      <c r="L19" s="23"/>
      <c r="M19" s="23"/>
      <c r="N19" s="23"/>
      <c r="O19" s="23"/>
      <c r="P19" s="23"/>
      <c r="Q19" s="23"/>
      <c r="R19" s="23"/>
      <c r="S19" s="23"/>
    </row>
    <row r="20" customFormat="false" ht="15" hidden="false" customHeight="false" outlineLevel="0" collapsed="false">
      <c r="B20" s="24" t="s">
        <v>1819</v>
      </c>
      <c r="C20" s="25" t="s">
        <v>905</v>
      </c>
      <c r="F20" s="94" t="n">
        <f aca="false">'E2 CigadingExist Calc'!F24</f>
        <v>1958.72536674998</v>
      </c>
      <c r="G20" s="94" t="n">
        <f aca="false">'E2 CigadingExist Calc'!G24</f>
        <v>2017.48712775248</v>
      </c>
      <c r="H20" s="94" t="n">
        <f aca="false">'E2 CigadingExist Calc'!H24</f>
        <v>2078.01174158505</v>
      </c>
      <c r="I20" s="94" t="n">
        <f aca="false">'E2 CigadingExist Calc'!I24</f>
        <v>2140.3520938326</v>
      </c>
      <c r="J20" s="94" t="n">
        <f aca="false">'E2 CigadingExist Calc'!J24</f>
        <v>2204.56265664758</v>
      </c>
      <c r="K20" s="94" t="n">
        <f aca="false">'E2 CigadingExist Calc'!K24</f>
        <v>2270.69953634701</v>
      </c>
      <c r="L20" s="94" t="n">
        <f aca="false">'E2 CigadingExist Calc'!L24</f>
        <v>2338.82052243742</v>
      </c>
      <c r="M20" s="94" t="n">
        <f aca="false">'E2 CigadingExist Calc'!M24</f>
        <v>2408.98513811054</v>
      </c>
      <c r="N20" s="94" t="n">
        <f aca="false">'E2 CigadingExist Calc'!N24</f>
        <v>2481.25469225386</v>
      </c>
      <c r="O20" s="94" t="n">
        <f aca="false">'E2 CigadingExist Calc'!O24</f>
        <v>2555.69233302147</v>
      </c>
      <c r="P20" s="94" t="n">
        <f aca="false">'E2 CigadingExist Calc'!P24</f>
        <v>2632.36310301212</v>
      </c>
      <c r="Q20" s="94" t="n">
        <f aca="false">'E2 CigadingExist Calc'!Q24</f>
        <v>2711.33399610248</v>
      </c>
      <c r="R20" s="94" t="n">
        <f aca="false">'E2 CigadingExist Calc'!R24</f>
        <v>2792.67401598556</v>
      </c>
      <c r="S20" s="94" t="n">
        <f aca="false">'E2 CigadingExist Calc'!S24</f>
        <v>2876.45423646512</v>
      </c>
    </row>
    <row r="21" customFormat="false" ht="15" hidden="false" customHeight="false" outlineLevel="0" collapsed="false">
      <c r="B21" s="24" t="s">
        <v>1860</v>
      </c>
      <c r="C21" s="25" t="s">
        <v>170</v>
      </c>
      <c r="E21" s="47" t="n">
        <f aca="false">SUM(F21:S21)</f>
        <v>22.2016373779092</v>
      </c>
      <c r="F21" s="47" t="n">
        <f aca="false">F20*F15*'P02 CigConveyor Input'!F31/10^9</f>
        <v>0</v>
      </c>
      <c r="G21" s="47" t="n">
        <f aca="false">G20*G15*'P02 CigConveyor Input'!G31/10^9</f>
        <v>0</v>
      </c>
      <c r="H21" s="47" t="n">
        <f aca="false">H20*H15*'P02 CigConveyor Input'!H31/10^9</f>
        <v>1.30914739719858</v>
      </c>
      <c r="I21" s="47" t="n">
        <f aca="false">I20*I15*'P02 CigConveyor Input'!I31/10^9</f>
        <v>1.38887447368798</v>
      </c>
      <c r="J21" s="47" t="n">
        <f aca="false">J20*J15*'P02 CigConveyor Input'!J31/10^9</f>
        <v>1.47345692913557</v>
      </c>
      <c r="K21" s="47" t="n">
        <f aca="false">K20*K15*'P02 CigConveyor Input'!K31/10^9</f>
        <v>1.56319045611993</v>
      </c>
      <c r="L21" s="47" t="n">
        <f aca="false">L20*L15*'P02 CigConveyor Input'!L31/10^9</f>
        <v>1.65838875489763</v>
      </c>
      <c r="M21" s="47" t="n">
        <f aca="false">M20*M15*'P02 CigConveyor Input'!M31/10^9</f>
        <v>1.7593846300709</v>
      </c>
      <c r="N21" s="47" t="n">
        <f aca="false">N20*N15*'P02 CigConveyor Input'!N31/10^9</f>
        <v>1.86653115404222</v>
      </c>
      <c r="O21" s="47" t="n">
        <f aca="false">O20*O15*'P02 CigConveyor Input'!O31/10^9</f>
        <v>1.98020290132339</v>
      </c>
      <c r="P21" s="47" t="n">
        <f aca="false">P20*P15*'P02 CigConveyor Input'!P31/10^9</f>
        <v>2.10079725801398</v>
      </c>
      <c r="Q21" s="47" t="n">
        <f aca="false">Q20*Q15*'P02 CigConveyor Input'!Q31/10^9</f>
        <v>2.22873581102704</v>
      </c>
      <c r="R21" s="47" t="n">
        <f aca="false">R20*R15*'P02 CigConveyor Input'!R31/10^9</f>
        <v>2.36446582191858</v>
      </c>
      <c r="S21" s="47" t="n">
        <f aca="false">S20*S15*'P02 CigConveyor Input'!S31/10^9</f>
        <v>2.50846179047342</v>
      </c>
    </row>
    <row r="22" customFormat="false" ht="15" hidden="false" customHeight="false" outlineLevel="0" collapsed="false">
      <c r="B22" s="24" t="s">
        <v>1823</v>
      </c>
      <c r="C22" s="25" t="s">
        <v>170</v>
      </c>
      <c r="E22" s="47" t="n">
        <f aca="false">SUM(F22:S22)</f>
        <v>7.8072</v>
      </c>
      <c r="F22" s="47" t="n">
        <f aca="false">SUM($F$30:$S$30)*'P02 CigConveyor Input'!$E$33*F11</f>
        <v>0</v>
      </c>
      <c r="G22" s="47" t="n">
        <f aca="false">SUM($F$30:$S$30)*'P02 CigConveyor Input'!$E$33*G11</f>
        <v>0</v>
      </c>
      <c r="H22" s="47" t="n">
        <f aca="false">SUM($F$30:$S$30)*'P02 CigConveyor Input'!$E$33*H11</f>
        <v>0.6506</v>
      </c>
      <c r="I22" s="47" t="n">
        <f aca="false">SUM($F$30:$S$30)*'P02 CigConveyor Input'!$E$33*I11</f>
        <v>0.6506</v>
      </c>
      <c r="J22" s="47" t="n">
        <f aca="false">SUM($F$30:$S$30)*'P02 CigConveyor Input'!$E$33*J11</f>
        <v>0.6506</v>
      </c>
      <c r="K22" s="47" t="n">
        <f aca="false">SUM($F$30:$S$30)*'P02 CigConveyor Input'!$E$33*K11</f>
        <v>0.6506</v>
      </c>
      <c r="L22" s="47" t="n">
        <f aca="false">SUM($F$30:$S$30)*'P02 CigConveyor Input'!$E$33*L11</f>
        <v>0.6506</v>
      </c>
      <c r="M22" s="47" t="n">
        <f aca="false">SUM($F$30:$S$30)*'P02 CigConveyor Input'!$E$33*M11</f>
        <v>0.6506</v>
      </c>
      <c r="N22" s="47" t="n">
        <f aca="false">SUM($F$30:$S$30)*'P02 CigConveyor Input'!$E$33*N11</f>
        <v>0.6506</v>
      </c>
      <c r="O22" s="47" t="n">
        <f aca="false">SUM($F$30:$S$30)*'P02 CigConveyor Input'!$E$33*O11</f>
        <v>0.6506</v>
      </c>
      <c r="P22" s="47" t="n">
        <f aca="false">SUM($F$30:$S$30)*'P02 CigConveyor Input'!$E$33*P11</f>
        <v>0.6506</v>
      </c>
      <c r="Q22" s="47" t="n">
        <f aca="false">SUM($F$30:$S$30)*'P02 CigConveyor Input'!$E$33*Q11</f>
        <v>0.6506</v>
      </c>
      <c r="R22" s="47" t="n">
        <f aca="false">SUM($F$30:$S$30)*'P02 CigConveyor Input'!$E$33*R11</f>
        <v>0.6506</v>
      </c>
      <c r="S22" s="47" t="n">
        <f aca="false">SUM($F$30:$S$30)*'P02 CigConveyor Input'!$E$33*S11</f>
        <v>0.6506</v>
      </c>
    </row>
    <row r="23" customFormat="false" ht="15" hidden="false" customHeight="false" outlineLevel="0" collapsed="false">
      <c r="B23" s="24" t="s">
        <v>1824</v>
      </c>
      <c r="C23" s="25" t="s">
        <v>905</v>
      </c>
      <c r="F23" s="94" t="n">
        <f aca="false">'E2 CigadingExist Calc'!F30</f>
        <v>699.281612434893</v>
      </c>
      <c r="G23" s="94" t="n">
        <f aca="false">'E2 CigadingExist Calc'!G30</f>
        <v>720.26006080794</v>
      </c>
      <c r="H23" s="94" t="n">
        <f aca="false">'E2 CigadingExist Calc'!H30</f>
        <v>741.867862632178</v>
      </c>
      <c r="I23" s="94" t="n">
        <f aca="false">'E2 CigadingExist Calc'!I30</f>
        <v>764.123898511144</v>
      </c>
      <c r="J23" s="94" t="n">
        <f aca="false">'E2 CigadingExist Calc'!J30</f>
        <v>787.047615466478</v>
      </c>
      <c r="K23" s="94" t="n">
        <f aca="false">'E2 CigadingExist Calc'!K30</f>
        <v>810.659043930472</v>
      </c>
      <c r="L23" s="94" t="n">
        <f aca="false">'E2 CigadingExist Calc'!L30</f>
        <v>834.978815248387</v>
      </c>
      <c r="M23" s="94" t="n">
        <f aca="false">'E2 CigadingExist Calc'!M30</f>
        <v>860.028179705838</v>
      </c>
      <c r="N23" s="94" t="n">
        <f aca="false">'E2 CigadingExist Calc'!N30</f>
        <v>885.829025097013</v>
      </c>
      <c r="O23" s="94" t="n">
        <f aca="false">'E2 CigadingExist Calc'!O30</f>
        <v>912.403895849924</v>
      </c>
      <c r="P23" s="94" t="n">
        <f aca="false">'E2 CigadingExist Calc'!P30</f>
        <v>939.776012725421</v>
      </c>
      <c r="Q23" s="94" t="n">
        <f aca="false">'E2 CigadingExist Calc'!Q30</f>
        <v>967.969293107184</v>
      </c>
      <c r="R23" s="94" t="n">
        <f aca="false">'E2 CigadingExist Calc'!R30</f>
        <v>997.0083719004</v>
      </c>
      <c r="S23" s="94" t="n">
        <f aca="false">'E2 CigadingExist Calc'!S30</f>
        <v>1026.91862305741</v>
      </c>
    </row>
    <row r="24" customFormat="false" ht="15" hidden="false" customHeight="false" outlineLevel="0" collapsed="false">
      <c r="B24" s="24" t="s">
        <v>1861</v>
      </c>
      <c r="C24" s="25" t="s">
        <v>170</v>
      </c>
      <c r="E24" s="47" t="n">
        <f aca="false">SUM(F24:S24)</f>
        <v>7.92617334102299</v>
      </c>
      <c r="F24" s="47" t="n">
        <f aca="false">F23*F15*'P02 CigConveyor Input'!F32/10^9</f>
        <v>0</v>
      </c>
      <c r="G24" s="47" t="n">
        <f aca="false">G23*G15*'P02 CigConveyor Input'!G32/10^9</f>
        <v>0</v>
      </c>
      <c r="H24" s="47" t="n">
        <f aca="false">H23*H15*'P02 CigConveyor Input'!H32/10^9</f>
        <v>0.467376753458272</v>
      </c>
      <c r="I24" s="47" t="n">
        <f aca="false">I23*I15*'P02 CigConveyor Input'!I32/10^9</f>
        <v>0.495839997743881</v>
      </c>
      <c r="J24" s="47" t="n">
        <f aca="false">J23*J15*'P02 CigConveyor Input'!J32/10^9</f>
        <v>0.526036653606483</v>
      </c>
      <c r="K24" s="47" t="n">
        <f aca="false">K23*K15*'P02 CigConveyor Input'!K32/10^9</f>
        <v>0.558072285811118</v>
      </c>
      <c r="L24" s="47" t="n">
        <f aca="false">L23*L15*'P02 CigConveyor Input'!L32/10^9</f>
        <v>0.592058888017015</v>
      </c>
      <c r="M24" s="47" t="n">
        <f aca="false">M23*M15*'P02 CigConveyor Input'!M32/10^9</f>
        <v>0.628115274297252</v>
      </c>
      <c r="N24" s="47" t="n">
        <f aca="false">N23*N15*'P02 CigConveyor Input'!N32/10^9</f>
        <v>0.666367494501954</v>
      </c>
      <c r="O24" s="47" t="n">
        <f aca="false">O23*O15*'P02 CigConveyor Input'!O32/10^9</f>
        <v>0.706949274917123</v>
      </c>
      <c r="P24" s="47" t="n">
        <f aca="false">P23*P15*'P02 CigConveyor Input'!P32/10^9</f>
        <v>0.750002485759576</v>
      </c>
      <c r="Q24" s="47" t="n">
        <f aca="false">Q23*Q15*'P02 CigConveyor Input'!Q32/10^9</f>
        <v>0.795677637142335</v>
      </c>
      <c r="R24" s="47" t="n">
        <f aca="false">R23*R15*'P02 CigConveyor Input'!R32/10^9</f>
        <v>0.844134405244303</v>
      </c>
      <c r="S24" s="47" t="n">
        <f aca="false">S23*S15*'P02 CigConveyor Input'!S32/10^9</f>
        <v>0.895542190523681</v>
      </c>
    </row>
    <row r="25" customFormat="false" ht="15" hidden="false" customHeight="false" outlineLevel="0" collapsed="false">
      <c r="B25" s="69" t="s">
        <v>1059</v>
      </c>
      <c r="C25" s="25" t="s">
        <v>170</v>
      </c>
      <c r="E25" s="70" t="n">
        <f aca="false">SUM(F25:S25)</f>
        <v>37.9350107189322</v>
      </c>
      <c r="F25" s="68" t="n">
        <f aca="false">F21+F22+F24</f>
        <v>0</v>
      </c>
      <c r="G25" s="68" t="n">
        <f aca="false">G21+G22+G24</f>
        <v>0</v>
      </c>
      <c r="H25" s="68" t="n">
        <f aca="false">H21+H22+H24</f>
        <v>2.42712415065685</v>
      </c>
      <c r="I25" s="68" t="n">
        <f aca="false">I21+I22+I24</f>
        <v>2.53531447143186</v>
      </c>
      <c r="J25" s="68" t="n">
        <f aca="false">J21+J22+J24</f>
        <v>2.65009358274206</v>
      </c>
      <c r="K25" s="68" t="n">
        <f aca="false">K21+K22+K24</f>
        <v>2.77186274193105</v>
      </c>
      <c r="L25" s="68" t="n">
        <f aca="false">L21+L22+L24</f>
        <v>2.90104764291465</v>
      </c>
      <c r="M25" s="68" t="n">
        <f aca="false">M21+M22+M24</f>
        <v>3.03809990436815</v>
      </c>
      <c r="N25" s="68" t="n">
        <f aca="false">N21+N22+N24</f>
        <v>3.18349864854417</v>
      </c>
      <c r="O25" s="68" t="n">
        <f aca="false">O21+O22+O24</f>
        <v>3.33775217624051</v>
      </c>
      <c r="P25" s="68" t="n">
        <f aca="false">P21+P22+P24</f>
        <v>3.50139974377356</v>
      </c>
      <c r="Q25" s="68" t="n">
        <f aca="false">Q21+Q22+Q24</f>
        <v>3.67501344816937</v>
      </c>
      <c r="R25" s="68" t="n">
        <f aca="false">R21+R22+R24</f>
        <v>3.85920022716289</v>
      </c>
      <c r="S25" s="68" t="n">
        <f aca="false">S21+S22+S24</f>
        <v>4.05460398099711</v>
      </c>
    </row>
    <row r="27" customFormat="false" ht="15" hidden="false" customHeight="false" outlineLevel="0" collapsed="false">
      <c r="B27" s="22" t="s">
        <v>1862</v>
      </c>
      <c r="C27" s="23"/>
      <c r="D27" s="23"/>
      <c r="E27" s="23"/>
      <c r="F27" s="23"/>
      <c r="G27" s="23"/>
      <c r="H27" s="23"/>
      <c r="I27" s="23"/>
      <c r="J27" s="23"/>
      <c r="K27" s="23"/>
      <c r="L27" s="23"/>
      <c r="M27" s="23"/>
      <c r="N27" s="23"/>
      <c r="O27" s="23"/>
      <c r="P27" s="23"/>
      <c r="Q27" s="23"/>
      <c r="R27" s="23"/>
      <c r="S27" s="23"/>
    </row>
    <row r="28" customFormat="false" ht="15" hidden="false" customHeight="false" outlineLevel="0" collapsed="false">
      <c r="B28" s="24" t="s">
        <v>1330</v>
      </c>
      <c r="C28" s="25" t="s">
        <v>240</v>
      </c>
      <c r="E28" s="44" t="n">
        <f aca="false">SUM(F28:S28)</f>
        <v>8</v>
      </c>
      <c r="F28" s="44" t="n">
        <f aca="false">'P02 CigConveyor Input'!F38</f>
        <v>2.2</v>
      </c>
      <c r="G28" s="44" t="n">
        <f aca="false">'P02 CigConveyor Input'!G38</f>
        <v>5.4</v>
      </c>
      <c r="H28" s="44" t="n">
        <f aca="false">'P02 CigConveyor Input'!H38</f>
        <v>0.4</v>
      </c>
      <c r="I28" s="44" t="n">
        <f aca="false">'P02 CigConveyor Input'!I38</f>
        <v>0</v>
      </c>
      <c r="J28" s="44" t="n">
        <f aca="false">'P02 CigConveyor Input'!J38</f>
        <v>0</v>
      </c>
      <c r="K28" s="44" t="n">
        <f aca="false">'P02 CigConveyor Input'!K38</f>
        <v>0</v>
      </c>
      <c r="L28" s="44" t="n">
        <f aca="false">'P02 CigConveyor Input'!L38</f>
        <v>0</v>
      </c>
      <c r="M28" s="44" t="n">
        <f aca="false">'P02 CigConveyor Input'!M38</f>
        <v>0</v>
      </c>
      <c r="N28" s="44" t="n">
        <f aca="false">'P02 CigConveyor Input'!N38</f>
        <v>0</v>
      </c>
      <c r="O28" s="44" t="n">
        <f aca="false">'P02 CigConveyor Input'!O38</f>
        <v>0</v>
      </c>
      <c r="P28" s="44" t="n">
        <f aca="false">'P02 CigConveyor Input'!P38</f>
        <v>0</v>
      </c>
      <c r="Q28" s="44" t="n">
        <f aca="false">'P02 CigConveyor Input'!Q38</f>
        <v>0</v>
      </c>
      <c r="R28" s="44" t="n">
        <f aca="false">'P02 CigConveyor Input'!R38</f>
        <v>0</v>
      </c>
      <c r="S28" s="44" t="n">
        <f aca="false">'P02 CigConveyor Input'!S38</f>
        <v>0</v>
      </c>
    </row>
    <row r="29" customFormat="false" ht="15" hidden="false" customHeight="false" outlineLevel="0" collapsed="false">
      <c r="B29" s="24" t="s">
        <v>1331</v>
      </c>
      <c r="C29" s="25" t="s">
        <v>152</v>
      </c>
      <c r="F29" s="34" t="n">
        <f aca="false">'Global Inputs'!F22</f>
        <v>16265</v>
      </c>
      <c r="G29" s="34" t="n">
        <f aca="false">'Global Inputs'!G22</f>
        <v>16265</v>
      </c>
      <c r="H29" s="34" t="n">
        <f aca="false">'Global Inputs'!H22</f>
        <v>16265</v>
      </c>
      <c r="I29" s="34" t="n">
        <f aca="false">'Global Inputs'!I22</f>
        <v>16265</v>
      </c>
      <c r="J29" s="34" t="n">
        <f aca="false">'Global Inputs'!J22</f>
        <v>16265</v>
      </c>
      <c r="K29" s="34" t="n">
        <f aca="false">'Global Inputs'!K22</f>
        <v>16265</v>
      </c>
      <c r="L29" s="34" t="n">
        <f aca="false">'Global Inputs'!L22</f>
        <v>16265</v>
      </c>
      <c r="M29" s="34" t="n">
        <f aca="false">'Global Inputs'!M22</f>
        <v>16265</v>
      </c>
      <c r="N29" s="34" t="n">
        <f aca="false">'Global Inputs'!N22</f>
        <v>16265</v>
      </c>
      <c r="O29" s="34" t="n">
        <f aca="false">'Global Inputs'!O22</f>
        <v>16265</v>
      </c>
      <c r="P29" s="34" t="n">
        <f aca="false">'Global Inputs'!P22</f>
        <v>16265</v>
      </c>
      <c r="Q29" s="34" t="n">
        <f aca="false">'Global Inputs'!Q22</f>
        <v>16265</v>
      </c>
      <c r="R29" s="34" t="n">
        <f aca="false">'Global Inputs'!R22</f>
        <v>16265</v>
      </c>
      <c r="S29" s="34" t="n">
        <f aca="false">'Global Inputs'!S22</f>
        <v>16265</v>
      </c>
    </row>
    <row r="30" customFormat="false" ht="15" hidden="false" customHeight="false" outlineLevel="0" collapsed="false">
      <c r="B30" s="24" t="s">
        <v>351</v>
      </c>
      <c r="C30" s="25" t="s">
        <v>170</v>
      </c>
      <c r="E30" s="47" t="n">
        <f aca="false">SUM(F30:S30)</f>
        <v>130.12</v>
      </c>
      <c r="F30" s="47" t="n">
        <f aca="false">'P02 CigConveyor Input'!F40</f>
        <v>35.783</v>
      </c>
      <c r="G30" s="47" t="n">
        <f aca="false">'P02 CigConveyor Input'!G40</f>
        <v>87.831</v>
      </c>
      <c r="H30" s="47" t="n">
        <f aca="false">'P02 CigConveyor Input'!H40</f>
        <v>6.506</v>
      </c>
      <c r="I30" s="47" t="n">
        <f aca="false">'P02 CigConveyor Input'!I40</f>
        <v>0</v>
      </c>
      <c r="J30" s="47" t="n">
        <f aca="false">'P02 CigConveyor Input'!J40</f>
        <v>0</v>
      </c>
      <c r="K30" s="47" t="n">
        <f aca="false">'P02 CigConveyor Input'!K40</f>
        <v>0</v>
      </c>
      <c r="L30" s="47" t="n">
        <f aca="false">'P02 CigConveyor Input'!L40</f>
        <v>0</v>
      </c>
      <c r="M30" s="47" t="n">
        <f aca="false">'P02 CigConveyor Input'!M40</f>
        <v>0</v>
      </c>
      <c r="N30" s="47" t="n">
        <f aca="false">'P02 CigConveyor Input'!N40</f>
        <v>0</v>
      </c>
      <c r="O30" s="47" t="n">
        <f aca="false">'P02 CigConveyor Input'!O40</f>
        <v>0</v>
      </c>
      <c r="P30" s="47" t="n">
        <f aca="false">'P02 CigConveyor Input'!P40</f>
        <v>0</v>
      </c>
      <c r="Q30" s="47" t="n">
        <f aca="false">'P02 CigConveyor Input'!Q40</f>
        <v>0</v>
      </c>
      <c r="R30" s="47" t="n">
        <f aca="false">'P02 CigConveyor Input'!R40</f>
        <v>0</v>
      </c>
      <c r="S30" s="47" t="n">
        <f aca="false">'P02 CigConveyor Input'!S40</f>
        <v>0</v>
      </c>
    </row>
    <row r="31" customFormat="false" ht="15" hidden="false" customHeight="false" outlineLevel="0" collapsed="false">
      <c r="B31" s="24" t="s">
        <v>1332</v>
      </c>
      <c r="C31" s="25" t="s">
        <v>170</v>
      </c>
      <c r="F31" s="47" t="n">
        <f aca="false">SUM($F$30:F30)</f>
        <v>35.783</v>
      </c>
      <c r="G31" s="47" t="n">
        <f aca="false">SUM($F$30:G30)</f>
        <v>123.614</v>
      </c>
      <c r="H31" s="47" t="n">
        <f aca="false">SUM($F$30:H30)</f>
        <v>130.12</v>
      </c>
      <c r="I31" s="47" t="n">
        <f aca="false">SUM($F$30:I30)</f>
        <v>130.12</v>
      </c>
      <c r="J31" s="47" t="n">
        <f aca="false">SUM($F$30:J30)</f>
        <v>130.12</v>
      </c>
      <c r="K31" s="47" t="n">
        <f aca="false">SUM($F$30:K30)</f>
        <v>130.12</v>
      </c>
      <c r="L31" s="47" t="n">
        <f aca="false">SUM($F$30:L30)</f>
        <v>130.12</v>
      </c>
      <c r="M31" s="47" t="n">
        <f aca="false">SUM($F$30:M30)</f>
        <v>130.12</v>
      </c>
      <c r="N31" s="47" t="n">
        <f aca="false">SUM($F$30:N30)</f>
        <v>130.12</v>
      </c>
      <c r="O31" s="47" t="n">
        <f aca="false">SUM($F$30:O30)</f>
        <v>130.12</v>
      </c>
      <c r="P31" s="47" t="n">
        <f aca="false">SUM($F$30:P30)</f>
        <v>130.12</v>
      </c>
      <c r="Q31" s="47" t="n">
        <f aca="false">SUM($F$30:Q30)</f>
        <v>130.12</v>
      </c>
      <c r="R31" s="47" t="n">
        <f aca="false">SUM($F$30:R30)</f>
        <v>130.12</v>
      </c>
      <c r="S31" s="47" t="n">
        <f aca="false">SUM($F$30:S30)</f>
        <v>130.12</v>
      </c>
    </row>
    <row r="32" customFormat="false" ht="15" hidden="false" customHeight="false" outlineLevel="0" collapsed="false">
      <c r="B32" s="24" t="s">
        <v>1333</v>
      </c>
      <c r="C32" s="25" t="s">
        <v>143</v>
      </c>
      <c r="F32" s="30" t="n">
        <f aca="false">IF(F$5&gt;='P02 CigConveyor Input'!$E$45,1,0)*F$8</f>
        <v>0</v>
      </c>
      <c r="G32" s="30" t="n">
        <f aca="false">IF(G$5&gt;='P02 CigConveyor Input'!$E$45,1,0)*G$8</f>
        <v>0</v>
      </c>
      <c r="H32" s="30" t="n">
        <f aca="false">IF(H$5&gt;='P02 CigConveyor Input'!$E$45,1,0)*H$8</f>
        <v>1</v>
      </c>
      <c r="I32" s="30" t="n">
        <f aca="false">IF(I$5&gt;='P02 CigConveyor Input'!$E$45,1,0)*I$8</f>
        <v>1</v>
      </c>
      <c r="J32" s="30" t="n">
        <f aca="false">IF(J$5&gt;='P02 CigConveyor Input'!$E$45,1,0)*J$8</f>
        <v>1</v>
      </c>
      <c r="K32" s="30" t="n">
        <f aca="false">IF(K$5&gt;='P02 CigConveyor Input'!$E$45,1,0)*K$8</f>
        <v>1</v>
      </c>
      <c r="L32" s="30" t="n">
        <f aca="false">IF(L$5&gt;='P02 CigConveyor Input'!$E$45,1,0)*L$8</f>
        <v>1</v>
      </c>
      <c r="M32" s="30" t="n">
        <f aca="false">IF(M$5&gt;='P02 CigConveyor Input'!$E$45,1,0)*M$8</f>
        <v>1</v>
      </c>
      <c r="N32" s="30" t="n">
        <f aca="false">IF(N$5&gt;='P02 CigConveyor Input'!$E$45,1,0)*N$8</f>
        <v>1</v>
      </c>
      <c r="O32" s="30" t="n">
        <f aca="false">IF(O$5&gt;='P02 CigConveyor Input'!$E$45,1,0)*O$8</f>
        <v>1</v>
      </c>
      <c r="P32" s="30" t="n">
        <f aca="false">IF(P$5&gt;='P02 CigConveyor Input'!$E$45,1,0)*P$8</f>
        <v>1</v>
      </c>
      <c r="Q32" s="30" t="n">
        <f aca="false">IF(Q$5&gt;='P02 CigConveyor Input'!$E$45,1,0)*Q$8</f>
        <v>1</v>
      </c>
      <c r="R32" s="30" t="n">
        <f aca="false">IF(R$5&gt;='P02 CigConveyor Input'!$E$45,1,0)*R$8</f>
        <v>1</v>
      </c>
      <c r="S32" s="30" t="n">
        <f aca="false">IF(S$5&gt;='P02 CigConveyor Input'!$E$45,1,0)*S$8</f>
        <v>1</v>
      </c>
    </row>
    <row r="33" customFormat="false" ht="15" hidden="false" customHeight="false" outlineLevel="0" collapsed="false">
      <c r="B33" s="24" t="s">
        <v>1334</v>
      </c>
      <c r="C33" s="25" t="s">
        <v>135</v>
      </c>
      <c r="F33" s="29" t="n">
        <f aca="false">MAX(F$5,'P02 CigConveyor Input'!$E$45)</f>
        <v>2025</v>
      </c>
      <c r="G33" s="29" t="n">
        <f aca="false">MAX(G$5,'P02 CigConveyor Input'!$E$45)</f>
        <v>2025</v>
      </c>
      <c r="H33" s="29" t="n">
        <f aca="false">MAX(H$5,'P02 CigConveyor Input'!$E$45)</f>
        <v>2025</v>
      </c>
      <c r="I33" s="29" t="n">
        <f aca="false">MAX(I$5,'P02 CigConveyor Input'!$E$45)</f>
        <v>2026</v>
      </c>
      <c r="J33" s="29" t="n">
        <f aca="false">MAX(J$5,'P02 CigConveyor Input'!$E$45)</f>
        <v>2027</v>
      </c>
      <c r="K33" s="29" t="n">
        <f aca="false">MAX(K$5,'P02 CigConveyor Input'!$E$45)</f>
        <v>2028</v>
      </c>
      <c r="L33" s="29" t="n">
        <f aca="false">MAX(L$5,'P02 CigConveyor Input'!$E$45)</f>
        <v>2029</v>
      </c>
      <c r="M33" s="29" t="n">
        <f aca="false">MAX(M$5,'P02 CigConveyor Input'!$E$45)</f>
        <v>2030</v>
      </c>
      <c r="N33" s="29" t="n">
        <f aca="false">MAX(N$5,'P02 CigConveyor Input'!$E$45)</f>
        <v>2031</v>
      </c>
      <c r="O33" s="29" t="n">
        <f aca="false">MAX(O$5,'P02 CigConveyor Input'!$E$45)</f>
        <v>2032</v>
      </c>
      <c r="P33" s="29" t="n">
        <f aca="false">MAX(P$5,'P02 CigConveyor Input'!$E$45)</f>
        <v>2033</v>
      </c>
      <c r="Q33" s="29" t="n">
        <f aca="false">MAX(Q$5,'P02 CigConveyor Input'!$E$45)</f>
        <v>2034</v>
      </c>
      <c r="R33" s="29" t="n">
        <f aca="false">MAX(R$5,'P02 CigConveyor Input'!$E$45)</f>
        <v>2035</v>
      </c>
      <c r="S33" s="29" t="n">
        <f aca="false">MAX(S$5,'P02 CigConveyor Input'!$E$45)</f>
        <v>2036</v>
      </c>
    </row>
    <row r="34" customFormat="false" ht="15" hidden="false" customHeight="false" outlineLevel="0" collapsed="false">
      <c r="B34" s="24" t="s">
        <v>1335</v>
      </c>
      <c r="C34" s="25" t="s">
        <v>170</v>
      </c>
      <c r="E34" s="47" t="n">
        <f aca="false">SUM(F34:S34)</f>
        <v>70.7598415586704</v>
      </c>
      <c r="F34" s="47" t="n">
        <f aca="false">IF('Global Inputs'!$E$33=1,SUM($F$30:$S$30)*'P02 CigConveyor Input'!$E$47/'P02 CigConveyor Input'!$E$48*F32,SUMPRODUCT($F$30:$S$30,--($F$33:$S$33&lt;=F$5),--(F$5&lt;$F$33:$S$33+'P02 CigConveyor Input'!$E$48))*'P02 CigConveyor Input'!$E$47/'P02 CigConveyor Input'!$E$48)</f>
        <v>0</v>
      </c>
      <c r="G34" s="47" t="n">
        <f aca="false">IF('Global Inputs'!$E$33=1,SUM($F$30:$S$30)*'P02 CigConveyor Input'!$E$47/'P02 CigConveyor Input'!$E$48*G32,SUMPRODUCT($F$30:$S$30,--($F$33:$S$33&lt;=G$5),--(G$5&lt;$F$33:$S$33+'P02 CigConveyor Input'!$E$48))*'P02 CigConveyor Input'!$E$47/'P02 CigConveyor Input'!$E$48)</f>
        <v>0</v>
      </c>
      <c r="H34" s="47" t="n">
        <f aca="false">IF('Global Inputs'!$E$33=1,SUM($F$30:$S$30)*'P02 CigConveyor Input'!$E$47/'P02 CigConveyor Input'!$E$48*H32,SUMPRODUCT($F$30:$S$30,--($F$33:$S$33&lt;=H$5),--(H$5&lt;$F$33:$S$33+'P02 CigConveyor Input'!$E$48))*'P02 CigConveyor Input'!$E$47/'P02 CigConveyor Input'!$E$48)</f>
        <v>5.89665346322253</v>
      </c>
      <c r="I34" s="47" t="n">
        <f aca="false">IF('Global Inputs'!$E$33=1,SUM($F$30:$S$30)*'P02 CigConveyor Input'!$E$47/'P02 CigConveyor Input'!$E$48*I32,SUMPRODUCT($F$30:$S$30,--($F$33:$S$33&lt;=I$5),--(I$5&lt;$F$33:$S$33+'P02 CigConveyor Input'!$E$48))*'P02 CigConveyor Input'!$E$47/'P02 CigConveyor Input'!$E$48)</f>
        <v>5.89665346322253</v>
      </c>
      <c r="J34" s="47" t="n">
        <f aca="false">IF('Global Inputs'!$E$33=1,SUM($F$30:$S$30)*'P02 CigConveyor Input'!$E$47/'P02 CigConveyor Input'!$E$48*J32,SUMPRODUCT($F$30:$S$30,--($F$33:$S$33&lt;=J$5),--(J$5&lt;$F$33:$S$33+'P02 CigConveyor Input'!$E$48))*'P02 CigConveyor Input'!$E$47/'P02 CigConveyor Input'!$E$48)</f>
        <v>5.89665346322253</v>
      </c>
      <c r="K34" s="47" t="n">
        <f aca="false">IF('Global Inputs'!$E$33=1,SUM($F$30:$S$30)*'P02 CigConveyor Input'!$E$47/'P02 CigConveyor Input'!$E$48*K32,SUMPRODUCT($F$30:$S$30,--($F$33:$S$33&lt;=K$5),--(K$5&lt;$F$33:$S$33+'P02 CigConveyor Input'!$E$48))*'P02 CigConveyor Input'!$E$47/'P02 CigConveyor Input'!$E$48)</f>
        <v>5.89665346322253</v>
      </c>
      <c r="L34" s="47" t="n">
        <f aca="false">IF('Global Inputs'!$E$33=1,SUM($F$30:$S$30)*'P02 CigConveyor Input'!$E$47/'P02 CigConveyor Input'!$E$48*L32,SUMPRODUCT($F$30:$S$30,--($F$33:$S$33&lt;=L$5),--(L$5&lt;$F$33:$S$33+'P02 CigConveyor Input'!$E$48))*'P02 CigConveyor Input'!$E$47/'P02 CigConveyor Input'!$E$48)</f>
        <v>5.89665346322253</v>
      </c>
      <c r="M34" s="47" t="n">
        <f aca="false">IF('Global Inputs'!$E$33=1,SUM($F$30:$S$30)*'P02 CigConveyor Input'!$E$47/'P02 CigConveyor Input'!$E$48*M32,SUMPRODUCT($F$30:$S$30,--($F$33:$S$33&lt;=M$5),--(M$5&lt;$F$33:$S$33+'P02 CigConveyor Input'!$E$48))*'P02 CigConveyor Input'!$E$47/'P02 CigConveyor Input'!$E$48)</f>
        <v>5.89665346322253</v>
      </c>
      <c r="N34" s="47" t="n">
        <f aca="false">IF('Global Inputs'!$E$33=1,SUM($F$30:$S$30)*'P02 CigConveyor Input'!$E$47/'P02 CigConveyor Input'!$E$48*N32,SUMPRODUCT($F$30:$S$30,--($F$33:$S$33&lt;=N$5),--(N$5&lt;$F$33:$S$33+'P02 CigConveyor Input'!$E$48))*'P02 CigConveyor Input'!$E$47/'P02 CigConveyor Input'!$E$48)</f>
        <v>5.89665346322253</v>
      </c>
      <c r="O34" s="47" t="n">
        <f aca="false">IF('Global Inputs'!$E$33=1,SUM($F$30:$S$30)*'P02 CigConveyor Input'!$E$47/'P02 CigConveyor Input'!$E$48*O32,SUMPRODUCT($F$30:$S$30,--($F$33:$S$33&lt;=O$5),--(O$5&lt;$F$33:$S$33+'P02 CigConveyor Input'!$E$48))*'P02 CigConveyor Input'!$E$47/'P02 CigConveyor Input'!$E$48)</f>
        <v>5.89665346322253</v>
      </c>
      <c r="P34" s="47" t="n">
        <f aca="false">IF('Global Inputs'!$E$33=1,SUM($F$30:$S$30)*'P02 CigConveyor Input'!$E$47/'P02 CigConveyor Input'!$E$48*P32,SUMPRODUCT($F$30:$S$30,--($F$33:$S$33&lt;=P$5),--(P$5&lt;$F$33:$S$33+'P02 CigConveyor Input'!$E$48))*'P02 CigConveyor Input'!$E$47/'P02 CigConveyor Input'!$E$48)</f>
        <v>5.89665346322253</v>
      </c>
      <c r="Q34" s="47" t="n">
        <f aca="false">IF('Global Inputs'!$E$33=1,SUM($F$30:$S$30)*'P02 CigConveyor Input'!$E$47/'P02 CigConveyor Input'!$E$48*Q32,SUMPRODUCT($F$30:$S$30,--($F$33:$S$33&lt;=Q$5),--(Q$5&lt;$F$33:$S$33+'P02 CigConveyor Input'!$E$48))*'P02 CigConveyor Input'!$E$47/'P02 CigConveyor Input'!$E$48)</f>
        <v>5.89665346322253</v>
      </c>
      <c r="R34" s="47" t="n">
        <f aca="false">IF('Global Inputs'!$E$33=1,SUM($F$30:$S$30)*'P02 CigConveyor Input'!$E$47/'P02 CigConveyor Input'!$E$48*R32,SUMPRODUCT($F$30:$S$30,--($F$33:$S$33&lt;=R$5),--(R$5&lt;$F$33:$S$33+'P02 CigConveyor Input'!$E$48))*'P02 CigConveyor Input'!$E$47/'P02 CigConveyor Input'!$E$48)</f>
        <v>5.89665346322253</v>
      </c>
      <c r="S34" s="47" t="n">
        <f aca="false">IF('Global Inputs'!$E$33=1,SUM($F$30:$S$30)*'P02 CigConveyor Input'!$E$47/'P02 CigConveyor Input'!$E$48*S32,SUMPRODUCT($F$30:$S$30,--($F$33:$S$33&lt;=S$5),--(S$5&lt;$F$33:$S$33+'P02 CigConveyor Input'!$E$48))*'P02 CigConveyor Input'!$E$47/'P02 CigConveyor Input'!$E$48)</f>
        <v>5.89665346322253</v>
      </c>
      <c r="T34" s="5" t="s">
        <v>1336</v>
      </c>
    </row>
    <row r="35" customFormat="false" ht="15" hidden="false" customHeight="false" outlineLevel="0" collapsed="false">
      <c r="B35" s="24" t="s">
        <v>1337</v>
      </c>
      <c r="C35" s="25" t="s">
        <v>170</v>
      </c>
      <c r="E35" s="47" t="n">
        <f aca="false">SUM(F35:S35)</f>
        <v>12.1869307355494</v>
      </c>
      <c r="F35" s="47" t="n">
        <f aca="false">IF('Global Inputs'!$E$33=1,SUM($F$30:$S$30)*(1-'P02 CigConveyor Input'!$E$47)/'P02 CigConveyor Input'!$E$49*F32,SUMPRODUCT($F$30:$S$30,--($F$33:$S$33&lt;=F$5),--(F$5&lt;$F$33:$S$33+'P02 CigConveyor Input'!$E$49))*(1-'P02 CigConveyor Input'!$E$47)/'P02 CigConveyor Input'!$E$49)</f>
        <v>0</v>
      </c>
      <c r="G35" s="47" t="n">
        <f aca="false">IF('Global Inputs'!$E$33=1,SUM($F$30:$S$30)*(1-'P02 CigConveyor Input'!$E$47)/'P02 CigConveyor Input'!$E$49*G32,SUMPRODUCT($F$30:$S$30,--($F$33:$S$33&lt;=G$5),--(G$5&lt;$F$33:$S$33+'P02 CigConveyor Input'!$E$49))*(1-'P02 CigConveyor Input'!$E$47)/'P02 CigConveyor Input'!$E$49)</f>
        <v>0</v>
      </c>
      <c r="H35" s="47" t="n">
        <f aca="false">IF('Global Inputs'!$E$33=1,SUM($F$30:$S$30)*(1-'P02 CigConveyor Input'!$E$47)/'P02 CigConveyor Input'!$E$49*H32,SUMPRODUCT($F$30:$S$30,--($F$33:$S$33&lt;=H$5),--(H$5&lt;$F$33:$S$33+'P02 CigConveyor Input'!$E$49))*(1-'P02 CigConveyor Input'!$E$47)/'P02 CigConveyor Input'!$E$49)</f>
        <v>1.52336634194367</v>
      </c>
      <c r="I35" s="47" t="n">
        <f aca="false">IF('Global Inputs'!$E$33=1,SUM($F$30:$S$30)*(1-'P02 CigConveyor Input'!$E$47)/'P02 CigConveyor Input'!$E$49*I32,SUMPRODUCT($F$30:$S$30,--($F$33:$S$33&lt;=I$5),--(I$5&lt;$F$33:$S$33+'P02 CigConveyor Input'!$E$49))*(1-'P02 CigConveyor Input'!$E$47)/'P02 CigConveyor Input'!$E$49)</f>
        <v>1.52336634194367</v>
      </c>
      <c r="J35" s="47" t="n">
        <f aca="false">IF('Global Inputs'!$E$33=1,SUM($F$30:$S$30)*(1-'P02 CigConveyor Input'!$E$47)/'P02 CigConveyor Input'!$E$49*J32,SUMPRODUCT($F$30:$S$30,--($F$33:$S$33&lt;=J$5),--(J$5&lt;$F$33:$S$33+'P02 CigConveyor Input'!$E$49))*(1-'P02 CigConveyor Input'!$E$47)/'P02 CigConveyor Input'!$E$49)</f>
        <v>1.52336634194367</v>
      </c>
      <c r="K35" s="47" t="n">
        <f aca="false">IF('Global Inputs'!$E$33=1,SUM($F$30:$S$30)*(1-'P02 CigConveyor Input'!$E$47)/'P02 CigConveyor Input'!$E$49*K32,SUMPRODUCT($F$30:$S$30,--($F$33:$S$33&lt;=K$5),--(K$5&lt;$F$33:$S$33+'P02 CigConveyor Input'!$E$49))*(1-'P02 CigConveyor Input'!$E$47)/'P02 CigConveyor Input'!$E$49)</f>
        <v>1.52336634194367</v>
      </c>
      <c r="L35" s="47" t="n">
        <f aca="false">IF('Global Inputs'!$E$33=1,SUM($F$30:$S$30)*(1-'P02 CigConveyor Input'!$E$47)/'P02 CigConveyor Input'!$E$49*L32,SUMPRODUCT($F$30:$S$30,--($F$33:$S$33&lt;=L$5),--(L$5&lt;$F$33:$S$33+'P02 CigConveyor Input'!$E$49))*(1-'P02 CigConveyor Input'!$E$47)/'P02 CigConveyor Input'!$E$49)</f>
        <v>1.52336634194367</v>
      </c>
      <c r="M35" s="47" t="n">
        <f aca="false">IF('Global Inputs'!$E$33=1,SUM($F$30:$S$30)*(1-'P02 CigConveyor Input'!$E$47)/'P02 CigConveyor Input'!$E$49*M32,SUMPRODUCT($F$30:$S$30,--($F$33:$S$33&lt;=M$5),--(M$5&lt;$F$33:$S$33+'P02 CigConveyor Input'!$E$49))*(1-'P02 CigConveyor Input'!$E$47)/'P02 CigConveyor Input'!$E$49)</f>
        <v>1.52336634194367</v>
      </c>
      <c r="N35" s="47" t="n">
        <f aca="false">IF('Global Inputs'!$E$33=1,SUM($F$30:$S$30)*(1-'P02 CigConveyor Input'!$E$47)/'P02 CigConveyor Input'!$E$49*N32,SUMPRODUCT($F$30:$S$30,--($F$33:$S$33&lt;=N$5),--(N$5&lt;$F$33:$S$33+'P02 CigConveyor Input'!$E$49))*(1-'P02 CigConveyor Input'!$E$47)/'P02 CigConveyor Input'!$E$49)</f>
        <v>1.52336634194367</v>
      </c>
      <c r="O35" s="47" t="n">
        <f aca="false">IF('Global Inputs'!$E$33=1,SUM($F$30:$S$30)*(1-'P02 CigConveyor Input'!$E$47)/'P02 CigConveyor Input'!$E$49*O32,SUMPRODUCT($F$30:$S$30,--($F$33:$S$33&lt;=O$5),--(O$5&lt;$F$33:$S$33+'P02 CigConveyor Input'!$E$49))*(1-'P02 CigConveyor Input'!$E$47)/'P02 CigConveyor Input'!$E$49)</f>
        <v>1.52336634194367</v>
      </c>
      <c r="P35" s="47" t="n">
        <f aca="false">IF('Global Inputs'!$E$33=1,SUM($F$30:$S$30)*(1-'P02 CigConveyor Input'!$E$47)/'P02 CigConveyor Input'!$E$49*P32,SUMPRODUCT($F$30:$S$30,--($F$33:$S$33&lt;=P$5),--(P$5&lt;$F$33:$S$33+'P02 CigConveyor Input'!$E$49))*(1-'P02 CigConveyor Input'!$E$47)/'P02 CigConveyor Input'!$E$49)</f>
        <v>0</v>
      </c>
      <c r="Q35" s="47" t="n">
        <f aca="false">IF('Global Inputs'!$E$33=1,SUM($F$30:$S$30)*(1-'P02 CigConveyor Input'!$E$47)/'P02 CigConveyor Input'!$E$49*Q32,SUMPRODUCT($F$30:$S$30,--($F$33:$S$33&lt;=Q$5),--(Q$5&lt;$F$33:$S$33+'P02 CigConveyor Input'!$E$49))*(1-'P02 CigConveyor Input'!$E$47)/'P02 CigConveyor Input'!$E$49)</f>
        <v>0</v>
      </c>
      <c r="R35" s="47" t="n">
        <f aca="false">IF('Global Inputs'!$E$33=1,SUM($F$30:$S$30)*(1-'P02 CigConveyor Input'!$E$47)/'P02 CigConveyor Input'!$E$49*R32,SUMPRODUCT($F$30:$S$30,--($F$33:$S$33&lt;=R$5),--(R$5&lt;$F$33:$S$33+'P02 CigConveyor Input'!$E$49))*(1-'P02 CigConveyor Input'!$E$47)/'P02 CigConveyor Input'!$E$49)</f>
        <v>0</v>
      </c>
      <c r="S35" s="47" t="n">
        <f aca="false">IF('Global Inputs'!$E$33=1,SUM($F$30:$S$30)*(1-'P02 CigConveyor Input'!$E$47)/'P02 CigConveyor Input'!$E$49*S32,SUMPRODUCT($F$30:$S$30,--($F$33:$S$33&lt;=S$5),--(S$5&lt;$F$33:$S$33+'P02 CigConveyor Input'!$E$49))*(1-'P02 CigConveyor Input'!$E$47)/'P02 CigConveyor Input'!$E$49)</f>
        <v>0</v>
      </c>
    </row>
    <row r="36" customFormat="false" ht="15" hidden="false" customHeight="false" outlineLevel="0" collapsed="false">
      <c r="B36" s="24" t="s">
        <v>1338</v>
      </c>
      <c r="C36" s="25" t="s">
        <v>170</v>
      </c>
      <c r="E36" s="47" t="n">
        <f aca="false">SUM(F36:S36)</f>
        <v>82.9467722942198</v>
      </c>
      <c r="F36" s="47" t="n">
        <f aca="false">F34+F35</f>
        <v>0</v>
      </c>
      <c r="G36" s="47" t="n">
        <f aca="false">G34+G35</f>
        <v>0</v>
      </c>
      <c r="H36" s="47" t="n">
        <f aca="false">H34+H35</f>
        <v>7.4200198051662</v>
      </c>
      <c r="I36" s="47" t="n">
        <f aca="false">I34+I35</f>
        <v>7.4200198051662</v>
      </c>
      <c r="J36" s="47" t="n">
        <f aca="false">J34+J35</f>
        <v>7.4200198051662</v>
      </c>
      <c r="K36" s="47" t="n">
        <f aca="false">K34+K35</f>
        <v>7.4200198051662</v>
      </c>
      <c r="L36" s="47" t="n">
        <f aca="false">L34+L35</f>
        <v>7.4200198051662</v>
      </c>
      <c r="M36" s="47" t="n">
        <f aca="false">M34+M35</f>
        <v>7.4200198051662</v>
      </c>
      <c r="N36" s="47" t="n">
        <f aca="false">N34+N35</f>
        <v>7.4200198051662</v>
      </c>
      <c r="O36" s="47" t="n">
        <f aca="false">O34+O35</f>
        <v>7.4200198051662</v>
      </c>
      <c r="P36" s="47" t="n">
        <f aca="false">P34+P35</f>
        <v>5.89665346322253</v>
      </c>
      <c r="Q36" s="47" t="n">
        <f aca="false">Q34+Q35</f>
        <v>5.89665346322253</v>
      </c>
      <c r="R36" s="47" t="n">
        <f aca="false">R34+R35</f>
        <v>5.89665346322253</v>
      </c>
      <c r="S36" s="47" t="n">
        <f aca="false">S34+S35</f>
        <v>5.89665346322253</v>
      </c>
    </row>
    <row r="37" customFormat="false" ht="15" hidden="false" customHeight="false" outlineLevel="0" collapsed="false">
      <c r="B37" s="24" t="s">
        <v>1339</v>
      </c>
      <c r="C37" s="25" t="s">
        <v>170</v>
      </c>
      <c r="F37" s="47" t="n">
        <f aca="false">F30</f>
        <v>35.783</v>
      </c>
      <c r="G37" s="47" t="n">
        <f aca="false">F37+G30-G36</f>
        <v>123.614</v>
      </c>
      <c r="H37" s="47" t="n">
        <f aca="false">G37+H30-H36</f>
        <v>122.699980194834</v>
      </c>
      <c r="I37" s="47" t="n">
        <f aca="false">H37+I30-I36</f>
        <v>115.279960389668</v>
      </c>
      <c r="J37" s="47" t="n">
        <f aca="false">I37+J30-J36</f>
        <v>107.859940584501</v>
      </c>
      <c r="K37" s="47" t="n">
        <f aca="false">J37+K30-K36</f>
        <v>100.439920779335</v>
      </c>
      <c r="L37" s="47" t="n">
        <f aca="false">K37+L30-L36</f>
        <v>93.019900974169</v>
      </c>
      <c r="M37" s="47" t="n">
        <f aca="false">L37+M30-M36</f>
        <v>85.5998811690028</v>
      </c>
      <c r="N37" s="47" t="n">
        <f aca="false">M37+N30-N36</f>
        <v>78.1798613638366</v>
      </c>
      <c r="O37" s="47" t="n">
        <f aca="false">N37+O30-O36</f>
        <v>70.7598415586704</v>
      </c>
      <c r="P37" s="47" t="n">
        <f aca="false">O37+P30-P36</f>
        <v>64.8631880954478</v>
      </c>
      <c r="Q37" s="47" t="n">
        <f aca="false">P37+Q30-Q36</f>
        <v>58.9665346322253</v>
      </c>
      <c r="R37" s="47" t="n">
        <f aca="false">Q37+R30-R36</f>
        <v>53.0698811690028</v>
      </c>
      <c r="S37" s="47" t="n">
        <f aca="false">R37+S30-S36</f>
        <v>47.1732277057802</v>
      </c>
    </row>
    <row r="38" customFormat="false" ht="15" hidden="false" customHeight="false" outlineLevel="0" collapsed="false">
      <c r="B38" s="24" t="s">
        <v>1340</v>
      </c>
      <c r="C38" s="25" t="s">
        <v>143</v>
      </c>
      <c r="F38" s="30" t="n">
        <f aca="false">IF(F30&gt;0,1,0)</f>
        <v>1</v>
      </c>
      <c r="G38" s="30" t="n">
        <f aca="false">IF(AND(G31&gt;0,F31=0),1,0)</f>
        <v>0</v>
      </c>
      <c r="H38" s="30" t="n">
        <f aca="false">IF(AND(H31&gt;0,G31=0),1,0)</f>
        <v>0</v>
      </c>
      <c r="I38" s="30" t="n">
        <f aca="false">IF(AND(I31&gt;0,H31=0),1,0)</f>
        <v>0</v>
      </c>
      <c r="J38" s="30" t="n">
        <f aca="false">IF(AND(J31&gt;0,I31=0),1,0)</f>
        <v>0</v>
      </c>
      <c r="K38" s="30" t="n">
        <f aca="false">IF(AND(K31&gt;0,J31=0),1,0)</f>
        <v>0</v>
      </c>
      <c r="L38" s="30" t="n">
        <f aca="false">IF(AND(L31&gt;0,K31=0),1,0)</f>
        <v>0</v>
      </c>
      <c r="M38" s="30" t="n">
        <f aca="false">IF(AND(M31&gt;0,L31=0),1,0)</f>
        <v>0</v>
      </c>
      <c r="N38" s="30" t="n">
        <f aca="false">IF(AND(N31&gt;0,M31=0),1,0)</f>
        <v>0</v>
      </c>
      <c r="O38" s="30" t="n">
        <f aca="false">IF(AND(O31&gt;0,N31=0),1,0)</f>
        <v>0</v>
      </c>
      <c r="P38" s="30" t="n">
        <f aca="false">IF(AND(P31&gt;0,O31=0),1,0)</f>
        <v>0</v>
      </c>
      <c r="Q38" s="30" t="n">
        <f aca="false">IF(AND(Q31&gt;0,P31=0),1,0)</f>
        <v>0</v>
      </c>
      <c r="R38" s="30" t="n">
        <f aca="false">IF(AND(R31&gt;0,Q31=0),1,0)</f>
        <v>0</v>
      </c>
      <c r="S38" s="30" t="n">
        <f aca="false">IF(AND(S31&gt;0,R31=0),1,0)</f>
        <v>0</v>
      </c>
    </row>
    <row r="39" customFormat="false" ht="15" hidden="false" customHeight="false" outlineLevel="0" collapsed="false">
      <c r="B39" s="69" t="s">
        <v>1094</v>
      </c>
      <c r="C39" s="25" t="s">
        <v>170</v>
      </c>
      <c r="E39" s="70" t="n">
        <f aca="false">SUM(F39:S39)</f>
        <v>82.9467722942198</v>
      </c>
      <c r="F39" s="68" t="n">
        <f aca="false">F36</f>
        <v>0</v>
      </c>
      <c r="G39" s="68" t="n">
        <f aca="false">G36</f>
        <v>0</v>
      </c>
      <c r="H39" s="68" t="n">
        <f aca="false">H36</f>
        <v>7.4200198051662</v>
      </c>
      <c r="I39" s="68" t="n">
        <f aca="false">I36</f>
        <v>7.4200198051662</v>
      </c>
      <c r="J39" s="68" t="n">
        <f aca="false">J36</f>
        <v>7.4200198051662</v>
      </c>
      <c r="K39" s="68" t="n">
        <f aca="false">K36</f>
        <v>7.4200198051662</v>
      </c>
      <c r="L39" s="68" t="n">
        <f aca="false">L36</f>
        <v>7.4200198051662</v>
      </c>
      <c r="M39" s="68" t="n">
        <f aca="false">M36</f>
        <v>7.4200198051662</v>
      </c>
      <c r="N39" s="68" t="n">
        <f aca="false">N36</f>
        <v>7.4200198051662</v>
      </c>
      <c r="O39" s="68" t="n">
        <f aca="false">O36</f>
        <v>7.4200198051662</v>
      </c>
      <c r="P39" s="68" t="n">
        <f aca="false">P36</f>
        <v>5.89665346322253</v>
      </c>
      <c r="Q39" s="68" t="n">
        <f aca="false">Q36</f>
        <v>5.89665346322253</v>
      </c>
      <c r="R39" s="68" t="n">
        <f aca="false">R36</f>
        <v>5.89665346322253</v>
      </c>
      <c r="S39" s="68" t="n">
        <f aca="false">S36</f>
        <v>5.89665346322253</v>
      </c>
    </row>
    <row r="41" customFormat="false" ht="15" hidden="false" customHeight="false" outlineLevel="0" collapsed="false">
      <c r="B41" s="22" t="s">
        <v>1863</v>
      </c>
      <c r="C41" s="23"/>
      <c r="D41" s="23"/>
      <c r="E41" s="23"/>
      <c r="F41" s="23"/>
      <c r="G41" s="23"/>
      <c r="H41" s="23"/>
      <c r="I41" s="23"/>
      <c r="J41" s="23"/>
      <c r="K41" s="23"/>
      <c r="L41" s="23"/>
      <c r="M41" s="23"/>
      <c r="N41" s="23"/>
      <c r="O41" s="23"/>
      <c r="P41" s="23"/>
      <c r="Q41" s="23"/>
      <c r="R41" s="23"/>
      <c r="S41" s="23"/>
    </row>
    <row r="42" customFormat="false" ht="15" hidden="false" customHeight="false" outlineLevel="0" collapsed="false">
      <c r="B42" s="24" t="s">
        <v>1096</v>
      </c>
      <c r="C42" s="25" t="s">
        <v>170</v>
      </c>
      <c r="F42" s="47" t="n">
        <f aca="false">0</f>
        <v>0</v>
      </c>
      <c r="G42" s="47" t="n">
        <f aca="false">G17*'Global Inputs'!$E$28/G$7</f>
        <v>0</v>
      </c>
      <c r="H42" s="47" t="n">
        <f aca="false">H17*'Global Inputs'!$E$28/H$7</f>
        <v>3.88356164383562</v>
      </c>
      <c r="I42" s="47" t="n">
        <f aca="false">I17*'Global Inputs'!$E$28/I$7</f>
        <v>4.00006849315069</v>
      </c>
      <c r="J42" s="47" t="n">
        <f aca="false">J17*'Global Inputs'!$E$28/J$7</f>
        <v>4.12007054794521</v>
      </c>
      <c r="K42" s="47" t="n">
        <f aca="false">K17*'Global Inputs'!$E$28/K$7</f>
        <v>4.23207793032787</v>
      </c>
      <c r="L42" s="47" t="n">
        <f aca="false">L17*'Global Inputs'!$E$28/L$7</f>
        <v>4.37098284431507</v>
      </c>
      <c r="M42" s="47" t="n">
        <f aca="false">M17*'Global Inputs'!$E$28/M$7</f>
        <v>4.50211232964452</v>
      </c>
      <c r="N42" s="47" t="n">
        <f aca="false">N17*'Global Inputs'!$E$28/N$7</f>
        <v>4.63717569953386</v>
      </c>
      <c r="O42" s="47" t="n">
        <f aca="false">O17*'Global Inputs'!$E$28/O$7</f>
        <v>4.76324099519058</v>
      </c>
      <c r="P42" s="47" t="n">
        <f aca="false">P17*'Global Inputs'!$E$28/P$7</f>
        <v>4.91957969963547</v>
      </c>
      <c r="Q42" s="47" t="n">
        <f aca="false">Q17*'Global Inputs'!$E$28/Q$7</f>
        <v>5.06716709062453</v>
      </c>
      <c r="R42" s="47" t="n">
        <f aca="false">R17*'Global Inputs'!$E$28/R$7</f>
        <v>5.21918210334327</v>
      </c>
      <c r="S42" s="47" t="n">
        <f aca="false">S17*'Global Inputs'!$E$28/S$7</f>
        <v>5.36106970424017</v>
      </c>
    </row>
    <row r="43" customFormat="false" ht="15" hidden="false" customHeight="false" outlineLevel="0" collapsed="false">
      <c r="B43" s="24" t="s">
        <v>1098</v>
      </c>
      <c r="C43" s="25" t="s">
        <v>170</v>
      </c>
      <c r="F43" s="47" t="n">
        <f aca="false">0</f>
        <v>0</v>
      </c>
      <c r="G43" s="47" t="n">
        <f aca="false">G25*'Global Inputs'!$E$29/G$7</f>
        <v>0</v>
      </c>
      <c r="H43" s="47" t="n">
        <f aca="false">H25*'Global Inputs'!$E$29/H$7</f>
        <v>0.199489656218372</v>
      </c>
      <c r="I43" s="47" t="n">
        <f aca="false">I25*'Global Inputs'!$E$29/I$7</f>
        <v>0.208382011350564</v>
      </c>
      <c r="J43" s="47" t="n">
        <f aca="false">J25*'Global Inputs'!$E$29/J$7</f>
        <v>0.217815910910306</v>
      </c>
      <c r="K43" s="47" t="n">
        <f aca="false">K25*'Global Inputs'!$E$29/K$7</f>
        <v>0.227201864092709</v>
      </c>
      <c r="L43" s="47" t="n">
        <f aca="false">L25*'Global Inputs'!$E$29/L$7</f>
        <v>0.238442272020382</v>
      </c>
      <c r="M43" s="47" t="n">
        <f aca="false">M25*'Global Inputs'!$E$29/M$7</f>
        <v>0.249706841454917</v>
      </c>
      <c r="N43" s="47" t="n">
        <f aca="false">N25*'Global Inputs'!$E$29/N$7</f>
        <v>0.261657423168014</v>
      </c>
      <c r="O43" s="47" t="n">
        <f aca="false">O25*'Global Inputs'!$E$29/O$7</f>
        <v>0.273586243954141</v>
      </c>
      <c r="P43" s="47" t="n">
        <f aca="false">P25*'Global Inputs'!$E$29/P$7</f>
        <v>0.287786280310156</v>
      </c>
      <c r="Q43" s="47" t="n">
        <f aca="false">Q25*'Global Inputs'!$E$29/Q$7</f>
        <v>0.302055899849537</v>
      </c>
      <c r="R43" s="47" t="n">
        <f aca="false">R25*'Global Inputs'!$E$29/R$7</f>
        <v>0.317194539218867</v>
      </c>
      <c r="S43" s="47" t="n">
        <f aca="false">S25*'Global Inputs'!$E$29/S$7</f>
        <v>0.33234458860632</v>
      </c>
    </row>
    <row r="44" customFormat="false" ht="15" hidden="false" customHeight="false" outlineLevel="0" collapsed="false">
      <c r="B44" s="24" t="s">
        <v>1099</v>
      </c>
      <c r="C44" s="25" t="s">
        <v>170</v>
      </c>
      <c r="F44" s="47" t="n">
        <f aca="false">F42-F43</f>
        <v>0</v>
      </c>
      <c r="G44" s="47" t="n">
        <f aca="false">G42-G43</f>
        <v>0</v>
      </c>
      <c r="H44" s="47" t="n">
        <f aca="false">H42-H43</f>
        <v>3.68407198761725</v>
      </c>
      <c r="I44" s="47" t="n">
        <f aca="false">I42-I43</f>
        <v>3.79168648180012</v>
      </c>
      <c r="J44" s="47" t="n">
        <f aca="false">J42-J43</f>
        <v>3.9022546370349</v>
      </c>
      <c r="K44" s="47" t="n">
        <f aca="false">K42-K43</f>
        <v>4.00487606623516</v>
      </c>
      <c r="L44" s="47" t="n">
        <f aca="false">L42-L43</f>
        <v>4.13254057229469</v>
      </c>
      <c r="M44" s="47" t="n">
        <f aca="false">M42-M43</f>
        <v>4.2524054881896</v>
      </c>
      <c r="N44" s="47" t="n">
        <f aca="false">N42-N43</f>
        <v>4.37551827636584</v>
      </c>
      <c r="O44" s="47" t="n">
        <f aca="false">O42-O43</f>
        <v>4.48965475123644</v>
      </c>
      <c r="P44" s="47" t="n">
        <f aca="false">P42-P43</f>
        <v>4.63179341932531</v>
      </c>
      <c r="Q44" s="47" t="n">
        <f aca="false">Q42-Q43</f>
        <v>4.765111190775</v>
      </c>
      <c r="R44" s="47" t="n">
        <f aca="false">R42-R43</f>
        <v>4.9019875641244</v>
      </c>
      <c r="S44" s="47" t="n">
        <f aca="false">S42-S43</f>
        <v>5.02872511563385</v>
      </c>
    </row>
    <row r="45" customFormat="false" ht="15" hidden="false" customHeight="false" outlineLevel="0" collapsed="false">
      <c r="B45" s="24" t="s">
        <v>1100</v>
      </c>
      <c r="C45" s="25" t="s">
        <v>170</v>
      </c>
      <c r="E45" s="47" t="n">
        <f aca="false">SUM(F45:S45)</f>
        <v>5.02872511563385</v>
      </c>
      <c r="F45" s="47" t="n">
        <f aca="false">0</f>
        <v>0</v>
      </c>
      <c r="G45" s="47" t="n">
        <f aca="false">G44-F44</f>
        <v>0</v>
      </c>
      <c r="H45" s="47" t="n">
        <f aca="false">H44-G44</f>
        <v>3.68407198761725</v>
      </c>
      <c r="I45" s="47" t="n">
        <f aca="false">I44-H44</f>
        <v>0.107614494182877</v>
      </c>
      <c r="J45" s="47" t="n">
        <f aca="false">J44-I44</f>
        <v>0.110568155234777</v>
      </c>
      <c r="K45" s="47" t="n">
        <f aca="false">K44-J44</f>
        <v>0.102621429200262</v>
      </c>
      <c r="L45" s="47" t="n">
        <f aca="false">L44-K44</f>
        <v>0.127664506059525</v>
      </c>
      <c r="M45" s="47" t="n">
        <f aca="false">M44-L44</f>
        <v>0.119864915894918</v>
      </c>
      <c r="N45" s="47" t="n">
        <f aca="false">N44-M44</f>
        <v>0.123112788176238</v>
      </c>
      <c r="O45" s="47" t="n">
        <f aca="false">O44-N44</f>
        <v>0.114136474870602</v>
      </c>
      <c r="P45" s="47" t="n">
        <f aca="false">P44-O44</f>
        <v>0.14213866808887</v>
      </c>
      <c r="Q45" s="47" t="n">
        <f aca="false">Q44-P44</f>
        <v>0.133317771449683</v>
      </c>
      <c r="R45" s="47" t="n">
        <f aca="false">R44-Q44</f>
        <v>0.136876373349406</v>
      </c>
      <c r="S45" s="47" t="n">
        <f aca="false">S44-R44</f>
        <v>0.126737551509448</v>
      </c>
    </row>
  </sheetData>
  <hyperlinks>
    <hyperlink ref="C3" r:id="rId1" location="'P02%20CigConveyor%20Input'!A1" display="Input"/>
    <hyperlink ref="D3" r:id="rId2" location="'P02%20CigConveyor%20Calc'!A1" display="Calc"/>
    <hyperlink ref="E3" r:id="rId3" location="'P02%20CigConveyor%20Output'!A1" display="Output"/>
    <hyperlink ref="F3" r:id="rId4" location="'Navigation'!A1" display="Navigation"/>
    <hyperlink ref="G3" r:id="rId5" location="'Global%20Inputs'!A1" display="Global Inputs"/>
    <hyperlink ref="H3" r:id="rId6" location="'Project%20Summary'!A1" display="Project Summary"/>
    <hyperlink ref="I3" r:id="rId7" location="'Funding%20Requirement'!A1" display="Funding"/>
    <hyperlink ref="J3" r:id="rId8" location="'FSL%20Financials%20—%20Without%20BUMN'!A1" display="FSL w/o BUMN"/>
    <hyperlink ref="K3" r:id="rId9" location="'FSL%20Financials%20—%20With%20BUMN'!A1" display="FSL w/ BUMN"/>
    <hyperlink ref="L3" r:id="rId10" location="'Valuation%20—%20Without%20BUMN'!A1" display="Val w/o BUMN"/>
    <hyperlink ref="M3" r:id="rId11" location="'Valuation%20—%20With%20BUMN'!A1" display="Val w/ BUMN"/>
    <hyperlink ref="N3" r:id="rId12" location="'Checks'!A1" display="Checks"/>
    <hyperlink ref="O3" r:id="rId13" location="'Model%20Flow'!A1" display="Model Flow"/>
  </hyperlink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9D08E"/>
    <pageSetUpPr fitToPage="true"/>
  </sheetPr>
  <dimension ref="B1:U6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5" ySplit="9" topLeftCell="F10" activePane="bottomRight" state="frozen"/>
      <selection pane="topLeft" activeCell="A1" activeCellId="0" sqref="A1"/>
      <selection pane="topRight" activeCell="F1" activeCellId="0" sqref="F1"/>
      <selection pane="bottomLeft" activeCell="A10" activeCellId="0" sqref="A10"/>
      <selection pane="bottomRigh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66"/>
    <col collapsed="false" customWidth="true" hidden="false" outlineLevel="0" max="3" min="3" style="0" width="11"/>
    <col collapsed="false" customWidth="true" hidden="false" outlineLevel="0" max="4" min="4" style="0" width="12"/>
    <col collapsed="false" customWidth="true" hidden="false" outlineLevel="0" max="5" min="5" style="0" width="13"/>
    <col collapsed="false" customWidth="true" hidden="false" outlineLevel="0" max="19" min="6" style="0" width="11.5"/>
    <col collapsed="false" customWidth="true" hidden="false" outlineLevel="0" max="20" min="20" style="0" width="40"/>
    <col collapsed="false" customWidth="true" hidden="false" outlineLevel="0" max="21" min="21" style="0" width="48"/>
  </cols>
  <sheetData>
    <row r="1" customFormat="false" ht="21.75" hidden="false" customHeight="true" outlineLevel="0" collapsed="false">
      <c r="B1" s="1" t="s">
        <v>1864</v>
      </c>
    </row>
    <row r="2" customFormat="false" ht="15" hidden="false" customHeight="false" outlineLevel="0" collapsed="false">
      <c r="B2" s="2" t="s">
        <v>1102</v>
      </c>
    </row>
    <row r="3" customFormat="false" ht="15" hidden="false" customHeight="false" outlineLevel="0" collapsed="false">
      <c r="B3" s="5" t="s">
        <v>112</v>
      </c>
      <c r="C3" s="17" t="s">
        <v>27</v>
      </c>
      <c r="D3" s="17" t="s">
        <v>28</v>
      </c>
      <c r="E3" s="17" t="s">
        <v>29</v>
      </c>
      <c r="F3" s="17" t="s">
        <v>113</v>
      </c>
      <c r="G3" s="17" t="s">
        <v>5</v>
      </c>
      <c r="H3" s="17" t="s">
        <v>7</v>
      </c>
      <c r="I3" s="17" t="s">
        <v>114</v>
      </c>
      <c r="J3" s="17" t="s">
        <v>115</v>
      </c>
      <c r="K3" s="17" t="s">
        <v>116</v>
      </c>
      <c r="L3" s="17" t="s">
        <v>117</v>
      </c>
      <c r="M3" s="17" t="s">
        <v>118</v>
      </c>
      <c r="N3" s="17" t="s">
        <v>21</v>
      </c>
      <c r="O3" s="17" t="s">
        <v>3</v>
      </c>
    </row>
    <row r="5" customFormat="false" ht="15" hidden="false" customHeight="false" outlineLevel="0" collapsed="false">
      <c r="B5" s="6" t="s">
        <v>119</v>
      </c>
      <c r="C5" s="6" t="s">
        <v>120</v>
      </c>
      <c r="D5" s="6" t="s">
        <v>121</v>
      </c>
      <c r="E5" s="6" t="s">
        <v>122</v>
      </c>
      <c r="F5" s="18" t="n">
        <f aca="false">'Global Inputs'!F$5</f>
        <v>2023</v>
      </c>
      <c r="G5" s="18" t="n">
        <f aca="false">'Global Inputs'!G$5</f>
        <v>2024</v>
      </c>
      <c r="H5" s="18" t="n">
        <f aca="false">'Global Inputs'!H$5</f>
        <v>2025</v>
      </c>
      <c r="I5" s="18" t="n">
        <f aca="false">'Global Inputs'!I$5</f>
        <v>2026</v>
      </c>
      <c r="J5" s="18" t="n">
        <f aca="false">'Global Inputs'!J$5</f>
        <v>2027</v>
      </c>
      <c r="K5" s="18" t="n">
        <f aca="false">'Global Inputs'!K$5</f>
        <v>2028</v>
      </c>
      <c r="L5" s="18" t="n">
        <f aca="false">'Global Inputs'!L$5</f>
        <v>2029</v>
      </c>
      <c r="M5" s="18" t="n">
        <f aca="false">'Global Inputs'!M$5</f>
        <v>2030</v>
      </c>
      <c r="N5" s="18" t="n">
        <f aca="false">'Global Inputs'!N$5</f>
        <v>2031</v>
      </c>
      <c r="O5" s="18" t="n">
        <f aca="false">'Global Inputs'!O$5</f>
        <v>2032</v>
      </c>
      <c r="P5" s="18" t="n">
        <f aca="false">'Global Inputs'!P$5</f>
        <v>2033</v>
      </c>
      <c r="Q5" s="18" t="n">
        <f aca="false">'Global Inputs'!Q$5</f>
        <v>2034</v>
      </c>
      <c r="R5" s="18" t="n">
        <f aca="false">'Global Inputs'!R$5</f>
        <v>2035</v>
      </c>
      <c r="S5" s="18" t="n">
        <f aca="false">'Global Inputs'!S$5</f>
        <v>2036</v>
      </c>
      <c r="T5" s="6" t="s">
        <v>123</v>
      </c>
      <c r="U5" s="6" t="s">
        <v>124</v>
      </c>
    </row>
    <row r="6" customFormat="false" ht="15" hidden="false" customHeight="false" outlineLevel="0" collapsed="false">
      <c r="B6" s="19" t="s">
        <v>125</v>
      </c>
      <c r="F6" s="20" t="n">
        <f aca="false">'Global Inputs'!F$6</f>
        <v>45291</v>
      </c>
      <c r="G6" s="20" t="n">
        <f aca="false">'Global Inputs'!G$6</f>
        <v>45657</v>
      </c>
      <c r="H6" s="20" t="n">
        <f aca="false">'Global Inputs'!H$6</f>
        <v>46022</v>
      </c>
      <c r="I6" s="20" t="n">
        <f aca="false">'Global Inputs'!I$6</f>
        <v>46387</v>
      </c>
      <c r="J6" s="20" t="n">
        <f aca="false">'Global Inputs'!J$6</f>
        <v>46752</v>
      </c>
      <c r="K6" s="20" t="n">
        <f aca="false">'Global Inputs'!K$6</f>
        <v>47118</v>
      </c>
      <c r="L6" s="20" t="n">
        <f aca="false">'Global Inputs'!L$6</f>
        <v>47483</v>
      </c>
      <c r="M6" s="20" t="n">
        <f aca="false">'Global Inputs'!M$6</f>
        <v>47848</v>
      </c>
      <c r="N6" s="20" t="n">
        <f aca="false">'Global Inputs'!N$6</f>
        <v>48213</v>
      </c>
      <c r="O6" s="20" t="n">
        <f aca="false">'Global Inputs'!O$6</f>
        <v>48579</v>
      </c>
      <c r="P6" s="20" t="n">
        <f aca="false">'Global Inputs'!P$6</f>
        <v>48944</v>
      </c>
      <c r="Q6" s="20" t="n">
        <f aca="false">'Global Inputs'!Q$6</f>
        <v>49309</v>
      </c>
      <c r="R6" s="20" t="n">
        <f aca="false">'Global Inputs'!R$6</f>
        <v>49674</v>
      </c>
      <c r="S6" s="20" t="n">
        <f aca="false">'Global Inputs'!S$6</f>
        <v>50040</v>
      </c>
    </row>
    <row r="7" customFormat="false" ht="15" hidden="false" customHeight="false" outlineLevel="0" collapsed="false">
      <c r="B7" s="19" t="s">
        <v>126</v>
      </c>
      <c r="F7" s="21" t="n">
        <f aca="false">'Global Inputs'!F$7</f>
        <v>365</v>
      </c>
      <c r="G7" s="21" t="n">
        <f aca="false">'Global Inputs'!G$7</f>
        <v>366</v>
      </c>
      <c r="H7" s="21" t="n">
        <f aca="false">'Global Inputs'!H$7</f>
        <v>365</v>
      </c>
      <c r="I7" s="21" t="n">
        <f aca="false">'Global Inputs'!I$7</f>
        <v>365</v>
      </c>
      <c r="J7" s="21" t="n">
        <f aca="false">'Global Inputs'!J$7</f>
        <v>365</v>
      </c>
      <c r="K7" s="21" t="n">
        <f aca="false">'Global Inputs'!K$7</f>
        <v>366</v>
      </c>
      <c r="L7" s="21" t="n">
        <f aca="false">'Global Inputs'!L$7</f>
        <v>365</v>
      </c>
      <c r="M7" s="21" t="n">
        <f aca="false">'Global Inputs'!M$7</f>
        <v>365</v>
      </c>
      <c r="N7" s="21" t="n">
        <f aca="false">'Global Inputs'!N$7</f>
        <v>365</v>
      </c>
      <c r="O7" s="21" t="n">
        <f aca="false">'Global Inputs'!O$7</f>
        <v>366</v>
      </c>
      <c r="P7" s="21" t="n">
        <f aca="false">'Global Inputs'!P$7</f>
        <v>365</v>
      </c>
      <c r="Q7" s="21" t="n">
        <f aca="false">'Global Inputs'!Q$7</f>
        <v>365</v>
      </c>
      <c r="R7" s="21" t="n">
        <f aca="false">'Global Inputs'!R$7</f>
        <v>365</v>
      </c>
      <c r="S7" s="21" t="n">
        <f aca="false">'Global Inputs'!S$7</f>
        <v>366</v>
      </c>
    </row>
    <row r="8" customFormat="false" ht="15" hidden="false" customHeight="false" outlineLevel="0" collapsed="false">
      <c r="B8" s="19" t="s">
        <v>127</v>
      </c>
      <c r="F8" s="21" t="n">
        <f aca="false">'Global Inputs'!F$8</f>
        <v>0</v>
      </c>
      <c r="G8" s="21" t="n">
        <f aca="false">'Global Inputs'!G$8</f>
        <v>1</v>
      </c>
      <c r="H8" s="21" t="n">
        <f aca="false">'Global Inputs'!H$8</f>
        <v>1</v>
      </c>
      <c r="I8" s="21" t="n">
        <f aca="false">'Global Inputs'!I$8</f>
        <v>1</v>
      </c>
      <c r="J8" s="21" t="n">
        <f aca="false">'Global Inputs'!J$8</f>
        <v>1</v>
      </c>
      <c r="K8" s="21" t="n">
        <f aca="false">'Global Inputs'!K$8</f>
        <v>1</v>
      </c>
      <c r="L8" s="21" t="n">
        <f aca="false">'Global Inputs'!L$8</f>
        <v>1</v>
      </c>
      <c r="M8" s="21" t="n">
        <f aca="false">'Global Inputs'!M$8</f>
        <v>1</v>
      </c>
      <c r="N8" s="21" t="n">
        <f aca="false">'Global Inputs'!N$8</f>
        <v>1</v>
      </c>
      <c r="O8" s="21" t="n">
        <f aca="false">'Global Inputs'!O$8</f>
        <v>1</v>
      </c>
      <c r="P8" s="21" t="n">
        <f aca="false">'Global Inputs'!P$8</f>
        <v>1</v>
      </c>
      <c r="Q8" s="21" t="n">
        <f aca="false">'Global Inputs'!Q$8</f>
        <v>1</v>
      </c>
      <c r="R8" s="21" t="n">
        <f aca="false">'Global Inputs'!R$8</f>
        <v>1</v>
      </c>
      <c r="S8" s="21" t="n">
        <f aca="false">'Global Inputs'!S$8</f>
        <v>1</v>
      </c>
    </row>
    <row r="10" customFormat="false" ht="15" hidden="false" customHeight="false" outlineLevel="0" collapsed="false">
      <c r="B10" s="22" t="s">
        <v>1103</v>
      </c>
      <c r="C10" s="23"/>
      <c r="D10" s="23"/>
      <c r="E10" s="23"/>
      <c r="F10" s="23"/>
      <c r="G10" s="23"/>
      <c r="H10" s="23"/>
      <c r="I10" s="23"/>
      <c r="J10" s="23"/>
      <c r="K10" s="23"/>
      <c r="L10" s="23"/>
      <c r="M10" s="23"/>
      <c r="N10" s="23"/>
      <c r="O10" s="23"/>
      <c r="P10" s="23"/>
      <c r="Q10" s="23"/>
      <c r="R10" s="23"/>
      <c r="S10" s="23"/>
    </row>
    <row r="11" customFormat="false" ht="15" hidden="false" customHeight="false" outlineLevel="0" collapsed="false">
      <c r="B11" s="24" t="s">
        <v>345</v>
      </c>
      <c r="C11" s="25" t="s">
        <v>170</v>
      </c>
      <c r="E11" s="47" t="n">
        <f aca="false">SUM(F11:S11)</f>
        <v>447.048931188488</v>
      </c>
      <c r="F11" s="47" t="n">
        <f aca="false">'P02 CigConveyor Calc'!F17</f>
        <v>0</v>
      </c>
      <c r="G11" s="47" t="n">
        <f aca="false">'P02 CigConveyor Calc'!G17</f>
        <v>0</v>
      </c>
      <c r="H11" s="47" t="n">
        <f aca="false">'P02 CigConveyor Calc'!H17</f>
        <v>31.5</v>
      </c>
      <c r="I11" s="47" t="n">
        <f aca="false">'P02 CigConveyor Calc'!I17</f>
        <v>32.445</v>
      </c>
      <c r="J11" s="47" t="n">
        <f aca="false">'P02 CigConveyor Calc'!J17</f>
        <v>33.41835</v>
      </c>
      <c r="K11" s="47" t="n">
        <f aca="false">'P02 CigConveyor Calc'!K17</f>
        <v>34.4209005</v>
      </c>
      <c r="L11" s="47" t="n">
        <f aca="false">'P02 CigConveyor Calc'!L17</f>
        <v>35.453527515</v>
      </c>
      <c r="M11" s="47" t="n">
        <f aca="false">'P02 CigConveyor Calc'!M17</f>
        <v>36.51713334045</v>
      </c>
      <c r="N11" s="47" t="n">
        <f aca="false">'P02 CigConveyor Calc'!N17</f>
        <v>37.6126473406635</v>
      </c>
      <c r="O11" s="47" t="n">
        <f aca="false">'P02 CigConveyor Calc'!O17</f>
        <v>38.7410267608834</v>
      </c>
      <c r="P11" s="47" t="n">
        <f aca="false">'P02 CigConveyor Calc'!P17</f>
        <v>39.9032575637099</v>
      </c>
      <c r="Q11" s="47" t="n">
        <f aca="false">'P02 CigConveyor Calc'!Q17</f>
        <v>41.1003552906212</v>
      </c>
      <c r="R11" s="47" t="n">
        <f aca="false">'P02 CigConveyor Calc'!R17</f>
        <v>42.3333659493399</v>
      </c>
      <c r="S11" s="47" t="n">
        <f aca="false">'P02 CigConveyor Calc'!S17</f>
        <v>43.6033669278201</v>
      </c>
    </row>
    <row r="12" customFormat="false" ht="15" hidden="false" customHeight="false" outlineLevel="0" collapsed="false">
      <c r="B12" s="24" t="s">
        <v>391</v>
      </c>
      <c r="C12" s="25" t="s">
        <v>170</v>
      </c>
      <c r="E12" s="47" t="n">
        <f aca="false">SUM(F12:S12)</f>
        <v>-37.9350107189322</v>
      </c>
      <c r="F12" s="47" t="n">
        <f aca="false">-'P02 CigConveyor Calc'!F25</f>
        <v>-0</v>
      </c>
      <c r="G12" s="47" t="n">
        <f aca="false">-'P02 CigConveyor Calc'!G25</f>
        <v>-0</v>
      </c>
      <c r="H12" s="47" t="n">
        <f aca="false">-'P02 CigConveyor Calc'!H25</f>
        <v>-2.42712415065685</v>
      </c>
      <c r="I12" s="47" t="n">
        <f aca="false">-'P02 CigConveyor Calc'!I25</f>
        <v>-2.53531447143186</v>
      </c>
      <c r="J12" s="47" t="n">
        <f aca="false">-'P02 CigConveyor Calc'!J25</f>
        <v>-2.65009358274206</v>
      </c>
      <c r="K12" s="47" t="n">
        <f aca="false">-'P02 CigConveyor Calc'!K25</f>
        <v>-2.77186274193105</v>
      </c>
      <c r="L12" s="47" t="n">
        <f aca="false">-'P02 CigConveyor Calc'!L25</f>
        <v>-2.90104764291465</v>
      </c>
      <c r="M12" s="47" t="n">
        <f aca="false">-'P02 CigConveyor Calc'!M25</f>
        <v>-3.03809990436815</v>
      </c>
      <c r="N12" s="47" t="n">
        <f aca="false">-'P02 CigConveyor Calc'!N25</f>
        <v>-3.18349864854417</v>
      </c>
      <c r="O12" s="47" t="n">
        <f aca="false">-'P02 CigConveyor Calc'!O25</f>
        <v>-3.33775217624051</v>
      </c>
      <c r="P12" s="47" t="n">
        <f aca="false">-'P02 CigConveyor Calc'!P25</f>
        <v>-3.50139974377356</v>
      </c>
      <c r="Q12" s="47" t="n">
        <f aca="false">-'P02 CigConveyor Calc'!Q25</f>
        <v>-3.67501344816937</v>
      </c>
      <c r="R12" s="47" t="n">
        <f aca="false">-'P02 CigConveyor Calc'!R25</f>
        <v>-3.85920022716289</v>
      </c>
      <c r="S12" s="47" t="n">
        <f aca="false">-'P02 CigConveyor Calc'!S25</f>
        <v>-4.05460398099711</v>
      </c>
    </row>
    <row r="13" customFormat="false" ht="15" hidden="false" customHeight="false" outlineLevel="0" collapsed="false">
      <c r="B13" s="69" t="s">
        <v>392</v>
      </c>
      <c r="C13" s="25" t="s">
        <v>170</v>
      </c>
      <c r="E13" s="70" t="n">
        <f aca="false">SUM(F13:S13)</f>
        <v>409.113920469556</v>
      </c>
      <c r="F13" s="68" t="n">
        <f aca="false">F11+F12</f>
        <v>0</v>
      </c>
      <c r="G13" s="68" t="n">
        <f aca="false">G11+G12</f>
        <v>0</v>
      </c>
      <c r="H13" s="68" t="n">
        <f aca="false">H11+H12</f>
        <v>29.0728758493431</v>
      </c>
      <c r="I13" s="68" t="n">
        <f aca="false">I11+I12</f>
        <v>29.9096855285681</v>
      </c>
      <c r="J13" s="68" t="n">
        <f aca="false">J11+J12</f>
        <v>30.7682564172579</v>
      </c>
      <c r="K13" s="68" t="n">
        <f aca="false">K11+K12</f>
        <v>31.649037758069</v>
      </c>
      <c r="L13" s="68" t="n">
        <f aca="false">L11+L12</f>
        <v>32.5524798720854</v>
      </c>
      <c r="M13" s="68" t="n">
        <f aca="false">M11+M12</f>
        <v>33.4790334360819</v>
      </c>
      <c r="N13" s="68" t="n">
        <f aca="false">N11+N12</f>
        <v>34.4291486921193</v>
      </c>
      <c r="O13" s="68" t="n">
        <f aca="false">O11+O12</f>
        <v>35.4032745846429</v>
      </c>
      <c r="P13" s="68" t="n">
        <f aca="false">P11+P12</f>
        <v>36.4018578199364</v>
      </c>
      <c r="Q13" s="68" t="n">
        <f aca="false">Q11+Q12</f>
        <v>37.4253418424518</v>
      </c>
      <c r="R13" s="68" t="n">
        <f aca="false">R11+R12</f>
        <v>38.474165722177</v>
      </c>
      <c r="S13" s="68" t="n">
        <f aca="false">S11+S12</f>
        <v>39.5487629468229</v>
      </c>
    </row>
    <row r="14" customFormat="false" ht="15" hidden="false" customHeight="false" outlineLevel="0" collapsed="false">
      <c r="B14" s="24" t="s">
        <v>393</v>
      </c>
      <c r="C14" s="25" t="s">
        <v>170</v>
      </c>
      <c r="E14" s="47" t="n">
        <f aca="false">SUM(F14:S14)</f>
        <v>0</v>
      </c>
      <c r="F14" s="47" t="n">
        <f aca="false">0</f>
        <v>0</v>
      </c>
      <c r="G14" s="47" t="n">
        <f aca="false">0</f>
        <v>0</v>
      </c>
      <c r="H14" s="47" t="n">
        <f aca="false">0</f>
        <v>0</v>
      </c>
      <c r="I14" s="47" t="n">
        <f aca="false">0</f>
        <v>0</v>
      </c>
      <c r="J14" s="47" t="n">
        <f aca="false">0</f>
        <v>0</v>
      </c>
      <c r="K14" s="47" t="n">
        <f aca="false">0</f>
        <v>0</v>
      </c>
      <c r="L14" s="47" t="n">
        <f aca="false">0</f>
        <v>0</v>
      </c>
      <c r="M14" s="47" t="n">
        <f aca="false">0</f>
        <v>0</v>
      </c>
      <c r="N14" s="47" t="n">
        <f aca="false">0</f>
        <v>0</v>
      </c>
      <c r="O14" s="47" t="n">
        <f aca="false">0</f>
        <v>0</v>
      </c>
      <c r="P14" s="47" t="n">
        <f aca="false">0</f>
        <v>0</v>
      </c>
      <c r="Q14" s="47" t="n">
        <f aca="false">0</f>
        <v>0</v>
      </c>
      <c r="R14" s="47" t="n">
        <f aca="false">0</f>
        <v>0</v>
      </c>
      <c r="S14" s="47" t="n">
        <f aca="false">0</f>
        <v>0</v>
      </c>
    </row>
    <row r="15" customFormat="false" ht="15" hidden="false" customHeight="false" outlineLevel="0" collapsed="false">
      <c r="B15" s="69" t="s">
        <v>346</v>
      </c>
      <c r="C15" s="25" t="s">
        <v>170</v>
      </c>
      <c r="E15" s="70" t="n">
        <f aca="false">SUM(F15:S15)</f>
        <v>409.113920469556</v>
      </c>
      <c r="F15" s="68" t="n">
        <f aca="false">F13+F14</f>
        <v>0</v>
      </c>
      <c r="G15" s="68" t="n">
        <f aca="false">G13+G14</f>
        <v>0</v>
      </c>
      <c r="H15" s="68" t="n">
        <f aca="false">H13+H14</f>
        <v>29.0728758493431</v>
      </c>
      <c r="I15" s="68" t="n">
        <f aca="false">I13+I14</f>
        <v>29.9096855285681</v>
      </c>
      <c r="J15" s="68" t="n">
        <f aca="false">J13+J14</f>
        <v>30.7682564172579</v>
      </c>
      <c r="K15" s="68" t="n">
        <f aca="false">K13+K14</f>
        <v>31.649037758069</v>
      </c>
      <c r="L15" s="68" t="n">
        <f aca="false">L13+L14</f>
        <v>32.5524798720854</v>
      </c>
      <c r="M15" s="68" t="n">
        <f aca="false">M13+M14</f>
        <v>33.4790334360819</v>
      </c>
      <c r="N15" s="68" t="n">
        <f aca="false">N13+N14</f>
        <v>34.4291486921193</v>
      </c>
      <c r="O15" s="68" t="n">
        <f aca="false">O13+O14</f>
        <v>35.4032745846429</v>
      </c>
      <c r="P15" s="68" t="n">
        <f aca="false">P13+P14</f>
        <v>36.4018578199364</v>
      </c>
      <c r="Q15" s="68" t="n">
        <f aca="false">Q13+Q14</f>
        <v>37.4253418424518</v>
      </c>
      <c r="R15" s="68" t="n">
        <f aca="false">R13+R14</f>
        <v>38.474165722177</v>
      </c>
      <c r="S15" s="68" t="n">
        <f aca="false">S13+S14</f>
        <v>39.5487629468229</v>
      </c>
    </row>
    <row r="16" customFormat="false" ht="15" hidden="false" customHeight="false" outlineLevel="0" collapsed="false">
      <c r="B16" s="24" t="s">
        <v>349</v>
      </c>
      <c r="C16" s="25" t="s">
        <v>170</v>
      </c>
      <c r="E16" s="47" t="n">
        <f aca="false">SUM(F16:S16)</f>
        <v>-82.9467722942198</v>
      </c>
      <c r="F16" s="47" t="n">
        <f aca="false">-'P02 CigConveyor Calc'!F39</f>
        <v>-0</v>
      </c>
      <c r="G16" s="47" t="n">
        <f aca="false">-'P02 CigConveyor Calc'!G39</f>
        <v>-0</v>
      </c>
      <c r="H16" s="47" t="n">
        <f aca="false">-'P02 CigConveyor Calc'!H39</f>
        <v>-7.4200198051662</v>
      </c>
      <c r="I16" s="47" t="n">
        <f aca="false">-'P02 CigConveyor Calc'!I39</f>
        <v>-7.4200198051662</v>
      </c>
      <c r="J16" s="47" t="n">
        <f aca="false">-'P02 CigConveyor Calc'!J39</f>
        <v>-7.4200198051662</v>
      </c>
      <c r="K16" s="47" t="n">
        <f aca="false">-'P02 CigConveyor Calc'!K39</f>
        <v>-7.4200198051662</v>
      </c>
      <c r="L16" s="47" t="n">
        <f aca="false">-'P02 CigConveyor Calc'!L39</f>
        <v>-7.4200198051662</v>
      </c>
      <c r="M16" s="47" t="n">
        <f aca="false">-'P02 CigConveyor Calc'!M39</f>
        <v>-7.4200198051662</v>
      </c>
      <c r="N16" s="47" t="n">
        <f aca="false">-'P02 CigConveyor Calc'!N39</f>
        <v>-7.4200198051662</v>
      </c>
      <c r="O16" s="47" t="n">
        <f aca="false">-'P02 CigConveyor Calc'!O39</f>
        <v>-7.4200198051662</v>
      </c>
      <c r="P16" s="47" t="n">
        <f aca="false">-'P02 CigConveyor Calc'!P39</f>
        <v>-5.89665346322253</v>
      </c>
      <c r="Q16" s="47" t="n">
        <f aca="false">-'P02 CigConveyor Calc'!Q39</f>
        <v>-5.89665346322253</v>
      </c>
      <c r="R16" s="47" t="n">
        <f aca="false">-'P02 CigConveyor Calc'!R39</f>
        <v>-5.89665346322253</v>
      </c>
      <c r="S16" s="47" t="n">
        <f aca="false">-'P02 CigConveyor Calc'!S39</f>
        <v>-5.89665346322253</v>
      </c>
    </row>
    <row r="17" customFormat="false" ht="15" hidden="false" customHeight="false" outlineLevel="0" collapsed="false">
      <c r="B17" s="69" t="s">
        <v>347</v>
      </c>
      <c r="C17" s="25" t="s">
        <v>170</v>
      </c>
      <c r="E17" s="70" t="n">
        <f aca="false">SUM(F17:S17)</f>
        <v>326.167148175336</v>
      </c>
      <c r="F17" s="68" t="n">
        <f aca="false">F15+F16</f>
        <v>0</v>
      </c>
      <c r="G17" s="68" t="n">
        <f aca="false">G15+G16</f>
        <v>0</v>
      </c>
      <c r="H17" s="68" t="n">
        <f aca="false">H15+H16</f>
        <v>21.6528560441769</v>
      </c>
      <c r="I17" s="68" t="n">
        <f aca="false">I15+I16</f>
        <v>22.4896657234019</v>
      </c>
      <c r="J17" s="68" t="n">
        <f aca="false">J15+J16</f>
        <v>23.3482366120917</v>
      </c>
      <c r="K17" s="68" t="n">
        <f aca="false">K15+K16</f>
        <v>24.2290179529028</v>
      </c>
      <c r="L17" s="68" t="n">
        <f aca="false">L15+L16</f>
        <v>25.1324600669191</v>
      </c>
      <c r="M17" s="68" t="n">
        <f aca="false">M15+M16</f>
        <v>26.0590136309156</v>
      </c>
      <c r="N17" s="68" t="n">
        <f aca="false">N15+N16</f>
        <v>27.0091288869531</v>
      </c>
      <c r="O17" s="68" t="n">
        <f aca="false">O15+O16</f>
        <v>27.9832547794767</v>
      </c>
      <c r="P17" s="68" t="n">
        <f aca="false">P15+P16</f>
        <v>30.5052043567138</v>
      </c>
      <c r="Q17" s="68" t="n">
        <f aca="false">Q15+Q16</f>
        <v>31.5286883792293</v>
      </c>
      <c r="R17" s="68" t="n">
        <f aca="false">R15+R16</f>
        <v>32.5775122589544</v>
      </c>
      <c r="S17" s="68" t="n">
        <f aca="false">S15+S16</f>
        <v>33.6521094836004</v>
      </c>
    </row>
    <row r="18" customFormat="false" ht="15" hidden="false" customHeight="false" outlineLevel="0" collapsed="false">
      <c r="B18" s="24" t="s">
        <v>1104</v>
      </c>
      <c r="C18" s="25" t="s">
        <v>170</v>
      </c>
      <c r="E18" s="47" t="n">
        <f aca="false">SUM(F18:S18)</f>
        <v>-71.7567725985739</v>
      </c>
      <c r="F18" s="47" t="n">
        <f aca="false">-MAX(0,F17)*'Global Inputs'!$E$27</f>
        <v>-0</v>
      </c>
      <c r="G18" s="47" t="n">
        <f aca="false">-MAX(0,G17)*'Global Inputs'!$E$27</f>
        <v>-0</v>
      </c>
      <c r="H18" s="47" t="n">
        <f aca="false">-MAX(0,H17)*'Global Inputs'!$E$27</f>
        <v>-4.76362832971893</v>
      </c>
      <c r="I18" s="47" t="n">
        <f aca="false">-MAX(0,I17)*'Global Inputs'!$E$27</f>
        <v>-4.94772645914843</v>
      </c>
      <c r="J18" s="47" t="n">
        <f aca="false">-MAX(0,J17)*'Global Inputs'!$E$27</f>
        <v>-5.13661205466018</v>
      </c>
      <c r="K18" s="47" t="n">
        <f aca="false">-MAX(0,K17)*'Global Inputs'!$E$27</f>
        <v>-5.33038394963861</v>
      </c>
      <c r="L18" s="47" t="n">
        <f aca="false">-MAX(0,L17)*'Global Inputs'!$E$27</f>
        <v>-5.52914121472221</v>
      </c>
      <c r="M18" s="47" t="n">
        <f aca="false">-MAX(0,M17)*'Global Inputs'!$E$27</f>
        <v>-5.73298299880144</v>
      </c>
      <c r="N18" s="47" t="n">
        <f aca="false">-MAX(0,N17)*'Global Inputs'!$E$27</f>
        <v>-5.94200835512969</v>
      </c>
      <c r="O18" s="47" t="n">
        <f aca="false">-MAX(0,O17)*'Global Inputs'!$E$27</f>
        <v>-6.15631605148487</v>
      </c>
      <c r="P18" s="47" t="n">
        <f aca="false">-MAX(0,P17)*'Global Inputs'!$E$27</f>
        <v>-6.71114495847704</v>
      </c>
      <c r="Q18" s="47" t="n">
        <f aca="false">-MAX(0,Q17)*'Global Inputs'!$E$27</f>
        <v>-6.93631144343045</v>
      </c>
      <c r="R18" s="47" t="n">
        <f aca="false">-MAX(0,R17)*'Global Inputs'!$E$27</f>
        <v>-7.16705269696997</v>
      </c>
      <c r="S18" s="47" t="n">
        <f aca="false">-MAX(0,S17)*'Global Inputs'!$E$27</f>
        <v>-7.40346408639209</v>
      </c>
    </row>
    <row r="19" customFormat="false" ht="15" hidden="false" customHeight="false" outlineLevel="0" collapsed="false">
      <c r="B19" s="69" t="s">
        <v>1105</v>
      </c>
      <c r="C19" s="25" t="s">
        <v>170</v>
      </c>
      <c r="E19" s="70" t="n">
        <f aca="false">SUM(F19:S19)</f>
        <v>254.410375576762</v>
      </c>
      <c r="F19" s="68" t="n">
        <f aca="false">F17+F18</f>
        <v>0</v>
      </c>
      <c r="G19" s="68" t="n">
        <f aca="false">G17+G18</f>
        <v>0</v>
      </c>
      <c r="H19" s="68" t="n">
        <f aca="false">H17+H18</f>
        <v>16.889227714458</v>
      </c>
      <c r="I19" s="68" t="n">
        <f aca="false">I17+I18</f>
        <v>17.5419392642535</v>
      </c>
      <c r="J19" s="68" t="n">
        <f aca="false">J17+J18</f>
        <v>18.2116245574316</v>
      </c>
      <c r="K19" s="68" t="n">
        <f aca="false">K17+K18</f>
        <v>18.8986340032641</v>
      </c>
      <c r="L19" s="68" t="n">
        <f aca="false">L17+L18</f>
        <v>19.6033188521969</v>
      </c>
      <c r="M19" s="68" t="n">
        <f aca="false">M17+M18</f>
        <v>20.3260306321142</v>
      </c>
      <c r="N19" s="68" t="n">
        <f aca="false">N17+N18</f>
        <v>21.0671205318234</v>
      </c>
      <c r="O19" s="68" t="n">
        <f aca="false">O17+O18</f>
        <v>21.8269387279918</v>
      </c>
      <c r="P19" s="68" t="n">
        <f aca="false">P17+P18</f>
        <v>23.7940593982368</v>
      </c>
      <c r="Q19" s="68" t="n">
        <f aca="false">Q17+Q18</f>
        <v>24.5923769357989</v>
      </c>
      <c r="R19" s="68" t="n">
        <f aca="false">R17+R18</f>
        <v>25.4104595619845</v>
      </c>
      <c r="S19" s="68" t="n">
        <f aca="false">S17+S18</f>
        <v>26.2486453972083</v>
      </c>
    </row>
    <row r="20" customFormat="false" ht="15" hidden="false" customHeight="false" outlineLevel="0" collapsed="false">
      <c r="B20" s="24" t="s">
        <v>402</v>
      </c>
      <c r="C20" s="25" t="s">
        <v>160</v>
      </c>
      <c r="F20" s="49" t="n">
        <f aca="false">IF(F11=0,0,F15/F11)</f>
        <v>0</v>
      </c>
      <c r="G20" s="49" t="n">
        <f aca="false">IF(G11=0,0,G15/G11)</f>
        <v>0</v>
      </c>
      <c r="H20" s="49" t="n">
        <f aca="false">IF(H11=0,0,H15/H11)</f>
        <v>0.922948439661687</v>
      </c>
      <c r="I20" s="49" t="n">
        <f aca="false">IF(I11=0,0,I15/I11)</f>
        <v>0.921858083790049</v>
      </c>
      <c r="J20" s="49" t="n">
        <f aca="false">IF(J11=0,0,J15/J11)</f>
        <v>0.92069944857415</v>
      </c>
      <c r="K20" s="49" t="n">
        <f aca="false">IF(K11=0,0,K15/K11)</f>
        <v>0.919471521614286</v>
      </c>
      <c r="L20" s="49" t="n">
        <f aca="false">IF(L11=0,0,L15/L11)</f>
        <v>0.918173229964571</v>
      </c>
      <c r="M20" s="49" t="n">
        <f aca="false">IF(M11=0,0,M15/M11)</f>
        <v>0.916803439195408</v>
      </c>
      <c r="N20" s="49" t="n">
        <f aca="false">IF(N11=0,0,N15/N11)</f>
        <v>0.91536095240224</v>
      </c>
      <c r="O20" s="49" t="n">
        <f aca="false">IF(O11=0,0,O15/O11)</f>
        <v>0.913844509159715</v>
      </c>
      <c r="P20" s="49" t="n">
        <f aca="false">IF(P11=0,0,P15/P11)</f>
        <v>0.91225278442034</v>
      </c>
      <c r="Q20" s="49" t="n">
        <f aca="false">IF(Q11=0,0,Q15/Q11)</f>
        <v>0.910584387356671</v>
      </c>
      <c r="R20" s="49" t="n">
        <f aca="false">IF(R11=0,0,R15/R11)</f>
        <v>0.908837860146033</v>
      </c>
      <c r="S20" s="49" t="n">
        <f aca="false">IF(S11=0,0,S15/S11)</f>
        <v>0.907011676696687</v>
      </c>
    </row>
    <row r="21" customFormat="false" ht="15" hidden="false" customHeight="false" outlineLevel="0" collapsed="false">
      <c r="B21" s="24" t="s">
        <v>1106</v>
      </c>
      <c r="C21" s="25" t="s">
        <v>160</v>
      </c>
      <c r="F21" s="49" t="n">
        <f aca="false">IF(F11=0,0,F17/F11)</f>
        <v>0</v>
      </c>
      <c r="G21" s="49" t="n">
        <f aca="false">IF(G11=0,0,G17/G11)</f>
        <v>0</v>
      </c>
      <c r="H21" s="49" t="n">
        <f aca="false">IF(H11=0,0,H17/H11)</f>
        <v>0.687392255370697</v>
      </c>
      <c r="I21" s="49" t="n">
        <f aca="false">IF(I11=0,0,I17/I11)</f>
        <v>0.693162759235689</v>
      </c>
      <c r="J21" s="49" t="n">
        <f aca="false">IF(J11=0,0,J17/J11)</f>
        <v>0.698665152890305</v>
      </c>
      <c r="K21" s="49" t="n">
        <f aca="false">IF(K11=0,0,K17/K11)</f>
        <v>0.703904244251331</v>
      </c>
      <c r="L21" s="49" t="n">
        <f aca="false">IF(L11=0,0,L17/L11)</f>
        <v>0.708884611165585</v>
      </c>
      <c r="M21" s="49" t="n">
        <f aca="false">IF(M11=0,0,M17/M11)</f>
        <v>0.713610605409984</v>
      </c>
      <c r="N21" s="49" t="n">
        <f aca="false">IF(N11=0,0,N17/N11)</f>
        <v>0.718086356494062</v>
      </c>
      <c r="O21" s="49" t="n">
        <f aca="false">IF(O11=0,0,O17/O11)</f>
        <v>0.72231577526828</v>
      </c>
      <c r="P21" s="49" t="n">
        <f aca="false">IF(P11=0,0,P17/P11)</f>
        <v>0.764479048057892</v>
      </c>
      <c r="Q21" s="49" t="n">
        <f aca="false">IF(Q11=0,0,Q17/Q11)</f>
        <v>0.767114740402838</v>
      </c>
      <c r="R21" s="49" t="n">
        <f aca="false">IF(R11=0,0,R17/R11)</f>
        <v>0.769546940773379</v>
      </c>
      <c r="S21" s="49" t="n">
        <f aca="false">IF(S11=0,0,S17/S11)</f>
        <v>0.77177777439314</v>
      </c>
    </row>
    <row r="23" customFormat="false" ht="15" hidden="false" customHeight="false" outlineLevel="0" collapsed="false">
      <c r="B23" s="22" t="s">
        <v>1107</v>
      </c>
      <c r="C23" s="23"/>
      <c r="D23" s="23"/>
      <c r="E23" s="23"/>
      <c r="F23" s="23"/>
      <c r="G23" s="23"/>
      <c r="H23" s="23"/>
      <c r="I23" s="23"/>
      <c r="J23" s="23"/>
      <c r="K23" s="23"/>
      <c r="L23" s="23"/>
      <c r="M23" s="23"/>
      <c r="N23" s="23"/>
      <c r="O23" s="23"/>
      <c r="P23" s="23"/>
      <c r="Q23" s="23"/>
      <c r="R23" s="23"/>
      <c r="S23" s="23"/>
    </row>
    <row r="24" customFormat="false" ht="15" hidden="false" customHeight="false" outlineLevel="0" collapsed="false">
      <c r="B24" s="24" t="s">
        <v>456</v>
      </c>
      <c r="C24" s="25" t="s">
        <v>170</v>
      </c>
      <c r="E24" s="47" t="n">
        <f aca="false">SUM(F24:S24)</f>
        <v>254.410375576762</v>
      </c>
      <c r="F24" s="47" t="n">
        <f aca="false">F19</f>
        <v>0</v>
      </c>
      <c r="G24" s="47" t="n">
        <f aca="false">G19</f>
        <v>0</v>
      </c>
      <c r="H24" s="47" t="n">
        <f aca="false">H19</f>
        <v>16.889227714458</v>
      </c>
      <c r="I24" s="47" t="n">
        <f aca="false">I19</f>
        <v>17.5419392642535</v>
      </c>
      <c r="J24" s="47" t="n">
        <f aca="false">J19</f>
        <v>18.2116245574316</v>
      </c>
      <c r="K24" s="47" t="n">
        <f aca="false">K19</f>
        <v>18.8986340032641</v>
      </c>
      <c r="L24" s="47" t="n">
        <f aca="false">L19</f>
        <v>19.6033188521969</v>
      </c>
      <c r="M24" s="47" t="n">
        <f aca="false">M19</f>
        <v>20.3260306321142</v>
      </c>
      <c r="N24" s="47" t="n">
        <f aca="false">N19</f>
        <v>21.0671205318234</v>
      </c>
      <c r="O24" s="47" t="n">
        <f aca="false">O19</f>
        <v>21.8269387279918</v>
      </c>
      <c r="P24" s="47" t="n">
        <f aca="false">P19</f>
        <v>23.7940593982368</v>
      </c>
      <c r="Q24" s="47" t="n">
        <f aca="false">Q19</f>
        <v>24.5923769357989</v>
      </c>
      <c r="R24" s="47" t="n">
        <f aca="false">R19</f>
        <v>25.4104595619845</v>
      </c>
      <c r="S24" s="47" t="n">
        <f aca="false">S19</f>
        <v>26.2486453972083</v>
      </c>
    </row>
    <row r="25" customFormat="false" ht="15" hidden="false" customHeight="false" outlineLevel="0" collapsed="false">
      <c r="B25" s="24" t="s">
        <v>419</v>
      </c>
      <c r="C25" s="25" t="s">
        <v>170</v>
      </c>
      <c r="E25" s="47" t="n">
        <f aca="false">SUM(F25:S25)</f>
        <v>82.9467722942198</v>
      </c>
      <c r="F25" s="47" t="n">
        <f aca="false">-F16</f>
        <v>0</v>
      </c>
      <c r="G25" s="47" t="n">
        <f aca="false">-G16</f>
        <v>0</v>
      </c>
      <c r="H25" s="47" t="n">
        <f aca="false">-H16</f>
        <v>7.4200198051662</v>
      </c>
      <c r="I25" s="47" t="n">
        <f aca="false">-I16</f>
        <v>7.4200198051662</v>
      </c>
      <c r="J25" s="47" t="n">
        <f aca="false">-J16</f>
        <v>7.4200198051662</v>
      </c>
      <c r="K25" s="47" t="n">
        <f aca="false">-K16</f>
        <v>7.4200198051662</v>
      </c>
      <c r="L25" s="47" t="n">
        <f aca="false">-L16</f>
        <v>7.4200198051662</v>
      </c>
      <c r="M25" s="47" t="n">
        <f aca="false">-M16</f>
        <v>7.4200198051662</v>
      </c>
      <c r="N25" s="47" t="n">
        <f aca="false">-N16</f>
        <v>7.4200198051662</v>
      </c>
      <c r="O25" s="47" t="n">
        <f aca="false">-O16</f>
        <v>7.4200198051662</v>
      </c>
      <c r="P25" s="47" t="n">
        <f aca="false">-P16</f>
        <v>5.89665346322253</v>
      </c>
      <c r="Q25" s="47" t="n">
        <f aca="false">-Q16</f>
        <v>5.89665346322253</v>
      </c>
      <c r="R25" s="47" t="n">
        <f aca="false">-R16</f>
        <v>5.89665346322253</v>
      </c>
      <c r="S25" s="47" t="n">
        <f aca="false">-S16</f>
        <v>5.89665346322253</v>
      </c>
    </row>
    <row r="26" customFormat="false" ht="15" hidden="false" customHeight="false" outlineLevel="0" collapsed="false">
      <c r="B26" s="24" t="s">
        <v>1108</v>
      </c>
      <c r="C26" s="25" t="s">
        <v>170</v>
      </c>
      <c r="E26" s="47" t="n">
        <f aca="false">SUM(F26:S26)</f>
        <v>-130.12</v>
      </c>
      <c r="F26" s="47" t="n">
        <f aca="false">-'P02 CigConveyor Calc'!F30</f>
        <v>-35.783</v>
      </c>
      <c r="G26" s="47" t="n">
        <f aca="false">-'P02 CigConveyor Calc'!G30</f>
        <v>-87.831</v>
      </c>
      <c r="H26" s="47" t="n">
        <f aca="false">-'P02 CigConveyor Calc'!H30</f>
        <v>-6.506</v>
      </c>
      <c r="I26" s="47" t="n">
        <f aca="false">-'P02 CigConveyor Calc'!I30</f>
        <v>-0</v>
      </c>
      <c r="J26" s="47" t="n">
        <f aca="false">-'P02 CigConveyor Calc'!J30</f>
        <v>-0</v>
      </c>
      <c r="K26" s="47" t="n">
        <f aca="false">-'P02 CigConveyor Calc'!K30</f>
        <v>-0</v>
      </c>
      <c r="L26" s="47" t="n">
        <f aca="false">-'P02 CigConveyor Calc'!L30</f>
        <v>-0</v>
      </c>
      <c r="M26" s="47" t="n">
        <f aca="false">-'P02 CigConveyor Calc'!M30</f>
        <v>-0</v>
      </c>
      <c r="N26" s="47" t="n">
        <f aca="false">-'P02 CigConveyor Calc'!N30</f>
        <v>-0</v>
      </c>
      <c r="O26" s="47" t="n">
        <f aca="false">-'P02 CigConveyor Calc'!O30</f>
        <v>-0</v>
      </c>
      <c r="P26" s="47" t="n">
        <f aca="false">-'P02 CigConveyor Calc'!P30</f>
        <v>-0</v>
      </c>
      <c r="Q26" s="47" t="n">
        <f aca="false">-'P02 CigConveyor Calc'!Q30</f>
        <v>-0</v>
      </c>
      <c r="R26" s="47" t="n">
        <f aca="false">-'P02 CigConveyor Calc'!R30</f>
        <v>-0</v>
      </c>
      <c r="S26" s="47" t="n">
        <f aca="false">-'P02 CigConveyor Calc'!S30</f>
        <v>-0</v>
      </c>
    </row>
    <row r="27" customFormat="false" ht="15" hidden="false" customHeight="false" outlineLevel="0" collapsed="false">
      <c r="B27" s="24" t="s">
        <v>651</v>
      </c>
      <c r="C27" s="25" t="s">
        <v>170</v>
      </c>
      <c r="E27" s="47" t="n">
        <f aca="false">SUM(F27:S27)</f>
        <v>-5.02872511563385</v>
      </c>
      <c r="F27" s="47" t="n">
        <f aca="false">-'P02 CigConveyor Calc'!F45</f>
        <v>-0</v>
      </c>
      <c r="G27" s="47" t="n">
        <f aca="false">-'P02 CigConveyor Calc'!G45</f>
        <v>-0</v>
      </c>
      <c r="H27" s="47" t="n">
        <f aca="false">-'P02 CigConveyor Calc'!H45</f>
        <v>-3.68407198761725</v>
      </c>
      <c r="I27" s="47" t="n">
        <f aca="false">-'P02 CigConveyor Calc'!I45</f>
        <v>-0.107614494182877</v>
      </c>
      <c r="J27" s="47" t="n">
        <f aca="false">-'P02 CigConveyor Calc'!J45</f>
        <v>-0.110568155234777</v>
      </c>
      <c r="K27" s="47" t="n">
        <f aca="false">-'P02 CigConveyor Calc'!K45</f>
        <v>-0.102621429200262</v>
      </c>
      <c r="L27" s="47" t="n">
        <f aca="false">-'P02 CigConveyor Calc'!L45</f>
        <v>-0.127664506059525</v>
      </c>
      <c r="M27" s="47" t="n">
        <f aca="false">-'P02 CigConveyor Calc'!M45</f>
        <v>-0.119864915894918</v>
      </c>
      <c r="N27" s="47" t="n">
        <f aca="false">-'P02 CigConveyor Calc'!N45</f>
        <v>-0.123112788176238</v>
      </c>
      <c r="O27" s="47" t="n">
        <f aca="false">-'P02 CigConveyor Calc'!O45</f>
        <v>-0.114136474870602</v>
      </c>
      <c r="P27" s="47" t="n">
        <f aca="false">-'P02 CigConveyor Calc'!P45</f>
        <v>-0.14213866808887</v>
      </c>
      <c r="Q27" s="47" t="n">
        <f aca="false">-'P02 CigConveyor Calc'!Q45</f>
        <v>-0.133317771449683</v>
      </c>
      <c r="R27" s="47" t="n">
        <f aca="false">-'P02 CigConveyor Calc'!R45</f>
        <v>-0.136876373349406</v>
      </c>
      <c r="S27" s="47" t="n">
        <f aca="false">-'P02 CigConveyor Calc'!S45</f>
        <v>-0.126737551509448</v>
      </c>
    </row>
    <row r="28" customFormat="false" ht="15" hidden="false" customHeight="false" outlineLevel="0" collapsed="false">
      <c r="B28" s="69" t="s">
        <v>1109</v>
      </c>
      <c r="C28" s="25" t="s">
        <v>170</v>
      </c>
      <c r="E28" s="70" t="n">
        <f aca="false">SUM(F28:S28)</f>
        <v>202.208422755348</v>
      </c>
      <c r="F28" s="68" t="n">
        <f aca="false">F24+F25+F26+F27</f>
        <v>-35.783</v>
      </c>
      <c r="G28" s="68" t="n">
        <f aca="false">G24+G25+G26+G27</f>
        <v>-87.831</v>
      </c>
      <c r="H28" s="68" t="n">
        <f aca="false">H24+H25+H26+H27</f>
        <v>14.119175532007</v>
      </c>
      <c r="I28" s="68" t="n">
        <f aca="false">I24+I25+I26+I27</f>
        <v>24.8543445752368</v>
      </c>
      <c r="J28" s="68" t="n">
        <f aca="false">J24+J25+J26+J27</f>
        <v>25.521076207363</v>
      </c>
      <c r="K28" s="68" t="n">
        <f aca="false">K24+K25+K26+K27</f>
        <v>26.2160323792301</v>
      </c>
      <c r="L28" s="68" t="n">
        <f aca="false">L24+L25+L26+L27</f>
        <v>26.8956741513036</v>
      </c>
      <c r="M28" s="68" t="n">
        <f aca="false">M24+M25+M26+M27</f>
        <v>27.6261855213855</v>
      </c>
      <c r="N28" s="68" t="n">
        <f aca="false">N24+N25+N26+N27</f>
        <v>28.3640275488134</v>
      </c>
      <c r="O28" s="68" t="n">
        <f aca="false">O24+O25+O26+O27</f>
        <v>29.1328220582874</v>
      </c>
      <c r="P28" s="68" t="n">
        <f aca="false">P24+P25+P26+P27</f>
        <v>29.5485741933704</v>
      </c>
      <c r="Q28" s="68" t="n">
        <f aca="false">Q24+Q25+Q26+Q27</f>
        <v>30.3557126275717</v>
      </c>
      <c r="R28" s="68" t="n">
        <f aca="false">R24+R25+R26+R27</f>
        <v>31.1702366518576</v>
      </c>
      <c r="S28" s="68" t="n">
        <f aca="false">S24+S25+S26+S27</f>
        <v>32.0185613089214</v>
      </c>
    </row>
    <row r="29" customFormat="false" ht="15" hidden="false" customHeight="false" outlineLevel="0" collapsed="false">
      <c r="B29" s="24" t="s">
        <v>354</v>
      </c>
      <c r="C29" s="25" t="s">
        <v>170</v>
      </c>
      <c r="F29" s="47" t="n">
        <f aca="false">SUM($F$28:F28)</f>
        <v>-35.783</v>
      </c>
      <c r="G29" s="47" t="n">
        <f aca="false">SUM($F$28:G28)</f>
        <v>-123.614</v>
      </c>
      <c r="H29" s="47" t="n">
        <f aca="false">SUM($F$28:H28)</f>
        <v>-109.494824467993</v>
      </c>
      <c r="I29" s="47" t="n">
        <f aca="false">SUM($F$28:I28)</f>
        <v>-84.6404798927562</v>
      </c>
      <c r="J29" s="47" t="n">
        <f aca="false">SUM($F$28:J28)</f>
        <v>-59.1194036853932</v>
      </c>
      <c r="K29" s="47" t="n">
        <f aca="false">SUM($F$28:K28)</f>
        <v>-32.9033713061631</v>
      </c>
      <c r="L29" s="47" t="n">
        <f aca="false">SUM($F$28:L28)</f>
        <v>-6.00769715485951</v>
      </c>
      <c r="M29" s="47" t="n">
        <f aca="false">SUM($F$28:M28)</f>
        <v>21.618488366526</v>
      </c>
      <c r="N29" s="47" t="n">
        <f aca="false">SUM($F$28:N28)</f>
        <v>49.9825159153394</v>
      </c>
      <c r="O29" s="47" t="n">
        <f aca="false">SUM($F$28:O28)</f>
        <v>79.1153379736268</v>
      </c>
      <c r="P29" s="47" t="n">
        <f aca="false">SUM($F$28:P28)</f>
        <v>108.663912166997</v>
      </c>
      <c r="Q29" s="47" t="n">
        <f aca="false">SUM($F$28:Q28)</f>
        <v>139.019624794569</v>
      </c>
      <c r="R29" s="47" t="n">
        <f aca="false">SUM($F$28:R28)</f>
        <v>170.189861446427</v>
      </c>
      <c r="S29" s="47" t="n">
        <f aca="false">SUM($F$28:S28)</f>
        <v>202.208422755348</v>
      </c>
    </row>
    <row r="30" customFormat="false" ht="15" hidden="false" customHeight="false" outlineLevel="0" collapsed="false">
      <c r="B30" s="24" t="s">
        <v>1110</v>
      </c>
      <c r="C30" s="25" t="s">
        <v>170</v>
      </c>
      <c r="E30" s="47" t="n">
        <f aca="false">SUM(F30:S30)</f>
        <v>286.848902648104</v>
      </c>
      <c r="F30" s="47" t="n">
        <f aca="false">F28*'Global Inputs'!F16</f>
        <v>-0</v>
      </c>
      <c r="G30" s="47" t="n">
        <f aca="false">G28*'Global Inputs'!G16</f>
        <v>-0</v>
      </c>
      <c r="H30" s="47" t="n">
        <f aca="false">H28*'Global Inputs'!H16</f>
        <v>0</v>
      </c>
      <c r="I30" s="47" t="n">
        <f aca="false">I28*'Global Inputs'!I16</f>
        <v>0</v>
      </c>
      <c r="J30" s="47" t="n">
        <f aca="false">J28*'Global Inputs'!J16</f>
        <v>25.521076207363</v>
      </c>
      <c r="K30" s="47" t="n">
        <f aca="false">K28*'Global Inputs'!K16</f>
        <v>26.2160323792301</v>
      </c>
      <c r="L30" s="47" t="n">
        <f aca="false">L28*'Global Inputs'!L16</f>
        <v>26.8956741513036</v>
      </c>
      <c r="M30" s="47" t="n">
        <f aca="false">M28*'Global Inputs'!M16</f>
        <v>27.6261855213855</v>
      </c>
      <c r="N30" s="47" t="n">
        <f aca="false">N28*'Global Inputs'!N16</f>
        <v>28.3640275488134</v>
      </c>
      <c r="O30" s="47" t="n">
        <f aca="false">O28*'Global Inputs'!O16</f>
        <v>29.1328220582874</v>
      </c>
      <c r="P30" s="47" t="n">
        <f aca="false">P28*'Global Inputs'!P16</f>
        <v>29.5485741933704</v>
      </c>
      <c r="Q30" s="47" t="n">
        <f aca="false">Q28*'Global Inputs'!Q16</f>
        <v>30.3557126275717</v>
      </c>
      <c r="R30" s="47" t="n">
        <f aca="false">R28*'Global Inputs'!R16</f>
        <v>31.1702366518576</v>
      </c>
      <c r="S30" s="47" t="n">
        <f aca="false">S28*'Global Inputs'!S16</f>
        <v>32.0185613089214</v>
      </c>
    </row>
    <row r="31" customFormat="false" ht="15" hidden="false" customHeight="false" outlineLevel="0" collapsed="false">
      <c r="B31" s="24" t="s">
        <v>1111</v>
      </c>
      <c r="C31" s="25" t="s">
        <v>170</v>
      </c>
      <c r="E31" s="47" t="n">
        <f aca="false">SUM(F31:S31)</f>
        <v>123.614</v>
      </c>
      <c r="F31" s="47" t="n">
        <f aca="false">MAX(0,-F28)</f>
        <v>35.783</v>
      </c>
      <c r="G31" s="47" t="n">
        <f aca="false">MAX(0,-G28)</f>
        <v>87.831</v>
      </c>
      <c r="H31" s="47" t="n">
        <f aca="false">MAX(0,-H28)</f>
        <v>0</v>
      </c>
      <c r="I31" s="47" t="n">
        <f aca="false">MAX(0,-I28)</f>
        <v>0</v>
      </c>
      <c r="J31" s="47" t="n">
        <f aca="false">MAX(0,-J28)</f>
        <v>0</v>
      </c>
      <c r="K31" s="47" t="n">
        <f aca="false">MAX(0,-K28)</f>
        <v>0</v>
      </c>
      <c r="L31" s="47" t="n">
        <f aca="false">MAX(0,-L28)</f>
        <v>0</v>
      </c>
      <c r="M31" s="47" t="n">
        <f aca="false">MAX(0,-M28)</f>
        <v>0</v>
      </c>
      <c r="N31" s="47" t="n">
        <f aca="false">MAX(0,-N28)</f>
        <v>0</v>
      </c>
      <c r="O31" s="47" t="n">
        <f aca="false">MAX(0,-O28)</f>
        <v>0</v>
      </c>
      <c r="P31" s="47" t="n">
        <f aca="false">MAX(0,-P28)</f>
        <v>0</v>
      </c>
      <c r="Q31" s="47" t="n">
        <f aca="false">MAX(0,-Q28)</f>
        <v>0</v>
      </c>
      <c r="R31" s="47" t="n">
        <f aca="false">MAX(0,-R28)</f>
        <v>0</v>
      </c>
      <c r="S31" s="47" t="n">
        <f aca="false">MAX(0,-S28)</f>
        <v>0</v>
      </c>
    </row>
    <row r="33" customFormat="false" ht="15" hidden="false" customHeight="false" outlineLevel="0" collapsed="false">
      <c r="B33" s="22" t="s">
        <v>1112</v>
      </c>
      <c r="C33" s="23"/>
      <c r="D33" s="23"/>
      <c r="E33" s="23"/>
      <c r="F33" s="23"/>
      <c r="G33" s="23"/>
      <c r="H33" s="23"/>
      <c r="I33" s="23"/>
      <c r="J33" s="23"/>
      <c r="K33" s="23"/>
      <c r="L33" s="23"/>
      <c r="M33" s="23"/>
      <c r="N33" s="23"/>
      <c r="O33" s="23"/>
      <c r="P33" s="23"/>
      <c r="Q33" s="23"/>
      <c r="R33" s="23"/>
      <c r="S33" s="23"/>
    </row>
    <row r="34" customFormat="false" ht="15" hidden="false" customHeight="false" outlineLevel="0" collapsed="false">
      <c r="B34" s="24" t="s">
        <v>1113</v>
      </c>
      <c r="C34" s="25" t="s">
        <v>240</v>
      </c>
      <c r="E34" s="44" t="n">
        <f aca="false">SUM(F34:S34)</f>
        <v>8</v>
      </c>
      <c r="F34" s="44" t="n">
        <f aca="false">'P02 CigConveyor Calc'!F28</f>
        <v>2.2</v>
      </c>
      <c r="G34" s="44" t="n">
        <f aca="false">'P02 CigConveyor Calc'!G28</f>
        <v>5.4</v>
      </c>
      <c r="H34" s="44" t="n">
        <f aca="false">'P02 CigConveyor Calc'!H28</f>
        <v>0.4</v>
      </c>
      <c r="I34" s="44" t="n">
        <f aca="false">'P02 CigConveyor Calc'!I28</f>
        <v>0</v>
      </c>
      <c r="J34" s="44" t="n">
        <f aca="false">'P02 CigConveyor Calc'!J28</f>
        <v>0</v>
      </c>
      <c r="K34" s="44" t="n">
        <f aca="false">'P02 CigConveyor Calc'!K28</f>
        <v>0</v>
      </c>
      <c r="L34" s="44" t="n">
        <f aca="false">'P02 CigConveyor Calc'!L28</f>
        <v>0</v>
      </c>
      <c r="M34" s="44" t="n">
        <f aca="false">'P02 CigConveyor Calc'!M28</f>
        <v>0</v>
      </c>
      <c r="N34" s="44" t="n">
        <f aca="false">'P02 CigConveyor Calc'!N28</f>
        <v>0</v>
      </c>
      <c r="O34" s="44" t="n">
        <f aca="false">'P02 CigConveyor Calc'!O28</f>
        <v>0</v>
      </c>
      <c r="P34" s="44" t="n">
        <f aca="false">'P02 CigConveyor Calc'!P28</f>
        <v>0</v>
      </c>
      <c r="Q34" s="44" t="n">
        <f aca="false">'P02 CigConveyor Calc'!Q28</f>
        <v>0</v>
      </c>
      <c r="R34" s="44" t="n">
        <f aca="false">'P02 CigConveyor Calc'!R28</f>
        <v>0</v>
      </c>
      <c r="S34" s="44" t="n">
        <f aca="false">'P02 CigConveyor Calc'!S28</f>
        <v>0</v>
      </c>
    </row>
    <row r="35" customFormat="false" ht="15" hidden="false" customHeight="false" outlineLevel="0" collapsed="false">
      <c r="B35" s="24" t="s">
        <v>1114</v>
      </c>
      <c r="C35" s="25" t="s">
        <v>170</v>
      </c>
      <c r="E35" s="47" t="n">
        <f aca="false">SUM(F35:S35)</f>
        <v>130.12</v>
      </c>
      <c r="F35" s="47" t="n">
        <f aca="false">'P02 CigConveyor Calc'!F30</f>
        <v>35.783</v>
      </c>
      <c r="G35" s="47" t="n">
        <f aca="false">'P02 CigConveyor Calc'!G30</f>
        <v>87.831</v>
      </c>
      <c r="H35" s="47" t="n">
        <f aca="false">'P02 CigConveyor Calc'!H30</f>
        <v>6.506</v>
      </c>
      <c r="I35" s="47" t="n">
        <f aca="false">'P02 CigConveyor Calc'!I30</f>
        <v>0</v>
      </c>
      <c r="J35" s="47" t="n">
        <f aca="false">'P02 CigConveyor Calc'!J30</f>
        <v>0</v>
      </c>
      <c r="K35" s="47" t="n">
        <f aca="false">'P02 CigConveyor Calc'!K30</f>
        <v>0</v>
      </c>
      <c r="L35" s="47" t="n">
        <f aca="false">'P02 CigConveyor Calc'!L30</f>
        <v>0</v>
      </c>
      <c r="M35" s="47" t="n">
        <f aca="false">'P02 CigConveyor Calc'!M30</f>
        <v>0</v>
      </c>
      <c r="N35" s="47" t="n">
        <f aca="false">'P02 CigConveyor Calc'!N30</f>
        <v>0</v>
      </c>
      <c r="O35" s="47" t="n">
        <f aca="false">'P02 CigConveyor Calc'!O30</f>
        <v>0</v>
      </c>
      <c r="P35" s="47" t="n">
        <f aca="false">'P02 CigConveyor Calc'!P30</f>
        <v>0</v>
      </c>
      <c r="Q35" s="47" t="n">
        <f aca="false">'P02 CigConveyor Calc'!Q30</f>
        <v>0</v>
      </c>
      <c r="R35" s="47" t="n">
        <f aca="false">'P02 CigConveyor Calc'!R30</f>
        <v>0</v>
      </c>
      <c r="S35" s="47" t="n">
        <f aca="false">'P02 CigConveyor Calc'!S30</f>
        <v>0</v>
      </c>
    </row>
    <row r="36" customFormat="false" ht="15" hidden="false" customHeight="false" outlineLevel="0" collapsed="false">
      <c r="B36" s="24" t="s">
        <v>1115</v>
      </c>
      <c r="C36" s="25" t="s">
        <v>170</v>
      </c>
      <c r="F36" s="47" t="n">
        <f aca="false">'P02 CigConveyor Calc'!F37</f>
        <v>35.783</v>
      </c>
      <c r="G36" s="47" t="n">
        <f aca="false">'P02 CigConveyor Calc'!G37</f>
        <v>123.614</v>
      </c>
      <c r="H36" s="47" t="n">
        <f aca="false">'P02 CigConveyor Calc'!H37</f>
        <v>122.699980194834</v>
      </c>
      <c r="I36" s="47" t="n">
        <f aca="false">'P02 CigConveyor Calc'!I37</f>
        <v>115.279960389668</v>
      </c>
      <c r="J36" s="47" t="n">
        <f aca="false">'P02 CigConveyor Calc'!J37</f>
        <v>107.859940584501</v>
      </c>
      <c r="K36" s="47" t="n">
        <f aca="false">'P02 CigConveyor Calc'!K37</f>
        <v>100.439920779335</v>
      </c>
      <c r="L36" s="47" t="n">
        <f aca="false">'P02 CigConveyor Calc'!L37</f>
        <v>93.019900974169</v>
      </c>
      <c r="M36" s="47" t="n">
        <f aca="false">'P02 CigConveyor Calc'!M37</f>
        <v>85.5998811690028</v>
      </c>
      <c r="N36" s="47" t="n">
        <f aca="false">'P02 CigConveyor Calc'!N37</f>
        <v>78.1798613638366</v>
      </c>
      <c r="O36" s="47" t="n">
        <f aca="false">'P02 CigConveyor Calc'!O37</f>
        <v>70.7598415586704</v>
      </c>
      <c r="P36" s="47" t="n">
        <f aca="false">'P02 CigConveyor Calc'!P37</f>
        <v>64.8631880954478</v>
      </c>
      <c r="Q36" s="47" t="n">
        <f aca="false">'P02 CigConveyor Calc'!Q37</f>
        <v>58.9665346322253</v>
      </c>
      <c r="R36" s="47" t="n">
        <f aca="false">'P02 CigConveyor Calc'!R37</f>
        <v>53.0698811690028</v>
      </c>
      <c r="S36" s="47" t="n">
        <f aca="false">'P02 CigConveyor Calc'!S37</f>
        <v>47.1732277057802</v>
      </c>
    </row>
    <row r="37" customFormat="false" ht="15" hidden="false" customHeight="false" outlineLevel="0" collapsed="false">
      <c r="B37" s="24" t="s">
        <v>463</v>
      </c>
      <c r="C37" s="25" t="s">
        <v>170</v>
      </c>
      <c r="F37" s="47" t="n">
        <f aca="false">'P02 CigConveyor Calc'!F42</f>
        <v>0</v>
      </c>
      <c r="G37" s="47" t="n">
        <f aca="false">'P02 CigConveyor Calc'!G42</f>
        <v>0</v>
      </c>
      <c r="H37" s="47" t="n">
        <f aca="false">'P02 CigConveyor Calc'!H42</f>
        <v>3.88356164383562</v>
      </c>
      <c r="I37" s="47" t="n">
        <f aca="false">'P02 CigConveyor Calc'!I42</f>
        <v>4.00006849315069</v>
      </c>
      <c r="J37" s="47" t="n">
        <f aca="false">'P02 CigConveyor Calc'!J42</f>
        <v>4.12007054794521</v>
      </c>
      <c r="K37" s="47" t="n">
        <f aca="false">'P02 CigConveyor Calc'!K42</f>
        <v>4.23207793032787</v>
      </c>
      <c r="L37" s="47" t="n">
        <f aca="false">'P02 CigConveyor Calc'!L42</f>
        <v>4.37098284431507</v>
      </c>
      <c r="M37" s="47" t="n">
        <f aca="false">'P02 CigConveyor Calc'!M42</f>
        <v>4.50211232964452</v>
      </c>
      <c r="N37" s="47" t="n">
        <f aca="false">'P02 CigConveyor Calc'!N42</f>
        <v>4.63717569953386</v>
      </c>
      <c r="O37" s="47" t="n">
        <f aca="false">'P02 CigConveyor Calc'!O42</f>
        <v>4.76324099519058</v>
      </c>
      <c r="P37" s="47" t="n">
        <f aca="false">'P02 CigConveyor Calc'!P42</f>
        <v>4.91957969963547</v>
      </c>
      <c r="Q37" s="47" t="n">
        <f aca="false">'P02 CigConveyor Calc'!Q42</f>
        <v>5.06716709062453</v>
      </c>
      <c r="R37" s="47" t="n">
        <f aca="false">'P02 CigConveyor Calc'!R42</f>
        <v>5.21918210334327</v>
      </c>
      <c r="S37" s="47" t="n">
        <f aca="false">'P02 CigConveyor Calc'!S42</f>
        <v>5.36106970424017</v>
      </c>
    </row>
    <row r="38" customFormat="false" ht="15" hidden="false" customHeight="false" outlineLevel="0" collapsed="false">
      <c r="B38" s="24" t="s">
        <v>1116</v>
      </c>
      <c r="C38" s="25" t="s">
        <v>170</v>
      </c>
      <c r="F38" s="47" t="n">
        <f aca="false">-'P02 CigConveyor Calc'!F43</f>
        <v>-0</v>
      </c>
      <c r="G38" s="47" t="n">
        <f aca="false">-'P02 CigConveyor Calc'!G43</f>
        <v>-0</v>
      </c>
      <c r="H38" s="47" t="n">
        <f aca="false">-'P02 CigConveyor Calc'!H43</f>
        <v>-0.199489656218372</v>
      </c>
      <c r="I38" s="47" t="n">
        <f aca="false">-'P02 CigConveyor Calc'!I43</f>
        <v>-0.208382011350564</v>
      </c>
      <c r="J38" s="47" t="n">
        <f aca="false">-'P02 CigConveyor Calc'!J43</f>
        <v>-0.217815910910306</v>
      </c>
      <c r="K38" s="47" t="n">
        <f aca="false">-'P02 CigConveyor Calc'!K43</f>
        <v>-0.227201864092709</v>
      </c>
      <c r="L38" s="47" t="n">
        <f aca="false">-'P02 CigConveyor Calc'!L43</f>
        <v>-0.238442272020382</v>
      </c>
      <c r="M38" s="47" t="n">
        <f aca="false">-'P02 CigConveyor Calc'!M43</f>
        <v>-0.249706841454917</v>
      </c>
      <c r="N38" s="47" t="n">
        <f aca="false">-'P02 CigConveyor Calc'!N43</f>
        <v>-0.261657423168014</v>
      </c>
      <c r="O38" s="47" t="n">
        <f aca="false">-'P02 CigConveyor Calc'!O43</f>
        <v>-0.273586243954141</v>
      </c>
      <c r="P38" s="47" t="n">
        <f aca="false">-'P02 CigConveyor Calc'!P43</f>
        <v>-0.287786280310156</v>
      </c>
      <c r="Q38" s="47" t="n">
        <f aca="false">-'P02 CigConveyor Calc'!Q43</f>
        <v>-0.302055899849537</v>
      </c>
      <c r="R38" s="47" t="n">
        <f aca="false">-'P02 CigConveyor Calc'!R43</f>
        <v>-0.317194539218867</v>
      </c>
      <c r="S38" s="47" t="n">
        <f aca="false">-'P02 CigConveyor Calc'!S43</f>
        <v>-0.33234458860632</v>
      </c>
    </row>
    <row r="39" customFormat="false" ht="15" hidden="false" customHeight="false" outlineLevel="0" collapsed="false">
      <c r="B39" s="69" t="s">
        <v>1117</v>
      </c>
      <c r="C39" s="25" t="s">
        <v>170</v>
      </c>
      <c r="F39" s="68" t="n">
        <f aca="false">F36+F37+F38</f>
        <v>35.783</v>
      </c>
      <c r="G39" s="68" t="n">
        <f aca="false">G36+G37+G38</f>
        <v>123.614</v>
      </c>
      <c r="H39" s="68" t="n">
        <f aca="false">H36+H37+H38</f>
        <v>126.384052182451</v>
      </c>
      <c r="I39" s="68" t="n">
        <f aca="false">I36+I37+I38</f>
        <v>119.071646871468</v>
      </c>
      <c r="J39" s="68" t="n">
        <f aca="false">J36+J37+J38</f>
        <v>111.762195221536</v>
      </c>
      <c r="K39" s="68" t="n">
        <f aca="false">K36+K37+K38</f>
        <v>104.44479684557</v>
      </c>
      <c r="L39" s="68" t="n">
        <f aca="false">L36+L37+L38</f>
        <v>97.1524415464637</v>
      </c>
      <c r="M39" s="68" t="n">
        <f aca="false">M36+M37+M38</f>
        <v>89.8522866571924</v>
      </c>
      <c r="N39" s="68" t="n">
        <f aca="false">N36+N37+N38</f>
        <v>82.5553796402024</v>
      </c>
      <c r="O39" s="68" t="n">
        <f aca="false">O36+O37+O38</f>
        <v>75.2494963099068</v>
      </c>
      <c r="P39" s="68" t="n">
        <f aca="false">P36+P37+P38</f>
        <v>69.4949815147731</v>
      </c>
      <c r="Q39" s="68" t="n">
        <f aca="false">Q36+Q37+Q38</f>
        <v>63.7316458230003</v>
      </c>
      <c r="R39" s="68" t="n">
        <f aca="false">R36+R37+R38</f>
        <v>57.9718687331272</v>
      </c>
      <c r="S39" s="68" t="n">
        <f aca="false">S36+S37+S38</f>
        <v>52.2019528214141</v>
      </c>
    </row>
    <row r="41" customFormat="false" ht="15" hidden="false" customHeight="false" outlineLevel="0" collapsed="false">
      <c r="B41" s="22" t="s">
        <v>1119</v>
      </c>
      <c r="C41" s="23"/>
      <c r="D41" s="23"/>
      <c r="E41" s="23"/>
      <c r="F41" s="23"/>
      <c r="G41" s="23"/>
      <c r="H41" s="23"/>
      <c r="I41" s="23"/>
      <c r="J41" s="23"/>
      <c r="K41" s="23"/>
      <c r="L41" s="23"/>
      <c r="M41" s="23"/>
      <c r="N41" s="23"/>
      <c r="O41" s="23"/>
      <c r="P41" s="23"/>
      <c r="Q41" s="23"/>
      <c r="R41" s="23"/>
      <c r="S41" s="23"/>
    </row>
    <row r="42" customFormat="false" ht="15" hidden="false" customHeight="false" outlineLevel="0" collapsed="false">
      <c r="B42" s="24" t="s">
        <v>1120</v>
      </c>
      <c r="C42" s="25" t="s">
        <v>143</v>
      </c>
      <c r="F42" s="30" t="n">
        <f aca="false">0</f>
        <v>0</v>
      </c>
      <c r="G42" s="30" t="n">
        <f aca="false">MIN(1,F42+F43)</f>
        <v>0</v>
      </c>
      <c r="H42" s="30" t="n">
        <f aca="false">MIN(1,G42+G43)</f>
        <v>0</v>
      </c>
      <c r="I42" s="30" t="n">
        <f aca="false">MIN(1,H42+H43)</f>
        <v>0</v>
      </c>
      <c r="J42" s="30" t="n">
        <f aca="false">MIN(1,I42+I43)</f>
        <v>0</v>
      </c>
      <c r="K42" s="30" t="n">
        <f aca="false">MIN(1,J42+J43)</f>
        <v>0</v>
      </c>
      <c r="L42" s="30" t="n">
        <f aca="false">MIN(1,K42+K43)</f>
        <v>0</v>
      </c>
      <c r="M42" s="30" t="n">
        <f aca="false">MIN(1,L42+L43)</f>
        <v>0</v>
      </c>
      <c r="N42" s="30" t="n">
        <f aca="false">MIN(1,M42+M43)</f>
        <v>1</v>
      </c>
      <c r="O42" s="30" t="n">
        <f aca="false">MIN(1,N42+N43)</f>
        <v>1</v>
      </c>
      <c r="P42" s="30" t="n">
        <f aca="false">MIN(1,O42+O43)</f>
        <v>1</v>
      </c>
      <c r="Q42" s="30" t="n">
        <f aca="false">MIN(1,P42+P43)</f>
        <v>1</v>
      </c>
      <c r="R42" s="30" t="n">
        <f aca="false">MIN(1,Q42+Q43)</f>
        <v>1</v>
      </c>
      <c r="S42" s="30" t="n">
        <f aca="false">MIN(1,R42+R43)</f>
        <v>1</v>
      </c>
    </row>
    <row r="43" customFormat="false" ht="15" hidden="false" customHeight="false" outlineLevel="0" collapsed="false">
      <c r="B43" s="24" t="s">
        <v>1121</v>
      </c>
      <c r="C43" s="25" t="s">
        <v>143</v>
      </c>
      <c r="F43" s="30" t="n">
        <f aca="false">0</f>
        <v>0</v>
      </c>
      <c r="G43" s="30" t="n">
        <f aca="false">IF(AND(G29&gt;=0,F29&lt;0,G42=0),1,0)</f>
        <v>0</v>
      </c>
      <c r="H43" s="30" t="n">
        <f aca="false">IF(AND(H29&gt;=0,G29&lt;0,H42=0),1,0)</f>
        <v>0</v>
      </c>
      <c r="I43" s="30" t="n">
        <f aca="false">IF(AND(I29&gt;=0,H29&lt;0,I42=0),1,0)</f>
        <v>0</v>
      </c>
      <c r="J43" s="30" t="n">
        <f aca="false">IF(AND(J29&gt;=0,I29&lt;0,J42=0),1,0)</f>
        <v>0</v>
      </c>
      <c r="K43" s="30" t="n">
        <f aca="false">IF(AND(K29&gt;=0,J29&lt;0,K42=0),1,0)</f>
        <v>0</v>
      </c>
      <c r="L43" s="30" t="n">
        <f aca="false">IF(AND(L29&gt;=0,K29&lt;0,L42=0),1,0)</f>
        <v>0</v>
      </c>
      <c r="M43" s="30" t="n">
        <f aca="false">IF(AND(M29&gt;=0,L29&lt;0,M42=0),1,0)</f>
        <v>1</v>
      </c>
      <c r="N43" s="30" t="n">
        <f aca="false">IF(AND(N29&gt;=0,M29&lt;0,N42=0),1,0)</f>
        <v>0</v>
      </c>
      <c r="O43" s="30" t="n">
        <f aca="false">IF(AND(O29&gt;=0,N29&lt;0,O42=0),1,0)</f>
        <v>0</v>
      </c>
      <c r="P43" s="30" t="n">
        <f aca="false">IF(AND(P29&gt;=0,O29&lt;0,P42=0),1,0)</f>
        <v>0</v>
      </c>
      <c r="Q43" s="30" t="n">
        <f aca="false">IF(AND(Q29&gt;=0,P29&lt;0,Q42=0),1,0)</f>
        <v>0</v>
      </c>
      <c r="R43" s="30" t="n">
        <f aca="false">IF(AND(R29&gt;=0,Q29&lt;0,R42=0),1,0)</f>
        <v>0</v>
      </c>
      <c r="S43" s="30" t="n">
        <f aca="false">IF(AND(S29&gt;=0,R29&lt;0,S42=0),1,0)</f>
        <v>0</v>
      </c>
    </row>
    <row r="44" customFormat="false" ht="15" hidden="false" customHeight="false" outlineLevel="0" collapsed="false">
      <c r="B44" s="24" t="s">
        <v>1122</v>
      </c>
      <c r="C44" s="25" t="s">
        <v>170</v>
      </c>
      <c r="F44" s="47" t="n">
        <f aca="false">IF(F$5='Global Inputs'!$E$14,F28*(1+'Global Inputs'!$E$54)/('Global Inputs'!$E$53-'Global Inputs'!$E$54),0)</f>
        <v>0</v>
      </c>
      <c r="G44" s="47" t="n">
        <f aca="false">IF(G$5='Global Inputs'!$E$14,G28*(1+'Global Inputs'!$E$54)/('Global Inputs'!$E$53-'Global Inputs'!$E$54),0)</f>
        <v>0</v>
      </c>
      <c r="H44" s="47" t="n">
        <f aca="false">IF(H$5='Global Inputs'!$E$14,H28*(1+'Global Inputs'!$E$54)/('Global Inputs'!$E$53-'Global Inputs'!$E$54),0)</f>
        <v>0</v>
      </c>
      <c r="I44" s="47" t="n">
        <f aca="false">IF(I$5='Global Inputs'!$E$14,I28*(1+'Global Inputs'!$E$54)/('Global Inputs'!$E$53-'Global Inputs'!$E$54),0)</f>
        <v>0</v>
      </c>
      <c r="J44" s="47" t="n">
        <f aca="false">IF(J$5='Global Inputs'!$E$14,J28*(1+'Global Inputs'!$E$54)/('Global Inputs'!$E$53-'Global Inputs'!$E$54),0)</f>
        <v>0</v>
      </c>
      <c r="K44" s="47" t="n">
        <f aca="false">IF(K$5='Global Inputs'!$E$14,K28*(1+'Global Inputs'!$E$54)/('Global Inputs'!$E$53-'Global Inputs'!$E$54),0)</f>
        <v>0</v>
      </c>
      <c r="L44" s="47" t="n">
        <f aca="false">IF(L$5='Global Inputs'!$E$14,L28*(1+'Global Inputs'!$E$54)/('Global Inputs'!$E$53-'Global Inputs'!$E$54),0)</f>
        <v>0</v>
      </c>
      <c r="M44" s="47" t="n">
        <f aca="false">IF(M$5='Global Inputs'!$E$14,M28*(1+'Global Inputs'!$E$54)/('Global Inputs'!$E$53-'Global Inputs'!$E$54),0)</f>
        <v>0</v>
      </c>
      <c r="N44" s="47" t="n">
        <f aca="false">IF(N$5='Global Inputs'!$E$14,N28*(1+'Global Inputs'!$E$54)/('Global Inputs'!$E$53-'Global Inputs'!$E$54),0)</f>
        <v>0</v>
      </c>
      <c r="O44" s="47" t="n">
        <f aca="false">IF(O$5='Global Inputs'!$E$14,O28*(1+'Global Inputs'!$E$54)/('Global Inputs'!$E$53-'Global Inputs'!$E$54),0)</f>
        <v>0</v>
      </c>
      <c r="P44" s="47" t="n">
        <f aca="false">IF(P$5='Global Inputs'!$E$14,P28*(1+'Global Inputs'!$E$54)/('Global Inputs'!$E$53-'Global Inputs'!$E$54),0)</f>
        <v>0</v>
      </c>
      <c r="Q44" s="47" t="n">
        <f aca="false">IF(Q$5='Global Inputs'!$E$14,Q28*(1+'Global Inputs'!$E$54)/('Global Inputs'!$E$53-'Global Inputs'!$E$54),0)</f>
        <v>0</v>
      </c>
      <c r="R44" s="47" t="n">
        <f aca="false">IF(R$5='Global Inputs'!$E$14,R28*(1+'Global Inputs'!$E$54)/('Global Inputs'!$E$53-'Global Inputs'!$E$54),0)</f>
        <v>0</v>
      </c>
      <c r="S44" s="47" t="n">
        <f aca="false">IF(S$5='Global Inputs'!$E$14,S28*(1+'Global Inputs'!$E$54)/('Global Inputs'!$E$53-'Global Inputs'!$E$54),0)</f>
        <v>371.951429696244</v>
      </c>
    </row>
    <row r="45" customFormat="false" ht="15" hidden="false" customHeight="false" outlineLevel="0" collapsed="false">
      <c r="B45" s="24" t="s">
        <v>1123</v>
      </c>
      <c r="C45" s="25" t="s">
        <v>170</v>
      </c>
      <c r="F45" s="47" t="n">
        <f aca="false">F28+F44</f>
        <v>-35.783</v>
      </c>
      <c r="G45" s="47" t="n">
        <f aca="false">G28+G44</f>
        <v>-87.831</v>
      </c>
      <c r="H45" s="47" t="n">
        <f aca="false">H28+H44</f>
        <v>14.119175532007</v>
      </c>
      <c r="I45" s="47" t="n">
        <f aca="false">I28+I44</f>
        <v>24.8543445752368</v>
      </c>
      <c r="J45" s="47" t="n">
        <f aca="false">J28+J44</f>
        <v>25.521076207363</v>
      </c>
      <c r="K45" s="47" t="n">
        <f aca="false">K28+K44</f>
        <v>26.2160323792301</v>
      </c>
      <c r="L45" s="47" t="n">
        <f aca="false">L28+L44</f>
        <v>26.8956741513036</v>
      </c>
      <c r="M45" s="47" t="n">
        <f aca="false">M28+M44</f>
        <v>27.6261855213855</v>
      </c>
      <c r="N45" s="47" t="n">
        <f aca="false">N28+N44</f>
        <v>28.3640275488134</v>
      </c>
      <c r="O45" s="47" t="n">
        <f aca="false">O28+O44</f>
        <v>29.1328220582874</v>
      </c>
      <c r="P45" s="47" t="n">
        <f aca="false">P28+P44</f>
        <v>29.5485741933704</v>
      </c>
      <c r="Q45" s="47" t="n">
        <f aca="false">Q28+Q44</f>
        <v>30.3557126275717</v>
      </c>
      <c r="R45" s="47" t="n">
        <f aca="false">R28+R44</f>
        <v>31.1702366518576</v>
      </c>
      <c r="S45" s="47" t="n">
        <f aca="false">S28+S44</f>
        <v>403.969991005165</v>
      </c>
    </row>
    <row r="46" customFormat="false" ht="15" hidden="false" customHeight="false" outlineLevel="0" collapsed="false">
      <c r="B46" s="24" t="s">
        <v>1124</v>
      </c>
      <c r="C46" s="25" t="s">
        <v>170</v>
      </c>
      <c r="E46" s="47" t="n">
        <f aca="false">SUM(F46:S46)</f>
        <v>280.518261713808</v>
      </c>
      <c r="F46" s="47" t="n">
        <f aca="false">F45*'Global Inputs'!F18</f>
        <v>-0</v>
      </c>
      <c r="G46" s="47" t="n">
        <f aca="false">G45*'Global Inputs'!G18</f>
        <v>-0</v>
      </c>
      <c r="H46" s="47" t="n">
        <f aca="false">H45*'Global Inputs'!H18</f>
        <v>0</v>
      </c>
      <c r="I46" s="47" t="n">
        <f aca="false">I45*'Global Inputs'!I18</f>
        <v>0</v>
      </c>
      <c r="J46" s="47" t="n">
        <f aca="false">J45*'Global Inputs'!J18</f>
        <v>22.8138660543586</v>
      </c>
      <c r="K46" s="47" t="n">
        <f aca="false">K45*'Global Inputs'!K18</f>
        <v>20.9491675776464</v>
      </c>
      <c r="L46" s="47" t="n">
        <f aca="false">L45*'Global Inputs'!L18</f>
        <v>19.2124231612877</v>
      </c>
      <c r="M46" s="47" t="n">
        <f aca="false">M45*'Global Inputs'!M18</f>
        <v>17.6408917913882</v>
      </c>
      <c r="N46" s="47" t="n">
        <f aca="false">N45*'Global Inputs'!N18</f>
        <v>16.1907666522725</v>
      </c>
      <c r="O46" s="47" t="n">
        <f aca="false">O45*'Global Inputs'!O18</f>
        <v>14.8655839663054</v>
      </c>
      <c r="P46" s="47" t="n">
        <f aca="false">P45*'Global Inputs'!P18</f>
        <v>13.4783227231669</v>
      </c>
      <c r="Q46" s="47" t="n">
        <f aca="false">Q45*'Global Inputs'!Q18</f>
        <v>12.3776915779601</v>
      </c>
      <c r="R46" s="47" t="n">
        <f aca="false">R45*'Global Inputs'!R18</f>
        <v>11.3615929735614</v>
      </c>
      <c r="S46" s="47" t="n">
        <f aca="false">S45*'Global Inputs'!S18</f>
        <v>131.627955235861</v>
      </c>
    </row>
    <row r="47" customFormat="false" ht="15" hidden="false" customHeight="false" outlineLevel="0" collapsed="false">
      <c r="B47" s="24" t="s">
        <v>1125</v>
      </c>
      <c r="C47" s="25" t="s">
        <v>170</v>
      </c>
      <c r="E47" s="47" t="n">
        <f aca="false">SUM($F$46:$S$46)</f>
        <v>280.518261713808</v>
      </c>
    </row>
    <row r="48" customFormat="false" ht="15" hidden="false" customHeight="false" outlineLevel="0" collapsed="false">
      <c r="B48" s="24" t="s">
        <v>1126</v>
      </c>
      <c r="C48" s="25" t="s">
        <v>170</v>
      </c>
      <c r="E48" s="47" t="n">
        <f aca="false">SUMPRODUCT($F$28:$S$28,'Global Inputs'!$F$18:$S$18)</f>
        <v>159.323105568297</v>
      </c>
    </row>
    <row r="49" customFormat="false" ht="15" hidden="false" customHeight="false" outlineLevel="0" collapsed="false">
      <c r="B49" s="24" t="s">
        <v>1831</v>
      </c>
      <c r="C49" s="25" t="s">
        <v>160</v>
      </c>
      <c r="E49" s="49" t="n">
        <f aca="false">IFERROR(IRR($F$28:$S$28),"n/a")</f>
        <v>0.162103645956107</v>
      </c>
    </row>
    <row r="50" customFormat="false" ht="15" hidden="false" customHeight="false" outlineLevel="0" collapsed="false">
      <c r="B50" s="24" t="s">
        <v>1832</v>
      </c>
      <c r="C50" s="25" t="s">
        <v>160</v>
      </c>
      <c r="E50" s="49" t="n">
        <f aca="false">IFERROR(IRR($F$45:$S$45),"n/a")</f>
        <v>0.224915506232389</v>
      </c>
    </row>
    <row r="51" customFormat="false" ht="15" hidden="false" customHeight="false" outlineLevel="0" collapsed="false">
      <c r="B51" s="24" t="s">
        <v>1128</v>
      </c>
      <c r="C51" s="25" t="s">
        <v>160</v>
      </c>
      <c r="E51" s="49" t="str">
        <f aca="false">"= project IRR (no project-level debt in v29; corporate LT loan is not project debt)"</f>
        <v>= project IRR (no project-level debt in v29; corporate LT loan is not project debt)</v>
      </c>
    </row>
    <row r="52" customFormat="false" ht="15" hidden="false" customHeight="false" outlineLevel="0" collapsed="false">
      <c r="B52" s="24" t="s">
        <v>1129</v>
      </c>
      <c r="C52" s="25" t="s">
        <v>135</v>
      </c>
      <c r="E52" s="29" t="n">
        <f aca="false">IF(SUM($F$43:$S$43)=0,"not within horizon",SUMPRODUCT($F$43:$S$43,'Global Inputs'!$F$15:$S$15))</f>
        <v>2030</v>
      </c>
    </row>
    <row r="53" customFormat="false" ht="15" hidden="false" customHeight="false" outlineLevel="0" collapsed="false">
      <c r="B53" s="24" t="s">
        <v>1130</v>
      </c>
      <c r="C53" s="25" t="s">
        <v>135</v>
      </c>
      <c r="E53" s="29" t="n">
        <f aca="false">IF(SUM('P02 CigConveyor Calc'!$F$28:$S$28)=0,"n/a",SUMPRODUCT('P02 CigConveyor Calc'!$F$38:$S$38,'Global Inputs'!$F$15:$S$15))</f>
        <v>2023</v>
      </c>
    </row>
    <row r="54" customFormat="false" ht="15" hidden="false" customHeight="false" outlineLevel="0" collapsed="false">
      <c r="B54" s="24" t="s">
        <v>1131</v>
      </c>
      <c r="C54" s="25" t="s">
        <v>240</v>
      </c>
      <c r="E54" s="44" t="n">
        <f aca="false">'P02 CigConveyor Input'!$E$36</f>
        <v>8</v>
      </c>
    </row>
    <row r="55" customFormat="false" ht="15" hidden="false" customHeight="false" outlineLevel="0" collapsed="false">
      <c r="B55" s="24" t="s">
        <v>1132</v>
      </c>
      <c r="C55" s="25" t="s">
        <v>240</v>
      </c>
      <c r="E55" s="44" t="n">
        <f aca="false">'P02 CigConveyor Input'!$E$42</f>
        <v>0</v>
      </c>
    </row>
    <row r="57" customFormat="false" ht="15" hidden="false" customHeight="false" outlineLevel="0" collapsed="false">
      <c r="B57" s="22" t="s">
        <v>1133</v>
      </c>
      <c r="C57" s="23"/>
      <c r="D57" s="23"/>
      <c r="E57" s="23"/>
      <c r="F57" s="23"/>
      <c r="G57" s="23"/>
      <c r="H57" s="23"/>
      <c r="I57" s="23"/>
      <c r="J57" s="23"/>
      <c r="K57" s="23"/>
      <c r="L57" s="23"/>
      <c r="M57" s="23"/>
      <c r="N57" s="23"/>
      <c r="O57" s="23"/>
      <c r="P57" s="23"/>
      <c r="Q57" s="23"/>
      <c r="R57" s="23"/>
      <c r="S57" s="23"/>
    </row>
    <row r="58" customFormat="false" ht="15" hidden="false" customHeight="false" outlineLevel="0" collapsed="false">
      <c r="B58" s="24" t="s">
        <v>1134</v>
      </c>
      <c r="C58" s="25" t="s">
        <v>180</v>
      </c>
      <c r="E58" s="29" t="n">
        <f aca="false">'P02 CigConveyor Input'!$E$22*IF('P02 CigConveyor Input'!$E$23=1,1,0)</f>
        <v>1</v>
      </c>
    </row>
    <row r="59" customFormat="false" ht="15" hidden="false" customHeight="false" outlineLevel="0" collapsed="false">
      <c r="B59" s="24" t="s">
        <v>1135</v>
      </c>
      <c r="C59" s="25" t="s">
        <v>180</v>
      </c>
      <c r="E59" s="29" t="n">
        <f aca="false">'P02 CigConveyor Input'!$E$22</f>
        <v>1</v>
      </c>
    </row>
    <row r="60" customFormat="false" ht="15" hidden="false" customHeight="false" outlineLevel="0" collapsed="false">
      <c r="B60" s="24" t="s">
        <v>897</v>
      </c>
      <c r="C60" s="25" t="s">
        <v>160</v>
      </c>
      <c r="E60" s="49" t="n">
        <f aca="false">'P02 CigConveyor Input'!$E$24</f>
        <v>1</v>
      </c>
    </row>
  </sheetData>
  <hyperlinks>
    <hyperlink ref="C3" r:id="rId1" location="'P02%20CigConveyor%20Input'!A1" display="Input"/>
    <hyperlink ref="D3" r:id="rId2" location="'P02%20CigConveyor%20Calc'!A1" display="Calc"/>
    <hyperlink ref="E3" r:id="rId3" location="'P02%20CigConveyor%20Output'!A1" display="Output"/>
    <hyperlink ref="F3" r:id="rId4" location="'Navigation'!A1" display="Navigation"/>
    <hyperlink ref="G3" r:id="rId5" location="'Global%20Inputs'!A1" display="Global Inputs"/>
    <hyperlink ref="H3" r:id="rId6" location="'Project%20Summary'!A1" display="Project Summary"/>
    <hyperlink ref="I3" r:id="rId7" location="'Funding%20Requirement'!A1" display="Funding"/>
    <hyperlink ref="J3" r:id="rId8" location="'FSL%20Financials%20—%20Without%20BUMN'!A1" display="FSL w/o BUMN"/>
    <hyperlink ref="K3" r:id="rId9" location="'FSL%20Financials%20—%20With%20BUMN'!A1" display="FSL w/ BUMN"/>
    <hyperlink ref="L3" r:id="rId10" location="'Valuation%20—%20Without%20BUMN'!A1" display="Val w/o BUMN"/>
    <hyperlink ref="M3" r:id="rId11" location="'Valuation%20—%20With%20BUMN'!A1" display="Val w/ BUMN"/>
    <hyperlink ref="N3" r:id="rId12" location="'Checks'!A1" display="Checks"/>
    <hyperlink ref="O3" r:id="rId13" location="'Model%20Flow'!A1" display="Model Flow"/>
  </hyperlink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D966"/>
    <pageSetUpPr fitToPage="true"/>
  </sheetPr>
  <dimension ref="B1:U5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5" ySplit="9" topLeftCell="F10" activePane="bottomRight" state="frozen"/>
      <selection pane="topLeft" activeCell="A1" activeCellId="0" sqref="A1"/>
      <selection pane="topRight" activeCell="F1" activeCellId="0" sqref="F1"/>
      <selection pane="bottomLeft" activeCell="A10" activeCellId="0" sqref="A10"/>
      <selection pane="bottomRigh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66"/>
    <col collapsed="false" customWidth="true" hidden="false" outlineLevel="0" max="3" min="3" style="0" width="11"/>
    <col collapsed="false" customWidth="true" hidden="false" outlineLevel="0" max="4" min="4" style="0" width="12"/>
    <col collapsed="false" customWidth="true" hidden="false" outlineLevel="0" max="5" min="5" style="0" width="13"/>
    <col collapsed="false" customWidth="true" hidden="false" outlineLevel="0" max="19" min="6" style="0" width="11.5"/>
    <col collapsed="false" customWidth="true" hidden="false" outlineLevel="0" max="20" min="20" style="0" width="40"/>
    <col collapsed="false" customWidth="true" hidden="false" outlineLevel="0" max="21" min="21" style="0" width="48"/>
  </cols>
  <sheetData>
    <row r="1" customFormat="false" ht="21.75" hidden="false" customHeight="true" outlineLevel="0" collapsed="false">
      <c r="B1" s="1" t="s">
        <v>1865</v>
      </c>
    </row>
    <row r="2" customFormat="false" ht="15" hidden="false" customHeight="false" outlineLevel="0" collapsed="false">
      <c r="B2" s="2" t="s">
        <v>1866</v>
      </c>
    </row>
    <row r="3" customFormat="false" ht="15" hidden="false" customHeight="false" outlineLevel="0" collapsed="false">
      <c r="B3" s="5" t="s">
        <v>112</v>
      </c>
      <c r="C3" s="17" t="s">
        <v>27</v>
      </c>
      <c r="D3" s="17" t="s">
        <v>28</v>
      </c>
      <c r="E3" s="17" t="s">
        <v>29</v>
      </c>
      <c r="F3" s="17" t="s">
        <v>113</v>
      </c>
      <c r="G3" s="17" t="s">
        <v>5</v>
      </c>
      <c r="H3" s="17" t="s">
        <v>7</v>
      </c>
      <c r="I3" s="17" t="s">
        <v>114</v>
      </c>
      <c r="J3" s="17" t="s">
        <v>115</v>
      </c>
      <c r="K3" s="17" t="s">
        <v>116</v>
      </c>
      <c r="L3" s="17" t="s">
        <v>117</v>
      </c>
      <c r="M3" s="17" t="s">
        <v>118</v>
      </c>
      <c r="N3" s="17" t="s">
        <v>21</v>
      </c>
      <c r="O3" s="17" t="s">
        <v>3</v>
      </c>
    </row>
    <row r="5" customFormat="false" ht="15" hidden="false" customHeight="false" outlineLevel="0" collapsed="false">
      <c r="B5" s="6" t="s">
        <v>119</v>
      </c>
      <c r="C5" s="6" t="s">
        <v>120</v>
      </c>
      <c r="D5" s="6" t="s">
        <v>121</v>
      </c>
      <c r="E5" s="6" t="s">
        <v>122</v>
      </c>
      <c r="F5" s="18" t="n">
        <f aca="false">'Global Inputs'!F$5</f>
        <v>2023</v>
      </c>
      <c r="G5" s="18" t="n">
        <f aca="false">'Global Inputs'!G$5</f>
        <v>2024</v>
      </c>
      <c r="H5" s="18" t="n">
        <f aca="false">'Global Inputs'!H$5</f>
        <v>2025</v>
      </c>
      <c r="I5" s="18" t="n">
        <f aca="false">'Global Inputs'!I$5</f>
        <v>2026</v>
      </c>
      <c r="J5" s="18" t="n">
        <f aca="false">'Global Inputs'!J$5</f>
        <v>2027</v>
      </c>
      <c r="K5" s="18" t="n">
        <f aca="false">'Global Inputs'!K$5</f>
        <v>2028</v>
      </c>
      <c r="L5" s="18" t="n">
        <f aca="false">'Global Inputs'!L$5</f>
        <v>2029</v>
      </c>
      <c r="M5" s="18" t="n">
        <f aca="false">'Global Inputs'!M$5</f>
        <v>2030</v>
      </c>
      <c r="N5" s="18" t="n">
        <f aca="false">'Global Inputs'!N$5</f>
        <v>2031</v>
      </c>
      <c r="O5" s="18" t="n">
        <f aca="false">'Global Inputs'!O$5</f>
        <v>2032</v>
      </c>
      <c r="P5" s="18" t="n">
        <f aca="false">'Global Inputs'!P$5</f>
        <v>2033</v>
      </c>
      <c r="Q5" s="18" t="n">
        <f aca="false">'Global Inputs'!Q$5</f>
        <v>2034</v>
      </c>
      <c r="R5" s="18" t="n">
        <f aca="false">'Global Inputs'!R$5</f>
        <v>2035</v>
      </c>
      <c r="S5" s="18" t="n">
        <f aca="false">'Global Inputs'!S$5</f>
        <v>2036</v>
      </c>
      <c r="T5" s="6" t="s">
        <v>123</v>
      </c>
      <c r="U5" s="6" t="s">
        <v>124</v>
      </c>
    </row>
    <row r="6" customFormat="false" ht="15" hidden="false" customHeight="false" outlineLevel="0" collapsed="false">
      <c r="B6" s="19" t="s">
        <v>125</v>
      </c>
      <c r="F6" s="20" t="n">
        <f aca="false">'Global Inputs'!F$6</f>
        <v>45291</v>
      </c>
      <c r="G6" s="20" t="n">
        <f aca="false">'Global Inputs'!G$6</f>
        <v>45657</v>
      </c>
      <c r="H6" s="20" t="n">
        <f aca="false">'Global Inputs'!H$6</f>
        <v>46022</v>
      </c>
      <c r="I6" s="20" t="n">
        <f aca="false">'Global Inputs'!I$6</f>
        <v>46387</v>
      </c>
      <c r="J6" s="20" t="n">
        <f aca="false">'Global Inputs'!J$6</f>
        <v>46752</v>
      </c>
      <c r="K6" s="20" t="n">
        <f aca="false">'Global Inputs'!K$6</f>
        <v>47118</v>
      </c>
      <c r="L6" s="20" t="n">
        <f aca="false">'Global Inputs'!L$6</f>
        <v>47483</v>
      </c>
      <c r="M6" s="20" t="n">
        <f aca="false">'Global Inputs'!M$6</f>
        <v>47848</v>
      </c>
      <c r="N6" s="20" t="n">
        <f aca="false">'Global Inputs'!N$6</f>
        <v>48213</v>
      </c>
      <c r="O6" s="20" t="n">
        <f aca="false">'Global Inputs'!O$6</f>
        <v>48579</v>
      </c>
      <c r="P6" s="20" t="n">
        <f aca="false">'Global Inputs'!P$6</f>
        <v>48944</v>
      </c>
      <c r="Q6" s="20" t="n">
        <f aca="false">'Global Inputs'!Q$6</f>
        <v>49309</v>
      </c>
      <c r="R6" s="20" t="n">
        <f aca="false">'Global Inputs'!R$6</f>
        <v>49674</v>
      </c>
      <c r="S6" s="20" t="n">
        <f aca="false">'Global Inputs'!S$6</f>
        <v>50040</v>
      </c>
    </row>
    <row r="7" customFormat="false" ht="15" hidden="false" customHeight="false" outlineLevel="0" collapsed="false">
      <c r="B7" s="19" t="s">
        <v>126</v>
      </c>
      <c r="F7" s="21" t="n">
        <f aca="false">'Global Inputs'!F$7</f>
        <v>365</v>
      </c>
      <c r="G7" s="21" t="n">
        <f aca="false">'Global Inputs'!G$7</f>
        <v>366</v>
      </c>
      <c r="H7" s="21" t="n">
        <f aca="false">'Global Inputs'!H$7</f>
        <v>365</v>
      </c>
      <c r="I7" s="21" t="n">
        <f aca="false">'Global Inputs'!I$7</f>
        <v>365</v>
      </c>
      <c r="J7" s="21" t="n">
        <f aca="false">'Global Inputs'!J$7</f>
        <v>365</v>
      </c>
      <c r="K7" s="21" t="n">
        <f aca="false">'Global Inputs'!K$7</f>
        <v>366</v>
      </c>
      <c r="L7" s="21" t="n">
        <f aca="false">'Global Inputs'!L$7</f>
        <v>365</v>
      </c>
      <c r="M7" s="21" t="n">
        <f aca="false">'Global Inputs'!M$7</f>
        <v>365</v>
      </c>
      <c r="N7" s="21" t="n">
        <f aca="false">'Global Inputs'!N$7</f>
        <v>365</v>
      </c>
      <c r="O7" s="21" t="n">
        <f aca="false">'Global Inputs'!O$7</f>
        <v>366</v>
      </c>
      <c r="P7" s="21" t="n">
        <f aca="false">'Global Inputs'!P$7</f>
        <v>365</v>
      </c>
      <c r="Q7" s="21" t="n">
        <f aca="false">'Global Inputs'!Q$7</f>
        <v>365</v>
      </c>
      <c r="R7" s="21" t="n">
        <f aca="false">'Global Inputs'!R$7</f>
        <v>365</v>
      </c>
      <c r="S7" s="21" t="n">
        <f aca="false">'Global Inputs'!S$7</f>
        <v>366</v>
      </c>
    </row>
    <row r="8" customFormat="false" ht="15" hidden="false" customHeight="false" outlineLevel="0" collapsed="false">
      <c r="B8" s="19" t="s">
        <v>127</v>
      </c>
      <c r="F8" s="21" t="n">
        <f aca="false">'Global Inputs'!F$8</f>
        <v>0</v>
      </c>
      <c r="G8" s="21" t="n">
        <f aca="false">'Global Inputs'!G$8</f>
        <v>1</v>
      </c>
      <c r="H8" s="21" t="n">
        <f aca="false">'Global Inputs'!H$8</f>
        <v>1</v>
      </c>
      <c r="I8" s="21" t="n">
        <f aca="false">'Global Inputs'!I$8</f>
        <v>1</v>
      </c>
      <c r="J8" s="21" t="n">
        <f aca="false">'Global Inputs'!J$8</f>
        <v>1</v>
      </c>
      <c r="K8" s="21" t="n">
        <f aca="false">'Global Inputs'!K$8</f>
        <v>1</v>
      </c>
      <c r="L8" s="21" t="n">
        <f aca="false">'Global Inputs'!L$8</f>
        <v>1</v>
      </c>
      <c r="M8" s="21" t="n">
        <f aca="false">'Global Inputs'!M$8</f>
        <v>1</v>
      </c>
      <c r="N8" s="21" t="n">
        <f aca="false">'Global Inputs'!N$8</f>
        <v>1</v>
      </c>
      <c r="O8" s="21" t="n">
        <f aca="false">'Global Inputs'!O$8</f>
        <v>1</v>
      </c>
      <c r="P8" s="21" t="n">
        <f aca="false">'Global Inputs'!P$8</f>
        <v>1</v>
      </c>
      <c r="Q8" s="21" t="n">
        <f aca="false">'Global Inputs'!Q$8</f>
        <v>1</v>
      </c>
      <c r="R8" s="21" t="n">
        <f aca="false">'Global Inputs'!R$8</f>
        <v>1</v>
      </c>
      <c r="S8" s="21" t="n">
        <f aca="false">'Global Inputs'!S$8</f>
        <v>1</v>
      </c>
    </row>
    <row r="10" customFormat="false" ht="15" hidden="false" customHeight="false" outlineLevel="0" collapsed="false">
      <c r="B10" s="22" t="s">
        <v>878</v>
      </c>
      <c r="C10" s="23"/>
      <c r="D10" s="23"/>
      <c r="E10" s="23"/>
      <c r="F10" s="23"/>
      <c r="G10" s="23"/>
      <c r="H10" s="23"/>
      <c r="I10" s="23"/>
      <c r="J10" s="23"/>
      <c r="K10" s="23"/>
      <c r="L10" s="23"/>
      <c r="M10" s="23"/>
      <c r="N10" s="23"/>
      <c r="O10" s="23"/>
      <c r="P10" s="23"/>
      <c r="Q10" s="23"/>
      <c r="R10" s="23"/>
      <c r="S10" s="23"/>
    </row>
    <row r="11" customFormat="false" ht="15" hidden="false" customHeight="false" outlineLevel="0" collapsed="false">
      <c r="B11" s="24" t="s">
        <v>879</v>
      </c>
      <c r="E11" s="24" t="s">
        <v>1867</v>
      </c>
    </row>
    <row r="12" customFormat="false" ht="15" hidden="false" customHeight="false" outlineLevel="0" collapsed="false">
      <c r="B12" s="24" t="s">
        <v>25</v>
      </c>
      <c r="E12" s="24" t="s">
        <v>1868</v>
      </c>
    </row>
    <row r="13" customFormat="false" ht="15" hidden="false" customHeight="false" outlineLevel="0" collapsed="false">
      <c r="B13" s="24" t="s">
        <v>882</v>
      </c>
      <c r="E13" s="24" t="s">
        <v>1869</v>
      </c>
    </row>
    <row r="14" customFormat="false" ht="15" hidden="false" customHeight="false" outlineLevel="0" collapsed="false">
      <c r="B14" s="24" t="s">
        <v>275</v>
      </c>
      <c r="E14" s="24" t="s">
        <v>293</v>
      </c>
    </row>
    <row r="15" customFormat="false" ht="15" hidden="false" customHeight="false" outlineLevel="0" collapsed="false">
      <c r="B15" s="24" t="s">
        <v>386</v>
      </c>
      <c r="E15" s="24" t="s">
        <v>49</v>
      </c>
    </row>
    <row r="16" customFormat="false" ht="15" hidden="false" customHeight="false" outlineLevel="0" collapsed="false">
      <c r="B16" s="24" t="s">
        <v>884</v>
      </c>
      <c r="E16" s="24" t="s">
        <v>1870</v>
      </c>
    </row>
    <row r="17" customFormat="false" ht="15" hidden="false" customHeight="false" outlineLevel="0" collapsed="false">
      <c r="B17" s="24" t="s">
        <v>886</v>
      </c>
      <c r="E17" s="24" t="s">
        <v>1871</v>
      </c>
    </row>
    <row r="18" customFormat="false" ht="15" hidden="false" customHeight="false" outlineLevel="0" collapsed="false">
      <c r="B18" s="24" t="s">
        <v>888</v>
      </c>
      <c r="E18" s="24" t="s">
        <v>1872</v>
      </c>
    </row>
    <row r="19" customFormat="false" ht="15" hidden="false" customHeight="false" outlineLevel="0" collapsed="false">
      <c r="B19" s="24" t="s">
        <v>890</v>
      </c>
      <c r="E19" s="24" t="s">
        <v>1873</v>
      </c>
    </row>
    <row r="21" customFormat="false" ht="15" hidden="false" customHeight="false" outlineLevel="0" collapsed="false">
      <c r="B21" s="22" t="s">
        <v>892</v>
      </c>
      <c r="C21" s="23"/>
      <c r="D21" s="23"/>
      <c r="E21" s="23"/>
      <c r="F21" s="23"/>
      <c r="G21" s="23"/>
      <c r="H21" s="23"/>
      <c r="I21" s="23"/>
      <c r="J21" s="23"/>
      <c r="K21" s="23"/>
      <c r="L21" s="23"/>
      <c r="M21" s="23"/>
      <c r="N21" s="23"/>
      <c r="O21" s="23"/>
      <c r="P21" s="23"/>
      <c r="Q21" s="23"/>
      <c r="R21" s="23"/>
      <c r="S21" s="23"/>
    </row>
    <row r="22" customFormat="false" ht="15" hidden="false" customHeight="false" outlineLevel="0" collapsed="false">
      <c r="B22" s="24" t="s">
        <v>893</v>
      </c>
      <c r="C22" s="25" t="s">
        <v>180</v>
      </c>
      <c r="D22" s="25" t="s">
        <v>894</v>
      </c>
      <c r="E22" s="65" t="n">
        <f aca="false">'Global Inputs'!$E$95</f>
        <v>1</v>
      </c>
      <c r="T22" s="5" t="s">
        <v>895</v>
      </c>
    </row>
    <row r="23" customFormat="false" ht="15" hidden="false" customHeight="false" outlineLevel="0" collapsed="false">
      <c r="B23" s="24" t="s">
        <v>896</v>
      </c>
      <c r="C23" s="25" t="s">
        <v>175</v>
      </c>
      <c r="D23" s="25" t="s">
        <v>894</v>
      </c>
      <c r="E23" s="65" t="n">
        <f aca="false">'Global Inputs'!$F$95</f>
        <v>1</v>
      </c>
      <c r="T23" s="5" t="s">
        <v>895</v>
      </c>
    </row>
    <row r="24" customFormat="false" ht="15" hidden="false" customHeight="false" outlineLevel="0" collapsed="false">
      <c r="B24" s="24" t="s">
        <v>897</v>
      </c>
      <c r="C24" s="25" t="s">
        <v>160</v>
      </c>
      <c r="D24" s="25" t="s">
        <v>894</v>
      </c>
      <c r="E24" s="67" t="n">
        <f aca="false">'Global Inputs'!$G$95</f>
        <v>1</v>
      </c>
      <c r="T24" s="5" t="s">
        <v>895</v>
      </c>
    </row>
    <row r="25" customFormat="false" ht="15" hidden="false" customHeight="false" outlineLevel="0" collapsed="false">
      <c r="B25" s="24" t="s">
        <v>1793</v>
      </c>
      <c r="C25" s="25" t="s">
        <v>135</v>
      </c>
      <c r="D25" s="28" t="s">
        <v>153</v>
      </c>
      <c r="E25" s="36" t="n">
        <v>2027</v>
      </c>
      <c r="T25" s="5" t="s">
        <v>1874</v>
      </c>
      <c r="U25" s="5" t="s">
        <v>1875</v>
      </c>
    </row>
    <row r="27" customFormat="false" ht="15" hidden="false" customHeight="false" outlineLevel="0" collapsed="false">
      <c r="B27" s="22" t="s">
        <v>898</v>
      </c>
      <c r="C27" s="23"/>
      <c r="D27" s="23"/>
      <c r="E27" s="23"/>
      <c r="F27" s="23"/>
      <c r="G27" s="23"/>
      <c r="H27" s="23"/>
      <c r="I27" s="23"/>
      <c r="J27" s="23"/>
      <c r="K27" s="23"/>
      <c r="L27" s="23"/>
      <c r="M27" s="23"/>
      <c r="N27" s="23"/>
      <c r="O27" s="23"/>
      <c r="P27" s="23"/>
      <c r="Q27" s="23"/>
      <c r="R27" s="23"/>
      <c r="S27" s="23"/>
    </row>
    <row r="28" customFormat="false" ht="15" hidden="false" customHeight="false" outlineLevel="0" collapsed="false">
      <c r="B28" s="24" t="s">
        <v>1876</v>
      </c>
      <c r="C28" s="25" t="s">
        <v>900</v>
      </c>
      <c r="D28" s="28" t="s">
        <v>153</v>
      </c>
      <c r="E28" s="101" t="n">
        <v>1700000</v>
      </c>
      <c r="T28" s="5" t="s">
        <v>1877</v>
      </c>
      <c r="U28" s="5" t="s">
        <v>1878</v>
      </c>
    </row>
    <row r="29" customFormat="false" ht="15" hidden="false" customHeight="false" outlineLevel="0" collapsed="false">
      <c r="B29" s="24" t="s">
        <v>1879</v>
      </c>
      <c r="C29" s="25" t="s">
        <v>135</v>
      </c>
      <c r="D29" s="28" t="s">
        <v>153</v>
      </c>
      <c r="E29" s="36" t="n">
        <v>2026</v>
      </c>
      <c r="T29" s="5" t="s">
        <v>1880</v>
      </c>
      <c r="U29" s="5" t="s">
        <v>1881</v>
      </c>
    </row>
    <row r="30" customFormat="false" ht="15" hidden="false" customHeight="false" outlineLevel="0" collapsed="false">
      <c r="B30" s="24" t="s">
        <v>1882</v>
      </c>
      <c r="C30" s="25" t="s">
        <v>160</v>
      </c>
      <c r="D30" s="28" t="s">
        <v>153</v>
      </c>
      <c r="G30" s="35" t="n">
        <v>0.03</v>
      </c>
      <c r="H30" s="35" t="n">
        <v>0.03</v>
      </c>
      <c r="I30" s="35" t="n">
        <v>0.03</v>
      </c>
      <c r="J30" s="35" t="n">
        <v>0.03</v>
      </c>
      <c r="K30" s="35" t="n">
        <v>0.03</v>
      </c>
      <c r="L30" s="35" t="n">
        <v>0.03</v>
      </c>
      <c r="M30" s="35" t="n">
        <v>0.03</v>
      </c>
      <c r="N30" s="35" t="n">
        <v>0.03</v>
      </c>
      <c r="O30" s="35" t="n">
        <v>0.03</v>
      </c>
      <c r="P30" s="35" t="n">
        <v>0.03</v>
      </c>
      <c r="Q30" s="35" t="n">
        <v>0.03</v>
      </c>
      <c r="R30" s="35" t="n">
        <v>0.03</v>
      </c>
      <c r="S30" s="35" t="n">
        <v>0.03</v>
      </c>
      <c r="T30" s="5" t="s">
        <v>1883</v>
      </c>
    </row>
    <row r="31" customFormat="false" ht="15" hidden="false" customHeight="false" outlineLevel="0" collapsed="false">
      <c r="B31" s="24" t="s">
        <v>1884</v>
      </c>
      <c r="C31" s="25" t="s">
        <v>905</v>
      </c>
      <c r="D31" s="28" t="s">
        <v>153</v>
      </c>
      <c r="G31" s="101" t="n">
        <v>28000</v>
      </c>
      <c r="H31" s="101" t="n">
        <v>28000</v>
      </c>
      <c r="I31" s="101" t="n">
        <v>28000</v>
      </c>
      <c r="J31" s="101" t="n">
        <v>28000</v>
      </c>
      <c r="K31" s="101" t="n">
        <v>28000</v>
      </c>
      <c r="L31" s="101" t="n">
        <v>28000</v>
      </c>
      <c r="M31" s="101" t="n">
        <v>28000</v>
      </c>
      <c r="N31" s="101" t="n">
        <v>28000</v>
      </c>
      <c r="O31" s="101" t="n">
        <v>28000</v>
      </c>
      <c r="P31" s="101" t="n">
        <v>28000</v>
      </c>
      <c r="Q31" s="101" t="n">
        <v>28000</v>
      </c>
      <c r="R31" s="101" t="n">
        <v>28000</v>
      </c>
      <c r="S31" s="101" t="n">
        <v>28000</v>
      </c>
      <c r="T31" s="5" t="s">
        <v>1885</v>
      </c>
      <c r="U31" s="5" t="s">
        <v>1886</v>
      </c>
    </row>
    <row r="32" customFormat="false" ht="15" hidden="false" customHeight="false" outlineLevel="0" collapsed="false">
      <c r="B32" s="24" t="s">
        <v>1887</v>
      </c>
      <c r="C32" s="25" t="s">
        <v>905</v>
      </c>
      <c r="D32" s="28" t="s">
        <v>153</v>
      </c>
      <c r="G32" s="101" t="n">
        <v>7000</v>
      </c>
      <c r="H32" s="101" t="n">
        <v>7000</v>
      </c>
      <c r="I32" s="101" t="n">
        <v>7000</v>
      </c>
      <c r="J32" s="101" t="n">
        <v>7000</v>
      </c>
      <c r="K32" s="101" t="n">
        <v>7000</v>
      </c>
      <c r="L32" s="101" t="n">
        <v>7000</v>
      </c>
      <c r="M32" s="101" t="n">
        <v>7000</v>
      </c>
      <c r="N32" s="101" t="n">
        <v>7000</v>
      </c>
      <c r="O32" s="101" t="n">
        <v>7000</v>
      </c>
      <c r="P32" s="101" t="n">
        <v>7000</v>
      </c>
      <c r="Q32" s="101" t="n">
        <v>7000</v>
      </c>
      <c r="R32" s="101" t="n">
        <v>7000</v>
      </c>
      <c r="S32" s="101" t="n">
        <v>7000</v>
      </c>
      <c r="T32" s="5" t="s">
        <v>1888</v>
      </c>
    </row>
    <row r="33" customFormat="false" ht="15" hidden="false" customHeight="false" outlineLevel="0" collapsed="false">
      <c r="B33" s="24" t="s">
        <v>1889</v>
      </c>
      <c r="C33" s="25" t="s">
        <v>905</v>
      </c>
      <c r="D33" s="28" t="s">
        <v>153</v>
      </c>
      <c r="G33" s="101" t="n">
        <v>25000</v>
      </c>
      <c r="H33" s="101" t="n">
        <v>25000</v>
      </c>
      <c r="I33" s="101" t="n">
        <v>25000</v>
      </c>
      <c r="J33" s="101" t="n">
        <v>25000</v>
      </c>
      <c r="K33" s="101" t="n">
        <v>25000</v>
      </c>
      <c r="L33" s="101" t="n">
        <v>25000</v>
      </c>
      <c r="M33" s="101" t="n">
        <v>25000</v>
      </c>
      <c r="N33" s="101" t="n">
        <v>25000</v>
      </c>
      <c r="O33" s="101" t="n">
        <v>25000</v>
      </c>
      <c r="P33" s="101" t="n">
        <v>25000</v>
      </c>
      <c r="Q33" s="101" t="n">
        <v>25000</v>
      </c>
      <c r="R33" s="101" t="n">
        <v>25000</v>
      </c>
      <c r="S33" s="101" t="n">
        <v>25000</v>
      </c>
      <c r="T33" s="5" t="s">
        <v>1890</v>
      </c>
    </row>
    <row r="34" customFormat="false" ht="15" hidden="false" customHeight="false" outlineLevel="0" collapsed="false">
      <c r="B34" s="24" t="s">
        <v>1891</v>
      </c>
      <c r="C34" s="25" t="s">
        <v>160</v>
      </c>
      <c r="D34" s="28" t="s">
        <v>153</v>
      </c>
      <c r="E34" s="35" t="n">
        <v>0.49</v>
      </c>
      <c r="T34" s="5" t="s">
        <v>1892</v>
      </c>
    </row>
    <row r="35" customFormat="false" ht="15" hidden="false" customHeight="false" outlineLevel="0" collapsed="false">
      <c r="B35" s="22" t="s">
        <v>1802</v>
      </c>
      <c r="C35" s="23"/>
      <c r="D35" s="23"/>
      <c r="E35" s="23"/>
      <c r="F35" s="23"/>
      <c r="G35" s="23"/>
      <c r="H35" s="23"/>
      <c r="I35" s="23"/>
      <c r="J35" s="23"/>
      <c r="K35" s="23"/>
      <c r="L35" s="23"/>
      <c r="M35" s="23"/>
      <c r="N35" s="23"/>
      <c r="O35" s="23"/>
      <c r="P35" s="23"/>
      <c r="Q35" s="23"/>
      <c r="R35" s="23"/>
      <c r="S35" s="23"/>
    </row>
    <row r="36" customFormat="false" ht="15" hidden="false" customHeight="false" outlineLevel="0" collapsed="false">
      <c r="B36" s="24" t="s">
        <v>1893</v>
      </c>
      <c r="C36" s="25" t="s">
        <v>160</v>
      </c>
      <c r="D36" s="28" t="s">
        <v>153</v>
      </c>
      <c r="E36" s="35" t="n">
        <v>0.1</v>
      </c>
      <c r="T36" s="5" t="s">
        <v>1894</v>
      </c>
    </row>
    <row r="37" customFormat="false" ht="15" hidden="false" customHeight="false" outlineLevel="0" collapsed="false">
      <c r="B37" s="24" t="s">
        <v>1895</v>
      </c>
      <c r="C37" s="25" t="s">
        <v>160</v>
      </c>
      <c r="D37" s="28" t="s">
        <v>153</v>
      </c>
      <c r="E37" s="35" t="n">
        <v>0.5</v>
      </c>
      <c r="T37" s="5" t="s">
        <v>1896</v>
      </c>
      <c r="U37" s="5" t="s">
        <v>1897</v>
      </c>
    </row>
    <row r="39" customFormat="false" ht="15" hidden="false" customHeight="false" outlineLevel="0" collapsed="false">
      <c r="B39" s="22" t="s">
        <v>1807</v>
      </c>
      <c r="C39" s="23"/>
      <c r="D39" s="23"/>
      <c r="E39" s="23"/>
      <c r="F39" s="23"/>
      <c r="G39" s="23"/>
      <c r="H39" s="23"/>
      <c r="I39" s="23"/>
      <c r="J39" s="23"/>
      <c r="K39" s="23"/>
      <c r="L39" s="23"/>
      <c r="M39" s="23"/>
      <c r="N39" s="23"/>
      <c r="O39" s="23"/>
      <c r="P39" s="23"/>
      <c r="Q39" s="23"/>
      <c r="R39" s="23"/>
      <c r="S39" s="23"/>
    </row>
    <row r="40" customFormat="false" ht="15" hidden="false" customHeight="false" outlineLevel="0" collapsed="false">
      <c r="B40" s="24" t="s">
        <v>1287</v>
      </c>
      <c r="C40" s="25" t="s">
        <v>240</v>
      </c>
      <c r="D40" s="28" t="s">
        <v>153</v>
      </c>
      <c r="E40" s="37" t="n">
        <v>6.02459</v>
      </c>
      <c r="T40" s="5" t="s">
        <v>1898</v>
      </c>
      <c r="U40" s="5" t="s">
        <v>1899</v>
      </c>
    </row>
    <row r="41" customFormat="false" ht="15" hidden="false" customHeight="false" outlineLevel="0" collapsed="false">
      <c r="B41" s="24" t="s">
        <v>1290</v>
      </c>
      <c r="C41" s="25" t="s">
        <v>160</v>
      </c>
      <c r="D41" s="28" t="s">
        <v>153</v>
      </c>
      <c r="E41" s="85" t="n">
        <f aca="false">SUM(F41:S41)</f>
        <v>1</v>
      </c>
      <c r="F41" s="35" t="n">
        <v>0</v>
      </c>
      <c r="G41" s="35" t="n">
        <v>0</v>
      </c>
      <c r="H41" s="35" t="n">
        <v>0</v>
      </c>
      <c r="I41" s="35" t="n">
        <v>1</v>
      </c>
      <c r="J41" s="35" t="n">
        <v>0</v>
      </c>
      <c r="K41" s="35" t="n">
        <v>0</v>
      </c>
      <c r="L41" s="35" t="n">
        <v>0</v>
      </c>
      <c r="M41" s="35" t="n">
        <v>0</v>
      </c>
      <c r="N41" s="35" t="n">
        <v>0</v>
      </c>
      <c r="O41" s="35" t="n">
        <v>0</v>
      </c>
      <c r="P41" s="35" t="n">
        <v>0</v>
      </c>
      <c r="Q41" s="35" t="n">
        <v>0</v>
      </c>
      <c r="R41" s="35" t="n">
        <v>0</v>
      </c>
      <c r="S41" s="35" t="n">
        <v>0</v>
      </c>
      <c r="T41" s="5" t="s">
        <v>1900</v>
      </c>
      <c r="U41" s="5" t="s">
        <v>1292</v>
      </c>
    </row>
    <row r="42" customFormat="false" ht="15" hidden="false" customHeight="false" outlineLevel="0" collapsed="false">
      <c r="B42" s="24" t="s">
        <v>1293</v>
      </c>
      <c r="C42" s="25" t="s">
        <v>240</v>
      </c>
      <c r="E42" s="44" t="n">
        <f aca="false">SUM(F42:S42)</f>
        <v>6.02459</v>
      </c>
      <c r="F42" s="44" t="n">
        <f aca="false">$E$40*F41</f>
        <v>0</v>
      </c>
      <c r="G42" s="44" t="n">
        <f aca="false">$E$40*G41</f>
        <v>0</v>
      </c>
      <c r="H42" s="44" t="n">
        <f aca="false">$E$40*H41</f>
        <v>0</v>
      </c>
      <c r="I42" s="44" t="n">
        <f aca="false">$E$40*I41</f>
        <v>6.02459</v>
      </c>
      <c r="J42" s="44" t="n">
        <f aca="false">$E$40*J41</f>
        <v>0</v>
      </c>
      <c r="K42" s="44" t="n">
        <f aca="false">$E$40*K41</f>
        <v>0</v>
      </c>
      <c r="L42" s="44" t="n">
        <f aca="false">$E$40*L41</f>
        <v>0</v>
      </c>
      <c r="M42" s="44" t="n">
        <f aca="false">$E$40*M41</f>
        <v>0</v>
      </c>
      <c r="N42" s="44" t="n">
        <f aca="false">$E$40*N41</f>
        <v>0</v>
      </c>
      <c r="O42" s="44" t="n">
        <f aca="false">$E$40*O41</f>
        <v>0</v>
      </c>
      <c r="P42" s="44" t="n">
        <f aca="false">$E$40*P41</f>
        <v>0</v>
      </c>
      <c r="Q42" s="44" t="n">
        <f aca="false">$E$40*Q41</f>
        <v>0</v>
      </c>
      <c r="R42" s="44" t="n">
        <f aca="false">$E$40*R41</f>
        <v>0</v>
      </c>
      <c r="S42" s="44" t="n">
        <f aca="false">$E$40*S41</f>
        <v>0</v>
      </c>
    </row>
    <row r="43" customFormat="false" ht="15" hidden="false" customHeight="false" outlineLevel="0" collapsed="false">
      <c r="B43" s="24" t="s">
        <v>1294</v>
      </c>
      <c r="C43" s="25" t="s">
        <v>152</v>
      </c>
      <c r="F43" s="107" t="n">
        <f aca="false">'Global Inputs'!F22</f>
        <v>16265</v>
      </c>
      <c r="G43" s="107" t="n">
        <f aca="false">'Global Inputs'!G22</f>
        <v>16265</v>
      </c>
      <c r="H43" s="107" t="n">
        <f aca="false">'Global Inputs'!H22</f>
        <v>16265</v>
      </c>
      <c r="I43" s="107" t="n">
        <f aca="false">'Global Inputs'!I22</f>
        <v>16265</v>
      </c>
      <c r="J43" s="107" t="n">
        <f aca="false">'Global Inputs'!J22</f>
        <v>16265</v>
      </c>
      <c r="K43" s="107" t="n">
        <f aca="false">'Global Inputs'!K22</f>
        <v>16265</v>
      </c>
      <c r="L43" s="107" t="n">
        <f aca="false">'Global Inputs'!L22</f>
        <v>16265</v>
      </c>
      <c r="M43" s="107" t="n">
        <f aca="false">'Global Inputs'!M22</f>
        <v>16265</v>
      </c>
      <c r="N43" s="107" t="n">
        <f aca="false">'Global Inputs'!N22</f>
        <v>16265</v>
      </c>
      <c r="O43" s="107" t="n">
        <f aca="false">'Global Inputs'!O22</f>
        <v>16265</v>
      </c>
      <c r="P43" s="107" t="n">
        <f aca="false">'Global Inputs'!P22</f>
        <v>16265</v>
      </c>
      <c r="Q43" s="107" t="n">
        <f aca="false">'Global Inputs'!Q22</f>
        <v>16265</v>
      </c>
      <c r="R43" s="107" t="n">
        <f aca="false">'Global Inputs'!R22</f>
        <v>16265</v>
      </c>
      <c r="S43" s="107" t="n">
        <f aca="false">'Global Inputs'!S22</f>
        <v>16265</v>
      </c>
    </row>
    <row r="44" customFormat="false" ht="15" hidden="false" customHeight="false" outlineLevel="0" collapsed="false">
      <c r="B44" s="24" t="s">
        <v>1295</v>
      </c>
      <c r="C44" s="25" t="s">
        <v>170</v>
      </c>
      <c r="E44" s="47" t="n">
        <f aca="false">SUM(F44:S44)</f>
        <v>97.98995635</v>
      </c>
      <c r="F44" s="47" t="n">
        <f aca="false">F42*F43/1000</f>
        <v>0</v>
      </c>
      <c r="G44" s="47" t="n">
        <f aca="false">G42*G43/1000</f>
        <v>0</v>
      </c>
      <c r="H44" s="47" t="n">
        <f aca="false">H42*H43/1000</f>
        <v>0</v>
      </c>
      <c r="I44" s="47" t="n">
        <f aca="false">I42*I43/1000</f>
        <v>97.98995635</v>
      </c>
      <c r="J44" s="47" t="n">
        <f aca="false">J42*J43/1000</f>
        <v>0</v>
      </c>
      <c r="K44" s="47" t="n">
        <f aca="false">K42*K43/1000</f>
        <v>0</v>
      </c>
      <c r="L44" s="47" t="n">
        <f aca="false">L42*L43/1000</f>
        <v>0</v>
      </c>
      <c r="M44" s="47" t="n">
        <f aca="false">M42*M43/1000</f>
        <v>0</v>
      </c>
      <c r="N44" s="47" t="n">
        <f aca="false">N42*N43/1000</f>
        <v>0</v>
      </c>
      <c r="O44" s="47" t="n">
        <f aca="false">O42*O43/1000</f>
        <v>0</v>
      </c>
      <c r="P44" s="47" t="n">
        <f aca="false">P42*P43/1000</f>
        <v>0</v>
      </c>
      <c r="Q44" s="47" t="n">
        <f aca="false">Q42*Q43/1000</f>
        <v>0</v>
      </c>
      <c r="R44" s="47" t="n">
        <f aca="false">R42*R43/1000</f>
        <v>0</v>
      </c>
      <c r="S44" s="47" t="n">
        <f aca="false">S42*S43/1000</f>
        <v>0</v>
      </c>
    </row>
    <row r="45" customFormat="false" ht="15" hidden="false" customHeight="false" outlineLevel="0" collapsed="false">
      <c r="B45" s="24" t="s">
        <v>1296</v>
      </c>
      <c r="C45" s="25" t="s">
        <v>240</v>
      </c>
      <c r="E45" s="44" t="n">
        <f aca="false">SUMPRODUCT($F$42:$S$42,--('Global Inputs'!$F$15:$S$15&lt;='Global Inputs'!$E$12))</f>
        <v>6.02459</v>
      </c>
    </row>
    <row r="46" customFormat="false" ht="15" hidden="false" customHeight="false" outlineLevel="0" collapsed="false">
      <c r="B46" s="24" t="s">
        <v>1297</v>
      </c>
      <c r="C46" s="25" t="s">
        <v>240</v>
      </c>
      <c r="E46" s="44" t="n">
        <f aca="false">SUMPRODUCT($F$42:$S$42,--('Global Inputs'!$F$15:$S$15&gt;'Global Inputs'!$E$12))</f>
        <v>0</v>
      </c>
    </row>
    <row r="47" customFormat="false" ht="15" hidden="false" customHeight="false" outlineLevel="0" collapsed="false">
      <c r="B47" s="24" t="s">
        <v>1298</v>
      </c>
      <c r="C47" s="25" t="s">
        <v>240</v>
      </c>
      <c r="E47" s="44" t="n">
        <f aca="false">$E$40-SUM($F$42:$S$42)</f>
        <v>0</v>
      </c>
    </row>
    <row r="48" customFormat="false" ht="15" hidden="false" customHeight="false" outlineLevel="0" collapsed="false">
      <c r="B48" s="24" t="s">
        <v>1299</v>
      </c>
      <c r="C48" s="25" t="s">
        <v>527</v>
      </c>
      <c r="E48" s="108" t="str">
        <f aca="false">IF(ABS(SUM($F$41:$S$41)-1)&lt;0.000001,"PASS","CHECK: % not 100%")</f>
        <v>PASS</v>
      </c>
    </row>
    <row r="49" customFormat="false" ht="15" hidden="false" customHeight="false" outlineLevel="0" collapsed="false">
      <c r="B49" s="24" t="s">
        <v>1811</v>
      </c>
      <c r="C49" s="25" t="s">
        <v>135</v>
      </c>
      <c r="D49" s="25" t="s">
        <v>894</v>
      </c>
      <c r="E49" s="65" t="n">
        <f aca="false">$E$25</f>
        <v>2027</v>
      </c>
      <c r="T49" s="5" t="s">
        <v>1812</v>
      </c>
    </row>
    <row r="50" customFormat="false" ht="15" hidden="false" customHeight="false" outlineLevel="0" collapsed="false">
      <c r="B50" s="24" t="s">
        <v>1302</v>
      </c>
      <c r="C50" s="25" t="s">
        <v>180</v>
      </c>
      <c r="D50" s="26" t="s">
        <v>190</v>
      </c>
      <c r="E50" s="39" t="n">
        <v>0</v>
      </c>
      <c r="T50" s="5" t="s">
        <v>1303</v>
      </c>
      <c r="U50" s="5" t="s">
        <v>1304</v>
      </c>
    </row>
    <row r="51" customFormat="false" ht="15" hidden="false" customHeight="false" outlineLevel="0" collapsed="false">
      <c r="B51" s="24" t="s">
        <v>1305</v>
      </c>
      <c r="C51" s="25" t="s">
        <v>160</v>
      </c>
      <c r="D51" s="28" t="s">
        <v>153</v>
      </c>
      <c r="E51" s="35" t="n">
        <v>1</v>
      </c>
      <c r="T51" s="5" t="s">
        <v>1901</v>
      </c>
    </row>
    <row r="52" customFormat="false" ht="15" hidden="false" customHeight="false" outlineLevel="0" collapsed="false">
      <c r="B52" s="24" t="s">
        <v>1307</v>
      </c>
      <c r="C52" s="25" t="s">
        <v>145</v>
      </c>
      <c r="D52" s="28" t="s">
        <v>153</v>
      </c>
      <c r="E52" s="36" t="n">
        <v>20</v>
      </c>
      <c r="T52" s="5" t="s">
        <v>1902</v>
      </c>
    </row>
    <row r="53" customFormat="false" ht="15" hidden="false" customHeight="false" outlineLevel="0" collapsed="false">
      <c r="B53" s="24" t="s">
        <v>1309</v>
      </c>
      <c r="C53" s="25" t="s">
        <v>145</v>
      </c>
      <c r="D53" s="28" t="s">
        <v>153</v>
      </c>
      <c r="E53" s="36" t="n">
        <v>10</v>
      </c>
      <c r="T53" s="5" t="s">
        <v>1902</v>
      </c>
    </row>
  </sheetData>
  <hyperlinks>
    <hyperlink ref="C3" r:id="rId1" location="'P03%20KBSWarehouse%20Input'!A1" display="Input"/>
    <hyperlink ref="D3" r:id="rId2" location="'P03%20KBSWarehouse%20Calc'!A1" display="Calc"/>
    <hyperlink ref="E3" r:id="rId3" location="'P03%20KBSWarehouse%20Output'!A1" display="Output"/>
    <hyperlink ref="F3" r:id="rId4" location="'Navigation'!A1" display="Navigation"/>
    <hyperlink ref="G3" r:id="rId5" location="'Global%20Inputs'!A1" display="Global Inputs"/>
    <hyperlink ref="H3" r:id="rId6" location="'Project%20Summary'!A1" display="Project Summary"/>
    <hyperlink ref="I3" r:id="rId7" location="'Funding%20Requirement'!A1" display="Funding"/>
    <hyperlink ref="J3" r:id="rId8" location="'FSL%20Financials%20—%20Without%20BUMN'!A1" display="FSL w/o BUMN"/>
    <hyperlink ref="K3" r:id="rId9" location="'FSL%20Financials%20—%20With%20BUMN'!A1" display="FSL w/ BUMN"/>
    <hyperlink ref="L3" r:id="rId10" location="'Valuation%20—%20Without%20BUMN'!A1" display="Val w/o BUMN"/>
    <hyperlink ref="M3" r:id="rId11" location="'Valuation%20—%20With%20BUMN'!A1" display="Val w/ BUMN"/>
    <hyperlink ref="N3" r:id="rId12" location="'Checks'!A1" display="Checks"/>
    <hyperlink ref="O3" r:id="rId13" location="'Model%20Flow'!A1" display="Model Flow"/>
  </hyperlink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BFBF"/>
    <pageSetUpPr fitToPage="true"/>
  </sheetPr>
  <dimension ref="B1:U4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5" ySplit="9" topLeftCell="F10" activePane="bottomRight" state="frozen"/>
      <selection pane="topLeft" activeCell="A1" activeCellId="0" sqref="A1"/>
      <selection pane="topRight" activeCell="F1" activeCellId="0" sqref="F1"/>
      <selection pane="bottomLeft" activeCell="A10" activeCellId="0" sqref="A10"/>
      <selection pane="bottomRigh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66"/>
    <col collapsed="false" customWidth="true" hidden="false" outlineLevel="0" max="3" min="3" style="0" width="11"/>
    <col collapsed="false" customWidth="true" hidden="false" outlineLevel="0" max="4" min="4" style="0" width="12"/>
    <col collapsed="false" customWidth="true" hidden="false" outlineLevel="0" max="5" min="5" style="0" width="13"/>
    <col collapsed="false" customWidth="true" hidden="false" outlineLevel="0" max="19" min="6" style="0" width="11.5"/>
    <col collapsed="false" customWidth="true" hidden="false" outlineLevel="0" max="20" min="20" style="0" width="40"/>
    <col collapsed="false" customWidth="true" hidden="false" outlineLevel="0" max="21" min="21" style="0" width="48"/>
  </cols>
  <sheetData>
    <row r="1" customFormat="false" ht="21.75" hidden="false" customHeight="true" outlineLevel="0" collapsed="false">
      <c r="B1" s="1" t="s">
        <v>1903</v>
      </c>
    </row>
    <row r="2" customFormat="false" ht="15" hidden="false" customHeight="false" outlineLevel="0" collapsed="false">
      <c r="B2" s="2" t="s">
        <v>1014</v>
      </c>
    </row>
    <row r="3" customFormat="false" ht="15" hidden="false" customHeight="false" outlineLevel="0" collapsed="false">
      <c r="B3" s="5" t="s">
        <v>112</v>
      </c>
      <c r="C3" s="17" t="s">
        <v>27</v>
      </c>
      <c r="D3" s="17" t="s">
        <v>28</v>
      </c>
      <c r="E3" s="17" t="s">
        <v>29</v>
      </c>
      <c r="F3" s="17" t="s">
        <v>113</v>
      </c>
      <c r="G3" s="17" t="s">
        <v>5</v>
      </c>
      <c r="H3" s="17" t="s">
        <v>7</v>
      </c>
      <c r="I3" s="17" t="s">
        <v>114</v>
      </c>
      <c r="J3" s="17" t="s">
        <v>115</v>
      </c>
      <c r="K3" s="17" t="s">
        <v>116</v>
      </c>
      <c r="L3" s="17" t="s">
        <v>117</v>
      </c>
      <c r="M3" s="17" t="s">
        <v>118</v>
      </c>
      <c r="N3" s="17" t="s">
        <v>21</v>
      </c>
      <c r="O3" s="17" t="s">
        <v>3</v>
      </c>
    </row>
    <row r="5" customFormat="false" ht="15" hidden="false" customHeight="false" outlineLevel="0" collapsed="false">
      <c r="B5" s="6" t="s">
        <v>119</v>
      </c>
      <c r="C5" s="6" t="s">
        <v>120</v>
      </c>
      <c r="D5" s="6" t="s">
        <v>121</v>
      </c>
      <c r="E5" s="6" t="s">
        <v>122</v>
      </c>
      <c r="F5" s="18" t="n">
        <f aca="false">'Global Inputs'!F$5</f>
        <v>2023</v>
      </c>
      <c r="G5" s="18" t="n">
        <f aca="false">'Global Inputs'!G$5</f>
        <v>2024</v>
      </c>
      <c r="H5" s="18" t="n">
        <f aca="false">'Global Inputs'!H$5</f>
        <v>2025</v>
      </c>
      <c r="I5" s="18" t="n">
        <f aca="false">'Global Inputs'!I$5</f>
        <v>2026</v>
      </c>
      <c r="J5" s="18" t="n">
        <f aca="false">'Global Inputs'!J$5</f>
        <v>2027</v>
      </c>
      <c r="K5" s="18" t="n">
        <f aca="false">'Global Inputs'!K$5</f>
        <v>2028</v>
      </c>
      <c r="L5" s="18" t="n">
        <f aca="false">'Global Inputs'!L$5</f>
        <v>2029</v>
      </c>
      <c r="M5" s="18" t="n">
        <f aca="false">'Global Inputs'!M$5</f>
        <v>2030</v>
      </c>
      <c r="N5" s="18" t="n">
        <f aca="false">'Global Inputs'!N$5</f>
        <v>2031</v>
      </c>
      <c r="O5" s="18" t="n">
        <f aca="false">'Global Inputs'!O$5</f>
        <v>2032</v>
      </c>
      <c r="P5" s="18" t="n">
        <f aca="false">'Global Inputs'!P$5</f>
        <v>2033</v>
      </c>
      <c r="Q5" s="18" t="n">
        <f aca="false">'Global Inputs'!Q$5</f>
        <v>2034</v>
      </c>
      <c r="R5" s="18" t="n">
        <f aca="false">'Global Inputs'!R$5</f>
        <v>2035</v>
      </c>
      <c r="S5" s="18" t="n">
        <f aca="false">'Global Inputs'!S$5</f>
        <v>2036</v>
      </c>
      <c r="T5" s="6" t="s">
        <v>123</v>
      </c>
      <c r="U5" s="6" t="s">
        <v>124</v>
      </c>
    </row>
    <row r="6" customFormat="false" ht="15" hidden="false" customHeight="false" outlineLevel="0" collapsed="false">
      <c r="B6" s="19" t="s">
        <v>125</v>
      </c>
      <c r="F6" s="20" t="n">
        <f aca="false">'Global Inputs'!F$6</f>
        <v>45291</v>
      </c>
      <c r="G6" s="20" t="n">
        <f aca="false">'Global Inputs'!G$6</f>
        <v>45657</v>
      </c>
      <c r="H6" s="20" t="n">
        <f aca="false">'Global Inputs'!H$6</f>
        <v>46022</v>
      </c>
      <c r="I6" s="20" t="n">
        <f aca="false">'Global Inputs'!I$6</f>
        <v>46387</v>
      </c>
      <c r="J6" s="20" t="n">
        <f aca="false">'Global Inputs'!J$6</f>
        <v>46752</v>
      </c>
      <c r="K6" s="20" t="n">
        <f aca="false">'Global Inputs'!K$6</f>
        <v>47118</v>
      </c>
      <c r="L6" s="20" t="n">
        <f aca="false">'Global Inputs'!L$6</f>
        <v>47483</v>
      </c>
      <c r="M6" s="20" t="n">
        <f aca="false">'Global Inputs'!M$6</f>
        <v>47848</v>
      </c>
      <c r="N6" s="20" t="n">
        <f aca="false">'Global Inputs'!N$6</f>
        <v>48213</v>
      </c>
      <c r="O6" s="20" t="n">
        <f aca="false">'Global Inputs'!O$6</f>
        <v>48579</v>
      </c>
      <c r="P6" s="20" t="n">
        <f aca="false">'Global Inputs'!P$6</f>
        <v>48944</v>
      </c>
      <c r="Q6" s="20" t="n">
        <f aca="false">'Global Inputs'!Q$6</f>
        <v>49309</v>
      </c>
      <c r="R6" s="20" t="n">
        <f aca="false">'Global Inputs'!R$6</f>
        <v>49674</v>
      </c>
      <c r="S6" s="20" t="n">
        <f aca="false">'Global Inputs'!S$6</f>
        <v>50040</v>
      </c>
    </row>
    <row r="7" customFormat="false" ht="15" hidden="false" customHeight="false" outlineLevel="0" collapsed="false">
      <c r="B7" s="19" t="s">
        <v>126</v>
      </c>
      <c r="F7" s="21" t="n">
        <f aca="false">'Global Inputs'!F$7</f>
        <v>365</v>
      </c>
      <c r="G7" s="21" t="n">
        <f aca="false">'Global Inputs'!G$7</f>
        <v>366</v>
      </c>
      <c r="H7" s="21" t="n">
        <f aca="false">'Global Inputs'!H$7</f>
        <v>365</v>
      </c>
      <c r="I7" s="21" t="n">
        <f aca="false">'Global Inputs'!I$7</f>
        <v>365</v>
      </c>
      <c r="J7" s="21" t="n">
        <f aca="false">'Global Inputs'!J$7</f>
        <v>365</v>
      </c>
      <c r="K7" s="21" t="n">
        <f aca="false">'Global Inputs'!K$7</f>
        <v>366</v>
      </c>
      <c r="L7" s="21" t="n">
        <f aca="false">'Global Inputs'!L$7</f>
        <v>365</v>
      </c>
      <c r="M7" s="21" t="n">
        <f aca="false">'Global Inputs'!M$7</f>
        <v>365</v>
      </c>
      <c r="N7" s="21" t="n">
        <f aca="false">'Global Inputs'!N$7</f>
        <v>365</v>
      </c>
      <c r="O7" s="21" t="n">
        <f aca="false">'Global Inputs'!O$7</f>
        <v>366</v>
      </c>
      <c r="P7" s="21" t="n">
        <f aca="false">'Global Inputs'!P$7</f>
        <v>365</v>
      </c>
      <c r="Q7" s="21" t="n">
        <f aca="false">'Global Inputs'!Q$7</f>
        <v>365</v>
      </c>
      <c r="R7" s="21" t="n">
        <f aca="false">'Global Inputs'!R$7</f>
        <v>365</v>
      </c>
      <c r="S7" s="21" t="n">
        <f aca="false">'Global Inputs'!S$7</f>
        <v>366</v>
      </c>
    </row>
    <row r="8" customFormat="false" ht="15" hidden="false" customHeight="false" outlineLevel="0" collapsed="false">
      <c r="B8" s="19" t="s">
        <v>127</v>
      </c>
      <c r="F8" s="21" t="n">
        <f aca="false">'Global Inputs'!F$8</f>
        <v>0</v>
      </c>
      <c r="G8" s="21" t="n">
        <f aca="false">'Global Inputs'!G$8</f>
        <v>1</v>
      </c>
      <c r="H8" s="21" t="n">
        <f aca="false">'Global Inputs'!H$8</f>
        <v>1</v>
      </c>
      <c r="I8" s="21" t="n">
        <f aca="false">'Global Inputs'!I$8</f>
        <v>1</v>
      </c>
      <c r="J8" s="21" t="n">
        <f aca="false">'Global Inputs'!J$8</f>
        <v>1</v>
      </c>
      <c r="K8" s="21" t="n">
        <f aca="false">'Global Inputs'!K$8</f>
        <v>1</v>
      </c>
      <c r="L8" s="21" t="n">
        <f aca="false">'Global Inputs'!L$8</f>
        <v>1</v>
      </c>
      <c r="M8" s="21" t="n">
        <f aca="false">'Global Inputs'!M$8</f>
        <v>1</v>
      </c>
      <c r="N8" s="21" t="n">
        <f aca="false">'Global Inputs'!N$8</f>
        <v>1</v>
      </c>
      <c r="O8" s="21" t="n">
        <f aca="false">'Global Inputs'!O$8</f>
        <v>1</v>
      </c>
      <c r="P8" s="21" t="n">
        <f aca="false">'Global Inputs'!P$8</f>
        <v>1</v>
      </c>
      <c r="Q8" s="21" t="n">
        <f aca="false">'Global Inputs'!Q$8</f>
        <v>1</v>
      </c>
      <c r="R8" s="21" t="n">
        <f aca="false">'Global Inputs'!R$8</f>
        <v>1</v>
      </c>
      <c r="S8" s="21" t="n">
        <f aca="false">'Global Inputs'!S$8</f>
        <v>1</v>
      </c>
    </row>
    <row r="10" customFormat="false" ht="15" hidden="false" customHeight="false" outlineLevel="0" collapsed="false">
      <c r="B10" s="22" t="s">
        <v>1015</v>
      </c>
      <c r="C10" s="23"/>
      <c r="D10" s="23"/>
      <c r="E10" s="23"/>
      <c r="F10" s="23"/>
      <c r="G10" s="23"/>
      <c r="H10" s="23"/>
      <c r="I10" s="23"/>
      <c r="J10" s="23"/>
      <c r="K10" s="23"/>
      <c r="L10" s="23"/>
      <c r="M10" s="23"/>
      <c r="N10" s="23"/>
      <c r="O10" s="23"/>
      <c r="P10" s="23"/>
      <c r="Q10" s="23"/>
      <c r="R10" s="23"/>
      <c r="S10" s="23"/>
    </row>
    <row r="11" customFormat="false" ht="15" hidden="false" customHeight="false" outlineLevel="0" collapsed="false">
      <c r="B11" s="24" t="s">
        <v>1016</v>
      </c>
      <c r="C11" s="25" t="s">
        <v>143</v>
      </c>
      <c r="F11" s="30" t="n">
        <f aca="false">IF(F$5&gt;='P03 KBSWarehouse Input'!$E$25,1,0)*F$8</f>
        <v>0</v>
      </c>
      <c r="G11" s="30" t="n">
        <f aca="false">IF(G$5&gt;='P03 KBSWarehouse Input'!$E$25,1,0)*G$8</f>
        <v>0</v>
      </c>
      <c r="H11" s="30" t="n">
        <f aca="false">IF(H$5&gt;='P03 KBSWarehouse Input'!$E$25,1,0)*H$8</f>
        <v>0</v>
      </c>
      <c r="I11" s="30" t="n">
        <f aca="false">IF(I$5&gt;='P03 KBSWarehouse Input'!$E$25,1,0)*I$8</f>
        <v>0</v>
      </c>
      <c r="J11" s="30" t="n">
        <f aca="false">IF(J$5&gt;='P03 KBSWarehouse Input'!$E$25,1,0)*J$8</f>
        <v>1</v>
      </c>
      <c r="K11" s="30" t="n">
        <f aca="false">IF(K$5&gt;='P03 KBSWarehouse Input'!$E$25,1,0)*K$8</f>
        <v>1</v>
      </c>
      <c r="L11" s="30" t="n">
        <f aca="false">IF(L$5&gt;='P03 KBSWarehouse Input'!$E$25,1,0)*L$8</f>
        <v>1</v>
      </c>
      <c r="M11" s="30" t="n">
        <f aca="false">IF(M$5&gt;='P03 KBSWarehouse Input'!$E$25,1,0)*M$8</f>
        <v>1</v>
      </c>
      <c r="N11" s="30" t="n">
        <f aca="false">IF(N$5&gt;='P03 KBSWarehouse Input'!$E$25,1,0)*N$8</f>
        <v>1</v>
      </c>
      <c r="O11" s="30" t="n">
        <f aca="false">IF(O$5&gt;='P03 KBSWarehouse Input'!$E$25,1,0)*O$8</f>
        <v>1</v>
      </c>
      <c r="P11" s="30" t="n">
        <f aca="false">IF(P$5&gt;='P03 KBSWarehouse Input'!$E$25,1,0)*P$8</f>
        <v>1</v>
      </c>
      <c r="Q11" s="30" t="n">
        <f aca="false">IF(Q$5&gt;='P03 KBSWarehouse Input'!$E$25,1,0)*Q$8</f>
        <v>1</v>
      </c>
      <c r="R11" s="30" t="n">
        <f aca="false">IF(R$5&gt;='P03 KBSWarehouse Input'!$E$25,1,0)*R$8</f>
        <v>1</v>
      </c>
      <c r="S11" s="30" t="n">
        <f aca="false">IF(S$5&gt;='P03 KBSWarehouse Input'!$E$25,1,0)*S$8</f>
        <v>1</v>
      </c>
    </row>
    <row r="13" customFormat="false" ht="15" hidden="false" customHeight="false" outlineLevel="0" collapsed="false">
      <c r="B13" s="22" t="s">
        <v>1017</v>
      </c>
      <c r="C13" s="23"/>
      <c r="D13" s="23"/>
      <c r="E13" s="23"/>
      <c r="F13" s="23"/>
      <c r="G13" s="23"/>
      <c r="H13" s="23"/>
      <c r="I13" s="23"/>
      <c r="J13" s="23"/>
      <c r="K13" s="23"/>
      <c r="L13" s="23"/>
      <c r="M13" s="23"/>
      <c r="N13" s="23"/>
      <c r="O13" s="23"/>
      <c r="P13" s="23"/>
      <c r="Q13" s="23"/>
      <c r="R13" s="23"/>
      <c r="S13" s="23"/>
    </row>
    <row r="14" customFormat="false" ht="15" hidden="false" customHeight="false" outlineLevel="0" collapsed="false">
      <c r="B14" s="24" t="s">
        <v>1904</v>
      </c>
      <c r="C14" s="25" t="s">
        <v>1019</v>
      </c>
      <c r="F14" s="104" t="n">
        <f aca="false">1</f>
        <v>1</v>
      </c>
      <c r="G14" s="104" t="n">
        <f aca="false">IF(G$5&lt;'P03 KBSWarehouse Input'!$E$29,1,F14*(1+'P03 KBSWarehouse Input'!G30))*G$8</f>
        <v>1</v>
      </c>
      <c r="H14" s="104" t="n">
        <f aca="false">IF(H$5&lt;'P03 KBSWarehouse Input'!$E$29,1,G14*(1+'P03 KBSWarehouse Input'!H30))*H$8</f>
        <v>1</v>
      </c>
      <c r="I14" s="104" t="n">
        <f aca="false">IF(I$5&lt;'P03 KBSWarehouse Input'!$E$29,1,H14*(1+'P03 KBSWarehouse Input'!I30))*I$8</f>
        <v>1.03</v>
      </c>
      <c r="J14" s="104" t="n">
        <f aca="false">IF(J$5&lt;'P03 KBSWarehouse Input'!$E$29,1,I14*(1+'P03 KBSWarehouse Input'!J30))*J$8</f>
        <v>1.0609</v>
      </c>
      <c r="K14" s="104" t="n">
        <f aca="false">IF(K$5&lt;'P03 KBSWarehouse Input'!$E$29,1,J14*(1+'P03 KBSWarehouse Input'!K30))*K$8</f>
        <v>1.092727</v>
      </c>
      <c r="L14" s="104" t="n">
        <f aca="false">IF(L$5&lt;'P03 KBSWarehouse Input'!$E$29,1,K14*(1+'P03 KBSWarehouse Input'!L30))*L$8</f>
        <v>1.12550881</v>
      </c>
      <c r="M14" s="104" t="n">
        <f aca="false">IF(M$5&lt;'P03 KBSWarehouse Input'!$E$29,1,L14*(1+'P03 KBSWarehouse Input'!M30))*M$8</f>
        <v>1.1592740743</v>
      </c>
      <c r="N14" s="104" t="n">
        <f aca="false">IF(N$5&lt;'P03 KBSWarehouse Input'!$E$29,1,M14*(1+'P03 KBSWarehouse Input'!N30))*N$8</f>
        <v>1.194052296529</v>
      </c>
      <c r="O14" s="104" t="n">
        <f aca="false">IF(O$5&lt;'P03 KBSWarehouse Input'!$E$29,1,N14*(1+'P03 KBSWarehouse Input'!O30))*O$8</f>
        <v>1.22987386542487</v>
      </c>
      <c r="P14" s="104" t="n">
        <f aca="false">IF(P$5&lt;'P03 KBSWarehouse Input'!$E$29,1,O14*(1+'P03 KBSWarehouse Input'!P30))*P$8</f>
        <v>1.26677008138762</v>
      </c>
      <c r="Q14" s="104" t="n">
        <f aca="false">IF(Q$5&lt;'P03 KBSWarehouse Input'!$E$29,1,P14*(1+'P03 KBSWarehouse Input'!Q30))*Q$8</f>
        <v>1.30477318382925</v>
      </c>
      <c r="R14" s="104" t="n">
        <f aca="false">IF(R$5&lt;'P03 KBSWarehouse Input'!$E$29,1,Q14*(1+'P03 KBSWarehouse Input'!R30))*R$8</f>
        <v>1.34391637934412</v>
      </c>
      <c r="S14" s="104" t="n">
        <f aca="false">IF(S$5&lt;'P03 KBSWarehouse Input'!$E$29,1,R14*(1+'P03 KBSWarehouse Input'!S30))*S$8</f>
        <v>1.38423387072445</v>
      </c>
      <c r="U14" s="5" t="s">
        <v>1905</v>
      </c>
    </row>
    <row r="15" customFormat="false" ht="15" hidden="false" customHeight="false" outlineLevel="0" collapsed="false">
      <c r="B15" s="24" t="s">
        <v>1906</v>
      </c>
      <c r="C15" s="25" t="s">
        <v>900</v>
      </c>
      <c r="E15" s="31" t="n">
        <f aca="false">SUM(F15:S15)</f>
        <v>20675450.2546168</v>
      </c>
      <c r="F15" s="31" t="n">
        <f aca="false">'P03 KBSWarehouse Input'!$E$28*F14*F11</f>
        <v>0</v>
      </c>
      <c r="G15" s="31" t="n">
        <f aca="false">'P03 KBSWarehouse Input'!$E$28*G14*G11</f>
        <v>0</v>
      </c>
      <c r="H15" s="31" t="n">
        <f aca="false">'P03 KBSWarehouse Input'!$E$28*H14*H11</f>
        <v>0</v>
      </c>
      <c r="I15" s="31" t="n">
        <f aca="false">'P03 KBSWarehouse Input'!$E$28*I14*I11</f>
        <v>0</v>
      </c>
      <c r="J15" s="31" t="n">
        <f aca="false">'P03 KBSWarehouse Input'!$E$28*J14*J11</f>
        <v>1803530</v>
      </c>
      <c r="K15" s="31" t="n">
        <f aca="false">'P03 KBSWarehouse Input'!$E$28*K14*K11</f>
        <v>1857635.9</v>
      </c>
      <c r="L15" s="31" t="n">
        <f aca="false">'P03 KBSWarehouse Input'!$E$28*L14*L11</f>
        <v>1913364.977</v>
      </c>
      <c r="M15" s="31" t="n">
        <f aca="false">'P03 KBSWarehouse Input'!$E$28*M14*M11</f>
        <v>1970765.92631</v>
      </c>
      <c r="N15" s="31" t="n">
        <f aca="false">'P03 KBSWarehouse Input'!$E$28*N14*N11</f>
        <v>2029888.9040993</v>
      </c>
      <c r="O15" s="31" t="n">
        <f aca="false">'P03 KBSWarehouse Input'!$E$28*O14*O11</f>
        <v>2090785.57122228</v>
      </c>
      <c r="P15" s="31" t="n">
        <f aca="false">'P03 KBSWarehouse Input'!$E$28*P14*P11</f>
        <v>2153509.13835895</v>
      </c>
      <c r="Q15" s="31" t="n">
        <f aca="false">'P03 KBSWarehouse Input'!$E$28*Q14*Q11</f>
        <v>2218114.41250972</v>
      </c>
      <c r="R15" s="31" t="n">
        <f aca="false">'P03 KBSWarehouse Input'!$E$28*R14*R11</f>
        <v>2284657.84488501</v>
      </c>
      <c r="S15" s="31" t="n">
        <f aca="false">'P03 KBSWarehouse Input'!$E$28*S14*S11</f>
        <v>2353197.58023156</v>
      </c>
      <c r="U15" s="5" t="s">
        <v>1907</v>
      </c>
    </row>
    <row r="16" customFormat="false" ht="15" hidden="false" customHeight="false" outlineLevel="0" collapsed="false">
      <c r="B16" s="24" t="s">
        <v>1908</v>
      </c>
      <c r="C16" s="25" t="s">
        <v>905</v>
      </c>
      <c r="F16" s="31" t="n">
        <f aca="false">'P03 KBSWarehouse Input'!F31+'P03 KBSWarehouse Input'!F32+'P03 KBSWarehouse Input'!F33</f>
        <v>0</v>
      </c>
      <c r="G16" s="31" t="n">
        <f aca="false">'P03 KBSWarehouse Input'!G31+'P03 KBSWarehouse Input'!G32+'P03 KBSWarehouse Input'!G33</f>
        <v>60000</v>
      </c>
      <c r="H16" s="31" t="n">
        <f aca="false">'P03 KBSWarehouse Input'!H31+'P03 KBSWarehouse Input'!H32+'P03 KBSWarehouse Input'!H33</f>
        <v>60000</v>
      </c>
      <c r="I16" s="31" t="n">
        <f aca="false">'P03 KBSWarehouse Input'!I31+'P03 KBSWarehouse Input'!I32+'P03 KBSWarehouse Input'!I33</f>
        <v>60000</v>
      </c>
      <c r="J16" s="31" t="n">
        <f aca="false">'P03 KBSWarehouse Input'!J31+'P03 KBSWarehouse Input'!J32+'P03 KBSWarehouse Input'!J33</f>
        <v>60000</v>
      </c>
      <c r="K16" s="31" t="n">
        <f aca="false">'P03 KBSWarehouse Input'!K31+'P03 KBSWarehouse Input'!K32+'P03 KBSWarehouse Input'!K33</f>
        <v>60000</v>
      </c>
      <c r="L16" s="31" t="n">
        <f aca="false">'P03 KBSWarehouse Input'!L31+'P03 KBSWarehouse Input'!L32+'P03 KBSWarehouse Input'!L33</f>
        <v>60000</v>
      </c>
      <c r="M16" s="31" t="n">
        <f aca="false">'P03 KBSWarehouse Input'!M31+'P03 KBSWarehouse Input'!M32+'P03 KBSWarehouse Input'!M33</f>
        <v>60000</v>
      </c>
      <c r="N16" s="31" t="n">
        <f aca="false">'P03 KBSWarehouse Input'!N31+'P03 KBSWarehouse Input'!N32+'P03 KBSWarehouse Input'!N33</f>
        <v>60000</v>
      </c>
      <c r="O16" s="31" t="n">
        <f aca="false">'P03 KBSWarehouse Input'!O31+'P03 KBSWarehouse Input'!O32+'P03 KBSWarehouse Input'!O33</f>
        <v>60000</v>
      </c>
      <c r="P16" s="31" t="n">
        <f aca="false">'P03 KBSWarehouse Input'!P31+'P03 KBSWarehouse Input'!P32+'P03 KBSWarehouse Input'!P33</f>
        <v>60000</v>
      </c>
      <c r="Q16" s="31" t="n">
        <f aca="false">'P03 KBSWarehouse Input'!Q31+'P03 KBSWarehouse Input'!Q32+'P03 KBSWarehouse Input'!Q33</f>
        <v>60000</v>
      </c>
      <c r="R16" s="31" t="n">
        <f aca="false">'P03 KBSWarehouse Input'!R31+'P03 KBSWarehouse Input'!R32+'P03 KBSWarehouse Input'!R33</f>
        <v>60000</v>
      </c>
      <c r="S16" s="31" t="n">
        <f aca="false">'P03 KBSWarehouse Input'!S31+'P03 KBSWarehouse Input'!S32+'P03 KBSWarehouse Input'!S33</f>
        <v>60000</v>
      </c>
      <c r="U16" s="5" t="s">
        <v>1909</v>
      </c>
    </row>
    <row r="17" customFormat="false" ht="15" hidden="false" customHeight="false" outlineLevel="0" collapsed="false">
      <c r="B17" s="24" t="s">
        <v>1910</v>
      </c>
      <c r="C17" s="25" t="s">
        <v>170</v>
      </c>
      <c r="E17" s="47" t="n">
        <f aca="false">SUM(F17:S17)</f>
        <v>1240.52701527701</v>
      </c>
      <c r="F17" s="47" t="n">
        <f aca="false">F15*F16/10^9</f>
        <v>0</v>
      </c>
      <c r="G17" s="47" t="n">
        <f aca="false">G15*G16/10^9</f>
        <v>0</v>
      </c>
      <c r="H17" s="47" t="n">
        <f aca="false">H15*H16/10^9</f>
        <v>0</v>
      </c>
      <c r="I17" s="47" t="n">
        <f aca="false">I15*I16/10^9</f>
        <v>0</v>
      </c>
      <c r="J17" s="47" t="n">
        <f aca="false">J15*J16/10^9</f>
        <v>108.2118</v>
      </c>
      <c r="K17" s="47" t="n">
        <f aca="false">K15*K16/10^9</f>
        <v>111.458154</v>
      </c>
      <c r="L17" s="47" t="n">
        <f aca="false">L15*L16/10^9</f>
        <v>114.80189862</v>
      </c>
      <c r="M17" s="47" t="n">
        <f aca="false">M15*M16/10^9</f>
        <v>118.2459555786</v>
      </c>
      <c r="N17" s="47" t="n">
        <f aca="false">N15*N16/10^9</f>
        <v>121.793334245958</v>
      </c>
      <c r="O17" s="47" t="n">
        <f aca="false">O15*O16/10^9</f>
        <v>125.447134273337</v>
      </c>
      <c r="P17" s="47" t="n">
        <f aca="false">P15*P16/10^9</f>
        <v>129.210548301537</v>
      </c>
      <c r="Q17" s="47" t="n">
        <f aca="false">Q15*Q16/10^9</f>
        <v>133.086864750583</v>
      </c>
      <c r="R17" s="47" t="n">
        <f aca="false">R15*R16/10^9</f>
        <v>137.079470693101</v>
      </c>
      <c r="S17" s="47" t="n">
        <f aca="false">S15*S16/10^9</f>
        <v>141.191854813893</v>
      </c>
      <c r="U17" s="5" t="s">
        <v>1911</v>
      </c>
    </row>
    <row r="18" customFormat="false" ht="15" hidden="false" customHeight="false" outlineLevel="0" collapsed="false">
      <c r="B18" s="24" t="s">
        <v>1912</v>
      </c>
      <c r="C18" s="25" t="s">
        <v>170</v>
      </c>
      <c r="E18" s="47" t="n">
        <f aca="false">SUM(F18:S18)</f>
        <v>632.668777791275</v>
      </c>
      <c r="F18" s="47" t="n">
        <f aca="false">F17*(1-'P03 KBSWarehouse Input'!$E$34)</f>
        <v>0</v>
      </c>
      <c r="G18" s="47" t="n">
        <f aca="false">G17*(1-'P03 KBSWarehouse Input'!$E$34)</f>
        <v>0</v>
      </c>
      <c r="H18" s="47" t="n">
        <f aca="false">H17*(1-'P03 KBSWarehouse Input'!$E$34)</f>
        <v>0</v>
      </c>
      <c r="I18" s="47" t="n">
        <f aca="false">I17*(1-'P03 KBSWarehouse Input'!$E$34)</f>
        <v>0</v>
      </c>
      <c r="J18" s="47" t="n">
        <f aca="false">J17*(1-'P03 KBSWarehouse Input'!$E$34)</f>
        <v>55.188018</v>
      </c>
      <c r="K18" s="47" t="n">
        <f aca="false">K17*(1-'P03 KBSWarehouse Input'!$E$34)</f>
        <v>56.84365854</v>
      </c>
      <c r="L18" s="47" t="n">
        <f aca="false">L17*(1-'P03 KBSWarehouse Input'!$E$34)</f>
        <v>58.5489682962</v>
      </c>
      <c r="M18" s="47" t="n">
        <f aca="false">M17*(1-'P03 KBSWarehouse Input'!$E$34)</f>
        <v>60.305437345086</v>
      </c>
      <c r="N18" s="47" t="n">
        <f aca="false">N17*(1-'P03 KBSWarehouse Input'!$E$34)</f>
        <v>62.1146004654386</v>
      </c>
      <c r="O18" s="47" t="n">
        <f aca="false">O17*(1-'P03 KBSWarehouse Input'!$E$34)</f>
        <v>63.9780384794018</v>
      </c>
      <c r="P18" s="47" t="n">
        <f aca="false">P17*(1-'P03 KBSWarehouse Input'!$E$34)</f>
        <v>65.8973796337838</v>
      </c>
      <c r="Q18" s="47" t="n">
        <f aca="false">Q17*(1-'P03 KBSWarehouse Input'!$E$34)</f>
        <v>67.8743010227973</v>
      </c>
      <c r="R18" s="47" t="n">
        <f aca="false">R17*(1-'P03 KBSWarehouse Input'!$E$34)</f>
        <v>69.9105300534813</v>
      </c>
      <c r="S18" s="47" t="n">
        <f aca="false">S17*(1-'P03 KBSWarehouse Input'!$E$34)</f>
        <v>72.0078459550857</v>
      </c>
      <c r="U18" s="5" t="s">
        <v>1913</v>
      </c>
    </row>
    <row r="19" customFormat="false" ht="15" hidden="false" customHeight="false" outlineLevel="0" collapsed="false">
      <c r="B19" s="69" t="s">
        <v>1914</v>
      </c>
      <c r="C19" s="25" t="s">
        <v>170</v>
      </c>
      <c r="E19" s="70" t="n">
        <f aca="false">SUM(F19:S19)</f>
        <v>607.858237485734</v>
      </c>
      <c r="F19" s="68" t="n">
        <f aca="false">F17*'P03 KBSWarehouse Input'!$E$34</f>
        <v>0</v>
      </c>
      <c r="G19" s="68" t="n">
        <f aca="false">G17*'P03 KBSWarehouse Input'!$E$34</f>
        <v>0</v>
      </c>
      <c r="H19" s="68" t="n">
        <f aca="false">H17*'P03 KBSWarehouse Input'!$E$34</f>
        <v>0</v>
      </c>
      <c r="I19" s="68" t="n">
        <f aca="false">I17*'P03 KBSWarehouse Input'!$E$34</f>
        <v>0</v>
      </c>
      <c r="J19" s="68" t="n">
        <f aca="false">J17*'P03 KBSWarehouse Input'!$E$34</f>
        <v>53.023782</v>
      </c>
      <c r="K19" s="68" t="n">
        <f aca="false">K17*'P03 KBSWarehouse Input'!$E$34</f>
        <v>54.61449546</v>
      </c>
      <c r="L19" s="68" t="n">
        <f aca="false">L17*'P03 KBSWarehouse Input'!$E$34</f>
        <v>56.2529303238</v>
      </c>
      <c r="M19" s="68" t="n">
        <f aca="false">M17*'P03 KBSWarehouse Input'!$E$34</f>
        <v>57.940518233514</v>
      </c>
      <c r="N19" s="68" t="n">
        <f aca="false">N17*'P03 KBSWarehouse Input'!$E$34</f>
        <v>59.6787337805194</v>
      </c>
      <c r="O19" s="68" t="n">
        <f aca="false">O17*'P03 KBSWarehouse Input'!$E$34</f>
        <v>61.469095793935</v>
      </c>
      <c r="P19" s="68" t="n">
        <f aca="false">P17*'P03 KBSWarehouse Input'!$E$34</f>
        <v>63.3131686677531</v>
      </c>
      <c r="Q19" s="68" t="n">
        <f aca="false">Q17*'P03 KBSWarehouse Input'!$E$34</f>
        <v>65.2125637277857</v>
      </c>
      <c r="R19" s="68" t="n">
        <f aca="false">R17*'P03 KBSWarehouse Input'!$E$34</f>
        <v>67.1689406396192</v>
      </c>
      <c r="S19" s="68" t="n">
        <f aca="false">S17*'P03 KBSWarehouse Input'!$E$34</f>
        <v>69.1840088588078</v>
      </c>
      <c r="U19" s="5" t="s">
        <v>1915</v>
      </c>
    </row>
    <row r="21" customFormat="false" ht="15" hidden="false" customHeight="false" outlineLevel="0" collapsed="false">
      <c r="B21" s="22" t="s">
        <v>1029</v>
      </c>
      <c r="C21" s="23"/>
      <c r="D21" s="23"/>
      <c r="E21" s="23"/>
      <c r="F21" s="23"/>
      <c r="G21" s="23"/>
      <c r="H21" s="23"/>
      <c r="I21" s="23"/>
      <c r="J21" s="23"/>
      <c r="K21" s="23"/>
      <c r="L21" s="23"/>
      <c r="M21" s="23"/>
      <c r="N21" s="23"/>
      <c r="O21" s="23"/>
      <c r="P21" s="23"/>
      <c r="Q21" s="23"/>
      <c r="R21" s="23"/>
      <c r="S21" s="23"/>
    </row>
    <row r="22" customFormat="false" ht="15" hidden="false" customHeight="false" outlineLevel="0" collapsed="false">
      <c r="B22" s="69" t="s">
        <v>1916</v>
      </c>
      <c r="C22" s="25" t="s">
        <v>170</v>
      </c>
      <c r="E22" s="70" t="n">
        <f aca="false">SUM(F22:S22)</f>
        <v>60.7858237485734</v>
      </c>
      <c r="F22" s="68" t="n">
        <f aca="false">F19*'P03 KBSWarehouse Input'!$E$36</f>
        <v>0</v>
      </c>
      <c r="G22" s="68" t="n">
        <f aca="false">G19*'P03 KBSWarehouse Input'!$E$36</f>
        <v>0</v>
      </c>
      <c r="H22" s="68" t="n">
        <f aca="false">H19*'P03 KBSWarehouse Input'!$E$36</f>
        <v>0</v>
      </c>
      <c r="I22" s="68" t="n">
        <f aca="false">I19*'P03 KBSWarehouse Input'!$E$36</f>
        <v>0</v>
      </c>
      <c r="J22" s="68" t="n">
        <f aca="false">J19*'P03 KBSWarehouse Input'!$E$36</f>
        <v>5.3023782</v>
      </c>
      <c r="K22" s="68" t="n">
        <f aca="false">K19*'P03 KBSWarehouse Input'!$E$36</f>
        <v>5.461449546</v>
      </c>
      <c r="L22" s="68" t="n">
        <f aca="false">L19*'P03 KBSWarehouse Input'!$E$36</f>
        <v>5.62529303238</v>
      </c>
      <c r="M22" s="68" t="n">
        <f aca="false">M19*'P03 KBSWarehouse Input'!$E$36</f>
        <v>5.7940518233514</v>
      </c>
      <c r="N22" s="68" t="n">
        <f aca="false">N19*'P03 KBSWarehouse Input'!$E$36</f>
        <v>5.96787337805194</v>
      </c>
      <c r="O22" s="68" t="n">
        <f aca="false">O19*'P03 KBSWarehouse Input'!$E$36</f>
        <v>6.1469095793935</v>
      </c>
      <c r="P22" s="68" t="n">
        <f aca="false">P19*'P03 KBSWarehouse Input'!$E$36</f>
        <v>6.33131686677531</v>
      </c>
      <c r="Q22" s="68" t="n">
        <f aca="false">Q19*'P03 KBSWarehouse Input'!$E$36</f>
        <v>6.52125637277857</v>
      </c>
      <c r="R22" s="68" t="n">
        <f aca="false">R19*'P03 KBSWarehouse Input'!$E$36</f>
        <v>6.71689406396192</v>
      </c>
      <c r="S22" s="68" t="n">
        <f aca="false">S19*'P03 KBSWarehouse Input'!$E$36</f>
        <v>6.91840088588078</v>
      </c>
      <c r="U22" s="5" t="s">
        <v>1917</v>
      </c>
    </row>
    <row r="24" customFormat="false" ht="15" hidden="false" customHeight="false" outlineLevel="0" collapsed="false">
      <c r="B24" s="22" t="s">
        <v>1826</v>
      </c>
      <c r="C24" s="23"/>
      <c r="D24" s="23"/>
      <c r="E24" s="23"/>
      <c r="F24" s="23"/>
      <c r="G24" s="23"/>
      <c r="H24" s="23"/>
      <c r="I24" s="23"/>
      <c r="J24" s="23"/>
      <c r="K24" s="23"/>
      <c r="L24" s="23"/>
      <c r="M24" s="23"/>
      <c r="N24" s="23"/>
      <c r="O24" s="23"/>
      <c r="P24" s="23"/>
      <c r="Q24" s="23"/>
      <c r="R24" s="23"/>
      <c r="S24" s="23"/>
    </row>
    <row r="25" customFormat="false" ht="15" hidden="false" customHeight="false" outlineLevel="0" collapsed="false">
      <c r="B25" s="69" t="s">
        <v>1918</v>
      </c>
      <c r="C25" s="25" t="s">
        <v>170</v>
      </c>
      <c r="E25" s="70" t="n">
        <f aca="false">SUM(F25:S25)</f>
        <v>303.929118742867</v>
      </c>
      <c r="F25" s="68" t="n">
        <f aca="false">F19*'P03 KBSWarehouse Input'!$E$37</f>
        <v>0</v>
      </c>
      <c r="G25" s="68" t="n">
        <f aca="false">G19*'P03 KBSWarehouse Input'!$E$37</f>
        <v>0</v>
      </c>
      <c r="H25" s="68" t="n">
        <f aca="false">H19*'P03 KBSWarehouse Input'!$E$37</f>
        <v>0</v>
      </c>
      <c r="I25" s="68" t="n">
        <f aca="false">I19*'P03 KBSWarehouse Input'!$E$37</f>
        <v>0</v>
      </c>
      <c r="J25" s="68" t="n">
        <f aca="false">J19*'P03 KBSWarehouse Input'!$E$37</f>
        <v>26.511891</v>
      </c>
      <c r="K25" s="68" t="n">
        <f aca="false">K19*'P03 KBSWarehouse Input'!$E$37</f>
        <v>27.30724773</v>
      </c>
      <c r="L25" s="68" t="n">
        <f aca="false">L19*'P03 KBSWarehouse Input'!$E$37</f>
        <v>28.1264651619</v>
      </c>
      <c r="M25" s="68" t="n">
        <f aca="false">M19*'P03 KBSWarehouse Input'!$E$37</f>
        <v>28.970259116757</v>
      </c>
      <c r="N25" s="68" t="n">
        <f aca="false">N19*'P03 KBSWarehouse Input'!$E$37</f>
        <v>29.8393668902597</v>
      </c>
      <c r="O25" s="68" t="n">
        <f aca="false">O19*'P03 KBSWarehouse Input'!$E$37</f>
        <v>30.7345478969675</v>
      </c>
      <c r="P25" s="68" t="n">
        <f aca="false">P19*'P03 KBSWarehouse Input'!$E$37</f>
        <v>31.6565843338765</v>
      </c>
      <c r="Q25" s="68" t="n">
        <f aca="false">Q19*'P03 KBSWarehouse Input'!$E$37</f>
        <v>32.6062818638928</v>
      </c>
      <c r="R25" s="68" t="n">
        <f aca="false">R19*'P03 KBSWarehouse Input'!$E$37</f>
        <v>33.5844703198096</v>
      </c>
      <c r="S25" s="68" t="n">
        <f aca="false">S19*'P03 KBSWarehouse Input'!$E$37</f>
        <v>34.5920044294039</v>
      </c>
      <c r="U25" s="5" t="s">
        <v>1919</v>
      </c>
    </row>
    <row r="27" customFormat="false" ht="15" hidden="false" customHeight="false" outlineLevel="0" collapsed="false">
      <c r="B27" s="22" t="s">
        <v>1828</v>
      </c>
      <c r="C27" s="23"/>
      <c r="D27" s="23"/>
      <c r="E27" s="23"/>
      <c r="F27" s="23"/>
      <c r="G27" s="23"/>
      <c r="H27" s="23"/>
      <c r="I27" s="23"/>
      <c r="J27" s="23"/>
      <c r="K27" s="23"/>
      <c r="L27" s="23"/>
      <c r="M27" s="23"/>
      <c r="N27" s="23"/>
      <c r="O27" s="23"/>
      <c r="P27" s="23"/>
      <c r="Q27" s="23"/>
      <c r="R27" s="23"/>
      <c r="S27" s="23"/>
    </row>
    <row r="28" customFormat="false" ht="15" hidden="false" customHeight="false" outlineLevel="0" collapsed="false">
      <c r="B28" s="24" t="s">
        <v>1330</v>
      </c>
      <c r="C28" s="25" t="s">
        <v>240</v>
      </c>
      <c r="E28" s="44" t="n">
        <f aca="false">SUM(F28:S28)</f>
        <v>6.02459</v>
      </c>
      <c r="F28" s="44" t="n">
        <f aca="false">'P03 KBSWarehouse Input'!F42</f>
        <v>0</v>
      </c>
      <c r="G28" s="44" t="n">
        <f aca="false">'P03 KBSWarehouse Input'!G42</f>
        <v>0</v>
      </c>
      <c r="H28" s="44" t="n">
        <f aca="false">'P03 KBSWarehouse Input'!H42</f>
        <v>0</v>
      </c>
      <c r="I28" s="44" t="n">
        <f aca="false">'P03 KBSWarehouse Input'!I42</f>
        <v>6.02459</v>
      </c>
      <c r="J28" s="44" t="n">
        <f aca="false">'P03 KBSWarehouse Input'!J42</f>
        <v>0</v>
      </c>
      <c r="K28" s="44" t="n">
        <f aca="false">'P03 KBSWarehouse Input'!K42</f>
        <v>0</v>
      </c>
      <c r="L28" s="44" t="n">
        <f aca="false">'P03 KBSWarehouse Input'!L42</f>
        <v>0</v>
      </c>
      <c r="M28" s="44" t="n">
        <f aca="false">'P03 KBSWarehouse Input'!M42</f>
        <v>0</v>
      </c>
      <c r="N28" s="44" t="n">
        <f aca="false">'P03 KBSWarehouse Input'!N42</f>
        <v>0</v>
      </c>
      <c r="O28" s="44" t="n">
        <f aca="false">'P03 KBSWarehouse Input'!O42</f>
        <v>0</v>
      </c>
      <c r="P28" s="44" t="n">
        <f aca="false">'P03 KBSWarehouse Input'!P42</f>
        <v>0</v>
      </c>
      <c r="Q28" s="44" t="n">
        <f aca="false">'P03 KBSWarehouse Input'!Q42</f>
        <v>0</v>
      </c>
      <c r="R28" s="44" t="n">
        <f aca="false">'P03 KBSWarehouse Input'!R42</f>
        <v>0</v>
      </c>
      <c r="S28" s="44" t="n">
        <f aca="false">'P03 KBSWarehouse Input'!S42</f>
        <v>0</v>
      </c>
    </row>
    <row r="29" customFormat="false" ht="15" hidden="false" customHeight="false" outlineLevel="0" collapsed="false">
      <c r="B29" s="24" t="s">
        <v>1331</v>
      </c>
      <c r="C29" s="25" t="s">
        <v>152</v>
      </c>
      <c r="F29" s="34" t="n">
        <f aca="false">'Global Inputs'!F22</f>
        <v>16265</v>
      </c>
      <c r="G29" s="34" t="n">
        <f aca="false">'Global Inputs'!G22</f>
        <v>16265</v>
      </c>
      <c r="H29" s="34" t="n">
        <f aca="false">'Global Inputs'!H22</f>
        <v>16265</v>
      </c>
      <c r="I29" s="34" t="n">
        <f aca="false">'Global Inputs'!I22</f>
        <v>16265</v>
      </c>
      <c r="J29" s="34" t="n">
        <f aca="false">'Global Inputs'!J22</f>
        <v>16265</v>
      </c>
      <c r="K29" s="34" t="n">
        <f aca="false">'Global Inputs'!K22</f>
        <v>16265</v>
      </c>
      <c r="L29" s="34" t="n">
        <f aca="false">'Global Inputs'!L22</f>
        <v>16265</v>
      </c>
      <c r="M29" s="34" t="n">
        <f aca="false">'Global Inputs'!M22</f>
        <v>16265</v>
      </c>
      <c r="N29" s="34" t="n">
        <f aca="false">'Global Inputs'!N22</f>
        <v>16265</v>
      </c>
      <c r="O29" s="34" t="n">
        <f aca="false">'Global Inputs'!O22</f>
        <v>16265</v>
      </c>
      <c r="P29" s="34" t="n">
        <f aca="false">'Global Inputs'!P22</f>
        <v>16265</v>
      </c>
      <c r="Q29" s="34" t="n">
        <f aca="false">'Global Inputs'!Q22</f>
        <v>16265</v>
      </c>
      <c r="R29" s="34" t="n">
        <f aca="false">'Global Inputs'!R22</f>
        <v>16265</v>
      </c>
      <c r="S29" s="34" t="n">
        <f aca="false">'Global Inputs'!S22</f>
        <v>16265</v>
      </c>
    </row>
    <row r="30" customFormat="false" ht="15" hidden="false" customHeight="false" outlineLevel="0" collapsed="false">
      <c r="B30" s="24" t="s">
        <v>351</v>
      </c>
      <c r="C30" s="25" t="s">
        <v>170</v>
      </c>
      <c r="E30" s="47" t="n">
        <f aca="false">SUM(F30:S30)</f>
        <v>97.98995635</v>
      </c>
      <c r="F30" s="47" t="n">
        <f aca="false">'P03 KBSWarehouse Input'!F44</f>
        <v>0</v>
      </c>
      <c r="G30" s="47" t="n">
        <f aca="false">'P03 KBSWarehouse Input'!G44</f>
        <v>0</v>
      </c>
      <c r="H30" s="47" t="n">
        <f aca="false">'P03 KBSWarehouse Input'!H44</f>
        <v>0</v>
      </c>
      <c r="I30" s="47" t="n">
        <f aca="false">'P03 KBSWarehouse Input'!I44</f>
        <v>97.98995635</v>
      </c>
      <c r="J30" s="47" t="n">
        <f aca="false">'P03 KBSWarehouse Input'!J44</f>
        <v>0</v>
      </c>
      <c r="K30" s="47" t="n">
        <f aca="false">'P03 KBSWarehouse Input'!K44</f>
        <v>0</v>
      </c>
      <c r="L30" s="47" t="n">
        <f aca="false">'P03 KBSWarehouse Input'!L44</f>
        <v>0</v>
      </c>
      <c r="M30" s="47" t="n">
        <f aca="false">'P03 KBSWarehouse Input'!M44</f>
        <v>0</v>
      </c>
      <c r="N30" s="47" t="n">
        <f aca="false">'P03 KBSWarehouse Input'!N44</f>
        <v>0</v>
      </c>
      <c r="O30" s="47" t="n">
        <f aca="false">'P03 KBSWarehouse Input'!O44</f>
        <v>0</v>
      </c>
      <c r="P30" s="47" t="n">
        <f aca="false">'P03 KBSWarehouse Input'!P44</f>
        <v>0</v>
      </c>
      <c r="Q30" s="47" t="n">
        <f aca="false">'P03 KBSWarehouse Input'!Q44</f>
        <v>0</v>
      </c>
      <c r="R30" s="47" t="n">
        <f aca="false">'P03 KBSWarehouse Input'!R44</f>
        <v>0</v>
      </c>
      <c r="S30" s="47" t="n">
        <f aca="false">'P03 KBSWarehouse Input'!S44</f>
        <v>0</v>
      </c>
    </row>
    <row r="31" customFormat="false" ht="15" hidden="false" customHeight="false" outlineLevel="0" collapsed="false">
      <c r="B31" s="24" t="s">
        <v>1332</v>
      </c>
      <c r="C31" s="25" t="s">
        <v>170</v>
      </c>
      <c r="F31" s="47" t="n">
        <f aca="false">SUM($F$30:F30)</f>
        <v>0</v>
      </c>
      <c r="G31" s="47" t="n">
        <f aca="false">SUM($F$30:G30)</f>
        <v>0</v>
      </c>
      <c r="H31" s="47" t="n">
        <f aca="false">SUM($F$30:H30)</f>
        <v>0</v>
      </c>
      <c r="I31" s="47" t="n">
        <f aca="false">SUM($F$30:I30)</f>
        <v>97.98995635</v>
      </c>
      <c r="J31" s="47" t="n">
        <f aca="false">SUM($F$30:J30)</f>
        <v>97.98995635</v>
      </c>
      <c r="K31" s="47" t="n">
        <f aca="false">SUM($F$30:K30)</f>
        <v>97.98995635</v>
      </c>
      <c r="L31" s="47" t="n">
        <f aca="false">SUM($F$30:L30)</f>
        <v>97.98995635</v>
      </c>
      <c r="M31" s="47" t="n">
        <f aca="false">SUM($F$30:M30)</f>
        <v>97.98995635</v>
      </c>
      <c r="N31" s="47" t="n">
        <f aca="false">SUM($F$30:N30)</f>
        <v>97.98995635</v>
      </c>
      <c r="O31" s="47" t="n">
        <f aca="false">SUM($F$30:O30)</f>
        <v>97.98995635</v>
      </c>
      <c r="P31" s="47" t="n">
        <f aca="false">SUM($F$30:P30)</f>
        <v>97.98995635</v>
      </c>
      <c r="Q31" s="47" t="n">
        <f aca="false">SUM($F$30:Q30)</f>
        <v>97.98995635</v>
      </c>
      <c r="R31" s="47" t="n">
        <f aca="false">SUM($F$30:R30)</f>
        <v>97.98995635</v>
      </c>
      <c r="S31" s="47" t="n">
        <f aca="false">SUM($F$30:S30)</f>
        <v>97.98995635</v>
      </c>
    </row>
    <row r="32" customFormat="false" ht="15" hidden="false" customHeight="false" outlineLevel="0" collapsed="false">
      <c r="B32" s="24" t="s">
        <v>1333</v>
      </c>
      <c r="C32" s="25" t="s">
        <v>143</v>
      </c>
      <c r="F32" s="30" t="n">
        <f aca="false">IF(F$5&gt;='P03 KBSWarehouse Input'!$E$49,1,0)*F$8</f>
        <v>0</v>
      </c>
      <c r="G32" s="30" t="n">
        <f aca="false">IF(G$5&gt;='P03 KBSWarehouse Input'!$E$49,1,0)*G$8</f>
        <v>0</v>
      </c>
      <c r="H32" s="30" t="n">
        <f aca="false">IF(H$5&gt;='P03 KBSWarehouse Input'!$E$49,1,0)*H$8</f>
        <v>0</v>
      </c>
      <c r="I32" s="30" t="n">
        <f aca="false">IF(I$5&gt;='P03 KBSWarehouse Input'!$E$49,1,0)*I$8</f>
        <v>0</v>
      </c>
      <c r="J32" s="30" t="n">
        <f aca="false">IF(J$5&gt;='P03 KBSWarehouse Input'!$E$49,1,0)*J$8</f>
        <v>1</v>
      </c>
      <c r="K32" s="30" t="n">
        <f aca="false">IF(K$5&gt;='P03 KBSWarehouse Input'!$E$49,1,0)*K$8</f>
        <v>1</v>
      </c>
      <c r="L32" s="30" t="n">
        <f aca="false">IF(L$5&gt;='P03 KBSWarehouse Input'!$E$49,1,0)*L$8</f>
        <v>1</v>
      </c>
      <c r="M32" s="30" t="n">
        <f aca="false">IF(M$5&gt;='P03 KBSWarehouse Input'!$E$49,1,0)*M$8</f>
        <v>1</v>
      </c>
      <c r="N32" s="30" t="n">
        <f aca="false">IF(N$5&gt;='P03 KBSWarehouse Input'!$E$49,1,0)*N$8</f>
        <v>1</v>
      </c>
      <c r="O32" s="30" t="n">
        <f aca="false">IF(O$5&gt;='P03 KBSWarehouse Input'!$E$49,1,0)*O$8</f>
        <v>1</v>
      </c>
      <c r="P32" s="30" t="n">
        <f aca="false">IF(P$5&gt;='P03 KBSWarehouse Input'!$E$49,1,0)*P$8</f>
        <v>1</v>
      </c>
      <c r="Q32" s="30" t="n">
        <f aca="false">IF(Q$5&gt;='P03 KBSWarehouse Input'!$E$49,1,0)*Q$8</f>
        <v>1</v>
      </c>
      <c r="R32" s="30" t="n">
        <f aca="false">IF(R$5&gt;='P03 KBSWarehouse Input'!$E$49,1,0)*R$8</f>
        <v>1</v>
      </c>
      <c r="S32" s="30" t="n">
        <f aca="false">IF(S$5&gt;='P03 KBSWarehouse Input'!$E$49,1,0)*S$8</f>
        <v>1</v>
      </c>
    </row>
    <row r="33" customFormat="false" ht="15" hidden="false" customHeight="false" outlineLevel="0" collapsed="false">
      <c r="B33" s="24" t="s">
        <v>1334</v>
      </c>
      <c r="C33" s="25" t="s">
        <v>135</v>
      </c>
      <c r="F33" s="29" t="n">
        <f aca="false">MAX(F$5,'P03 KBSWarehouse Input'!$E$49)</f>
        <v>2027</v>
      </c>
      <c r="G33" s="29" t="n">
        <f aca="false">MAX(G$5,'P03 KBSWarehouse Input'!$E$49)</f>
        <v>2027</v>
      </c>
      <c r="H33" s="29" t="n">
        <f aca="false">MAX(H$5,'P03 KBSWarehouse Input'!$E$49)</f>
        <v>2027</v>
      </c>
      <c r="I33" s="29" t="n">
        <f aca="false">MAX(I$5,'P03 KBSWarehouse Input'!$E$49)</f>
        <v>2027</v>
      </c>
      <c r="J33" s="29" t="n">
        <f aca="false">MAX(J$5,'P03 KBSWarehouse Input'!$E$49)</f>
        <v>2027</v>
      </c>
      <c r="K33" s="29" t="n">
        <f aca="false">MAX(K$5,'P03 KBSWarehouse Input'!$E$49)</f>
        <v>2028</v>
      </c>
      <c r="L33" s="29" t="n">
        <f aca="false">MAX(L$5,'P03 KBSWarehouse Input'!$E$49)</f>
        <v>2029</v>
      </c>
      <c r="M33" s="29" t="n">
        <f aca="false">MAX(M$5,'P03 KBSWarehouse Input'!$E$49)</f>
        <v>2030</v>
      </c>
      <c r="N33" s="29" t="n">
        <f aca="false">MAX(N$5,'P03 KBSWarehouse Input'!$E$49)</f>
        <v>2031</v>
      </c>
      <c r="O33" s="29" t="n">
        <f aca="false">MAX(O$5,'P03 KBSWarehouse Input'!$E$49)</f>
        <v>2032</v>
      </c>
      <c r="P33" s="29" t="n">
        <f aca="false">MAX(P$5,'P03 KBSWarehouse Input'!$E$49)</f>
        <v>2033</v>
      </c>
      <c r="Q33" s="29" t="n">
        <f aca="false">MAX(Q$5,'P03 KBSWarehouse Input'!$E$49)</f>
        <v>2034</v>
      </c>
      <c r="R33" s="29" t="n">
        <f aca="false">MAX(R$5,'P03 KBSWarehouse Input'!$E$49)</f>
        <v>2035</v>
      </c>
      <c r="S33" s="29" t="n">
        <f aca="false">MAX(S$5,'P03 KBSWarehouse Input'!$E$49)</f>
        <v>2036</v>
      </c>
    </row>
    <row r="34" customFormat="false" ht="15" hidden="false" customHeight="false" outlineLevel="0" collapsed="false">
      <c r="B34" s="24" t="s">
        <v>1335</v>
      </c>
      <c r="C34" s="25" t="s">
        <v>170</v>
      </c>
      <c r="E34" s="47" t="n">
        <f aca="false">SUM(F34:S34)</f>
        <v>48.994978175</v>
      </c>
      <c r="F34" s="47" t="n">
        <f aca="false">IF('Global Inputs'!$E$33=1,SUM($F$30:$S$30)*'P03 KBSWarehouse Input'!$E$51/'P03 KBSWarehouse Input'!$E$52*F32,SUMPRODUCT($F$30:$S$30,--($F$33:$S$33&lt;=F$5),--(F$5&lt;$F$33:$S$33+'P03 KBSWarehouse Input'!$E$52))*'P03 KBSWarehouse Input'!$E$51/'P03 KBSWarehouse Input'!$E$52)</f>
        <v>0</v>
      </c>
      <c r="G34" s="47" t="n">
        <f aca="false">IF('Global Inputs'!$E$33=1,SUM($F$30:$S$30)*'P03 KBSWarehouse Input'!$E$51/'P03 KBSWarehouse Input'!$E$52*G32,SUMPRODUCT($F$30:$S$30,--($F$33:$S$33&lt;=G$5),--(G$5&lt;$F$33:$S$33+'P03 KBSWarehouse Input'!$E$52))*'P03 KBSWarehouse Input'!$E$51/'P03 KBSWarehouse Input'!$E$52)</f>
        <v>0</v>
      </c>
      <c r="H34" s="47" t="n">
        <f aca="false">IF('Global Inputs'!$E$33=1,SUM($F$30:$S$30)*'P03 KBSWarehouse Input'!$E$51/'P03 KBSWarehouse Input'!$E$52*H32,SUMPRODUCT($F$30:$S$30,--($F$33:$S$33&lt;=H$5),--(H$5&lt;$F$33:$S$33+'P03 KBSWarehouse Input'!$E$52))*'P03 KBSWarehouse Input'!$E$51/'P03 KBSWarehouse Input'!$E$52)</f>
        <v>0</v>
      </c>
      <c r="I34" s="47" t="n">
        <f aca="false">IF('Global Inputs'!$E$33=1,SUM($F$30:$S$30)*'P03 KBSWarehouse Input'!$E$51/'P03 KBSWarehouse Input'!$E$52*I32,SUMPRODUCT($F$30:$S$30,--($F$33:$S$33&lt;=I$5),--(I$5&lt;$F$33:$S$33+'P03 KBSWarehouse Input'!$E$52))*'P03 KBSWarehouse Input'!$E$51/'P03 KBSWarehouse Input'!$E$52)</f>
        <v>0</v>
      </c>
      <c r="J34" s="47" t="n">
        <f aca="false">IF('Global Inputs'!$E$33=1,SUM($F$30:$S$30)*'P03 KBSWarehouse Input'!$E$51/'P03 KBSWarehouse Input'!$E$52*J32,SUMPRODUCT($F$30:$S$30,--($F$33:$S$33&lt;=J$5),--(J$5&lt;$F$33:$S$33+'P03 KBSWarehouse Input'!$E$52))*'P03 KBSWarehouse Input'!$E$51/'P03 KBSWarehouse Input'!$E$52)</f>
        <v>4.8994978175</v>
      </c>
      <c r="K34" s="47" t="n">
        <f aca="false">IF('Global Inputs'!$E$33=1,SUM($F$30:$S$30)*'P03 KBSWarehouse Input'!$E$51/'P03 KBSWarehouse Input'!$E$52*K32,SUMPRODUCT($F$30:$S$30,--($F$33:$S$33&lt;=K$5),--(K$5&lt;$F$33:$S$33+'P03 KBSWarehouse Input'!$E$52))*'P03 KBSWarehouse Input'!$E$51/'P03 KBSWarehouse Input'!$E$52)</f>
        <v>4.8994978175</v>
      </c>
      <c r="L34" s="47" t="n">
        <f aca="false">IF('Global Inputs'!$E$33=1,SUM($F$30:$S$30)*'P03 KBSWarehouse Input'!$E$51/'P03 KBSWarehouse Input'!$E$52*L32,SUMPRODUCT($F$30:$S$30,--($F$33:$S$33&lt;=L$5),--(L$5&lt;$F$33:$S$33+'P03 KBSWarehouse Input'!$E$52))*'P03 KBSWarehouse Input'!$E$51/'P03 KBSWarehouse Input'!$E$52)</f>
        <v>4.8994978175</v>
      </c>
      <c r="M34" s="47" t="n">
        <f aca="false">IF('Global Inputs'!$E$33=1,SUM($F$30:$S$30)*'P03 KBSWarehouse Input'!$E$51/'P03 KBSWarehouse Input'!$E$52*M32,SUMPRODUCT($F$30:$S$30,--($F$33:$S$33&lt;=M$5),--(M$5&lt;$F$33:$S$33+'P03 KBSWarehouse Input'!$E$52))*'P03 KBSWarehouse Input'!$E$51/'P03 KBSWarehouse Input'!$E$52)</f>
        <v>4.8994978175</v>
      </c>
      <c r="N34" s="47" t="n">
        <f aca="false">IF('Global Inputs'!$E$33=1,SUM($F$30:$S$30)*'P03 KBSWarehouse Input'!$E$51/'P03 KBSWarehouse Input'!$E$52*N32,SUMPRODUCT($F$30:$S$30,--($F$33:$S$33&lt;=N$5),--(N$5&lt;$F$33:$S$33+'P03 KBSWarehouse Input'!$E$52))*'P03 KBSWarehouse Input'!$E$51/'P03 KBSWarehouse Input'!$E$52)</f>
        <v>4.8994978175</v>
      </c>
      <c r="O34" s="47" t="n">
        <f aca="false">IF('Global Inputs'!$E$33=1,SUM($F$30:$S$30)*'P03 KBSWarehouse Input'!$E$51/'P03 KBSWarehouse Input'!$E$52*O32,SUMPRODUCT($F$30:$S$30,--($F$33:$S$33&lt;=O$5),--(O$5&lt;$F$33:$S$33+'P03 KBSWarehouse Input'!$E$52))*'P03 KBSWarehouse Input'!$E$51/'P03 KBSWarehouse Input'!$E$52)</f>
        <v>4.8994978175</v>
      </c>
      <c r="P34" s="47" t="n">
        <f aca="false">IF('Global Inputs'!$E$33=1,SUM($F$30:$S$30)*'P03 KBSWarehouse Input'!$E$51/'P03 KBSWarehouse Input'!$E$52*P32,SUMPRODUCT($F$30:$S$30,--($F$33:$S$33&lt;=P$5),--(P$5&lt;$F$33:$S$33+'P03 KBSWarehouse Input'!$E$52))*'P03 KBSWarehouse Input'!$E$51/'P03 KBSWarehouse Input'!$E$52)</f>
        <v>4.8994978175</v>
      </c>
      <c r="Q34" s="47" t="n">
        <f aca="false">IF('Global Inputs'!$E$33=1,SUM($F$30:$S$30)*'P03 KBSWarehouse Input'!$E$51/'P03 KBSWarehouse Input'!$E$52*Q32,SUMPRODUCT($F$30:$S$30,--($F$33:$S$33&lt;=Q$5),--(Q$5&lt;$F$33:$S$33+'P03 KBSWarehouse Input'!$E$52))*'P03 KBSWarehouse Input'!$E$51/'P03 KBSWarehouse Input'!$E$52)</f>
        <v>4.8994978175</v>
      </c>
      <c r="R34" s="47" t="n">
        <f aca="false">IF('Global Inputs'!$E$33=1,SUM($F$30:$S$30)*'P03 KBSWarehouse Input'!$E$51/'P03 KBSWarehouse Input'!$E$52*R32,SUMPRODUCT($F$30:$S$30,--($F$33:$S$33&lt;=R$5),--(R$5&lt;$F$33:$S$33+'P03 KBSWarehouse Input'!$E$52))*'P03 KBSWarehouse Input'!$E$51/'P03 KBSWarehouse Input'!$E$52)</f>
        <v>4.8994978175</v>
      </c>
      <c r="S34" s="47" t="n">
        <f aca="false">IF('Global Inputs'!$E$33=1,SUM($F$30:$S$30)*'P03 KBSWarehouse Input'!$E$51/'P03 KBSWarehouse Input'!$E$52*S32,SUMPRODUCT($F$30:$S$30,--($F$33:$S$33&lt;=S$5),--(S$5&lt;$F$33:$S$33+'P03 KBSWarehouse Input'!$E$52))*'P03 KBSWarehouse Input'!$E$51/'P03 KBSWarehouse Input'!$E$52)</f>
        <v>4.8994978175</v>
      </c>
      <c r="T34" s="5" t="s">
        <v>1336</v>
      </c>
    </row>
    <row r="35" customFormat="false" ht="15" hidden="false" customHeight="false" outlineLevel="0" collapsed="false">
      <c r="B35" s="24" t="s">
        <v>1337</v>
      </c>
      <c r="C35" s="25" t="s">
        <v>170</v>
      </c>
      <c r="E35" s="47" t="n">
        <f aca="false">SUM(F35:S35)</f>
        <v>0</v>
      </c>
      <c r="F35" s="47" t="n">
        <f aca="false">IF('Global Inputs'!$E$33=1,SUM($F$30:$S$30)*(1-'P03 KBSWarehouse Input'!$E$51)/'P03 KBSWarehouse Input'!$E$53*F32,SUMPRODUCT($F$30:$S$30,--($F$33:$S$33&lt;=F$5),--(F$5&lt;$F$33:$S$33+'P03 KBSWarehouse Input'!$E$53))*(1-'P03 KBSWarehouse Input'!$E$51)/'P03 KBSWarehouse Input'!$E$53)</f>
        <v>0</v>
      </c>
      <c r="G35" s="47" t="n">
        <f aca="false">IF('Global Inputs'!$E$33=1,SUM($F$30:$S$30)*(1-'P03 KBSWarehouse Input'!$E$51)/'P03 KBSWarehouse Input'!$E$53*G32,SUMPRODUCT($F$30:$S$30,--($F$33:$S$33&lt;=G$5),--(G$5&lt;$F$33:$S$33+'P03 KBSWarehouse Input'!$E$53))*(1-'P03 KBSWarehouse Input'!$E$51)/'P03 KBSWarehouse Input'!$E$53)</f>
        <v>0</v>
      </c>
      <c r="H35" s="47" t="n">
        <f aca="false">IF('Global Inputs'!$E$33=1,SUM($F$30:$S$30)*(1-'P03 KBSWarehouse Input'!$E$51)/'P03 KBSWarehouse Input'!$E$53*H32,SUMPRODUCT($F$30:$S$30,--($F$33:$S$33&lt;=H$5),--(H$5&lt;$F$33:$S$33+'P03 KBSWarehouse Input'!$E$53))*(1-'P03 KBSWarehouse Input'!$E$51)/'P03 KBSWarehouse Input'!$E$53)</f>
        <v>0</v>
      </c>
      <c r="I35" s="47" t="n">
        <f aca="false">IF('Global Inputs'!$E$33=1,SUM($F$30:$S$30)*(1-'P03 KBSWarehouse Input'!$E$51)/'P03 KBSWarehouse Input'!$E$53*I32,SUMPRODUCT($F$30:$S$30,--($F$33:$S$33&lt;=I$5),--(I$5&lt;$F$33:$S$33+'P03 KBSWarehouse Input'!$E$53))*(1-'P03 KBSWarehouse Input'!$E$51)/'P03 KBSWarehouse Input'!$E$53)</f>
        <v>0</v>
      </c>
      <c r="J35" s="47" t="n">
        <f aca="false">IF('Global Inputs'!$E$33=1,SUM($F$30:$S$30)*(1-'P03 KBSWarehouse Input'!$E$51)/'P03 KBSWarehouse Input'!$E$53*J32,SUMPRODUCT($F$30:$S$30,--($F$33:$S$33&lt;=J$5),--(J$5&lt;$F$33:$S$33+'P03 KBSWarehouse Input'!$E$53))*(1-'P03 KBSWarehouse Input'!$E$51)/'P03 KBSWarehouse Input'!$E$53)</f>
        <v>0</v>
      </c>
      <c r="K35" s="47" t="n">
        <f aca="false">IF('Global Inputs'!$E$33=1,SUM($F$30:$S$30)*(1-'P03 KBSWarehouse Input'!$E$51)/'P03 KBSWarehouse Input'!$E$53*K32,SUMPRODUCT($F$30:$S$30,--($F$33:$S$33&lt;=K$5),--(K$5&lt;$F$33:$S$33+'P03 KBSWarehouse Input'!$E$53))*(1-'P03 KBSWarehouse Input'!$E$51)/'P03 KBSWarehouse Input'!$E$53)</f>
        <v>0</v>
      </c>
      <c r="L35" s="47" t="n">
        <f aca="false">IF('Global Inputs'!$E$33=1,SUM($F$30:$S$30)*(1-'P03 KBSWarehouse Input'!$E$51)/'P03 KBSWarehouse Input'!$E$53*L32,SUMPRODUCT($F$30:$S$30,--($F$33:$S$33&lt;=L$5),--(L$5&lt;$F$33:$S$33+'P03 KBSWarehouse Input'!$E$53))*(1-'P03 KBSWarehouse Input'!$E$51)/'P03 KBSWarehouse Input'!$E$53)</f>
        <v>0</v>
      </c>
      <c r="M35" s="47" t="n">
        <f aca="false">IF('Global Inputs'!$E$33=1,SUM($F$30:$S$30)*(1-'P03 KBSWarehouse Input'!$E$51)/'P03 KBSWarehouse Input'!$E$53*M32,SUMPRODUCT($F$30:$S$30,--($F$33:$S$33&lt;=M$5),--(M$5&lt;$F$33:$S$33+'P03 KBSWarehouse Input'!$E$53))*(1-'P03 KBSWarehouse Input'!$E$51)/'P03 KBSWarehouse Input'!$E$53)</f>
        <v>0</v>
      </c>
      <c r="N35" s="47" t="n">
        <f aca="false">IF('Global Inputs'!$E$33=1,SUM($F$30:$S$30)*(1-'P03 KBSWarehouse Input'!$E$51)/'P03 KBSWarehouse Input'!$E$53*N32,SUMPRODUCT($F$30:$S$30,--($F$33:$S$33&lt;=N$5),--(N$5&lt;$F$33:$S$33+'P03 KBSWarehouse Input'!$E$53))*(1-'P03 KBSWarehouse Input'!$E$51)/'P03 KBSWarehouse Input'!$E$53)</f>
        <v>0</v>
      </c>
      <c r="O35" s="47" t="n">
        <f aca="false">IF('Global Inputs'!$E$33=1,SUM($F$30:$S$30)*(1-'P03 KBSWarehouse Input'!$E$51)/'P03 KBSWarehouse Input'!$E$53*O32,SUMPRODUCT($F$30:$S$30,--($F$33:$S$33&lt;=O$5),--(O$5&lt;$F$33:$S$33+'P03 KBSWarehouse Input'!$E$53))*(1-'P03 KBSWarehouse Input'!$E$51)/'P03 KBSWarehouse Input'!$E$53)</f>
        <v>0</v>
      </c>
      <c r="P35" s="47" t="n">
        <f aca="false">IF('Global Inputs'!$E$33=1,SUM($F$30:$S$30)*(1-'P03 KBSWarehouse Input'!$E$51)/'P03 KBSWarehouse Input'!$E$53*P32,SUMPRODUCT($F$30:$S$30,--($F$33:$S$33&lt;=P$5),--(P$5&lt;$F$33:$S$33+'P03 KBSWarehouse Input'!$E$53))*(1-'P03 KBSWarehouse Input'!$E$51)/'P03 KBSWarehouse Input'!$E$53)</f>
        <v>0</v>
      </c>
      <c r="Q35" s="47" t="n">
        <f aca="false">IF('Global Inputs'!$E$33=1,SUM($F$30:$S$30)*(1-'P03 KBSWarehouse Input'!$E$51)/'P03 KBSWarehouse Input'!$E$53*Q32,SUMPRODUCT($F$30:$S$30,--($F$33:$S$33&lt;=Q$5),--(Q$5&lt;$F$33:$S$33+'P03 KBSWarehouse Input'!$E$53))*(1-'P03 KBSWarehouse Input'!$E$51)/'P03 KBSWarehouse Input'!$E$53)</f>
        <v>0</v>
      </c>
      <c r="R35" s="47" t="n">
        <f aca="false">IF('Global Inputs'!$E$33=1,SUM($F$30:$S$30)*(1-'P03 KBSWarehouse Input'!$E$51)/'P03 KBSWarehouse Input'!$E$53*R32,SUMPRODUCT($F$30:$S$30,--($F$33:$S$33&lt;=R$5),--(R$5&lt;$F$33:$S$33+'P03 KBSWarehouse Input'!$E$53))*(1-'P03 KBSWarehouse Input'!$E$51)/'P03 KBSWarehouse Input'!$E$53)</f>
        <v>0</v>
      </c>
      <c r="S35" s="47" t="n">
        <f aca="false">IF('Global Inputs'!$E$33=1,SUM($F$30:$S$30)*(1-'P03 KBSWarehouse Input'!$E$51)/'P03 KBSWarehouse Input'!$E$53*S32,SUMPRODUCT($F$30:$S$30,--($F$33:$S$33&lt;=S$5),--(S$5&lt;$F$33:$S$33+'P03 KBSWarehouse Input'!$E$53))*(1-'P03 KBSWarehouse Input'!$E$51)/'P03 KBSWarehouse Input'!$E$53)</f>
        <v>0</v>
      </c>
    </row>
    <row r="36" customFormat="false" ht="15" hidden="false" customHeight="false" outlineLevel="0" collapsed="false">
      <c r="B36" s="24" t="s">
        <v>1338</v>
      </c>
      <c r="C36" s="25" t="s">
        <v>170</v>
      </c>
      <c r="E36" s="47" t="n">
        <f aca="false">SUM(F36:S36)</f>
        <v>48.994978175</v>
      </c>
      <c r="F36" s="47" t="n">
        <f aca="false">F34+F35</f>
        <v>0</v>
      </c>
      <c r="G36" s="47" t="n">
        <f aca="false">G34+G35</f>
        <v>0</v>
      </c>
      <c r="H36" s="47" t="n">
        <f aca="false">H34+H35</f>
        <v>0</v>
      </c>
      <c r="I36" s="47" t="n">
        <f aca="false">I34+I35</f>
        <v>0</v>
      </c>
      <c r="J36" s="47" t="n">
        <f aca="false">J34+J35</f>
        <v>4.8994978175</v>
      </c>
      <c r="K36" s="47" t="n">
        <f aca="false">K34+K35</f>
        <v>4.8994978175</v>
      </c>
      <c r="L36" s="47" t="n">
        <f aca="false">L34+L35</f>
        <v>4.8994978175</v>
      </c>
      <c r="M36" s="47" t="n">
        <f aca="false">M34+M35</f>
        <v>4.8994978175</v>
      </c>
      <c r="N36" s="47" t="n">
        <f aca="false">N34+N35</f>
        <v>4.8994978175</v>
      </c>
      <c r="O36" s="47" t="n">
        <f aca="false">O34+O35</f>
        <v>4.8994978175</v>
      </c>
      <c r="P36" s="47" t="n">
        <f aca="false">P34+P35</f>
        <v>4.8994978175</v>
      </c>
      <c r="Q36" s="47" t="n">
        <f aca="false">Q34+Q35</f>
        <v>4.8994978175</v>
      </c>
      <c r="R36" s="47" t="n">
        <f aca="false">R34+R35</f>
        <v>4.8994978175</v>
      </c>
      <c r="S36" s="47" t="n">
        <f aca="false">S34+S35</f>
        <v>4.8994978175</v>
      </c>
    </row>
    <row r="37" customFormat="false" ht="15" hidden="false" customHeight="false" outlineLevel="0" collapsed="false">
      <c r="B37" s="24" t="s">
        <v>1339</v>
      </c>
      <c r="C37" s="25" t="s">
        <v>170</v>
      </c>
      <c r="F37" s="47" t="n">
        <f aca="false">F30</f>
        <v>0</v>
      </c>
      <c r="G37" s="47" t="n">
        <f aca="false">F37+G30-G36</f>
        <v>0</v>
      </c>
      <c r="H37" s="47" t="n">
        <f aca="false">G37+H30-H36</f>
        <v>0</v>
      </c>
      <c r="I37" s="47" t="n">
        <f aca="false">H37+I30-I36</f>
        <v>97.98995635</v>
      </c>
      <c r="J37" s="47" t="n">
        <f aca="false">I37+J30-J36</f>
        <v>93.0904585325</v>
      </c>
      <c r="K37" s="47" t="n">
        <f aca="false">J37+K30-K36</f>
        <v>88.190960715</v>
      </c>
      <c r="L37" s="47" t="n">
        <f aca="false">K37+L30-L36</f>
        <v>83.2914628975</v>
      </c>
      <c r="M37" s="47" t="n">
        <f aca="false">L37+M30-M36</f>
        <v>78.39196508</v>
      </c>
      <c r="N37" s="47" t="n">
        <f aca="false">M37+N30-N36</f>
        <v>73.4924672625</v>
      </c>
      <c r="O37" s="47" t="n">
        <f aca="false">N37+O30-O36</f>
        <v>68.592969445</v>
      </c>
      <c r="P37" s="47" t="n">
        <f aca="false">O37+P30-P36</f>
        <v>63.6934716275</v>
      </c>
      <c r="Q37" s="47" t="n">
        <f aca="false">P37+Q30-Q36</f>
        <v>58.79397381</v>
      </c>
      <c r="R37" s="47" t="n">
        <f aca="false">Q37+R30-R36</f>
        <v>53.8944759925</v>
      </c>
      <c r="S37" s="47" t="n">
        <f aca="false">R37+S30-S36</f>
        <v>48.994978175</v>
      </c>
    </row>
    <row r="38" customFormat="false" ht="15" hidden="false" customHeight="false" outlineLevel="0" collapsed="false">
      <c r="B38" s="24" t="s">
        <v>1340</v>
      </c>
      <c r="C38" s="25" t="s">
        <v>143</v>
      </c>
      <c r="F38" s="30" t="n">
        <f aca="false">IF(F30&gt;0,1,0)</f>
        <v>0</v>
      </c>
      <c r="G38" s="30" t="n">
        <f aca="false">IF(AND(G31&gt;0,F31=0),1,0)</f>
        <v>0</v>
      </c>
      <c r="H38" s="30" t="n">
        <f aca="false">IF(AND(H31&gt;0,G31=0),1,0)</f>
        <v>0</v>
      </c>
      <c r="I38" s="30" t="n">
        <f aca="false">IF(AND(I31&gt;0,H31=0),1,0)</f>
        <v>1</v>
      </c>
      <c r="J38" s="30" t="n">
        <f aca="false">IF(AND(J31&gt;0,I31=0),1,0)</f>
        <v>0</v>
      </c>
      <c r="K38" s="30" t="n">
        <f aca="false">IF(AND(K31&gt;0,J31=0),1,0)</f>
        <v>0</v>
      </c>
      <c r="L38" s="30" t="n">
        <f aca="false">IF(AND(L31&gt;0,K31=0),1,0)</f>
        <v>0</v>
      </c>
      <c r="M38" s="30" t="n">
        <f aca="false">IF(AND(M31&gt;0,L31=0),1,0)</f>
        <v>0</v>
      </c>
      <c r="N38" s="30" t="n">
        <f aca="false">IF(AND(N31&gt;0,M31=0),1,0)</f>
        <v>0</v>
      </c>
      <c r="O38" s="30" t="n">
        <f aca="false">IF(AND(O31&gt;0,N31=0),1,0)</f>
        <v>0</v>
      </c>
      <c r="P38" s="30" t="n">
        <f aca="false">IF(AND(P31&gt;0,O31=0),1,0)</f>
        <v>0</v>
      </c>
      <c r="Q38" s="30" t="n">
        <f aca="false">IF(AND(Q31&gt;0,P31=0),1,0)</f>
        <v>0</v>
      </c>
      <c r="R38" s="30" t="n">
        <f aca="false">IF(AND(R31&gt;0,Q31=0),1,0)</f>
        <v>0</v>
      </c>
      <c r="S38" s="30" t="n">
        <f aca="false">IF(AND(S31&gt;0,R31=0),1,0)</f>
        <v>0</v>
      </c>
    </row>
    <row r="39" customFormat="false" ht="15" hidden="false" customHeight="false" outlineLevel="0" collapsed="false">
      <c r="B39" s="69" t="s">
        <v>1094</v>
      </c>
      <c r="C39" s="25" t="s">
        <v>170</v>
      </c>
      <c r="E39" s="70" t="n">
        <f aca="false">SUM(F39:S39)</f>
        <v>48.994978175</v>
      </c>
      <c r="F39" s="68" t="n">
        <f aca="false">F36</f>
        <v>0</v>
      </c>
      <c r="G39" s="68" t="n">
        <f aca="false">G36</f>
        <v>0</v>
      </c>
      <c r="H39" s="68" t="n">
        <f aca="false">H36</f>
        <v>0</v>
      </c>
      <c r="I39" s="68" t="n">
        <f aca="false">I36</f>
        <v>0</v>
      </c>
      <c r="J39" s="68" t="n">
        <f aca="false">J36</f>
        <v>4.8994978175</v>
      </c>
      <c r="K39" s="68" t="n">
        <f aca="false">K36</f>
        <v>4.8994978175</v>
      </c>
      <c r="L39" s="68" t="n">
        <f aca="false">L36</f>
        <v>4.8994978175</v>
      </c>
      <c r="M39" s="68" t="n">
        <f aca="false">M36</f>
        <v>4.8994978175</v>
      </c>
      <c r="N39" s="68" t="n">
        <f aca="false">N36</f>
        <v>4.8994978175</v>
      </c>
      <c r="O39" s="68" t="n">
        <f aca="false">O36</f>
        <v>4.8994978175</v>
      </c>
      <c r="P39" s="68" t="n">
        <f aca="false">P36</f>
        <v>4.8994978175</v>
      </c>
      <c r="Q39" s="68" t="n">
        <f aca="false">Q36</f>
        <v>4.8994978175</v>
      </c>
      <c r="R39" s="68" t="n">
        <f aca="false">R36</f>
        <v>4.8994978175</v>
      </c>
      <c r="S39" s="68" t="n">
        <f aca="false">S36</f>
        <v>4.8994978175</v>
      </c>
    </row>
    <row r="41" customFormat="false" ht="15" hidden="false" customHeight="false" outlineLevel="0" collapsed="false">
      <c r="B41" s="22" t="s">
        <v>1829</v>
      </c>
      <c r="C41" s="23"/>
      <c r="D41" s="23"/>
      <c r="E41" s="23"/>
      <c r="F41" s="23"/>
      <c r="G41" s="23"/>
      <c r="H41" s="23"/>
      <c r="I41" s="23"/>
      <c r="J41" s="23"/>
      <c r="K41" s="23"/>
      <c r="L41" s="23"/>
      <c r="M41" s="23"/>
      <c r="N41" s="23"/>
      <c r="O41" s="23"/>
      <c r="P41" s="23"/>
      <c r="Q41" s="23"/>
      <c r="R41" s="23"/>
      <c r="S41" s="23"/>
    </row>
    <row r="42" customFormat="false" ht="15" hidden="false" customHeight="false" outlineLevel="0" collapsed="false">
      <c r="B42" s="24" t="s">
        <v>1096</v>
      </c>
      <c r="C42" s="25" t="s">
        <v>170</v>
      </c>
      <c r="F42" s="47" t="n">
        <f aca="false">0</f>
        <v>0</v>
      </c>
      <c r="G42" s="47" t="n">
        <f aca="false">G19*'Global Inputs'!$E$28/G$7</f>
        <v>0</v>
      </c>
      <c r="H42" s="47" t="n">
        <f aca="false">H19*'Global Inputs'!$E$28/H$7</f>
        <v>0</v>
      </c>
      <c r="I42" s="47" t="n">
        <f aca="false">I19*'Global Inputs'!$E$28/I$7</f>
        <v>0</v>
      </c>
      <c r="J42" s="47" t="n">
        <f aca="false">J19*'Global Inputs'!$E$28/J$7</f>
        <v>6.53717860273973</v>
      </c>
      <c r="K42" s="47" t="n">
        <f aca="false">K19*'Global Inputs'!$E$28/K$7</f>
        <v>6.71489698278688</v>
      </c>
      <c r="L42" s="47" t="n">
        <f aca="false">L19*'Global Inputs'!$E$28/L$7</f>
        <v>6.93529277964658</v>
      </c>
      <c r="M42" s="47" t="n">
        <f aca="false">M19*'Global Inputs'!$E$28/M$7</f>
        <v>7.14335156303597</v>
      </c>
      <c r="N42" s="47" t="n">
        <f aca="false">N19*'Global Inputs'!$E$28/N$7</f>
        <v>7.35765210992705</v>
      </c>
      <c r="O42" s="47" t="n">
        <f aca="false">O19*'Global Inputs'!$E$28/O$7</f>
        <v>7.55767571236906</v>
      </c>
      <c r="P42" s="47" t="n">
        <f aca="false">P19*'Global Inputs'!$E$28/P$7</f>
        <v>7.80573312342161</v>
      </c>
      <c r="Q42" s="47" t="n">
        <f aca="false">Q19*'Global Inputs'!$E$28/Q$7</f>
        <v>8.03990511712426</v>
      </c>
      <c r="R42" s="47" t="n">
        <f aca="false">R19*'Global Inputs'!$E$28/R$7</f>
        <v>8.28110227063799</v>
      </c>
      <c r="S42" s="47" t="n">
        <f aca="false">S19*'Global Inputs'!$E$28/S$7</f>
        <v>8.5062305973944</v>
      </c>
    </row>
    <row r="43" customFormat="false" ht="15" hidden="false" customHeight="false" outlineLevel="0" collapsed="false">
      <c r="B43" s="24" t="s">
        <v>1098</v>
      </c>
      <c r="C43" s="25" t="s">
        <v>170</v>
      </c>
      <c r="F43" s="47" t="n">
        <f aca="false">0</f>
        <v>0</v>
      </c>
      <c r="G43" s="47" t="n">
        <f aca="false">G22*'Global Inputs'!$E$29/G$7</f>
        <v>0</v>
      </c>
      <c r="H43" s="47" t="n">
        <f aca="false">H22*'Global Inputs'!$E$29/H$7</f>
        <v>0</v>
      </c>
      <c r="I43" s="47" t="n">
        <f aca="false">I22*'Global Inputs'!$E$29/I$7</f>
        <v>0</v>
      </c>
      <c r="J43" s="47" t="n">
        <f aca="false">J22*'Global Inputs'!$E$29/J$7</f>
        <v>0.435811906849315</v>
      </c>
      <c r="K43" s="47" t="n">
        <f aca="false">K22*'Global Inputs'!$E$29/K$7</f>
        <v>0.447659798852459</v>
      </c>
      <c r="L43" s="47" t="n">
        <f aca="false">L22*'Global Inputs'!$E$29/L$7</f>
        <v>0.462352851976438</v>
      </c>
      <c r="M43" s="47" t="n">
        <f aca="false">M22*'Global Inputs'!$E$29/M$7</f>
        <v>0.476223437535732</v>
      </c>
      <c r="N43" s="47" t="n">
        <f aca="false">N22*'Global Inputs'!$E$29/N$7</f>
        <v>0.490510140661804</v>
      </c>
      <c r="O43" s="47" t="n">
        <f aca="false">O22*'Global Inputs'!$E$29/O$7</f>
        <v>0.503845047491271</v>
      </c>
      <c r="P43" s="47" t="n">
        <f aca="false">P22*'Global Inputs'!$E$29/P$7</f>
        <v>0.520382208228107</v>
      </c>
      <c r="Q43" s="47" t="n">
        <f aca="false">Q22*'Global Inputs'!$E$29/Q$7</f>
        <v>0.535993674474951</v>
      </c>
      <c r="R43" s="47" t="n">
        <f aca="false">R22*'Global Inputs'!$E$29/R$7</f>
        <v>0.552073484709199</v>
      </c>
      <c r="S43" s="47" t="n">
        <f aca="false">S22*'Global Inputs'!$E$29/S$7</f>
        <v>0.567082039826294</v>
      </c>
    </row>
    <row r="44" customFormat="false" ht="15" hidden="false" customHeight="false" outlineLevel="0" collapsed="false">
      <c r="B44" s="24" t="s">
        <v>1099</v>
      </c>
      <c r="C44" s="25" t="s">
        <v>170</v>
      </c>
      <c r="F44" s="47" t="n">
        <f aca="false">F42-F43</f>
        <v>0</v>
      </c>
      <c r="G44" s="47" t="n">
        <f aca="false">G42-G43</f>
        <v>0</v>
      </c>
      <c r="H44" s="47" t="n">
        <f aca="false">H42-H43</f>
        <v>0</v>
      </c>
      <c r="I44" s="47" t="n">
        <f aca="false">I42-I43</f>
        <v>0</v>
      </c>
      <c r="J44" s="47" t="n">
        <f aca="false">J42-J43</f>
        <v>6.10136669589041</v>
      </c>
      <c r="K44" s="47" t="n">
        <f aca="false">K42-K43</f>
        <v>6.26723718393443</v>
      </c>
      <c r="L44" s="47" t="n">
        <f aca="false">L42-L43</f>
        <v>6.47293992767014</v>
      </c>
      <c r="M44" s="47" t="n">
        <f aca="false">M42-M43</f>
        <v>6.66712812550024</v>
      </c>
      <c r="N44" s="47" t="n">
        <f aca="false">N42-N43</f>
        <v>6.86714196926525</v>
      </c>
      <c r="O44" s="47" t="n">
        <f aca="false">O42-O43</f>
        <v>7.05383066487779</v>
      </c>
      <c r="P44" s="47" t="n">
        <f aca="false">P42-P43</f>
        <v>7.2853509151935</v>
      </c>
      <c r="Q44" s="47" t="n">
        <f aca="false">Q42-Q43</f>
        <v>7.50391144264931</v>
      </c>
      <c r="R44" s="47" t="n">
        <f aca="false">R42-R43</f>
        <v>7.72902878592879</v>
      </c>
      <c r="S44" s="47" t="n">
        <f aca="false">S42-S43</f>
        <v>7.93914855756811</v>
      </c>
    </row>
    <row r="45" customFormat="false" ht="15" hidden="false" customHeight="false" outlineLevel="0" collapsed="false">
      <c r="B45" s="24" t="s">
        <v>1100</v>
      </c>
      <c r="C45" s="25" t="s">
        <v>170</v>
      </c>
      <c r="E45" s="47" t="n">
        <f aca="false">SUM(F45:S45)</f>
        <v>7.93914855756811</v>
      </c>
      <c r="F45" s="47" t="n">
        <f aca="false">0</f>
        <v>0</v>
      </c>
      <c r="G45" s="47" t="n">
        <f aca="false">G44-F44</f>
        <v>0</v>
      </c>
      <c r="H45" s="47" t="n">
        <f aca="false">H44-G44</f>
        <v>0</v>
      </c>
      <c r="I45" s="47" t="n">
        <f aca="false">I44-H44</f>
        <v>0</v>
      </c>
      <c r="J45" s="47" t="n">
        <f aca="false">J44-I44</f>
        <v>6.10136669589041</v>
      </c>
      <c r="K45" s="47" t="n">
        <f aca="false">K44-J44</f>
        <v>0.165870488044015</v>
      </c>
      <c r="L45" s="47" t="n">
        <f aca="false">L44-K44</f>
        <v>0.205702743735712</v>
      </c>
      <c r="M45" s="47" t="n">
        <f aca="false">M44-L44</f>
        <v>0.194188197830104</v>
      </c>
      <c r="N45" s="47" t="n">
        <f aca="false">N44-M44</f>
        <v>0.200013843765008</v>
      </c>
      <c r="O45" s="47" t="n">
        <f aca="false">O44-N44</f>
        <v>0.186688695612538</v>
      </c>
      <c r="P45" s="47" t="n">
        <f aca="false">P44-O44</f>
        <v>0.231520250315716</v>
      </c>
      <c r="Q45" s="47" t="n">
        <f aca="false">Q44-P44</f>
        <v>0.218560527455803</v>
      </c>
      <c r="R45" s="47" t="n">
        <f aca="false">R44-Q44</f>
        <v>0.225117343279483</v>
      </c>
      <c r="S45" s="47" t="n">
        <f aca="false">S44-R44</f>
        <v>0.210119771639318</v>
      </c>
    </row>
  </sheetData>
  <hyperlinks>
    <hyperlink ref="C3" r:id="rId1" location="'P03%20KBSWarehouse%20Input'!A1" display="Input"/>
    <hyperlink ref="D3" r:id="rId2" location="'P03%20KBSWarehouse%20Calc'!A1" display="Calc"/>
    <hyperlink ref="E3" r:id="rId3" location="'P03%20KBSWarehouse%20Output'!A1" display="Output"/>
    <hyperlink ref="F3" r:id="rId4" location="'Navigation'!A1" display="Navigation"/>
    <hyperlink ref="G3" r:id="rId5" location="'Global%20Inputs'!A1" display="Global Inputs"/>
    <hyperlink ref="H3" r:id="rId6" location="'Project%20Summary'!A1" display="Project Summary"/>
    <hyperlink ref="I3" r:id="rId7" location="'Funding%20Requirement'!A1" display="Funding"/>
    <hyperlink ref="J3" r:id="rId8" location="'FSL%20Financials%20—%20Without%20BUMN'!A1" display="FSL w/o BUMN"/>
    <hyperlink ref="K3" r:id="rId9" location="'FSL%20Financials%20—%20With%20BUMN'!A1" display="FSL w/ BUMN"/>
    <hyperlink ref="L3" r:id="rId10" location="'Valuation%20—%20Without%20BUMN'!A1" display="Val w/o BUMN"/>
    <hyperlink ref="M3" r:id="rId11" location="'Valuation%20—%20With%20BUMN'!A1" display="Val w/ BUMN"/>
    <hyperlink ref="N3" r:id="rId12" location="'Checks'!A1" display="Checks"/>
    <hyperlink ref="O3" r:id="rId13" location="'Model%20Flow'!A1" display="Model Flow"/>
  </hyperlink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9D08E"/>
    <pageSetUpPr fitToPage="true"/>
  </sheetPr>
  <dimension ref="B1:U6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5" ySplit="9" topLeftCell="F10" activePane="bottomRight" state="frozen"/>
      <selection pane="topLeft" activeCell="A1" activeCellId="0" sqref="A1"/>
      <selection pane="topRight" activeCell="F1" activeCellId="0" sqref="F1"/>
      <selection pane="bottomLeft" activeCell="A10" activeCellId="0" sqref="A10"/>
      <selection pane="bottomRigh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66"/>
    <col collapsed="false" customWidth="true" hidden="false" outlineLevel="0" max="3" min="3" style="0" width="11"/>
    <col collapsed="false" customWidth="true" hidden="false" outlineLevel="0" max="4" min="4" style="0" width="12"/>
    <col collapsed="false" customWidth="true" hidden="false" outlineLevel="0" max="5" min="5" style="0" width="13"/>
    <col collapsed="false" customWidth="true" hidden="false" outlineLevel="0" max="19" min="6" style="0" width="11.5"/>
    <col collapsed="false" customWidth="true" hidden="false" outlineLevel="0" max="20" min="20" style="0" width="40"/>
    <col collapsed="false" customWidth="true" hidden="false" outlineLevel="0" max="21" min="21" style="0" width="48"/>
  </cols>
  <sheetData>
    <row r="1" customFormat="false" ht="21.75" hidden="false" customHeight="true" outlineLevel="0" collapsed="false">
      <c r="B1" s="1" t="s">
        <v>1920</v>
      </c>
    </row>
    <row r="2" customFormat="false" ht="15" hidden="false" customHeight="false" outlineLevel="0" collapsed="false">
      <c r="B2" s="2" t="s">
        <v>1102</v>
      </c>
    </row>
    <row r="3" customFormat="false" ht="15" hidden="false" customHeight="false" outlineLevel="0" collapsed="false">
      <c r="B3" s="5" t="s">
        <v>112</v>
      </c>
      <c r="C3" s="17" t="s">
        <v>27</v>
      </c>
      <c r="D3" s="17" t="s">
        <v>28</v>
      </c>
      <c r="E3" s="17" t="s">
        <v>29</v>
      </c>
      <c r="F3" s="17" t="s">
        <v>113</v>
      </c>
      <c r="G3" s="17" t="s">
        <v>5</v>
      </c>
      <c r="H3" s="17" t="s">
        <v>7</v>
      </c>
      <c r="I3" s="17" t="s">
        <v>114</v>
      </c>
      <c r="J3" s="17" t="s">
        <v>115</v>
      </c>
      <c r="K3" s="17" t="s">
        <v>116</v>
      </c>
      <c r="L3" s="17" t="s">
        <v>117</v>
      </c>
      <c r="M3" s="17" t="s">
        <v>118</v>
      </c>
      <c r="N3" s="17" t="s">
        <v>21</v>
      </c>
      <c r="O3" s="17" t="s">
        <v>3</v>
      </c>
    </row>
    <row r="5" customFormat="false" ht="15" hidden="false" customHeight="false" outlineLevel="0" collapsed="false">
      <c r="B5" s="6" t="s">
        <v>119</v>
      </c>
      <c r="C5" s="6" t="s">
        <v>120</v>
      </c>
      <c r="D5" s="6" t="s">
        <v>121</v>
      </c>
      <c r="E5" s="6" t="s">
        <v>122</v>
      </c>
      <c r="F5" s="18" t="n">
        <f aca="false">'Global Inputs'!F$5</f>
        <v>2023</v>
      </c>
      <c r="G5" s="18" t="n">
        <f aca="false">'Global Inputs'!G$5</f>
        <v>2024</v>
      </c>
      <c r="H5" s="18" t="n">
        <f aca="false">'Global Inputs'!H$5</f>
        <v>2025</v>
      </c>
      <c r="I5" s="18" t="n">
        <f aca="false">'Global Inputs'!I$5</f>
        <v>2026</v>
      </c>
      <c r="J5" s="18" t="n">
        <f aca="false">'Global Inputs'!J$5</f>
        <v>2027</v>
      </c>
      <c r="K5" s="18" t="n">
        <f aca="false">'Global Inputs'!K$5</f>
        <v>2028</v>
      </c>
      <c r="L5" s="18" t="n">
        <f aca="false">'Global Inputs'!L$5</f>
        <v>2029</v>
      </c>
      <c r="M5" s="18" t="n">
        <f aca="false">'Global Inputs'!M$5</f>
        <v>2030</v>
      </c>
      <c r="N5" s="18" t="n">
        <f aca="false">'Global Inputs'!N$5</f>
        <v>2031</v>
      </c>
      <c r="O5" s="18" t="n">
        <f aca="false">'Global Inputs'!O$5</f>
        <v>2032</v>
      </c>
      <c r="P5" s="18" t="n">
        <f aca="false">'Global Inputs'!P$5</f>
        <v>2033</v>
      </c>
      <c r="Q5" s="18" t="n">
        <f aca="false">'Global Inputs'!Q$5</f>
        <v>2034</v>
      </c>
      <c r="R5" s="18" t="n">
        <f aca="false">'Global Inputs'!R$5</f>
        <v>2035</v>
      </c>
      <c r="S5" s="18" t="n">
        <f aca="false">'Global Inputs'!S$5</f>
        <v>2036</v>
      </c>
      <c r="T5" s="6" t="s">
        <v>123</v>
      </c>
      <c r="U5" s="6" t="s">
        <v>124</v>
      </c>
    </row>
    <row r="6" customFormat="false" ht="15" hidden="false" customHeight="false" outlineLevel="0" collapsed="false">
      <c r="B6" s="19" t="s">
        <v>125</v>
      </c>
      <c r="F6" s="20" t="n">
        <f aca="false">'Global Inputs'!F$6</f>
        <v>45291</v>
      </c>
      <c r="G6" s="20" t="n">
        <f aca="false">'Global Inputs'!G$6</f>
        <v>45657</v>
      </c>
      <c r="H6" s="20" t="n">
        <f aca="false">'Global Inputs'!H$6</f>
        <v>46022</v>
      </c>
      <c r="I6" s="20" t="n">
        <f aca="false">'Global Inputs'!I$6</f>
        <v>46387</v>
      </c>
      <c r="J6" s="20" t="n">
        <f aca="false">'Global Inputs'!J$6</f>
        <v>46752</v>
      </c>
      <c r="K6" s="20" t="n">
        <f aca="false">'Global Inputs'!K$6</f>
        <v>47118</v>
      </c>
      <c r="L6" s="20" t="n">
        <f aca="false">'Global Inputs'!L$6</f>
        <v>47483</v>
      </c>
      <c r="M6" s="20" t="n">
        <f aca="false">'Global Inputs'!M$6</f>
        <v>47848</v>
      </c>
      <c r="N6" s="20" t="n">
        <f aca="false">'Global Inputs'!N$6</f>
        <v>48213</v>
      </c>
      <c r="O6" s="20" t="n">
        <f aca="false">'Global Inputs'!O$6</f>
        <v>48579</v>
      </c>
      <c r="P6" s="20" t="n">
        <f aca="false">'Global Inputs'!P$6</f>
        <v>48944</v>
      </c>
      <c r="Q6" s="20" t="n">
        <f aca="false">'Global Inputs'!Q$6</f>
        <v>49309</v>
      </c>
      <c r="R6" s="20" t="n">
        <f aca="false">'Global Inputs'!R$6</f>
        <v>49674</v>
      </c>
      <c r="S6" s="20" t="n">
        <f aca="false">'Global Inputs'!S$6</f>
        <v>50040</v>
      </c>
    </row>
    <row r="7" customFormat="false" ht="15" hidden="false" customHeight="false" outlineLevel="0" collapsed="false">
      <c r="B7" s="19" t="s">
        <v>126</v>
      </c>
      <c r="F7" s="21" t="n">
        <f aca="false">'Global Inputs'!F$7</f>
        <v>365</v>
      </c>
      <c r="G7" s="21" t="n">
        <f aca="false">'Global Inputs'!G$7</f>
        <v>366</v>
      </c>
      <c r="H7" s="21" t="n">
        <f aca="false">'Global Inputs'!H$7</f>
        <v>365</v>
      </c>
      <c r="I7" s="21" t="n">
        <f aca="false">'Global Inputs'!I$7</f>
        <v>365</v>
      </c>
      <c r="J7" s="21" t="n">
        <f aca="false">'Global Inputs'!J$7</f>
        <v>365</v>
      </c>
      <c r="K7" s="21" t="n">
        <f aca="false">'Global Inputs'!K$7</f>
        <v>366</v>
      </c>
      <c r="L7" s="21" t="n">
        <f aca="false">'Global Inputs'!L$7</f>
        <v>365</v>
      </c>
      <c r="M7" s="21" t="n">
        <f aca="false">'Global Inputs'!M$7</f>
        <v>365</v>
      </c>
      <c r="N7" s="21" t="n">
        <f aca="false">'Global Inputs'!N$7</f>
        <v>365</v>
      </c>
      <c r="O7" s="21" t="n">
        <f aca="false">'Global Inputs'!O$7</f>
        <v>366</v>
      </c>
      <c r="P7" s="21" t="n">
        <f aca="false">'Global Inputs'!P$7</f>
        <v>365</v>
      </c>
      <c r="Q7" s="21" t="n">
        <f aca="false">'Global Inputs'!Q$7</f>
        <v>365</v>
      </c>
      <c r="R7" s="21" t="n">
        <f aca="false">'Global Inputs'!R$7</f>
        <v>365</v>
      </c>
      <c r="S7" s="21" t="n">
        <f aca="false">'Global Inputs'!S$7</f>
        <v>366</v>
      </c>
    </row>
    <row r="8" customFormat="false" ht="15" hidden="false" customHeight="false" outlineLevel="0" collapsed="false">
      <c r="B8" s="19" t="s">
        <v>127</v>
      </c>
      <c r="F8" s="21" t="n">
        <f aca="false">'Global Inputs'!F$8</f>
        <v>0</v>
      </c>
      <c r="G8" s="21" t="n">
        <f aca="false">'Global Inputs'!G$8</f>
        <v>1</v>
      </c>
      <c r="H8" s="21" t="n">
        <f aca="false">'Global Inputs'!H$8</f>
        <v>1</v>
      </c>
      <c r="I8" s="21" t="n">
        <f aca="false">'Global Inputs'!I$8</f>
        <v>1</v>
      </c>
      <c r="J8" s="21" t="n">
        <f aca="false">'Global Inputs'!J$8</f>
        <v>1</v>
      </c>
      <c r="K8" s="21" t="n">
        <f aca="false">'Global Inputs'!K$8</f>
        <v>1</v>
      </c>
      <c r="L8" s="21" t="n">
        <f aca="false">'Global Inputs'!L$8</f>
        <v>1</v>
      </c>
      <c r="M8" s="21" t="n">
        <f aca="false">'Global Inputs'!M$8</f>
        <v>1</v>
      </c>
      <c r="N8" s="21" t="n">
        <f aca="false">'Global Inputs'!N$8</f>
        <v>1</v>
      </c>
      <c r="O8" s="21" t="n">
        <f aca="false">'Global Inputs'!O$8</f>
        <v>1</v>
      </c>
      <c r="P8" s="21" t="n">
        <f aca="false">'Global Inputs'!P$8</f>
        <v>1</v>
      </c>
      <c r="Q8" s="21" t="n">
        <f aca="false">'Global Inputs'!Q$8</f>
        <v>1</v>
      </c>
      <c r="R8" s="21" t="n">
        <f aca="false">'Global Inputs'!R$8</f>
        <v>1</v>
      </c>
      <c r="S8" s="21" t="n">
        <f aca="false">'Global Inputs'!S$8</f>
        <v>1</v>
      </c>
    </row>
    <row r="10" customFormat="false" ht="15" hidden="false" customHeight="false" outlineLevel="0" collapsed="false">
      <c r="B10" s="22" t="s">
        <v>1103</v>
      </c>
      <c r="C10" s="23"/>
      <c r="D10" s="23"/>
      <c r="E10" s="23"/>
      <c r="F10" s="23"/>
      <c r="G10" s="23"/>
      <c r="H10" s="23"/>
      <c r="I10" s="23"/>
      <c r="J10" s="23"/>
      <c r="K10" s="23"/>
      <c r="L10" s="23"/>
      <c r="M10" s="23"/>
      <c r="N10" s="23"/>
      <c r="O10" s="23"/>
      <c r="P10" s="23"/>
      <c r="Q10" s="23"/>
      <c r="R10" s="23"/>
      <c r="S10" s="23"/>
    </row>
    <row r="11" customFormat="false" ht="15" hidden="false" customHeight="false" outlineLevel="0" collapsed="false">
      <c r="B11" s="24" t="s">
        <v>345</v>
      </c>
      <c r="C11" s="25" t="s">
        <v>170</v>
      </c>
      <c r="E11" s="47" t="n">
        <f aca="false">SUM(F11:S11)</f>
        <v>607.858237485734</v>
      </c>
      <c r="F11" s="47" t="n">
        <f aca="false">'P03 KBSWarehouse Calc'!F19</f>
        <v>0</v>
      </c>
      <c r="G11" s="47" t="n">
        <f aca="false">'P03 KBSWarehouse Calc'!G19</f>
        <v>0</v>
      </c>
      <c r="H11" s="47" t="n">
        <f aca="false">'P03 KBSWarehouse Calc'!H19</f>
        <v>0</v>
      </c>
      <c r="I11" s="47" t="n">
        <f aca="false">'P03 KBSWarehouse Calc'!I19</f>
        <v>0</v>
      </c>
      <c r="J11" s="47" t="n">
        <f aca="false">'P03 KBSWarehouse Calc'!J19</f>
        <v>53.023782</v>
      </c>
      <c r="K11" s="47" t="n">
        <f aca="false">'P03 KBSWarehouse Calc'!K19</f>
        <v>54.61449546</v>
      </c>
      <c r="L11" s="47" t="n">
        <f aca="false">'P03 KBSWarehouse Calc'!L19</f>
        <v>56.2529303238</v>
      </c>
      <c r="M11" s="47" t="n">
        <f aca="false">'P03 KBSWarehouse Calc'!M19</f>
        <v>57.940518233514</v>
      </c>
      <c r="N11" s="47" t="n">
        <f aca="false">'P03 KBSWarehouse Calc'!N19</f>
        <v>59.6787337805194</v>
      </c>
      <c r="O11" s="47" t="n">
        <f aca="false">'P03 KBSWarehouse Calc'!O19</f>
        <v>61.469095793935</v>
      </c>
      <c r="P11" s="47" t="n">
        <f aca="false">'P03 KBSWarehouse Calc'!P19</f>
        <v>63.3131686677531</v>
      </c>
      <c r="Q11" s="47" t="n">
        <f aca="false">'P03 KBSWarehouse Calc'!Q19</f>
        <v>65.2125637277857</v>
      </c>
      <c r="R11" s="47" t="n">
        <f aca="false">'P03 KBSWarehouse Calc'!R19</f>
        <v>67.1689406396192</v>
      </c>
      <c r="S11" s="47" t="n">
        <f aca="false">'P03 KBSWarehouse Calc'!S19</f>
        <v>69.1840088588078</v>
      </c>
    </row>
    <row r="12" customFormat="false" ht="15" hidden="false" customHeight="false" outlineLevel="0" collapsed="false">
      <c r="B12" s="24" t="s">
        <v>391</v>
      </c>
      <c r="C12" s="25" t="s">
        <v>170</v>
      </c>
      <c r="E12" s="47" t="n">
        <f aca="false">SUM(F12:S12)</f>
        <v>-60.7858237485734</v>
      </c>
      <c r="F12" s="47" t="n">
        <f aca="false">-'P03 KBSWarehouse Calc'!F22</f>
        <v>-0</v>
      </c>
      <c r="G12" s="47" t="n">
        <f aca="false">-'P03 KBSWarehouse Calc'!G22</f>
        <v>-0</v>
      </c>
      <c r="H12" s="47" t="n">
        <f aca="false">-'P03 KBSWarehouse Calc'!H22</f>
        <v>-0</v>
      </c>
      <c r="I12" s="47" t="n">
        <f aca="false">-'P03 KBSWarehouse Calc'!I22</f>
        <v>-0</v>
      </c>
      <c r="J12" s="47" t="n">
        <f aca="false">-'P03 KBSWarehouse Calc'!J22</f>
        <v>-5.3023782</v>
      </c>
      <c r="K12" s="47" t="n">
        <f aca="false">-'P03 KBSWarehouse Calc'!K22</f>
        <v>-5.461449546</v>
      </c>
      <c r="L12" s="47" t="n">
        <f aca="false">-'P03 KBSWarehouse Calc'!L22</f>
        <v>-5.62529303238</v>
      </c>
      <c r="M12" s="47" t="n">
        <f aca="false">-'P03 KBSWarehouse Calc'!M22</f>
        <v>-5.7940518233514</v>
      </c>
      <c r="N12" s="47" t="n">
        <f aca="false">-'P03 KBSWarehouse Calc'!N22</f>
        <v>-5.96787337805194</v>
      </c>
      <c r="O12" s="47" t="n">
        <f aca="false">-'P03 KBSWarehouse Calc'!O22</f>
        <v>-6.1469095793935</v>
      </c>
      <c r="P12" s="47" t="n">
        <f aca="false">-'P03 KBSWarehouse Calc'!P22</f>
        <v>-6.33131686677531</v>
      </c>
      <c r="Q12" s="47" t="n">
        <f aca="false">-'P03 KBSWarehouse Calc'!Q22</f>
        <v>-6.52125637277857</v>
      </c>
      <c r="R12" s="47" t="n">
        <f aca="false">-'P03 KBSWarehouse Calc'!R22</f>
        <v>-6.71689406396192</v>
      </c>
      <c r="S12" s="47" t="n">
        <f aca="false">-'P03 KBSWarehouse Calc'!S22</f>
        <v>-6.91840088588078</v>
      </c>
    </row>
    <row r="13" customFormat="false" ht="15" hidden="false" customHeight="false" outlineLevel="0" collapsed="false">
      <c r="B13" s="69" t="s">
        <v>392</v>
      </c>
      <c r="C13" s="25" t="s">
        <v>170</v>
      </c>
      <c r="E13" s="70" t="n">
        <f aca="false">SUM(F13:S13)</f>
        <v>547.072413737161</v>
      </c>
      <c r="F13" s="68" t="n">
        <f aca="false">F11+F12</f>
        <v>0</v>
      </c>
      <c r="G13" s="68" t="n">
        <f aca="false">G11+G12</f>
        <v>0</v>
      </c>
      <c r="H13" s="68" t="n">
        <f aca="false">H11+H12</f>
        <v>0</v>
      </c>
      <c r="I13" s="68" t="n">
        <f aca="false">I11+I12</f>
        <v>0</v>
      </c>
      <c r="J13" s="68" t="n">
        <f aca="false">J11+J12</f>
        <v>47.7214038</v>
      </c>
      <c r="K13" s="68" t="n">
        <f aca="false">K11+K12</f>
        <v>49.153045914</v>
      </c>
      <c r="L13" s="68" t="n">
        <f aca="false">L11+L12</f>
        <v>50.62763729142</v>
      </c>
      <c r="M13" s="68" t="n">
        <f aca="false">M11+M12</f>
        <v>52.1464664101626</v>
      </c>
      <c r="N13" s="68" t="n">
        <f aca="false">N11+N12</f>
        <v>53.7108604024675</v>
      </c>
      <c r="O13" s="68" t="n">
        <f aca="false">O11+O12</f>
        <v>55.3221862145415</v>
      </c>
      <c r="P13" s="68" t="n">
        <f aca="false">P11+P12</f>
        <v>56.9818518009778</v>
      </c>
      <c r="Q13" s="68" t="n">
        <f aca="false">Q11+Q12</f>
        <v>58.6913073550071</v>
      </c>
      <c r="R13" s="68" t="n">
        <f aca="false">R11+R12</f>
        <v>60.4520465756573</v>
      </c>
      <c r="S13" s="68" t="n">
        <f aca="false">S11+S12</f>
        <v>62.265607972927</v>
      </c>
    </row>
    <row r="14" customFormat="false" ht="15" hidden="false" customHeight="false" outlineLevel="0" collapsed="false">
      <c r="B14" s="24" t="s">
        <v>393</v>
      </c>
      <c r="C14" s="25" t="s">
        <v>170</v>
      </c>
      <c r="E14" s="47" t="n">
        <f aca="false">SUM(F14:S14)</f>
        <v>-303.929118742867</v>
      </c>
      <c r="F14" s="47" t="n">
        <f aca="false">-'P03 KBSWarehouse Calc'!F25</f>
        <v>-0</v>
      </c>
      <c r="G14" s="47" t="n">
        <f aca="false">-'P03 KBSWarehouse Calc'!G25</f>
        <v>-0</v>
      </c>
      <c r="H14" s="47" t="n">
        <f aca="false">-'P03 KBSWarehouse Calc'!H25</f>
        <v>-0</v>
      </c>
      <c r="I14" s="47" t="n">
        <f aca="false">-'P03 KBSWarehouse Calc'!I25</f>
        <v>-0</v>
      </c>
      <c r="J14" s="47" t="n">
        <f aca="false">-'P03 KBSWarehouse Calc'!J25</f>
        <v>-26.511891</v>
      </c>
      <c r="K14" s="47" t="n">
        <f aca="false">-'P03 KBSWarehouse Calc'!K25</f>
        <v>-27.30724773</v>
      </c>
      <c r="L14" s="47" t="n">
        <f aca="false">-'P03 KBSWarehouse Calc'!L25</f>
        <v>-28.1264651619</v>
      </c>
      <c r="M14" s="47" t="n">
        <f aca="false">-'P03 KBSWarehouse Calc'!M25</f>
        <v>-28.970259116757</v>
      </c>
      <c r="N14" s="47" t="n">
        <f aca="false">-'P03 KBSWarehouse Calc'!N25</f>
        <v>-29.8393668902597</v>
      </c>
      <c r="O14" s="47" t="n">
        <f aca="false">-'P03 KBSWarehouse Calc'!O25</f>
        <v>-30.7345478969675</v>
      </c>
      <c r="P14" s="47" t="n">
        <f aca="false">-'P03 KBSWarehouse Calc'!P25</f>
        <v>-31.6565843338765</v>
      </c>
      <c r="Q14" s="47" t="n">
        <f aca="false">-'P03 KBSWarehouse Calc'!Q25</f>
        <v>-32.6062818638928</v>
      </c>
      <c r="R14" s="47" t="n">
        <f aca="false">-'P03 KBSWarehouse Calc'!R25</f>
        <v>-33.5844703198096</v>
      </c>
      <c r="S14" s="47" t="n">
        <f aca="false">-'P03 KBSWarehouse Calc'!S25</f>
        <v>-34.5920044294039</v>
      </c>
    </row>
    <row r="15" customFormat="false" ht="15" hidden="false" customHeight="false" outlineLevel="0" collapsed="false">
      <c r="B15" s="69" t="s">
        <v>346</v>
      </c>
      <c r="C15" s="25" t="s">
        <v>170</v>
      </c>
      <c r="E15" s="70" t="n">
        <f aca="false">SUM(F15:S15)</f>
        <v>243.143294994294</v>
      </c>
      <c r="F15" s="68" t="n">
        <f aca="false">F13+F14</f>
        <v>0</v>
      </c>
      <c r="G15" s="68" t="n">
        <f aca="false">G13+G14</f>
        <v>0</v>
      </c>
      <c r="H15" s="68" t="n">
        <f aca="false">H13+H14</f>
        <v>0</v>
      </c>
      <c r="I15" s="68" t="n">
        <f aca="false">I13+I14</f>
        <v>0</v>
      </c>
      <c r="J15" s="68" t="n">
        <f aca="false">J13+J14</f>
        <v>21.2095128</v>
      </c>
      <c r="K15" s="68" t="n">
        <f aca="false">K13+K14</f>
        <v>21.845798184</v>
      </c>
      <c r="L15" s="68" t="n">
        <f aca="false">L13+L14</f>
        <v>22.50117212952</v>
      </c>
      <c r="M15" s="68" t="n">
        <f aca="false">M13+M14</f>
        <v>23.1762072934056</v>
      </c>
      <c r="N15" s="68" t="n">
        <f aca="false">N13+N14</f>
        <v>23.8714935122078</v>
      </c>
      <c r="O15" s="68" t="n">
        <f aca="false">O13+O14</f>
        <v>24.587638317574</v>
      </c>
      <c r="P15" s="68" t="n">
        <f aca="false">P13+P14</f>
        <v>25.3252674671012</v>
      </c>
      <c r="Q15" s="68" t="n">
        <f aca="false">Q13+Q14</f>
        <v>26.0850254911143</v>
      </c>
      <c r="R15" s="68" t="n">
        <f aca="false">R13+R14</f>
        <v>26.8675762558477</v>
      </c>
      <c r="S15" s="68" t="n">
        <f aca="false">S13+S14</f>
        <v>27.6736035435231</v>
      </c>
    </row>
    <row r="16" customFormat="false" ht="15" hidden="false" customHeight="false" outlineLevel="0" collapsed="false">
      <c r="B16" s="24" t="s">
        <v>349</v>
      </c>
      <c r="C16" s="25" t="s">
        <v>170</v>
      </c>
      <c r="E16" s="47" t="n">
        <f aca="false">SUM(F16:S16)</f>
        <v>-48.994978175</v>
      </c>
      <c r="F16" s="47" t="n">
        <f aca="false">-'P03 KBSWarehouse Calc'!F39</f>
        <v>-0</v>
      </c>
      <c r="G16" s="47" t="n">
        <f aca="false">-'P03 KBSWarehouse Calc'!G39</f>
        <v>-0</v>
      </c>
      <c r="H16" s="47" t="n">
        <f aca="false">-'P03 KBSWarehouse Calc'!H39</f>
        <v>-0</v>
      </c>
      <c r="I16" s="47" t="n">
        <f aca="false">-'P03 KBSWarehouse Calc'!I39</f>
        <v>-0</v>
      </c>
      <c r="J16" s="47" t="n">
        <f aca="false">-'P03 KBSWarehouse Calc'!J39</f>
        <v>-4.8994978175</v>
      </c>
      <c r="K16" s="47" t="n">
        <f aca="false">-'P03 KBSWarehouse Calc'!K39</f>
        <v>-4.8994978175</v>
      </c>
      <c r="L16" s="47" t="n">
        <f aca="false">-'P03 KBSWarehouse Calc'!L39</f>
        <v>-4.8994978175</v>
      </c>
      <c r="M16" s="47" t="n">
        <f aca="false">-'P03 KBSWarehouse Calc'!M39</f>
        <v>-4.8994978175</v>
      </c>
      <c r="N16" s="47" t="n">
        <f aca="false">-'P03 KBSWarehouse Calc'!N39</f>
        <v>-4.8994978175</v>
      </c>
      <c r="O16" s="47" t="n">
        <f aca="false">-'P03 KBSWarehouse Calc'!O39</f>
        <v>-4.8994978175</v>
      </c>
      <c r="P16" s="47" t="n">
        <f aca="false">-'P03 KBSWarehouse Calc'!P39</f>
        <v>-4.8994978175</v>
      </c>
      <c r="Q16" s="47" t="n">
        <f aca="false">-'P03 KBSWarehouse Calc'!Q39</f>
        <v>-4.8994978175</v>
      </c>
      <c r="R16" s="47" t="n">
        <f aca="false">-'P03 KBSWarehouse Calc'!R39</f>
        <v>-4.8994978175</v>
      </c>
      <c r="S16" s="47" t="n">
        <f aca="false">-'P03 KBSWarehouse Calc'!S39</f>
        <v>-4.8994978175</v>
      </c>
    </row>
    <row r="17" customFormat="false" ht="15" hidden="false" customHeight="false" outlineLevel="0" collapsed="false">
      <c r="B17" s="69" t="s">
        <v>347</v>
      </c>
      <c r="C17" s="25" t="s">
        <v>170</v>
      </c>
      <c r="E17" s="70" t="n">
        <f aca="false">SUM(F17:S17)</f>
        <v>194.148316819294</v>
      </c>
      <c r="F17" s="68" t="n">
        <f aca="false">F15+F16</f>
        <v>0</v>
      </c>
      <c r="G17" s="68" t="n">
        <f aca="false">G15+G16</f>
        <v>0</v>
      </c>
      <c r="H17" s="68" t="n">
        <f aca="false">H15+H16</f>
        <v>0</v>
      </c>
      <c r="I17" s="68" t="n">
        <f aca="false">I15+I16</f>
        <v>0</v>
      </c>
      <c r="J17" s="68" t="n">
        <f aca="false">J15+J16</f>
        <v>16.3100149825</v>
      </c>
      <c r="K17" s="68" t="n">
        <f aca="false">K15+K16</f>
        <v>16.9463003665</v>
      </c>
      <c r="L17" s="68" t="n">
        <f aca="false">L15+L16</f>
        <v>17.60167431202</v>
      </c>
      <c r="M17" s="68" t="n">
        <f aca="false">M15+M16</f>
        <v>18.2767094759056</v>
      </c>
      <c r="N17" s="68" t="n">
        <f aca="false">N15+N16</f>
        <v>18.9719956947078</v>
      </c>
      <c r="O17" s="68" t="n">
        <f aca="false">O15+O16</f>
        <v>19.688140500074</v>
      </c>
      <c r="P17" s="68" t="n">
        <f aca="false">P15+P16</f>
        <v>20.4257696496012</v>
      </c>
      <c r="Q17" s="68" t="n">
        <f aca="false">Q15+Q16</f>
        <v>21.1855276736143</v>
      </c>
      <c r="R17" s="68" t="n">
        <f aca="false">R15+R16</f>
        <v>21.9680784383477</v>
      </c>
      <c r="S17" s="68" t="n">
        <f aca="false">S15+S16</f>
        <v>22.7741057260231</v>
      </c>
    </row>
    <row r="18" customFormat="false" ht="15" hidden="false" customHeight="false" outlineLevel="0" collapsed="false">
      <c r="B18" s="24" t="s">
        <v>1104</v>
      </c>
      <c r="C18" s="25" t="s">
        <v>170</v>
      </c>
      <c r="E18" s="47" t="n">
        <f aca="false">SUM(F18:S18)</f>
        <v>-42.7126297002446</v>
      </c>
      <c r="F18" s="47" t="n">
        <f aca="false">-MAX(0,F17)*'Global Inputs'!$E$27</f>
        <v>-0</v>
      </c>
      <c r="G18" s="47" t="n">
        <f aca="false">-MAX(0,G17)*'Global Inputs'!$E$27</f>
        <v>-0</v>
      </c>
      <c r="H18" s="47" t="n">
        <f aca="false">-MAX(0,H17)*'Global Inputs'!$E$27</f>
        <v>-0</v>
      </c>
      <c r="I18" s="47" t="n">
        <f aca="false">-MAX(0,I17)*'Global Inputs'!$E$27</f>
        <v>-0</v>
      </c>
      <c r="J18" s="47" t="n">
        <f aca="false">-MAX(0,J17)*'Global Inputs'!$E$27</f>
        <v>-3.58820329615</v>
      </c>
      <c r="K18" s="47" t="n">
        <f aca="false">-MAX(0,K17)*'Global Inputs'!$E$27</f>
        <v>-3.72818608063</v>
      </c>
      <c r="L18" s="47" t="n">
        <f aca="false">-MAX(0,L17)*'Global Inputs'!$E$27</f>
        <v>-3.8723683486444</v>
      </c>
      <c r="M18" s="47" t="n">
        <f aca="false">-MAX(0,M17)*'Global Inputs'!$E$27</f>
        <v>-4.02087608469923</v>
      </c>
      <c r="N18" s="47" t="n">
        <f aca="false">-MAX(0,N17)*'Global Inputs'!$E$27</f>
        <v>-4.17383905283571</v>
      </c>
      <c r="O18" s="47" t="n">
        <f aca="false">-MAX(0,O17)*'Global Inputs'!$E$27</f>
        <v>-4.33139091001628</v>
      </c>
      <c r="P18" s="47" t="n">
        <f aca="false">-MAX(0,P17)*'Global Inputs'!$E$27</f>
        <v>-4.49366932291227</v>
      </c>
      <c r="Q18" s="47" t="n">
        <f aca="false">-MAX(0,Q17)*'Global Inputs'!$E$27</f>
        <v>-4.66081608819514</v>
      </c>
      <c r="R18" s="47" t="n">
        <f aca="false">-MAX(0,R17)*'Global Inputs'!$E$27</f>
        <v>-4.83297725643649</v>
      </c>
      <c r="S18" s="47" t="n">
        <f aca="false">-MAX(0,S17)*'Global Inputs'!$E$27</f>
        <v>-5.01030325972509</v>
      </c>
    </row>
    <row r="19" customFormat="false" ht="15" hidden="false" customHeight="false" outlineLevel="0" collapsed="false">
      <c r="B19" s="69" t="s">
        <v>1105</v>
      </c>
      <c r="C19" s="25" t="s">
        <v>170</v>
      </c>
      <c r="E19" s="70" t="n">
        <f aca="false">SUM(F19:S19)</f>
        <v>151.435687119049</v>
      </c>
      <c r="F19" s="68" t="n">
        <f aca="false">F17+F18</f>
        <v>0</v>
      </c>
      <c r="G19" s="68" t="n">
        <f aca="false">G17+G18</f>
        <v>0</v>
      </c>
      <c r="H19" s="68" t="n">
        <f aca="false">H17+H18</f>
        <v>0</v>
      </c>
      <c r="I19" s="68" t="n">
        <f aca="false">I17+I18</f>
        <v>0</v>
      </c>
      <c r="J19" s="68" t="n">
        <f aca="false">J17+J18</f>
        <v>12.72181168635</v>
      </c>
      <c r="K19" s="68" t="n">
        <f aca="false">K17+K18</f>
        <v>13.21811428587</v>
      </c>
      <c r="L19" s="68" t="n">
        <f aca="false">L17+L18</f>
        <v>13.7293059633756</v>
      </c>
      <c r="M19" s="68" t="n">
        <f aca="false">M17+M18</f>
        <v>14.2558333912064</v>
      </c>
      <c r="N19" s="68" t="n">
        <f aca="false">N17+N18</f>
        <v>14.7981566418721</v>
      </c>
      <c r="O19" s="68" t="n">
        <f aca="false">O17+O18</f>
        <v>15.3567495900577</v>
      </c>
      <c r="P19" s="68" t="n">
        <f aca="false">P17+P18</f>
        <v>15.932100326689</v>
      </c>
      <c r="Q19" s="68" t="n">
        <f aca="false">Q17+Q18</f>
        <v>16.5247115854191</v>
      </c>
      <c r="R19" s="68" t="n">
        <f aca="false">R17+R18</f>
        <v>17.1351011819112</v>
      </c>
      <c r="S19" s="68" t="n">
        <f aca="false">S17+S18</f>
        <v>17.763802466298</v>
      </c>
    </row>
    <row r="20" customFormat="false" ht="15" hidden="false" customHeight="false" outlineLevel="0" collapsed="false">
      <c r="B20" s="24" t="s">
        <v>402</v>
      </c>
      <c r="C20" s="25" t="s">
        <v>160</v>
      </c>
      <c r="F20" s="49" t="n">
        <f aca="false">IF(F11=0,0,F15/F11)</f>
        <v>0</v>
      </c>
      <c r="G20" s="49" t="n">
        <f aca="false">IF(G11=0,0,G15/G11)</f>
        <v>0</v>
      </c>
      <c r="H20" s="49" t="n">
        <f aca="false">IF(H11=0,0,H15/H11)</f>
        <v>0</v>
      </c>
      <c r="I20" s="49" t="n">
        <f aca="false">IF(I11=0,0,I15/I11)</f>
        <v>0</v>
      </c>
      <c r="J20" s="49" t="n">
        <f aca="false">IF(J11=0,0,J15/J11)</f>
        <v>0.4</v>
      </c>
      <c r="K20" s="49" t="n">
        <f aca="false">IF(K11=0,0,K15/K11)</f>
        <v>0.4</v>
      </c>
      <c r="L20" s="49" t="n">
        <f aca="false">IF(L11=0,0,L15/L11)</f>
        <v>0.4</v>
      </c>
      <c r="M20" s="49" t="n">
        <f aca="false">IF(M11=0,0,M15/M11)</f>
        <v>0.4</v>
      </c>
      <c r="N20" s="49" t="n">
        <f aca="false">IF(N11=0,0,N15/N11)</f>
        <v>0.4</v>
      </c>
      <c r="O20" s="49" t="n">
        <f aca="false">IF(O11=0,0,O15/O11)</f>
        <v>0.4</v>
      </c>
      <c r="P20" s="49" t="n">
        <f aca="false">IF(P11=0,0,P15/P11)</f>
        <v>0.4</v>
      </c>
      <c r="Q20" s="49" t="n">
        <f aca="false">IF(Q11=0,0,Q15/Q11)</f>
        <v>0.4</v>
      </c>
      <c r="R20" s="49" t="n">
        <f aca="false">IF(R11=0,0,R15/R11)</f>
        <v>0.4</v>
      </c>
      <c r="S20" s="49" t="n">
        <f aca="false">IF(S11=0,0,S15/S11)</f>
        <v>0.4</v>
      </c>
    </row>
    <row r="21" customFormat="false" ht="15" hidden="false" customHeight="false" outlineLevel="0" collapsed="false">
      <c r="B21" s="24" t="s">
        <v>1106</v>
      </c>
      <c r="C21" s="25" t="s">
        <v>160</v>
      </c>
      <c r="F21" s="49" t="n">
        <f aca="false">IF(F11=0,0,F17/F11)</f>
        <v>0</v>
      </c>
      <c r="G21" s="49" t="n">
        <f aca="false">IF(G11=0,0,G17/G11)</f>
        <v>0</v>
      </c>
      <c r="H21" s="49" t="n">
        <f aca="false">IF(H11=0,0,H17/H11)</f>
        <v>0</v>
      </c>
      <c r="I21" s="49" t="n">
        <f aca="false">IF(I11=0,0,I17/I11)</f>
        <v>0</v>
      </c>
      <c r="J21" s="49" t="n">
        <f aca="false">IF(J11=0,0,J17/J11)</f>
        <v>0.307598107251195</v>
      </c>
      <c r="K21" s="49" t="n">
        <f aca="false">IF(K11=0,0,K17/K11)</f>
        <v>0.310289424515724</v>
      </c>
      <c r="L21" s="49" t="n">
        <f aca="false">IF(L11=0,0,L17/L11)</f>
        <v>0.312902353898761</v>
      </c>
      <c r="M21" s="49" t="n">
        <f aca="false">IF(M11=0,0,M17/M11)</f>
        <v>0.315439178542486</v>
      </c>
      <c r="N21" s="49" t="n">
        <f aca="false">IF(N11=0,0,N17/N11)</f>
        <v>0.317902115089792</v>
      </c>
      <c r="O21" s="49" t="n">
        <f aca="false">IF(O11=0,0,O17/O11)</f>
        <v>0.320293315621158</v>
      </c>
      <c r="P21" s="49" t="n">
        <f aca="false">IF(P11=0,0,P17/P11)</f>
        <v>0.322614869535105</v>
      </c>
      <c r="Q21" s="49" t="n">
        <f aca="false">IF(Q11=0,0,Q17/Q11)</f>
        <v>0.324868805373888</v>
      </c>
      <c r="R21" s="49" t="n">
        <f aca="false">IF(R11=0,0,R17/R11)</f>
        <v>0.327057092596008</v>
      </c>
      <c r="S21" s="49" t="n">
        <f aca="false">IF(S11=0,0,S17/S11)</f>
        <v>0.329181643297095</v>
      </c>
    </row>
    <row r="23" customFormat="false" ht="15" hidden="false" customHeight="false" outlineLevel="0" collapsed="false">
      <c r="B23" s="22" t="s">
        <v>1107</v>
      </c>
      <c r="C23" s="23"/>
      <c r="D23" s="23"/>
      <c r="E23" s="23"/>
      <c r="F23" s="23"/>
      <c r="G23" s="23"/>
      <c r="H23" s="23"/>
      <c r="I23" s="23"/>
      <c r="J23" s="23"/>
      <c r="K23" s="23"/>
      <c r="L23" s="23"/>
      <c r="M23" s="23"/>
      <c r="N23" s="23"/>
      <c r="O23" s="23"/>
      <c r="P23" s="23"/>
      <c r="Q23" s="23"/>
      <c r="R23" s="23"/>
      <c r="S23" s="23"/>
    </row>
    <row r="24" customFormat="false" ht="15" hidden="false" customHeight="false" outlineLevel="0" collapsed="false">
      <c r="B24" s="24" t="s">
        <v>456</v>
      </c>
      <c r="C24" s="25" t="s">
        <v>170</v>
      </c>
      <c r="E24" s="47" t="n">
        <f aca="false">SUM(F24:S24)</f>
        <v>151.435687119049</v>
      </c>
      <c r="F24" s="47" t="n">
        <f aca="false">F19</f>
        <v>0</v>
      </c>
      <c r="G24" s="47" t="n">
        <f aca="false">G19</f>
        <v>0</v>
      </c>
      <c r="H24" s="47" t="n">
        <f aca="false">H19</f>
        <v>0</v>
      </c>
      <c r="I24" s="47" t="n">
        <f aca="false">I19</f>
        <v>0</v>
      </c>
      <c r="J24" s="47" t="n">
        <f aca="false">J19</f>
        <v>12.72181168635</v>
      </c>
      <c r="K24" s="47" t="n">
        <f aca="false">K19</f>
        <v>13.21811428587</v>
      </c>
      <c r="L24" s="47" t="n">
        <f aca="false">L19</f>
        <v>13.7293059633756</v>
      </c>
      <c r="M24" s="47" t="n">
        <f aca="false">M19</f>
        <v>14.2558333912064</v>
      </c>
      <c r="N24" s="47" t="n">
        <f aca="false">N19</f>
        <v>14.7981566418721</v>
      </c>
      <c r="O24" s="47" t="n">
        <f aca="false">O19</f>
        <v>15.3567495900577</v>
      </c>
      <c r="P24" s="47" t="n">
        <f aca="false">P19</f>
        <v>15.932100326689</v>
      </c>
      <c r="Q24" s="47" t="n">
        <f aca="false">Q19</f>
        <v>16.5247115854191</v>
      </c>
      <c r="R24" s="47" t="n">
        <f aca="false">R19</f>
        <v>17.1351011819112</v>
      </c>
      <c r="S24" s="47" t="n">
        <f aca="false">S19</f>
        <v>17.763802466298</v>
      </c>
    </row>
    <row r="25" customFormat="false" ht="15" hidden="false" customHeight="false" outlineLevel="0" collapsed="false">
      <c r="B25" s="24" t="s">
        <v>419</v>
      </c>
      <c r="C25" s="25" t="s">
        <v>170</v>
      </c>
      <c r="E25" s="47" t="n">
        <f aca="false">SUM(F25:S25)</f>
        <v>48.994978175</v>
      </c>
      <c r="F25" s="47" t="n">
        <f aca="false">-F16</f>
        <v>0</v>
      </c>
      <c r="G25" s="47" t="n">
        <f aca="false">-G16</f>
        <v>0</v>
      </c>
      <c r="H25" s="47" t="n">
        <f aca="false">-H16</f>
        <v>0</v>
      </c>
      <c r="I25" s="47" t="n">
        <f aca="false">-I16</f>
        <v>0</v>
      </c>
      <c r="J25" s="47" t="n">
        <f aca="false">-J16</f>
        <v>4.8994978175</v>
      </c>
      <c r="K25" s="47" t="n">
        <f aca="false">-K16</f>
        <v>4.8994978175</v>
      </c>
      <c r="L25" s="47" t="n">
        <f aca="false">-L16</f>
        <v>4.8994978175</v>
      </c>
      <c r="M25" s="47" t="n">
        <f aca="false">-M16</f>
        <v>4.8994978175</v>
      </c>
      <c r="N25" s="47" t="n">
        <f aca="false">-N16</f>
        <v>4.8994978175</v>
      </c>
      <c r="O25" s="47" t="n">
        <f aca="false">-O16</f>
        <v>4.8994978175</v>
      </c>
      <c r="P25" s="47" t="n">
        <f aca="false">-P16</f>
        <v>4.8994978175</v>
      </c>
      <c r="Q25" s="47" t="n">
        <f aca="false">-Q16</f>
        <v>4.8994978175</v>
      </c>
      <c r="R25" s="47" t="n">
        <f aca="false">-R16</f>
        <v>4.8994978175</v>
      </c>
      <c r="S25" s="47" t="n">
        <f aca="false">-S16</f>
        <v>4.8994978175</v>
      </c>
    </row>
    <row r="26" customFormat="false" ht="15" hidden="false" customHeight="false" outlineLevel="0" collapsed="false">
      <c r="B26" s="24" t="s">
        <v>1108</v>
      </c>
      <c r="C26" s="25" t="s">
        <v>170</v>
      </c>
      <c r="E26" s="47" t="n">
        <f aca="false">SUM(F26:S26)</f>
        <v>-97.98995635</v>
      </c>
      <c r="F26" s="47" t="n">
        <f aca="false">-'P03 KBSWarehouse Calc'!F30</f>
        <v>-0</v>
      </c>
      <c r="G26" s="47" t="n">
        <f aca="false">-'P03 KBSWarehouse Calc'!G30</f>
        <v>-0</v>
      </c>
      <c r="H26" s="47" t="n">
        <f aca="false">-'P03 KBSWarehouse Calc'!H30</f>
        <v>-0</v>
      </c>
      <c r="I26" s="47" t="n">
        <f aca="false">-'P03 KBSWarehouse Calc'!I30</f>
        <v>-97.98995635</v>
      </c>
      <c r="J26" s="47" t="n">
        <f aca="false">-'P03 KBSWarehouse Calc'!J30</f>
        <v>-0</v>
      </c>
      <c r="K26" s="47" t="n">
        <f aca="false">-'P03 KBSWarehouse Calc'!K30</f>
        <v>-0</v>
      </c>
      <c r="L26" s="47" t="n">
        <f aca="false">-'P03 KBSWarehouse Calc'!L30</f>
        <v>-0</v>
      </c>
      <c r="M26" s="47" t="n">
        <f aca="false">-'P03 KBSWarehouse Calc'!M30</f>
        <v>-0</v>
      </c>
      <c r="N26" s="47" t="n">
        <f aca="false">-'P03 KBSWarehouse Calc'!N30</f>
        <v>-0</v>
      </c>
      <c r="O26" s="47" t="n">
        <f aca="false">-'P03 KBSWarehouse Calc'!O30</f>
        <v>-0</v>
      </c>
      <c r="P26" s="47" t="n">
        <f aca="false">-'P03 KBSWarehouse Calc'!P30</f>
        <v>-0</v>
      </c>
      <c r="Q26" s="47" t="n">
        <f aca="false">-'P03 KBSWarehouse Calc'!Q30</f>
        <v>-0</v>
      </c>
      <c r="R26" s="47" t="n">
        <f aca="false">-'P03 KBSWarehouse Calc'!R30</f>
        <v>-0</v>
      </c>
      <c r="S26" s="47" t="n">
        <f aca="false">-'P03 KBSWarehouse Calc'!S30</f>
        <v>-0</v>
      </c>
    </row>
    <row r="27" customFormat="false" ht="15" hidden="false" customHeight="false" outlineLevel="0" collapsed="false">
      <c r="B27" s="24" t="s">
        <v>651</v>
      </c>
      <c r="C27" s="25" t="s">
        <v>170</v>
      </c>
      <c r="E27" s="47" t="n">
        <f aca="false">SUM(F27:S27)</f>
        <v>-7.93914855756811</v>
      </c>
      <c r="F27" s="47" t="n">
        <f aca="false">-'P03 KBSWarehouse Calc'!F45</f>
        <v>-0</v>
      </c>
      <c r="G27" s="47" t="n">
        <f aca="false">-'P03 KBSWarehouse Calc'!G45</f>
        <v>-0</v>
      </c>
      <c r="H27" s="47" t="n">
        <f aca="false">-'P03 KBSWarehouse Calc'!H45</f>
        <v>-0</v>
      </c>
      <c r="I27" s="47" t="n">
        <f aca="false">-'P03 KBSWarehouse Calc'!I45</f>
        <v>-0</v>
      </c>
      <c r="J27" s="47" t="n">
        <f aca="false">-'P03 KBSWarehouse Calc'!J45</f>
        <v>-6.10136669589041</v>
      </c>
      <c r="K27" s="47" t="n">
        <f aca="false">-'P03 KBSWarehouse Calc'!K45</f>
        <v>-0.165870488044015</v>
      </c>
      <c r="L27" s="47" t="n">
        <f aca="false">-'P03 KBSWarehouse Calc'!L45</f>
        <v>-0.205702743735712</v>
      </c>
      <c r="M27" s="47" t="n">
        <f aca="false">-'P03 KBSWarehouse Calc'!M45</f>
        <v>-0.194188197830104</v>
      </c>
      <c r="N27" s="47" t="n">
        <f aca="false">-'P03 KBSWarehouse Calc'!N45</f>
        <v>-0.200013843765008</v>
      </c>
      <c r="O27" s="47" t="n">
        <f aca="false">-'P03 KBSWarehouse Calc'!O45</f>
        <v>-0.186688695612538</v>
      </c>
      <c r="P27" s="47" t="n">
        <f aca="false">-'P03 KBSWarehouse Calc'!P45</f>
        <v>-0.231520250315716</v>
      </c>
      <c r="Q27" s="47" t="n">
        <f aca="false">-'P03 KBSWarehouse Calc'!Q45</f>
        <v>-0.218560527455803</v>
      </c>
      <c r="R27" s="47" t="n">
        <f aca="false">-'P03 KBSWarehouse Calc'!R45</f>
        <v>-0.225117343279483</v>
      </c>
      <c r="S27" s="47" t="n">
        <f aca="false">-'P03 KBSWarehouse Calc'!S45</f>
        <v>-0.210119771639318</v>
      </c>
    </row>
    <row r="28" customFormat="false" ht="15" hidden="false" customHeight="false" outlineLevel="0" collapsed="false">
      <c r="B28" s="69" t="s">
        <v>1109</v>
      </c>
      <c r="C28" s="25" t="s">
        <v>170</v>
      </c>
      <c r="E28" s="70" t="n">
        <f aca="false">SUM(F28:S28)</f>
        <v>94.501560386481</v>
      </c>
      <c r="F28" s="68" t="n">
        <f aca="false">F24+F25+F26+F27</f>
        <v>0</v>
      </c>
      <c r="G28" s="68" t="n">
        <f aca="false">G24+G25+G26+G27</f>
        <v>0</v>
      </c>
      <c r="H28" s="68" t="n">
        <f aca="false">H24+H25+H26+H27</f>
        <v>0</v>
      </c>
      <c r="I28" s="68" t="n">
        <f aca="false">I24+I25+I26+I27</f>
        <v>-97.98995635</v>
      </c>
      <c r="J28" s="68" t="n">
        <f aca="false">J24+J25+J26+J27</f>
        <v>11.5199428079596</v>
      </c>
      <c r="K28" s="68" t="n">
        <f aca="false">K24+K25+K26+K27</f>
        <v>17.951741615326</v>
      </c>
      <c r="L28" s="68" t="n">
        <f aca="false">L24+L25+L26+L27</f>
        <v>18.4231010371399</v>
      </c>
      <c r="M28" s="68" t="n">
        <f aca="false">M24+M25+M26+M27</f>
        <v>18.9611430108763</v>
      </c>
      <c r="N28" s="68" t="n">
        <f aca="false">N24+N25+N26+N27</f>
        <v>19.4976406156071</v>
      </c>
      <c r="O28" s="68" t="n">
        <f aca="false">O24+O25+O26+O27</f>
        <v>20.0695587119452</v>
      </c>
      <c r="P28" s="68" t="n">
        <f aca="false">P24+P25+P26+P27</f>
        <v>20.6000778938732</v>
      </c>
      <c r="Q28" s="68" t="n">
        <f aca="false">Q24+Q25+Q26+Q27</f>
        <v>21.2056488754633</v>
      </c>
      <c r="R28" s="68" t="n">
        <f aca="false">R24+R25+R26+R27</f>
        <v>21.8094816561317</v>
      </c>
      <c r="S28" s="68" t="n">
        <f aca="false">S24+S25+S26+S27</f>
        <v>22.4531805121587</v>
      </c>
    </row>
    <row r="29" customFormat="false" ht="15" hidden="false" customHeight="false" outlineLevel="0" collapsed="false">
      <c r="B29" s="24" t="s">
        <v>354</v>
      </c>
      <c r="C29" s="25" t="s">
        <v>170</v>
      </c>
      <c r="F29" s="47" t="n">
        <f aca="false">SUM($F$28:F28)</f>
        <v>0</v>
      </c>
      <c r="G29" s="47" t="n">
        <f aca="false">SUM($F$28:G28)</f>
        <v>0</v>
      </c>
      <c r="H29" s="47" t="n">
        <f aca="false">SUM($F$28:H28)</f>
        <v>0</v>
      </c>
      <c r="I29" s="47" t="n">
        <f aca="false">SUM($F$28:I28)</f>
        <v>-97.98995635</v>
      </c>
      <c r="J29" s="47" t="n">
        <f aca="false">SUM($F$28:J28)</f>
        <v>-86.4700135420404</v>
      </c>
      <c r="K29" s="47" t="n">
        <f aca="false">SUM($F$28:K28)</f>
        <v>-68.5182719267144</v>
      </c>
      <c r="L29" s="47" t="n">
        <f aca="false">SUM($F$28:L28)</f>
        <v>-50.0951708895745</v>
      </c>
      <c r="M29" s="47" t="n">
        <f aca="false">SUM($F$28:M28)</f>
        <v>-31.1340278786983</v>
      </c>
      <c r="N29" s="47" t="n">
        <f aca="false">SUM($F$28:N28)</f>
        <v>-11.6363872630912</v>
      </c>
      <c r="O29" s="47" t="n">
        <f aca="false">SUM($F$28:O28)</f>
        <v>8.43317144885396</v>
      </c>
      <c r="P29" s="47" t="n">
        <f aca="false">SUM($F$28:P28)</f>
        <v>29.0332493427272</v>
      </c>
      <c r="Q29" s="47" t="n">
        <f aca="false">SUM($F$28:Q28)</f>
        <v>50.2388982181905</v>
      </c>
      <c r="R29" s="47" t="n">
        <f aca="false">SUM($F$28:R28)</f>
        <v>72.0483798743222</v>
      </c>
      <c r="S29" s="47" t="n">
        <f aca="false">SUM($F$28:S28)</f>
        <v>94.501560386481</v>
      </c>
    </row>
    <row r="30" customFormat="false" ht="15" hidden="false" customHeight="false" outlineLevel="0" collapsed="false">
      <c r="B30" s="24" t="s">
        <v>1110</v>
      </c>
      <c r="C30" s="25" t="s">
        <v>170</v>
      </c>
      <c r="E30" s="47" t="n">
        <f aca="false">SUM(F30:S30)</f>
        <v>192.491516736481</v>
      </c>
      <c r="F30" s="47" t="n">
        <f aca="false">F28*'Global Inputs'!F16</f>
        <v>0</v>
      </c>
      <c r="G30" s="47" t="n">
        <f aca="false">G28*'Global Inputs'!G16</f>
        <v>0</v>
      </c>
      <c r="H30" s="47" t="n">
        <f aca="false">H28*'Global Inputs'!H16</f>
        <v>0</v>
      </c>
      <c r="I30" s="47" t="n">
        <f aca="false">I28*'Global Inputs'!I16</f>
        <v>-0</v>
      </c>
      <c r="J30" s="47" t="n">
        <f aca="false">J28*'Global Inputs'!J16</f>
        <v>11.5199428079596</v>
      </c>
      <c r="K30" s="47" t="n">
        <f aca="false">K28*'Global Inputs'!K16</f>
        <v>17.951741615326</v>
      </c>
      <c r="L30" s="47" t="n">
        <f aca="false">L28*'Global Inputs'!L16</f>
        <v>18.4231010371399</v>
      </c>
      <c r="M30" s="47" t="n">
        <f aca="false">M28*'Global Inputs'!M16</f>
        <v>18.9611430108763</v>
      </c>
      <c r="N30" s="47" t="n">
        <f aca="false">N28*'Global Inputs'!N16</f>
        <v>19.4976406156071</v>
      </c>
      <c r="O30" s="47" t="n">
        <f aca="false">O28*'Global Inputs'!O16</f>
        <v>20.0695587119452</v>
      </c>
      <c r="P30" s="47" t="n">
        <f aca="false">P28*'Global Inputs'!P16</f>
        <v>20.6000778938732</v>
      </c>
      <c r="Q30" s="47" t="n">
        <f aca="false">Q28*'Global Inputs'!Q16</f>
        <v>21.2056488754633</v>
      </c>
      <c r="R30" s="47" t="n">
        <f aca="false">R28*'Global Inputs'!R16</f>
        <v>21.8094816561317</v>
      </c>
      <c r="S30" s="47" t="n">
        <f aca="false">S28*'Global Inputs'!S16</f>
        <v>22.4531805121587</v>
      </c>
    </row>
    <row r="31" customFormat="false" ht="15" hidden="false" customHeight="false" outlineLevel="0" collapsed="false">
      <c r="B31" s="24" t="s">
        <v>1111</v>
      </c>
      <c r="C31" s="25" t="s">
        <v>170</v>
      </c>
      <c r="E31" s="47" t="n">
        <f aca="false">SUM(F31:S31)</f>
        <v>97.98995635</v>
      </c>
      <c r="F31" s="47" t="n">
        <f aca="false">MAX(0,-F28)</f>
        <v>-0</v>
      </c>
      <c r="G31" s="47" t="n">
        <f aca="false">MAX(0,-G28)</f>
        <v>-0</v>
      </c>
      <c r="H31" s="47" t="n">
        <f aca="false">MAX(0,-H28)</f>
        <v>-0</v>
      </c>
      <c r="I31" s="47" t="n">
        <f aca="false">MAX(0,-I28)</f>
        <v>97.98995635</v>
      </c>
      <c r="J31" s="47" t="n">
        <f aca="false">MAX(0,-J28)</f>
        <v>0</v>
      </c>
      <c r="K31" s="47" t="n">
        <f aca="false">MAX(0,-K28)</f>
        <v>0</v>
      </c>
      <c r="L31" s="47" t="n">
        <f aca="false">MAX(0,-L28)</f>
        <v>0</v>
      </c>
      <c r="M31" s="47" t="n">
        <f aca="false">MAX(0,-M28)</f>
        <v>0</v>
      </c>
      <c r="N31" s="47" t="n">
        <f aca="false">MAX(0,-N28)</f>
        <v>0</v>
      </c>
      <c r="O31" s="47" t="n">
        <f aca="false">MAX(0,-O28)</f>
        <v>0</v>
      </c>
      <c r="P31" s="47" t="n">
        <f aca="false">MAX(0,-P28)</f>
        <v>0</v>
      </c>
      <c r="Q31" s="47" t="n">
        <f aca="false">MAX(0,-Q28)</f>
        <v>0</v>
      </c>
      <c r="R31" s="47" t="n">
        <f aca="false">MAX(0,-R28)</f>
        <v>0</v>
      </c>
      <c r="S31" s="47" t="n">
        <f aca="false">MAX(0,-S28)</f>
        <v>0</v>
      </c>
    </row>
    <row r="33" customFormat="false" ht="15" hidden="false" customHeight="false" outlineLevel="0" collapsed="false">
      <c r="B33" s="22" t="s">
        <v>1112</v>
      </c>
      <c r="C33" s="23"/>
      <c r="D33" s="23"/>
      <c r="E33" s="23"/>
      <c r="F33" s="23"/>
      <c r="G33" s="23"/>
      <c r="H33" s="23"/>
      <c r="I33" s="23"/>
      <c r="J33" s="23"/>
      <c r="K33" s="23"/>
      <c r="L33" s="23"/>
      <c r="M33" s="23"/>
      <c r="N33" s="23"/>
      <c r="O33" s="23"/>
      <c r="P33" s="23"/>
      <c r="Q33" s="23"/>
      <c r="R33" s="23"/>
      <c r="S33" s="23"/>
    </row>
    <row r="34" customFormat="false" ht="15" hidden="false" customHeight="false" outlineLevel="0" collapsed="false">
      <c r="B34" s="24" t="s">
        <v>1113</v>
      </c>
      <c r="C34" s="25" t="s">
        <v>240</v>
      </c>
      <c r="E34" s="44" t="n">
        <f aca="false">SUM(F34:S34)</f>
        <v>6.02459</v>
      </c>
      <c r="F34" s="44" t="n">
        <f aca="false">'P03 KBSWarehouse Calc'!F28</f>
        <v>0</v>
      </c>
      <c r="G34" s="44" t="n">
        <f aca="false">'P03 KBSWarehouse Calc'!G28</f>
        <v>0</v>
      </c>
      <c r="H34" s="44" t="n">
        <f aca="false">'P03 KBSWarehouse Calc'!H28</f>
        <v>0</v>
      </c>
      <c r="I34" s="44" t="n">
        <f aca="false">'P03 KBSWarehouse Calc'!I28</f>
        <v>6.02459</v>
      </c>
      <c r="J34" s="44" t="n">
        <f aca="false">'P03 KBSWarehouse Calc'!J28</f>
        <v>0</v>
      </c>
      <c r="K34" s="44" t="n">
        <f aca="false">'P03 KBSWarehouse Calc'!K28</f>
        <v>0</v>
      </c>
      <c r="L34" s="44" t="n">
        <f aca="false">'P03 KBSWarehouse Calc'!L28</f>
        <v>0</v>
      </c>
      <c r="M34" s="44" t="n">
        <f aca="false">'P03 KBSWarehouse Calc'!M28</f>
        <v>0</v>
      </c>
      <c r="N34" s="44" t="n">
        <f aca="false">'P03 KBSWarehouse Calc'!N28</f>
        <v>0</v>
      </c>
      <c r="O34" s="44" t="n">
        <f aca="false">'P03 KBSWarehouse Calc'!O28</f>
        <v>0</v>
      </c>
      <c r="P34" s="44" t="n">
        <f aca="false">'P03 KBSWarehouse Calc'!P28</f>
        <v>0</v>
      </c>
      <c r="Q34" s="44" t="n">
        <f aca="false">'P03 KBSWarehouse Calc'!Q28</f>
        <v>0</v>
      </c>
      <c r="R34" s="44" t="n">
        <f aca="false">'P03 KBSWarehouse Calc'!R28</f>
        <v>0</v>
      </c>
      <c r="S34" s="44" t="n">
        <f aca="false">'P03 KBSWarehouse Calc'!S28</f>
        <v>0</v>
      </c>
    </row>
    <row r="35" customFormat="false" ht="15" hidden="false" customHeight="false" outlineLevel="0" collapsed="false">
      <c r="B35" s="24" t="s">
        <v>1114</v>
      </c>
      <c r="C35" s="25" t="s">
        <v>170</v>
      </c>
      <c r="E35" s="47" t="n">
        <f aca="false">SUM(F35:S35)</f>
        <v>97.98995635</v>
      </c>
      <c r="F35" s="47" t="n">
        <f aca="false">'P03 KBSWarehouse Calc'!F30</f>
        <v>0</v>
      </c>
      <c r="G35" s="47" t="n">
        <f aca="false">'P03 KBSWarehouse Calc'!G30</f>
        <v>0</v>
      </c>
      <c r="H35" s="47" t="n">
        <f aca="false">'P03 KBSWarehouse Calc'!H30</f>
        <v>0</v>
      </c>
      <c r="I35" s="47" t="n">
        <f aca="false">'P03 KBSWarehouse Calc'!I30</f>
        <v>97.98995635</v>
      </c>
      <c r="J35" s="47" t="n">
        <f aca="false">'P03 KBSWarehouse Calc'!J30</f>
        <v>0</v>
      </c>
      <c r="K35" s="47" t="n">
        <f aca="false">'P03 KBSWarehouse Calc'!K30</f>
        <v>0</v>
      </c>
      <c r="L35" s="47" t="n">
        <f aca="false">'P03 KBSWarehouse Calc'!L30</f>
        <v>0</v>
      </c>
      <c r="M35" s="47" t="n">
        <f aca="false">'P03 KBSWarehouse Calc'!M30</f>
        <v>0</v>
      </c>
      <c r="N35" s="47" t="n">
        <f aca="false">'P03 KBSWarehouse Calc'!N30</f>
        <v>0</v>
      </c>
      <c r="O35" s="47" t="n">
        <f aca="false">'P03 KBSWarehouse Calc'!O30</f>
        <v>0</v>
      </c>
      <c r="P35" s="47" t="n">
        <f aca="false">'P03 KBSWarehouse Calc'!P30</f>
        <v>0</v>
      </c>
      <c r="Q35" s="47" t="n">
        <f aca="false">'P03 KBSWarehouse Calc'!Q30</f>
        <v>0</v>
      </c>
      <c r="R35" s="47" t="n">
        <f aca="false">'P03 KBSWarehouse Calc'!R30</f>
        <v>0</v>
      </c>
      <c r="S35" s="47" t="n">
        <f aca="false">'P03 KBSWarehouse Calc'!S30</f>
        <v>0</v>
      </c>
    </row>
    <row r="36" customFormat="false" ht="15" hidden="false" customHeight="false" outlineLevel="0" collapsed="false">
      <c r="B36" s="24" t="s">
        <v>1115</v>
      </c>
      <c r="C36" s="25" t="s">
        <v>170</v>
      </c>
      <c r="F36" s="47" t="n">
        <f aca="false">'P03 KBSWarehouse Calc'!F37</f>
        <v>0</v>
      </c>
      <c r="G36" s="47" t="n">
        <f aca="false">'P03 KBSWarehouse Calc'!G37</f>
        <v>0</v>
      </c>
      <c r="H36" s="47" t="n">
        <f aca="false">'P03 KBSWarehouse Calc'!H37</f>
        <v>0</v>
      </c>
      <c r="I36" s="47" t="n">
        <f aca="false">'P03 KBSWarehouse Calc'!I37</f>
        <v>97.98995635</v>
      </c>
      <c r="J36" s="47" t="n">
        <f aca="false">'P03 KBSWarehouse Calc'!J37</f>
        <v>93.0904585325</v>
      </c>
      <c r="K36" s="47" t="n">
        <f aca="false">'P03 KBSWarehouse Calc'!K37</f>
        <v>88.190960715</v>
      </c>
      <c r="L36" s="47" t="n">
        <f aca="false">'P03 KBSWarehouse Calc'!L37</f>
        <v>83.2914628975</v>
      </c>
      <c r="M36" s="47" t="n">
        <f aca="false">'P03 KBSWarehouse Calc'!M37</f>
        <v>78.39196508</v>
      </c>
      <c r="N36" s="47" t="n">
        <f aca="false">'P03 KBSWarehouse Calc'!N37</f>
        <v>73.4924672625</v>
      </c>
      <c r="O36" s="47" t="n">
        <f aca="false">'P03 KBSWarehouse Calc'!O37</f>
        <v>68.592969445</v>
      </c>
      <c r="P36" s="47" t="n">
        <f aca="false">'P03 KBSWarehouse Calc'!P37</f>
        <v>63.6934716275</v>
      </c>
      <c r="Q36" s="47" t="n">
        <f aca="false">'P03 KBSWarehouse Calc'!Q37</f>
        <v>58.79397381</v>
      </c>
      <c r="R36" s="47" t="n">
        <f aca="false">'P03 KBSWarehouse Calc'!R37</f>
        <v>53.8944759925</v>
      </c>
      <c r="S36" s="47" t="n">
        <f aca="false">'P03 KBSWarehouse Calc'!S37</f>
        <v>48.994978175</v>
      </c>
    </row>
    <row r="37" customFormat="false" ht="15" hidden="false" customHeight="false" outlineLevel="0" collapsed="false">
      <c r="B37" s="24" t="s">
        <v>463</v>
      </c>
      <c r="C37" s="25" t="s">
        <v>170</v>
      </c>
      <c r="F37" s="47" t="n">
        <f aca="false">'P03 KBSWarehouse Calc'!F42</f>
        <v>0</v>
      </c>
      <c r="G37" s="47" t="n">
        <f aca="false">'P03 KBSWarehouse Calc'!G42</f>
        <v>0</v>
      </c>
      <c r="H37" s="47" t="n">
        <f aca="false">'P03 KBSWarehouse Calc'!H42</f>
        <v>0</v>
      </c>
      <c r="I37" s="47" t="n">
        <f aca="false">'P03 KBSWarehouse Calc'!I42</f>
        <v>0</v>
      </c>
      <c r="J37" s="47" t="n">
        <f aca="false">'P03 KBSWarehouse Calc'!J42</f>
        <v>6.53717860273973</v>
      </c>
      <c r="K37" s="47" t="n">
        <f aca="false">'P03 KBSWarehouse Calc'!K42</f>
        <v>6.71489698278688</v>
      </c>
      <c r="L37" s="47" t="n">
        <f aca="false">'P03 KBSWarehouse Calc'!L42</f>
        <v>6.93529277964658</v>
      </c>
      <c r="M37" s="47" t="n">
        <f aca="false">'P03 KBSWarehouse Calc'!M42</f>
        <v>7.14335156303597</v>
      </c>
      <c r="N37" s="47" t="n">
        <f aca="false">'P03 KBSWarehouse Calc'!N42</f>
        <v>7.35765210992705</v>
      </c>
      <c r="O37" s="47" t="n">
        <f aca="false">'P03 KBSWarehouse Calc'!O42</f>
        <v>7.55767571236906</v>
      </c>
      <c r="P37" s="47" t="n">
        <f aca="false">'P03 KBSWarehouse Calc'!P42</f>
        <v>7.80573312342161</v>
      </c>
      <c r="Q37" s="47" t="n">
        <f aca="false">'P03 KBSWarehouse Calc'!Q42</f>
        <v>8.03990511712426</v>
      </c>
      <c r="R37" s="47" t="n">
        <f aca="false">'P03 KBSWarehouse Calc'!R42</f>
        <v>8.28110227063799</v>
      </c>
      <c r="S37" s="47" t="n">
        <f aca="false">'P03 KBSWarehouse Calc'!S42</f>
        <v>8.5062305973944</v>
      </c>
    </row>
    <row r="38" customFormat="false" ht="15" hidden="false" customHeight="false" outlineLevel="0" collapsed="false">
      <c r="B38" s="24" t="s">
        <v>1116</v>
      </c>
      <c r="C38" s="25" t="s">
        <v>170</v>
      </c>
      <c r="F38" s="47" t="n">
        <f aca="false">-'P03 KBSWarehouse Calc'!F43</f>
        <v>-0</v>
      </c>
      <c r="G38" s="47" t="n">
        <f aca="false">-'P03 KBSWarehouse Calc'!G43</f>
        <v>-0</v>
      </c>
      <c r="H38" s="47" t="n">
        <f aca="false">-'P03 KBSWarehouse Calc'!H43</f>
        <v>-0</v>
      </c>
      <c r="I38" s="47" t="n">
        <f aca="false">-'P03 KBSWarehouse Calc'!I43</f>
        <v>-0</v>
      </c>
      <c r="J38" s="47" t="n">
        <f aca="false">-'P03 KBSWarehouse Calc'!J43</f>
        <v>-0.435811906849315</v>
      </c>
      <c r="K38" s="47" t="n">
        <f aca="false">-'P03 KBSWarehouse Calc'!K43</f>
        <v>-0.447659798852459</v>
      </c>
      <c r="L38" s="47" t="n">
        <f aca="false">-'P03 KBSWarehouse Calc'!L43</f>
        <v>-0.462352851976438</v>
      </c>
      <c r="M38" s="47" t="n">
        <f aca="false">-'P03 KBSWarehouse Calc'!M43</f>
        <v>-0.476223437535732</v>
      </c>
      <c r="N38" s="47" t="n">
        <f aca="false">-'P03 KBSWarehouse Calc'!N43</f>
        <v>-0.490510140661804</v>
      </c>
      <c r="O38" s="47" t="n">
        <f aca="false">-'P03 KBSWarehouse Calc'!O43</f>
        <v>-0.503845047491271</v>
      </c>
      <c r="P38" s="47" t="n">
        <f aca="false">-'P03 KBSWarehouse Calc'!P43</f>
        <v>-0.520382208228107</v>
      </c>
      <c r="Q38" s="47" t="n">
        <f aca="false">-'P03 KBSWarehouse Calc'!Q43</f>
        <v>-0.535993674474951</v>
      </c>
      <c r="R38" s="47" t="n">
        <f aca="false">-'P03 KBSWarehouse Calc'!R43</f>
        <v>-0.552073484709199</v>
      </c>
      <c r="S38" s="47" t="n">
        <f aca="false">-'P03 KBSWarehouse Calc'!S43</f>
        <v>-0.567082039826294</v>
      </c>
    </row>
    <row r="39" customFormat="false" ht="15" hidden="false" customHeight="false" outlineLevel="0" collapsed="false">
      <c r="B39" s="69" t="s">
        <v>1117</v>
      </c>
      <c r="C39" s="25" t="s">
        <v>170</v>
      </c>
      <c r="F39" s="68" t="n">
        <f aca="false">F36+F37+F38</f>
        <v>0</v>
      </c>
      <c r="G39" s="68" t="n">
        <f aca="false">G36+G37+G38</f>
        <v>0</v>
      </c>
      <c r="H39" s="68" t="n">
        <f aca="false">H36+H37+H38</f>
        <v>0</v>
      </c>
      <c r="I39" s="68" t="n">
        <f aca="false">I36+I37+I38</f>
        <v>97.98995635</v>
      </c>
      <c r="J39" s="68" t="n">
        <f aca="false">J36+J37+J38</f>
        <v>99.1918252283904</v>
      </c>
      <c r="K39" s="68" t="n">
        <f aca="false">K36+K37+K38</f>
        <v>94.4581978989344</v>
      </c>
      <c r="L39" s="68" t="n">
        <f aca="false">L36+L37+L38</f>
        <v>89.7644028251701</v>
      </c>
      <c r="M39" s="68" t="n">
        <f aca="false">M36+M37+M38</f>
        <v>85.0590932055002</v>
      </c>
      <c r="N39" s="68" t="n">
        <f aca="false">N36+N37+N38</f>
        <v>80.3596092317652</v>
      </c>
      <c r="O39" s="68" t="n">
        <f aca="false">O36+O37+O38</f>
        <v>75.6468001098778</v>
      </c>
      <c r="P39" s="68" t="n">
        <f aca="false">P36+P37+P38</f>
        <v>70.9788225426935</v>
      </c>
      <c r="Q39" s="68" t="n">
        <f aca="false">Q36+Q37+Q38</f>
        <v>66.2978852526493</v>
      </c>
      <c r="R39" s="68" t="n">
        <f aca="false">R36+R37+R38</f>
        <v>61.6235047784288</v>
      </c>
      <c r="S39" s="68" t="n">
        <f aca="false">S36+S37+S38</f>
        <v>56.9341267325681</v>
      </c>
    </row>
    <row r="41" customFormat="false" ht="15" hidden="false" customHeight="false" outlineLevel="0" collapsed="false">
      <c r="B41" s="22" t="s">
        <v>1119</v>
      </c>
      <c r="C41" s="23"/>
      <c r="D41" s="23"/>
      <c r="E41" s="23"/>
      <c r="F41" s="23"/>
      <c r="G41" s="23"/>
      <c r="H41" s="23"/>
      <c r="I41" s="23"/>
      <c r="J41" s="23"/>
      <c r="K41" s="23"/>
      <c r="L41" s="23"/>
      <c r="M41" s="23"/>
      <c r="N41" s="23"/>
      <c r="O41" s="23"/>
      <c r="P41" s="23"/>
      <c r="Q41" s="23"/>
      <c r="R41" s="23"/>
      <c r="S41" s="23"/>
    </row>
    <row r="42" customFormat="false" ht="15" hidden="false" customHeight="false" outlineLevel="0" collapsed="false">
      <c r="B42" s="24" t="s">
        <v>1120</v>
      </c>
      <c r="C42" s="25" t="s">
        <v>143</v>
      </c>
      <c r="F42" s="30" t="n">
        <f aca="false">0</f>
        <v>0</v>
      </c>
      <c r="G42" s="30" t="n">
        <f aca="false">MIN(1,F42+F43)</f>
        <v>0</v>
      </c>
      <c r="H42" s="30" t="n">
        <f aca="false">MIN(1,G42+G43)</f>
        <v>0</v>
      </c>
      <c r="I42" s="30" t="n">
        <f aca="false">MIN(1,H42+H43)</f>
        <v>0</v>
      </c>
      <c r="J42" s="30" t="n">
        <f aca="false">MIN(1,I42+I43)</f>
        <v>0</v>
      </c>
      <c r="K42" s="30" t="n">
        <f aca="false">MIN(1,J42+J43)</f>
        <v>0</v>
      </c>
      <c r="L42" s="30" t="n">
        <f aca="false">MIN(1,K42+K43)</f>
        <v>0</v>
      </c>
      <c r="M42" s="30" t="n">
        <f aca="false">MIN(1,L42+L43)</f>
        <v>0</v>
      </c>
      <c r="N42" s="30" t="n">
        <f aca="false">MIN(1,M42+M43)</f>
        <v>0</v>
      </c>
      <c r="O42" s="30" t="n">
        <f aca="false">MIN(1,N42+N43)</f>
        <v>0</v>
      </c>
      <c r="P42" s="30" t="n">
        <f aca="false">MIN(1,O42+O43)</f>
        <v>1</v>
      </c>
      <c r="Q42" s="30" t="n">
        <f aca="false">MIN(1,P42+P43)</f>
        <v>1</v>
      </c>
      <c r="R42" s="30" t="n">
        <f aca="false">MIN(1,Q42+Q43)</f>
        <v>1</v>
      </c>
      <c r="S42" s="30" t="n">
        <f aca="false">MIN(1,R42+R43)</f>
        <v>1</v>
      </c>
    </row>
    <row r="43" customFormat="false" ht="15" hidden="false" customHeight="false" outlineLevel="0" collapsed="false">
      <c r="B43" s="24" t="s">
        <v>1121</v>
      </c>
      <c r="C43" s="25" t="s">
        <v>143</v>
      </c>
      <c r="F43" s="30" t="n">
        <f aca="false">0</f>
        <v>0</v>
      </c>
      <c r="G43" s="30" t="n">
        <f aca="false">IF(AND(G29&gt;=0,F29&lt;0,G42=0),1,0)</f>
        <v>0</v>
      </c>
      <c r="H43" s="30" t="n">
        <f aca="false">IF(AND(H29&gt;=0,G29&lt;0,H42=0),1,0)</f>
        <v>0</v>
      </c>
      <c r="I43" s="30" t="n">
        <f aca="false">IF(AND(I29&gt;=0,H29&lt;0,I42=0),1,0)</f>
        <v>0</v>
      </c>
      <c r="J43" s="30" t="n">
        <f aca="false">IF(AND(J29&gt;=0,I29&lt;0,J42=0),1,0)</f>
        <v>0</v>
      </c>
      <c r="K43" s="30" t="n">
        <f aca="false">IF(AND(K29&gt;=0,J29&lt;0,K42=0),1,0)</f>
        <v>0</v>
      </c>
      <c r="L43" s="30" t="n">
        <f aca="false">IF(AND(L29&gt;=0,K29&lt;0,L42=0),1,0)</f>
        <v>0</v>
      </c>
      <c r="M43" s="30" t="n">
        <f aca="false">IF(AND(M29&gt;=0,L29&lt;0,M42=0),1,0)</f>
        <v>0</v>
      </c>
      <c r="N43" s="30" t="n">
        <f aca="false">IF(AND(N29&gt;=0,M29&lt;0,N42=0),1,0)</f>
        <v>0</v>
      </c>
      <c r="O43" s="30" t="n">
        <f aca="false">IF(AND(O29&gt;=0,N29&lt;0,O42=0),1,0)</f>
        <v>1</v>
      </c>
      <c r="P43" s="30" t="n">
        <f aca="false">IF(AND(P29&gt;=0,O29&lt;0,P42=0),1,0)</f>
        <v>0</v>
      </c>
      <c r="Q43" s="30" t="n">
        <f aca="false">IF(AND(Q29&gt;=0,P29&lt;0,Q42=0),1,0)</f>
        <v>0</v>
      </c>
      <c r="R43" s="30" t="n">
        <f aca="false">IF(AND(R29&gt;=0,Q29&lt;0,R42=0),1,0)</f>
        <v>0</v>
      </c>
      <c r="S43" s="30" t="n">
        <f aca="false">IF(AND(S29&gt;=0,R29&lt;0,S42=0),1,0)</f>
        <v>0</v>
      </c>
    </row>
    <row r="44" customFormat="false" ht="15" hidden="false" customHeight="false" outlineLevel="0" collapsed="false">
      <c r="B44" s="24" t="s">
        <v>1122</v>
      </c>
      <c r="C44" s="25" t="s">
        <v>170</v>
      </c>
      <c r="F44" s="47" t="n">
        <f aca="false">IF(F$5='Global Inputs'!$E$14,F28*(1+'Global Inputs'!$E$54)/('Global Inputs'!$E$53-'Global Inputs'!$E$54),0)</f>
        <v>0</v>
      </c>
      <c r="G44" s="47" t="n">
        <f aca="false">IF(G$5='Global Inputs'!$E$14,G28*(1+'Global Inputs'!$E$54)/('Global Inputs'!$E$53-'Global Inputs'!$E$54),0)</f>
        <v>0</v>
      </c>
      <c r="H44" s="47" t="n">
        <f aca="false">IF(H$5='Global Inputs'!$E$14,H28*(1+'Global Inputs'!$E$54)/('Global Inputs'!$E$53-'Global Inputs'!$E$54),0)</f>
        <v>0</v>
      </c>
      <c r="I44" s="47" t="n">
        <f aca="false">IF(I$5='Global Inputs'!$E$14,I28*(1+'Global Inputs'!$E$54)/('Global Inputs'!$E$53-'Global Inputs'!$E$54),0)</f>
        <v>0</v>
      </c>
      <c r="J44" s="47" t="n">
        <f aca="false">IF(J$5='Global Inputs'!$E$14,J28*(1+'Global Inputs'!$E$54)/('Global Inputs'!$E$53-'Global Inputs'!$E$54),0)</f>
        <v>0</v>
      </c>
      <c r="K44" s="47" t="n">
        <f aca="false">IF(K$5='Global Inputs'!$E$14,K28*(1+'Global Inputs'!$E$54)/('Global Inputs'!$E$53-'Global Inputs'!$E$54),0)</f>
        <v>0</v>
      </c>
      <c r="L44" s="47" t="n">
        <f aca="false">IF(L$5='Global Inputs'!$E$14,L28*(1+'Global Inputs'!$E$54)/('Global Inputs'!$E$53-'Global Inputs'!$E$54),0)</f>
        <v>0</v>
      </c>
      <c r="M44" s="47" t="n">
        <f aca="false">IF(M$5='Global Inputs'!$E$14,M28*(1+'Global Inputs'!$E$54)/('Global Inputs'!$E$53-'Global Inputs'!$E$54),0)</f>
        <v>0</v>
      </c>
      <c r="N44" s="47" t="n">
        <f aca="false">IF(N$5='Global Inputs'!$E$14,N28*(1+'Global Inputs'!$E$54)/('Global Inputs'!$E$53-'Global Inputs'!$E$54),0)</f>
        <v>0</v>
      </c>
      <c r="O44" s="47" t="n">
        <f aca="false">IF(O$5='Global Inputs'!$E$14,O28*(1+'Global Inputs'!$E$54)/('Global Inputs'!$E$53-'Global Inputs'!$E$54),0)</f>
        <v>0</v>
      </c>
      <c r="P44" s="47" t="n">
        <f aca="false">IF(P$5='Global Inputs'!$E$14,P28*(1+'Global Inputs'!$E$54)/('Global Inputs'!$E$53-'Global Inputs'!$E$54),0)</f>
        <v>0</v>
      </c>
      <c r="Q44" s="47" t="n">
        <f aca="false">IF(Q$5='Global Inputs'!$E$14,Q28*(1+'Global Inputs'!$E$54)/('Global Inputs'!$E$53-'Global Inputs'!$E$54),0)</f>
        <v>0</v>
      </c>
      <c r="R44" s="47" t="n">
        <f aca="false">IF(R$5='Global Inputs'!$E$14,R28*(1+'Global Inputs'!$E$54)/('Global Inputs'!$E$53-'Global Inputs'!$E$54),0)</f>
        <v>0</v>
      </c>
      <c r="S44" s="47" t="n">
        <f aca="false">IF(S$5='Global Inputs'!$E$14,S28*(1+'Global Inputs'!$E$54)/('Global Inputs'!$E$53-'Global Inputs'!$E$54),0)</f>
        <v>260.832849800728</v>
      </c>
    </row>
    <row r="45" customFormat="false" ht="15" hidden="false" customHeight="false" outlineLevel="0" collapsed="false">
      <c r="B45" s="24" t="s">
        <v>1123</v>
      </c>
      <c r="C45" s="25" t="s">
        <v>170</v>
      </c>
      <c r="F45" s="47" t="n">
        <f aca="false">F28+F44</f>
        <v>0</v>
      </c>
      <c r="G45" s="47" t="n">
        <f aca="false">G28+G44</f>
        <v>0</v>
      </c>
      <c r="H45" s="47" t="n">
        <f aca="false">H28+H44</f>
        <v>0</v>
      </c>
      <c r="I45" s="47" t="n">
        <f aca="false">I28+I44</f>
        <v>-97.98995635</v>
      </c>
      <c r="J45" s="47" t="n">
        <f aca="false">J28+J44</f>
        <v>11.5199428079596</v>
      </c>
      <c r="K45" s="47" t="n">
        <f aca="false">K28+K44</f>
        <v>17.951741615326</v>
      </c>
      <c r="L45" s="47" t="n">
        <f aca="false">L28+L44</f>
        <v>18.4231010371399</v>
      </c>
      <c r="M45" s="47" t="n">
        <f aca="false">M28+M44</f>
        <v>18.9611430108763</v>
      </c>
      <c r="N45" s="47" t="n">
        <f aca="false">N28+N44</f>
        <v>19.4976406156071</v>
      </c>
      <c r="O45" s="47" t="n">
        <f aca="false">O28+O44</f>
        <v>20.0695587119452</v>
      </c>
      <c r="P45" s="47" t="n">
        <f aca="false">P28+P44</f>
        <v>20.6000778938732</v>
      </c>
      <c r="Q45" s="47" t="n">
        <f aca="false">Q28+Q44</f>
        <v>21.2056488754633</v>
      </c>
      <c r="R45" s="47" t="n">
        <f aca="false">R28+R44</f>
        <v>21.8094816561317</v>
      </c>
      <c r="S45" s="47" t="n">
        <f aca="false">S28+S44</f>
        <v>283.286030312886</v>
      </c>
    </row>
    <row r="46" customFormat="false" ht="15" hidden="false" customHeight="false" outlineLevel="0" collapsed="false">
      <c r="B46" s="24" t="s">
        <v>1124</v>
      </c>
      <c r="C46" s="25" t="s">
        <v>170</v>
      </c>
      <c r="E46" s="47" t="n">
        <f aca="false">SUM(F46:S46)</f>
        <v>189.579245679262</v>
      </c>
      <c r="F46" s="47" t="n">
        <f aca="false">F45*'Global Inputs'!F18</f>
        <v>0</v>
      </c>
      <c r="G46" s="47" t="n">
        <f aca="false">G45*'Global Inputs'!G18</f>
        <v>0</v>
      </c>
      <c r="H46" s="47" t="n">
        <f aca="false">H45*'Global Inputs'!H18</f>
        <v>0</v>
      </c>
      <c r="I46" s="47" t="n">
        <f aca="false">I45*'Global Inputs'!I18</f>
        <v>-0</v>
      </c>
      <c r="J46" s="47" t="n">
        <f aca="false">J45*'Global Inputs'!J18</f>
        <v>10.2979368910328</v>
      </c>
      <c r="K46" s="47" t="n">
        <f aca="false">K45*'Global Inputs'!K18</f>
        <v>14.3451929708487</v>
      </c>
      <c r="L46" s="47" t="n">
        <f aca="false">L45*'Global Inputs'!L18</f>
        <v>13.160198590952</v>
      </c>
      <c r="M46" s="47" t="n">
        <f aca="false">M45*'Global Inputs'!M18</f>
        <v>12.1077689801574</v>
      </c>
      <c r="N46" s="47" t="n">
        <f aca="false">N45*'Global Inputs'!N18</f>
        <v>11.1296517722629</v>
      </c>
      <c r="O46" s="47" t="n">
        <f aca="false">O45*'Global Inputs'!O18</f>
        <v>10.2408791569249</v>
      </c>
      <c r="P46" s="47" t="n">
        <f aca="false">P45*'Global Inputs'!P18</f>
        <v>9.39654469142866</v>
      </c>
      <c r="Q46" s="47" t="n">
        <f aca="false">Q45*'Global Inputs'!Q18</f>
        <v>8.64670794295886</v>
      </c>
      <c r="R46" s="47" t="n">
        <f aca="false">R45*'Global Inputs'!R18</f>
        <v>7.94958525047178</v>
      </c>
      <c r="S46" s="47" t="n">
        <f aca="false">S45*'Global Inputs'!S18</f>
        <v>92.304779432224</v>
      </c>
    </row>
    <row r="47" customFormat="false" ht="15" hidden="false" customHeight="false" outlineLevel="0" collapsed="false">
      <c r="B47" s="24" t="s">
        <v>1125</v>
      </c>
      <c r="C47" s="25" t="s">
        <v>170</v>
      </c>
      <c r="E47" s="47" t="n">
        <f aca="false">SUM($F$46:$S$46)</f>
        <v>189.579245679262</v>
      </c>
    </row>
    <row r="48" customFormat="false" ht="15" hidden="false" customHeight="false" outlineLevel="0" collapsed="false">
      <c r="B48" s="24" t="s">
        <v>1126</v>
      </c>
      <c r="C48" s="25" t="s">
        <v>170</v>
      </c>
      <c r="E48" s="47" t="n">
        <f aca="false">SUMPRODUCT($F$28:$S$28,'Global Inputs'!$F$18:$S$18)</f>
        <v>104.590520174715</v>
      </c>
    </row>
    <row r="49" customFormat="false" ht="15" hidden="false" customHeight="false" outlineLevel="0" collapsed="false">
      <c r="B49" s="24" t="s">
        <v>1831</v>
      </c>
      <c r="C49" s="25" t="s">
        <v>160</v>
      </c>
      <c r="E49" s="49" t="n">
        <f aca="false">IFERROR(IRR($F$28:$S$28),"n/a")</f>
        <v>0.13347382720029</v>
      </c>
    </row>
    <row r="50" customFormat="false" ht="15" hidden="false" customHeight="false" outlineLevel="0" collapsed="false">
      <c r="B50" s="24" t="s">
        <v>1832</v>
      </c>
      <c r="C50" s="25" t="s">
        <v>160</v>
      </c>
      <c r="E50" s="49" t="n">
        <f aca="false">IFERROR(IRR($F$45:$S$45),"n/a")</f>
        <v>0.234353398901383</v>
      </c>
    </row>
    <row r="51" customFormat="false" ht="15" hidden="false" customHeight="false" outlineLevel="0" collapsed="false">
      <c r="B51" s="24" t="s">
        <v>1128</v>
      </c>
      <c r="C51" s="25" t="s">
        <v>160</v>
      </c>
      <c r="E51" s="49" t="str">
        <f aca="false">"= project IRR (no project-level debt in v29; corporate LT loan is not project debt)"</f>
        <v>= project IRR (no project-level debt in v29; corporate LT loan is not project debt)</v>
      </c>
    </row>
    <row r="52" customFormat="false" ht="15" hidden="false" customHeight="false" outlineLevel="0" collapsed="false">
      <c r="B52" s="24" t="s">
        <v>1129</v>
      </c>
      <c r="C52" s="25" t="s">
        <v>135</v>
      </c>
      <c r="E52" s="29" t="n">
        <f aca="false">IF(SUM($F$43:$S$43)=0,"not within horizon",SUMPRODUCT($F$43:$S$43,'Global Inputs'!$F$15:$S$15))</f>
        <v>2032</v>
      </c>
    </row>
    <row r="53" customFormat="false" ht="15" hidden="false" customHeight="false" outlineLevel="0" collapsed="false">
      <c r="B53" s="24" t="s">
        <v>1130</v>
      </c>
      <c r="C53" s="25" t="s">
        <v>135</v>
      </c>
      <c r="E53" s="29" t="n">
        <f aca="false">IF(SUM('P03 KBSWarehouse Calc'!$F$28:$S$28)=0,"n/a",SUMPRODUCT('P03 KBSWarehouse Calc'!$F$38:$S$38,'Global Inputs'!$F$15:$S$15))</f>
        <v>2026</v>
      </c>
    </row>
    <row r="54" customFormat="false" ht="15" hidden="false" customHeight="false" outlineLevel="0" collapsed="false">
      <c r="B54" s="24" t="s">
        <v>1131</v>
      </c>
      <c r="C54" s="25" t="s">
        <v>240</v>
      </c>
      <c r="E54" s="44" t="n">
        <f aca="false">'P03 KBSWarehouse Input'!$E$40</f>
        <v>6.02459</v>
      </c>
    </row>
    <row r="55" customFormat="false" ht="15" hidden="false" customHeight="false" outlineLevel="0" collapsed="false">
      <c r="B55" s="24" t="s">
        <v>1132</v>
      </c>
      <c r="C55" s="25" t="s">
        <v>240</v>
      </c>
      <c r="E55" s="44" t="n">
        <f aca="false">'P03 KBSWarehouse Input'!$E$46</f>
        <v>0</v>
      </c>
    </row>
    <row r="57" customFormat="false" ht="15" hidden="false" customHeight="false" outlineLevel="0" collapsed="false">
      <c r="B57" s="22" t="s">
        <v>1133</v>
      </c>
      <c r="C57" s="23"/>
      <c r="D57" s="23"/>
      <c r="E57" s="23"/>
      <c r="F57" s="23"/>
      <c r="G57" s="23"/>
      <c r="H57" s="23"/>
      <c r="I57" s="23"/>
      <c r="J57" s="23"/>
      <c r="K57" s="23"/>
      <c r="L57" s="23"/>
      <c r="M57" s="23"/>
      <c r="N57" s="23"/>
      <c r="O57" s="23"/>
      <c r="P57" s="23"/>
      <c r="Q57" s="23"/>
      <c r="R57" s="23"/>
      <c r="S57" s="23"/>
    </row>
    <row r="58" customFormat="false" ht="15" hidden="false" customHeight="false" outlineLevel="0" collapsed="false">
      <c r="B58" s="24" t="s">
        <v>1134</v>
      </c>
      <c r="C58" s="25" t="s">
        <v>180</v>
      </c>
      <c r="E58" s="29" t="n">
        <f aca="false">'P03 KBSWarehouse Input'!$E$22*IF('P03 KBSWarehouse Input'!$E$23=1,1,0)</f>
        <v>1</v>
      </c>
    </row>
    <row r="59" customFormat="false" ht="15" hidden="false" customHeight="false" outlineLevel="0" collapsed="false">
      <c r="B59" s="24" t="s">
        <v>1135</v>
      </c>
      <c r="C59" s="25" t="s">
        <v>180</v>
      </c>
      <c r="E59" s="29" t="n">
        <f aca="false">'P03 KBSWarehouse Input'!$E$22</f>
        <v>1</v>
      </c>
    </row>
    <row r="60" customFormat="false" ht="15" hidden="false" customHeight="false" outlineLevel="0" collapsed="false">
      <c r="B60" s="24" t="s">
        <v>897</v>
      </c>
      <c r="C60" s="25" t="s">
        <v>160</v>
      </c>
      <c r="E60" s="49" t="n">
        <f aca="false">'P03 KBSWarehouse Input'!$E$24</f>
        <v>1</v>
      </c>
    </row>
  </sheetData>
  <hyperlinks>
    <hyperlink ref="C3" r:id="rId1" location="'P03%20KBSWarehouse%20Input'!A1" display="Input"/>
    <hyperlink ref="D3" r:id="rId2" location="'P03%20KBSWarehouse%20Calc'!A1" display="Calc"/>
    <hyperlink ref="E3" r:id="rId3" location="'P03%20KBSWarehouse%20Output'!A1" display="Output"/>
    <hyperlink ref="F3" r:id="rId4" location="'Navigation'!A1" display="Navigation"/>
    <hyperlink ref="G3" r:id="rId5" location="'Global%20Inputs'!A1" display="Global Inputs"/>
    <hyperlink ref="H3" r:id="rId6" location="'Project%20Summary'!A1" display="Project Summary"/>
    <hyperlink ref="I3" r:id="rId7" location="'Funding%20Requirement'!A1" display="Funding"/>
    <hyperlink ref="J3" r:id="rId8" location="'FSL%20Financials%20—%20Without%20BUMN'!A1" display="FSL w/o BUMN"/>
    <hyperlink ref="K3" r:id="rId9" location="'FSL%20Financials%20—%20With%20BUMN'!A1" display="FSL w/ BUMN"/>
    <hyperlink ref="L3" r:id="rId10" location="'Valuation%20—%20Without%20BUMN'!A1" display="Val w/o BUMN"/>
    <hyperlink ref="M3" r:id="rId11" location="'Valuation%20—%20With%20BUMN'!A1" display="Val w/ BUMN"/>
    <hyperlink ref="N3" r:id="rId12" location="'Checks'!A1" display="Checks"/>
    <hyperlink ref="O3" r:id="rId13" location="'Model%20Flow'!A1" display="Model Flow"/>
  </hyperlink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D966"/>
    <pageSetUpPr fitToPage="true"/>
  </sheetPr>
  <dimension ref="B1:U5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5" ySplit="9" topLeftCell="F10" activePane="bottomRight" state="frozen"/>
      <selection pane="topLeft" activeCell="A1" activeCellId="0" sqref="A1"/>
      <selection pane="topRight" activeCell="F1" activeCellId="0" sqref="F1"/>
      <selection pane="bottomLeft" activeCell="A10" activeCellId="0" sqref="A10"/>
      <selection pane="bottomRigh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66"/>
    <col collapsed="false" customWidth="true" hidden="false" outlineLevel="0" max="3" min="3" style="0" width="11"/>
    <col collapsed="false" customWidth="true" hidden="false" outlineLevel="0" max="4" min="4" style="0" width="12"/>
    <col collapsed="false" customWidth="true" hidden="false" outlineLevel="0" max="5" min="5" style="0" width="13"/>
    <col collapsed="false" customWidth="true" hidden="false" outlineLevel="0" max="19" min="6" style="0" width="11.5"/>
    <col collapsed="false" customWidth="true" hidden="false" outlineLevel="0" max="20" min="20" style="0" width="40"/>
    <col collapsed="false" customWidth="true" hidden="false" outlineLevel="0" max="21" min="21" style="0" width="48"/>
  </cols>
  <sheetData>
    <row r="1" customFormat="false" ht="21.75" hidden="false" customHeight="true" outlineLevel="0" collapsed="false">
      <c r="B1" s="1" t="s">
        <v>1921</v>
      </c>
    </row>
    <row r="2" customFormat="false" ht="15" hidden="false" customHeight="false" outlineLevel="0" collapsed="false">
      <c r="B2" s="2" t="s">
        <v>1922</v>
      </c>
    </row>
    <row r="3" customFormat="false" ht="15" hidden="false" customHeight="false" outlineLevel="0" collapsed="false">
      <c r="B3" s="5" t="s">
        <v>112</v>
      </c>
      <c r="C3" s="17" t="s">
        <v>27</v>
      </c>
      <c r="D3" s="17" t="s">
        <v>28</v>
      </c>
      <c r="E3" s="17" t="s">
        <v>29</v>
      </c>
      <c r="F3" s="17" t="s">
        <v>113</v>
      </c>
      <c r="G3" s="17" t="s">
        <v>5</v>
      </c>
      <c r="H3" s="17" t="s">
        <v>7</v>
      </c>
      <c r="I3" s="17" t="s">
        <v>114</v>
      </c>
      <c r="J3" s="17" t="s">
        <v>115</v>
      </c>
      <c r="K3" s="17" t="s">
        <v>116</v>
      </c>
      <c r="L3" s="17" t="s">
        <v>117</v>
      </c>
      <c r="M3" s="17" t="s">
        <v>118</v>
      </c>
      <c r="N3" s="17" t="s">
        <v>21</v>
      </c>
      <c r="O3" s="17" t="s">
        <v>3</v>
      </c>
    </row>
    <row r="5" customFormat="false" ht="15" hidden="false" customHeight="false" outlineLevel="0" collapsed="false">
      <c r="B5" s="6" t="s">
        <v>119</v>
      </c>
      <c r="C5" s="6" t="s">
        <v>120</v>
      </c>
      <c r="D5" s="6" t="s">
        <v>121</v>
      </c>
      <c r="E5" s="6" t="s">
        <v>122</v>
      </c>
      <c r="F5" s="18" t="n">
        <f aca="false">'Global Inputs'!F$5</f>
        <v>2023</v>
      </c>
      <c r="G5" s="18" t="n">
        <f aca="false">'Global Inputs'!G$5</f>
        <v>2024</v>
      </c>
      <c r="H5" s="18" t="n">
        <f aca="false">'Global Inputs'!H$5</f>
        <v>2025</v>
      </c>
      <c r="I5" s="18" t="n">
        <f aca="false">'Global Inputs'!I$5</f>
        <v>2026</v>
      </c>
      <c r="J5" s="18" t="n">
        <f aca="false">'Global Inputs'!J$5</f>
        <v>2027</v>
      </c>
      <c r="K5" s="18" t="n">
        <f aca="false">'Global Inputs'!K$5</f>
        <v>2028</v>
      </c>
      <c r="L5" s="18" t="n">
        <f aca="false">'Global Inputs'!L$5</f>
        <v>2029</v>
      </c>
      <c r="M5" s="18" t="n">
        <f aca="false">'Global Inputs'!M$5</f>
        <v>2030</v>
      </c>
      <c r="N5" s="18" t="n">
        <f aca="false">'Global Inputs'!N$5</f>
        <v>2031</v>
      </c>
      <c r="O5" s="18" t="n">
        <f aca="false">'Global Inputs'!O$5</f>
        <v>2032</v>
      </c>
      <c r="P5" s="18" t="n">
        <f aca="false">'Global Inputs'!P$5</f>
        <v>2033</v>
      </c>
      <c r="Q5" s="18" t="n">
        <f aca="false">'Global Inputs'!Q$5</f>
        <v>2034</v>
      </c>
      <c r="R5" s="18" t="n">
        <f aca="false">'Global Inputs'!R$5</f>
        <v>2035</v>
      </c>
      <c r="S5" s="18" t="n">
        <f aca="false">'Global Inputs'!S$5</f>
        <v>2036</v>
      </c>
      <c r="T5" s="6" t="s">
        <v>123</v>
      </c>
      <c r="U5" s="6" t="s">
        <v>124</v>
      </c>
    </row>
    <row r="6" customFormat="false" ht="15" hidden="false" customHeight="false" outlineLevel="0" collapsed="false">
      <c r="B6" s="19" t="s">
        <v>125</v>
      </c>
      <c r="F6" s="20" t="n">
        <f aca="false">'Global Inputs'!F$6</f>
        <v>45291</v>
      </c>
      <c r="G6" s="20" t="n">
        <f aca="false">'Global Inputs'!G$6</f>
        <v>45657</v>
      </c>
      <c r="H6" s="20" t="n">
        <f aca="false">'Global Inputs'!H$6</f>
        <v>46022</v>
      </c>
      <c r="I6" s="20" t="n">
        <f aca="false">'Global Inputs'!I$6</f>
        <v>46387</v>
      </c>
      <c r="J6" s="20" t="n">
        <f aca="false">'Global Inputs'!J$6</f>
        <v>46752</v>
      </c>
      <c r="K6" s="20" t="n">
        <f aca="false">'Global Inputs'!K$6</f>
        <v>47118</v>
      </c>
      <c r="L6" s="20" t="n">
        <f aca="false">'Global Inputs'!L$6</f>
        <v>47483</v>
      </c>
      <c r="M6" s="20" t="n">
        <f aca="false">'Global Inputs'!M$6</f>
        <v>47848</v>
      </c>
      <c r="N6" s="20" t="n">
        <f aca="false">'Global Inputs'!N$6</f>
        <v>48213</v>
      </c>
      <c r="O6" s="20" t="n">
        <f aca="false">'Global Inputs'!O$6</f>
        <v>48579</v>
      </c>
      <c r="P6" s="20" t="n">
        <f aca="false">'Global Inputs'!P$6</f>
        <v>48944</v>
      </c>
      <c r="Q6" s="20" t="n">
        <f aca="false">'Global Inputs'!Q$6</f>
        <v>49309</v>
      </c>
      <c r="R6" s="20" t="n">
        <f aca="false">'Global Inputs'!R$6</f>
        <v>49674</v>
      </c>
      <c r="S6" s="20" t="n">
        <f aca="false">'Global Inputs'!S$6</f>
        <v>50040</v>
      </c>
    </row>
    <row r="7" customFormat="false" ht="15" hidden="false" customHeight="false" outlineLevel="0" collapsed="false">
      <c r="B7" s="19" t="s">
        <v>126</v>
      </c>
      <c r="F7" s="21" t="n">
        <f aca="false">'Global Inputs'!F$7</f>
        <v>365</v>
      </c>
      <c r="G7" s="21" t="n">
        <f aca="false">'Global Inputs'!G$7</f>
        <v>366</v>
      </c>
      <c r="H7" s="21" t="n">
        <f aca="false">'Global Inputs'!H$7</f>
        <v>365</v>
      </c>
      <c r="I7" s="21" t="n">
        <f aca="false">'Global Inputs'!I$7</f>
        <v>365</v>
      </c>
      <c r="J7" s="21" t="n">
        <f aca="false">'Global Inputs'!J$7</f>
        <v>365</v>
      </c>
      <c r="K7" s="21" t="n">
        <f aca="false">'Global Inputs'!K$7</f>
        <v>366</v>
      </c>
      <c r="L7" s="21" t="n">
        <f aca="false">'Global Inputs'!L$7</f>
        <v>365</v>
      </c>
      <c r="M7" s="21" t="n">
        <f aca="false">'Global Inputs'!M$7</f>
        <v>365</v>
      </c>
      <c r="N7" s="21" t="n">
        <f aca="false">'Global Inputs'!N$7</f>
        <v>365</v>
      </c>
      <c r="O7" s="21" t="n">
        <f aca="false">'Global Inputs'!O$7</f>
        <v>366</v>
      </c>
      <c r="P7" s="21" t="n">
        <f aca="false">'Global Inputs'!P$7</f>
        <v>365</v>
      </c>
      <c r="Q7" s="21" t="n">
        <f aca="false">'Global Inputs'!Q$7</f>
        <v>365</v>
      </c>
      <c r="R7" s="21" t="n">
        <f aca="false">'Global Inputs'!R$7</f>
        <v>365</v>
      </c>
      <c r="S7" s="21" t="n">
        <f aca="false">'Global Inputs'!S$7</f>
        <v>366</v>
      </c>
    </row>
    <row r="8" customFormat="false" ht="15" hidden="false" customHeight="false" outlineLevel="0" collapsed="false">
      <c r="B8" s="19" t="s">
        <v>127</v>
      </c>
      <c r="F8" s="21" t="n">
        <f aca="false">'Global Inputs'!F$8</f>
        <v>0</v>
      </c>
      <c r="G8" s="21" t="n">
        <f aca="false">'Global Inputs'!G$8</f>
        <v>1</v>
      </c>
      <c r="H8" s="21" t="n">
        <f aca="false">'Global Inputs'!H$8</f>
        <v>1</v>
      </c>
      <c r="I8" s="21" t="n">
        <f aca="false">'Global Inputs'!I$8</f>
        <v>1</v>
      </c>
      <c r="J8" s="21" t="n">
        <f aca="false">'Global Inputs'!J$8</f>
        <v>1</v>
      </c>
      <c r="K8" s="21" t="n">
        <f aca="false">'Global Inputs'!K$8</f>
        <v>1</v>
      </c>
      <c r="L8" s="21" t="n">
        <f aca="false">'Global Inputs'!L$8</f>
        <v>1</v>
      </c>
      <c r="M8" s="21" t="n">
        <f aca="false">'Global Inputs'!M$8</f>
        <v>1</v>
      </c>
      <c r="N8" s="21" t="n">
        <f aca="false">'Global Inputs'!N$8</f>
        <v>1</v>
      </c>
      <c r="O8" s="21" t="n">
        <f aca="false">'Global Inputs'!O$8</f>
        <v>1</v>
      </c>
      <c r="P8" s="21" t="n">
        <f aca="false">'Global Inputs'!P$8</f>
        <v>1</v>
      </c>
      <c r="Q8" s="21" t="n">
        <f aca="false">'Global Inputs'!Q$8</f>
        <v>1</v>
      </c>
      <c r="R8" s="21" t="n">
        <f aca="false">'Global Inputs'!R$8</f>
        <v>1</v>
      </c>
      <c r="S8" s="21" t="n">
        <f aca="false">'Global Inputs'!S$8</f>
        <v>1</v>
      </c>
    </row>
    <row r="10" customFormat="false" ht="15" hidden="false" customHeight="false" outlineLevel="0" collapsed="false">
      <c r="B10" s="22" t="s">
        <v>878</v>
      </c>
      <c r="C10" s="23"/>
      <c r="D10" s="23"/>
      <c r="E10" s="23"/>
      <c r="F10" s="23"/>
      <c r="G10" s="23"/>
      <c r="H10" s="23"/>
      <c r="I10" s="23"/>
      <c r="J10" s="23"/>
      <c r="K10" s="23"/>
      <c r="L10" s="23"/>
      <c r="M10" s="23"/>
      <c r="N10" s="23"/>
      <c r="O10" s="23"/>
      <c r="P10" s="23"/>
      <c r="Q10" s="23"/>
      <c r="R10" s="23"/>
      <c r="S10" s="23"/>
    </row>
    <row r="11" customFormat="false" ht="15" hidden="false" customHeight="false" outlineLevel="0" collapsed="false">
      <c r="B11" s="24" t="s">
        <v>879</v>
      </c>
      <c r="E11" s="24" t="s">
        <v>1923</v>
      </c>
    </row>
    <row r="12" customFormat="false" ht="15" hidden="false" customHeight="false" outlineLevel="0" collapsed="false">
      <c r="B12" s="24" t="s">
        <v>25</v>
      </c>
      <c r="E12" s="24" t="s">
        <v>1924</v>
      </c>
    </row>
    <row r="13" customFormat="false" ht="15" hidden="false" customHeight="false" outlineLevel="0" collapsed="false">
      <c r="B13" s="24" t="s">
        <v>882</v>
      </c>
      <c r="E13" s="24" t="s">
        <v>1925</v>
      </c>
    </row>
    <row r="14" customFormat="false" ht="15" hidden="false" customHeight="false" outlineLevel="0" collapsed="false">
      <c r="B14" s="24" t="s">
        <v>275</v>
      </c>
      <c r="E14" s="24" t="s">
        <v>293</v>
      </c>
    </row>
    <row r="15" customFormat="false" ht="15" hidden="false" customHeight="false" outlineLevel="0" collapsed="false">
      <c r="B15" s="24" t="s">
        <v>386</v>
      </c>
      <c r="E15" s="24" t="s">
        <v>52</v>
      </c>
    </row>
    <row r="16" customFormat="false" ht="15" hidden="false" customHeight="false" outlineLevel="0" collapsed="false">
      <c r="B16" s="24" t="s">
        <v>884</v>
      </c>
      <c r="E16" s="24" t="s">
        <v>1926</v>
      </c>
    </row>
    <row r="17" customFormat="false" ht="15" hidden="false" customHeight="false" outlineLevel="0" collapsed="false">
      <c r="B17" s="24" t="s">
        <v>886</v>
      </c>
      <c r="E17" s="24" t="s">
        <v>1927</v>
      </c>
    </row>
    <row r="18" customFormat="false" ht="15" hidden="false" customHeight="false" outlineLevel="0" collapsed="false">
      <c r="B18" s="24" t="s">
        <v>888</v>
      </c>
      <c r="E18" s="24" t="s">
        <v>1928</v>
      </c>
    </row>
    <row r="19" customFormat="false" ht="15" hidden="false" customHeight="false" outlineLevel="0" collapsed="false">
      <c r="B19" s="24" t="s">
        <v>890</v>
      </c>
      <c r="E19" s="24" t="s">
        <v>1929</v>
      </c>
    </row>
    <row r="21" customFormat="false" ht="15" hidden="false" customHeight="false" outlineLevel="0" collapsed="false">
      <c r="B21" s="22" t="s">
        <v>892</v>
      </c>
      <c r="C21" s="23"/>
      <c r="D21" s="23"/>
      <c r="E21" s="23"/>
      <c r="F21" s="23"/>
      <c r="G21" s="23"/>
      <c r="H21" s="23"/>
      <c r="I21" s="23"/>
      <c r="J21" s="23"/>
      <c r="K21" s="23"/>
      <c r="L21" s="23"/>
      <c r="M21" s="23"/>
      <c r="N21" s="23"/>
      <c r="O21" s="23"/>
      <c r="P21" s="23"/>
      <c r="Q21" s="23"/>
      <c r="R21" s="23"/>
      <c r="S21" s="23"/>
    </row>
    <row r="22" customFormat="false" ht="15" hidden="false" customHeight="false" outlineLevel="0" collapsed="false">
      <c r="B22" s="24" t="s">
        <v>893</v>
      </c>
      <c r="C22" s="25" t="s">
        <v>180</v>
      </c>
      <c r="D22" s="25" t="s">
        <v>894</v>
      </c>
      <c r="E22" s="65" t="n">
        <f aca="false">'Global Inputs'!$E$96</f>
        <v>1</v>
      </c>
      <c r="T22" s="5" t="s">
        <v>895</v>
      </c>
    </row>
    <row r="23" customFormat="false" ht="15" hidden="false" customHeight="false" outlineLevel="0" collapsed="false">
      <c r="B23" s="24" t="s">
        <v>896</v>
      </c>
      <c r="C23" s="25" t="s">
        <v>175</v>
      </c>
      <c r="D23" s="25" t="s">
        <v>894</v>
      </c>
      <c r="E23" s="65" t="n">
        <f aca="false">'Global Inputs'!$F$96</f>
        <v>1</v>
      </c>
      <c r="T23" s="5" t="s">
        <v>895</v>
      </c>
    </row>
    <row r="24" customFormat="false" ht="15" hidden="false" customHeight="false" outlineLevel="0" collapsed="false">
      <c r="B24" s="24" t="s">
        <v>897</v>
      </c>
      <c r="C24" s="25" t="s">
        <v>160</v>
      </c>
      <c r="D24" s="25" t="s">
        <v>894</v>
      </c>
      <c r="E24" s="67" t="n">
        <f aca="false">'Global Inputs'!$G$96</f>
        <v>1</v>
      </c>
      <c r="T24" s="5" t="s">
        <v>895</v>
      </c>
    </row>
    <row r="25" customFormat="false" ht="15" hidden="false" customHeight="false" outlineLevel="0" collapsed="false">
      <c r="B25" s="24" t="s">
        <v>1793</v>
      </c>
      <c r="C25" s="25" t="s">
        <v>135</v>
      </c>
      <c r="D25" s="28" t="s">
        <v>153</v>
      </c>
      <c r="E25" s="36" t="n">
        <v>2027</v>
      </c>
      <c r="T25" s="5" t="s">
        <v>1930</v>
      </c>
      <c r="U25" s="5" t="s">
        <v>1931</v>
      </c>
    </row>
    <row r="27" customFormat="false" ht="15" hidden="false" customHeight="false" outlineLevel="0" collapsed="false">
      <c r="B27" s="22" t="s">
        <v>1932</v>
      </c>
      <c r="C27" s="23"/>
      <c r="D27" s="23"/>
      <c r="E27" s="23"/>
      <c r="F27" s="23"/>
      <c r="G27" s="23"/>
      <c r="H27" s="23"/>
      <c r="I27" s="23"/>
      <c r="J27" s="23"/>
      <c r="K27" s="23"/>
      <c r="L27" s="23"/>
      <c r="M27" s="23"/>
      <c r="N27" s="23"/>
      <c r="O27" s="23"/>
      <c r="P27" s="23"/>
      <c r="Q27" s="23"/>
      <c r="R27" s="23"/>
      <c r="S27" s="23"/>
    </row>
    <row r="28" customFormat="false" ht="15" hidden="false" customHeight="false" outlineLevel="0" collapsed="false">
      <c r="B28" s="24" t="s">
        <v>1933</v>
      </c>
      <c r="C28" s="25" t="s">
        <v>1934</v>
      </c>
      <c r="D28" s="28" t="s">
        <v>153</v>
      </c>
      <c r="E28" s="36" t="n">
        <v>2</v>
      </c>
      <c r="T28" s="5" t="s">
        <v>1935</v>
      </c>
    </row>
    <row r="29" customFormat="false" ht="15" hidden="false" customHeight="false" outlineLevel="0" collapsed="false">
      <c r="B29" s="24" t="s">
        <v>1936</v>
      </c>
      <c r="C29" s="25" t="s">
        <v>1937</v>
      </c>
      <c r="D29" s="28" t="s">
        <v>153</v>
      </c>
      <c r="E29" s="101" t="n">
        <v>8500</v>
      </c>
      <c r="T29" s="5" t="s">
        <v>1938</v>
      </c>
    </row>
    <row r="30" customFormat="false" ht="15" hidden="false" customHeight="false" outlineLevel="0" collapsed="false">
      <c r="B30" s="24" t="s">
        <v>1939</v>
      </c>
      <c r="C30" s="25" t="s">
        <v>1940</v>
      </c>
      <c r="D30" s="28" t="s">
        <v>153</v>
      </c>
      <c r="E30" s="36" t="n">
        <v>12</v>
      </c>
      <c r="T30" s="5" t="s">
        <v>1941</v>
      </c>
    </row>
    <row r="31" customFormat="false" ht="15" hidden="false" customHeight="false" outlineLevel="0" collapsed="false">
      <c r="B31" s="24" t="s">
        <v>1942</v>
      </c>
      <c r="C31" s="25" t="s">
        <v>1943</v>
      </c>
      <c r="D31" s="28" t="s">
        <v>153</v>
      </c>
      <c r="G31" s="101" t="n">
        <v>65000</v>
      </c>
      <c r="H31" s="101" t="n">
        <v>65000</v>
      </c>
      <c r="I31" s="101" t="n">
        <v>65000</v>
      </c>
      <c r="J31" s="101" t="n">
        <v>65000</v>
      </c>
      <c r="K31" s="101" t="n">
        <v>65000</v>
      </c>
      <c r="L31" s="101" t="n">
        <v>65000</v>
      </c>
      <c r="M31" s="101" t="n">
        <v>65000</v>
      </c>
      <c r="N31" s="101" t="n">
        <v>65000</v>
      </c>
      <c r="O31" s="101" t="n">
        <v>65000</v>
      </c>
      <c r="P31" s="101" t="n">
        <v>65000</v>
      </c>
      <c r="Q31" s="101" t="n">
        <v>65000</v>
      </c>
      <c r="R31" s="101" t="n">
        <v>65000</v>
      </c>
      <c r="S31" s="101" t="n">
        <v>65000</v>
      </c>
      <c r="T31" s="5" t="s">
        <v>1944</v>
      </c>
      <c r="U31" s="5" t="s">
        <v>1945</v>
      </c>
    </row>
    <row r="32" customFormat="false" ht="15" hidden="false" customHeight="false" outlineLevel="0" collapsed="false">
      <c r="B32" s="22" t="s">
        <v>1946</v>
      </c>
      <c r="C32" s="23"/>
      <c r="D32" s="23"/>
      <c r="E32" s="23"/>
      <c r="F32" s="23"/>
      <c r="G32" s="23"/>
      <c r="H32" s="23"/>
      <c r="I32" s="23"/>
      <c r="J32" s="23"/>
      <c r="K32" s="23"/>
      <c r="L32" s="23"/>
      <c r="M32" s="23"/>
      <c r="N32" s="23"/>
      <c r="O32" s="23"/>
      <c r="P32" s="23"/>
      <c r="Q32" s="23"/>
      <c r="R32" s="23"/>
      <c r="S32" s="23"/>
    </row>
    <row r="33" customFormat="false" ht="15" hidden="false" customHeight="false" outlineLevel="0" collapsed="false">
      <c r="B33" s="24" t="s">
        <v>1947</v>
      </c>
      <c r="C33" s="25" t="s">
        <v>143</v>
      </c>
      <c r="D33" s="28" t="s">
        <v>153</v>
      </c>
      <c r="E33" s="109" t="n">
        <v>0</v>
      </c>
      <c r="T33" s="5" t="s">
        <v>1948</v>
      </c>
      <c r="U33" s="5" t="s">
        <v>1949</v>
      </c>
    </row>
    <row r="34" customFormat="false" ht="15" hidden="false" customHeight="false" outlineLevel="0" collapsed="false">
      <c r="B34" s="24" t="s">
        <v>1950</v>
      </c>
      <c r="C34" s="25" t="s">
        <v>905</v>
      </c>
      <c r="D34" s="28" t="s">
        <v>153</v>
      </c>
      <c r="G34" s="101" t="n">
        <v>0.035</v>
      </c>
      <c r="H34" s="101" t="n">
        <v>0.035</v>
      </c>
      <c r="I34" s="101" t="n">
        <v>2000</v>
      </c>
      <c r="J34" s="101" t="n">
        <v>2000</v>
      </c>
      <c r="K34" s="101" t="n">
        <v>2000</v>
      </c>
      <c r="L34" s="101" t="n">
        <v>2000</v>
      </c>
      <c r="M34" s="101" t="n">
        <v>2000</v>
      </c>
      <c r="N34" s="101" t="n">
        <v>2000</v>
      </c>
      <c r="O34" s="101" t="n">
        <v>2000</v>
      </c>
      <c r="P34" s="101" t="n">
        <v>2000</v>
      </c>
      <c r="Q34" s="101" t="n">
        <v>2000</v>
      </c>
      <c r="R34" s="101" t="n">
        <v>2000</v>
      </c>
      <c r="S34" s="101" t="n">
        <v>2000</v>
      </c>
      <c r="T34" s="5" t="s">
        <v>1951</v>
      </c>
      <c r="U34" s="5" t="s">
        <v>1952</v>
      </c>
    </row>
    <row r="35" customFormat="false" ht="15" hidden="false" customHeight="false" outlineLevel="0" collapsed="false">
      <c r="B35" s="22" t="s">
        <v>1953</v>
      </c>
      <c r="C35" s="23"/>
      <c r="D35" s="23"/>
      <c r="E35" s="23"/>
      <c r="F35" s="23"/>
      <c r="G35" s="23"/>
      <c r="H35" s="23"/>
      <c r="I35" s="23"/>
      <c r="J35" s="23"/>
      <c r="K35" s="23"/>
      <c r="L35" s="23"/>
      <c r="M35" s="23"/>
      <c r="N35" s="23"/>
      <c r="O35" s="23"/>
      <c r="P35" s="23"/>
      <c r="Q35" s="23"/>
      <c r="R35" s="23"/>
      <c r="S35" s="23"/>
    </row>
    <row r="36" customFormat="false" ht="15" hidden="false" customHeight="false" outlineLevel="0" collapsed="false">
      <c r="B36" s="24" t="s">
        <v>1954</v>
      </c>
      <c r="C36" s="25" t="s">
        <v>905</v>
      </c>
      <c r="D36" s="28" t="s">
        <v>153</v>
      </c>
      <c r="E36" s="101" t="n">
        <v>300</v>
      </c>
      <c r="T36" s="5" t="s">
        <v>1955</v>
      </c>
      <c r="U36" s="5" t="s">
        <v>1956</v>
      </c>
    </row>
    <row r="38" customFormat="false" ht="15" hidden="false" customHeight="false" outlineLevel="0" collapsed="false">
      <c r="B38" s="22" t="s">
        <v>1957</v>
      </c>
      <c r="C38" s="23"/>
      <c r="D38" s="23"/>
      <c r="E38" s="23"/>
      <c r="F38" s="23"/>
      <c r="G38" s="23"/>
      <c r="H38" s="23"/>
      <c r="I38" s="23"/>
      <c r="J38" s="23"/>
      <c r="K38" s="23"/>
      <c r="L38" s="23"/>
      <c r="M38" s="23"/>
      <c r="N38" s="23"/>
      <c r="O38" s="23"/>
      <c r="P38" s="23"/>
      <c r="Q38" s="23"/>
      <c r="R38" s="23"/>
      <c r="S38" s="23"/>
    </row>
    <row r="39" customFormat="false" ht="15" hidden="false" customHeight="false" outlineLevel="0" collapsed="false">
      <c r="B39" s="24" t="s">
        <v>1287</v>
      </c>
      <c r="C39" s="25" t="s">
        <v>240</v>
      </c>
      <c r="D39" s="28" t="s">
        <v>153</v>
      </c>
      <c r="E39" s="37" t="n">
        <v>3.7623</v>
      </c>
      <c r="T39" s="5" t="s">
        <v>1958</v>
      </c>
      <c r="U39" s="5" t="s">
        <v>1959</v>
      </c>
    </row>
    <row r="40" customFormat="false" ht="15" hidden="false" customHeight="false" outlineLevel="0" collapsed="false">
      <c r="B40" s="24" t="s">
        <v>1290</v>
      </c>
      <c r="C40" s="25" t="s">
        <v>160</v>
      </c>
      <c r="D40" s="28" t="s">
        <v>153</v>
      </c>
      <c r="E40" s="85" t="n">
        <f aca="false">SUM(F40:S40)</f>
        <v>1</v>
      </c>
      <c r="F40" s="35" t="n">
        <v>0</v>
      </c>
      <c r="G40" s="35" t="n">
        <v>0</v>
      </c>
      <c r="H40" s="35" t="n">
        <v>0</v>
      </c>
      <c r="I40" s="35" t="n">
        <v>1</v>
      </c>
      <c r="J40" s="35" t="n">
        <v>0</v>
      </c>
      <c r="K40" s="35" t="n">
        <v>0</v>
      </c>
      <c r="L40" s="35" t="n">
        <v>0</v>
      </c>
      <c r="M40" s="35" t="n">
        <v>0</v>
      </c>
      <c r="N40" s="35" t="n">
        <v>0</v>
      </c>
      <c r="O40" s="35" t="n">
        <v>0</v>
      </c>
      <c r="P40" s="35" t="n">
        <v>0</v>
      </c>
      <c r="Q40" s="35" t="n">
        <v>0</v>
      </c>
      <c r="R40" s="35" t="n">
        <v>0</v>
      </c>
      <c r="S40" s="35" t="n">
        <v>0</v>
      </c>
      <c r="T40" s="5" t="s">
        <v>1960</v>
      </c>
      <c r="U40" s="5" t="s">
        <v>1292</v>
      </c>
    </row>
    <row r="41" customFormat="false" ht="15" hidden="false" customHeight="false" outlineLevel="0" collapsed="false">
      <c r="B41" s="24" t="s">
        <v>1293</v>
      </c>
      <c r="C41" s="25" t="s">
        <v>240</v>
      </c>
      <c r="E41" s="44" t="n">
        <f aca="false">SUM(F41:S41)</f>
        <v>3.7623</v>
      </c>
      <c r="F41" s="44" t="n">
        <f aca="false">$E$39*F40</f>
        <v>0</v>
      </c>
      <c r="G41" s="44" t="n">
        <f aca="false">$E$39*G40</f>
        <v>0</v>
      </c>
      <c r="H41" s="44" t="n">
        <f aca="false">$E$39*H40</f>
        <v>0</v>
      </c>
      <c r="I41" s="44" t="n">
        <f aca="false">$E$39*I40</f>
        <v>3.7623</v>
      </c>
      <c r="J41" s="44" t="n">
        <f aca="false">$E$39*J40</f>
        <v>0</v>
      </c>
      <c r="K41" s="44" t="n">
        <f aca="false">$E$39*K40</f>
        <v>0</v>
      </c>
      <c r="L41" s="44" t="n">
        <f aca="false">$E$39*L40</f>
        <v>0</v>
      </c>
      <c r="M41" s="44" t="n">
        <f aca="false">$E$39*M40</f>
        <v>0</v>
      </c>
      <c r="N41" s="44" t="n">
        <f aca="false">$E$39*N40</f>
        <v>0</v>
      </c>
      <c r="O41" s="44" t="n">
        <f aca="false">$E$39*O40</f>
        <v>0</v>
      </c>
      <c r="P41" s="44" t="n">
        <f aca="false">$E$39*P40</f>
        <v>0</v>
      </c>
      <c r="Q41" s="44" t="n">
        <f aca="false">$E$39*Q40</f>
        <v>0</v>
      </c>
      <c r="R41" s="44" t="n">
        <f aca="false">$E$39*R40</f>
        <v>0</v>
      </c>
      <c r="S41" s="44" t="n">
        <f aca="false">$E$39*S40</f>
        <v>0</v>
      </c>
    </row>
    <row r="42" customFormat="false" ht="15" hidden="false" customHeight="false" outlineLevel="0" collapsed="false">
      <c r="B42" s="24" t="s">
        <v>1294</v>
      </c>
      <c r="C42" s="25" t="s">
        <v>152</v>
      </c>
      <c r="F42" s="107" t="n">
        <f aca="false">'Global Inputs'!F22</f>
        <v>16265</v>
      </c>
      <c r="G42" s="107" t="n">
        <f aca="false">'Global Inputs'!G22</f>
        <v>16265</v>
      </c>
      <c r="H42" s="107" t="n">
        <f aca="false">'Global Inputs'!H22</f>
        <v>16265</v>
      </c>
      <c r="I42" s="107" t="n">
        <f aca="false">'Global Inputs'!I22</f>
        <v>16265</v>
      </c>
      <c r="J42" s="107" t="n">
        <f aca="false">'Global Inputs'!J22</f>
        <v>16265</v>
      </c>
      <c r="K42" s="107" t="n">
        <f aca="false">'Global Inputs'!K22</f>
        <v>16265</v>
      </c>
      <c r="L42" s="107" t="n">
        <f aca="false">'Global Inputs'!L22</f>
        <v>16265</v>
      </c>
      <c r="M42" s="107" t="n">
        <f aca="false">'Global Inputs'!M22</f>
        <v>16265</v>
      </c>
      <c r="N42" s="107" t="n">
        <f aca="false">'Global Inputs'!N22</f>
        <v>16265</v>
      </c>
      <c r="O42" s="107" t="n">
        <f aca="false">'Global Inputs'!O22</f>
        <v>16265</v>
      </c>
      <c r="P42" s="107" t="n">
        <f aca="false">'Global Inputs'!P22</f>
        <v>16265</v>
      </c>
      <c r="Q42" s="107" t="n">
        <f aca="false">'Global Inputs'!Q22</f>
        <v>16265</v>
      </c>
      <c r="R42" s="107" t="n">
        <f aca="false">'Global Inputs'!R22</f>
        <v>16265</v>
      </c>
      <c r="S42" s="107" t="n">
        <f aca="false">'Global Inputs'!S22</f>
        <v>16265</v>
      </c>
    </row>
    <row r="43" customFormat="false" ht="15" hidden="false" customHeight="false" outlineLevel="0" collapsed="false">
      <c r="B43" s="24" t="s">
        <v>1295</v>
      </c>
      <c r="C43" s="25" t="s">
        <v>170</v>
      </c>
      <c r="E43" s="47" t="n">
        <f aca="false">SUM(F43:S43)</f>
        <v>61.1938095</v>
      </c>
      <c r="F43" s="47" t="n">
        <f aca="false">F41*F42/1000</f>
        <v>0</v>
      </c>
      <c r="G43" s="47" t="n">
        <f aca="false">G41*G42/1000</f>
        <v>0</v>
      </c>
      <c r="H43" s="47" t="n">
        <f aca="false">H41*H42/1000</f>
        <v>0</v>
      </c>
      <c r="I43" s="47" t="n">
        <f aca="false">I41*I42/1000</f>
        <v>61.1938095</v>
      </c>
      <c r="J43" s="47" t="n">
        <f aca="false">J41*J42/1000</f>
        <v>0</v>
      </c>
      <c r="K43" s="47" t="n">
        <f aca="false">K41*K42/1000</f>
        <v>0</v>
      </c>
      <c r="L43" s="47" t="n">
        <f aca="false">L41*L42/1000</f>
        <v>0</v>
      </c>
      <c r="M43" s="47" t="n">
        <f aca="false">M41*M42/1000</f>
        <v>0</v>
      </c>
      <c r="N43" s="47" t="n">
        <f aca="false">N41*N42/1000</f>
        <v>0</v>
      </c>
      <c r="O43" s="47" t="n">
        <f aca="false">O41*O42/1000</f>
        <v>0</v>
      </c>
      <c r="P43" s="47" t="n">
        <f aca="false">P41*P42/1000</f>
        <v>0</v>
      </c>
      <c r="Q43" s="47" t="n">
        <f aca="false">Q41*Q42/1000</f>
        <v>0</v>
      </c>
      <c r="R43" s="47" t="n">
        <f aca="false">R41*R42/1000</f>
        <v>0</v>
      </c>
      <c r="S43" s="47" t="n">
        <f aca="false">S41*S42/1000</f>
        <v>0</v>
      </c>
    </row>
    <row r="44" customFormat="false" ht="15" hidden="false" customHeight="false" outlineLevel="0" collapsed="false">
      <c r="B44" s="24" t="s">
        <v>1296</v>
      </c>
      <c r="C44" s="25" t="s">
        <v>240</v>
      </c>
      <c r="E44" s="44" t="n">
        <f aca="false">SUMPRODUCT($F$41:$S$41,--('Global Inputs'!$F$15:$S$15&lt;='Global Inputs'!$E$12))</f>
        <v>3.7623</v>
      </c>
    </row>
    <row r="45" customFormat="false" ht="15" hidden="false" customHeight="false" outlineLevel="0" collapsed="false">
      <c r="B45" s="24" t="s">
        <v>1297</v>
      </c>
      <c r="C45" s="25" t="s">
        <v>240</v>
      </c>
      <c r="E45" s="44" t="n">
        <f aca="false">SUMPRODUCT($F$41:$S$41,--('Global Inputs'!$F$15:$S$15&gt;'Global Inputs'!$E$12))</f>
        <v>0</v>
      </c>
    </row>
    <row r="46" customFormat="false" ht="15" hidden="false" customHeight="false" outlineLevel="0" collapsed="false">
      <c r="B46" s="24" t="s">
        <v>1298</v>
      </c>
      <c r="C46" s="25" t="s">
        <v>240</v>
      </c>
      <c r="E46" s="44" t="n">
        <f aca="false">$E$39-SUM($F$41:$S$41)</f>
        <v>0</v>
      </c>
    </row>
    <row r="47" customFormat="false" ht="15" hidden="false" customHeight="false" outlineLevel="0" collapsed="false">
      <c r="B47" s="24" t="s">
        <v>1299</v>
      </c>
      <c r="C47" s="25" t="s">
        <v>527</v>
      </c>
      <c r="E47" s="108" t="str">
        <f aca="false">IF(ABS(SUM($F$40:$S$40)-1)&lt;0.000001,"PASS","CHECK: % not 100%")</f>
        <v>PASS</v>
      </c>
    </row>
    <row r="48" customFormat="false" ht="15" hidden="false" customHeight="false" outlineLevel="0" collapsed="false">
      <c r="B48" s="24" t="s">
        <v>1811</v>
      </c>
      <c r="C48" s="25" t="s">
        <v>135</v>
      </c>
      <c r="D48" s="25" t="s">
        <v>894</v>
      </c>
      <c r="E48" s="65" t="n">
        <f aca="false">$E$25</f>
        <v>2027</v>
      </c>
      <c r="T48" s="5" t="s">
        <v>1812</v>
      </c>
    </row>
    <row r="49" customFormat="false" ht="15" hidden="false" customHeight="false" outlineLevel="0" collapsed="false">
      <c r="B49" s="24" t="s">
        <v>1302</v>
      </c>
      <c r="C49" s="25" t="s">
        <v>180</v>
      </c>
      <c r="D49" s="26" t="s">
        <v>190</v>
      </c>
      <c r="E49" s="39" t="n">
        <v>0</v>
      </c>
      <c r="T49" s="5" t="s">
        <v>1303</v>
      </c>
      <c r="U49" s="5" t="s">
        <v>1304</v>
      </c>
    </row>
    <row r="50" customFormat="false" ht="15" hidden="false" customHeight="false" outlineLevel="0" collapsed="false">
      <c r="B50" s="24" t="s">
        <v>1305</v>
      </c>
      <c r="C50" s="25" t="s">
        <v>160</v>
      </c>
      <c r="D50" s="28" t="s">
        <v>153</v>
      </c>
      <c r="E50" s="35" t="n">
        <v>0.63</v>
      </c>
      <c r="T50" s="5" t="s">
        <v>1961</v>
      </c>
    </row>
    <row r="51" customFormat="false" ht="15" hidden="false" customHeight="false" outlineLevel="0" collapsed="false">
      <c r="B51" s="24" t="s">
        <v>1307</v>
      </c>
      <c r="C51" s="25" t="s">
        <v>145</v>
      </c>
      <c r="D51" s="28" t="s">
        <v>153</v>
      </c>
      <c r="E51" s="36" t="n">
        <v>20</v>
      </c>
      <c r="T51" s="5" t="s">
        <v>1962</v>
      </c>
    </row>
    <row r="52" customFormat="false" ht="15" hidden="false" customHeight="false" outlineLevel="0" collapsed="false">
      <c r="B52" s="24" t="s">
        <v>1309</v>
      </c>
      <c r="C52" s="25" t="s">
        <v>145</v>
      </c>
      <c r="D52" s="28" t="s">
        <v>153</v>
      </c>
      <c r="E52" s="36" t="n">
        <v>10</v>
      </c>
      <c r="T52" s="5" t="s">
        <v>1962</v>
      </c>
    </row>
  </sheetData>
  <hyperlinks>
    <hyperlink ref="C3" r:id="rId1" location="'P04%20TTLSilo%20Input'!A1" display="Input"/>
    <hyperlink ref="D3" r:id="rId2" location="'P04%20TTLSilo%20Calc'!A1" display="Calc"/>
    <hyperlink ref="E3" r:id="rId3" location="'P04%20TTLSilo%20Output'!A1" display="Output"/>
    <hyperlink ref="F3" r:id="rId4" location="'Navigation'!A1" display="Navigation"/>
    <hyperlink ref="G3" r:id="rId5" location="'Global%20Inputs'!A1" display="Global Inputs"/>
    <hyperlink ref="H3" r:id="rId6" location="'Project%20Summary'!A1" display="Project Summary"/>
    <hyperlink ref="I3" r:id="rId7" location="'Funding%20Requirement'!A1" display="Funding"/>
    <hyperlink ref="J3" r:id="rId8" location="'FSL%20Financials%20—%20Without%20BUMN'!A1" display="FSL w/o BUMN"/>
    <hyperlink ref="K3" r:id="rId9" location="'FSL%20Financials%20—%20With%20BUMN'!A1" display="FSL w/ BUMN"/>
    <hyperlink ref="L3" r:id="rId10" location="'Valuation%20—%20Without%20BUMN'!A1" display="Val w/o BUMN"/>
    <hyperlink ref="M3" r:id="rId11" location="'Valuation%20—%20With%20BUMN'!A1" display="Val w/ BUMN"/>
    <hyperlink ref="N3" r:id="rId12" location="'Checks'!A1" display="Checks"/>
    <hyperlink ref="O3" r:id="rId13" location="'Model%20Flow'!A1" display="Model Flow"/>
  </hyperlink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BFBF"/>
    <pageSetUpPr fitToPage="true"/>
  </sheetPr>
  <dimension ref="B1:U5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5" ySplit="9" topLeftCell="F10" activePane="bottomRight" state="frozen"/>
      <selection pane="topLeft" activeCell="A1" activeCellId="0" sqref="A1"/>
      <selection pane="topRight" activeCell="F1" activeCellId="0" sqref="F1"/>
      <selection pane="bottomLeft" activeCell="A10" activeCellId="0" sqref="A10"/>
      <selection pane="bottomRigh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66"/>
    <col collapsed="false" customWidth="true" hidden="false" outlineLevel="0" max="3" min="3" style="0" width="11"/>
    <col collapsed="false" customWidth="true" hidden="false" outlineLevel="0" max="4" min="4" style="0" width="12"/>
    <col collapsed="false" customWidth="true" hidden="false" outlineLevel="0" max="5" min="5" style="0" width="13"/>
    <col collapsed="false" customWidth="true" hidden="false" outlineLevel="0" max="19" min="6" style="0" width="11.5"/>
    <col collapsed="false" customWidth="true" hidden="false" outlineLevel="0" max="20" min="20" style="0" width="40"/>
    <col collapsed="false" customWidth="true" hidden="false" outlineLevel="0" max="21" min="21" style="0" width="48"/>
  </cols>
  <sheetData>
    <row r="1" customFormat="false" ht="21.75" hidden="false" customHeight="true" outlineLevel="0" collapsed="false">
      <c r="B1" s="1" t="s">
        <v>1963</v>
      </c>
    </row>
    <row r="2" customFormat="false" ht="15" hidden="false" customHeight="false" outlineLevel="0" collapsed="false">
      <c r="B2" s="2" t="s">
        <v>1014</v>
      </c>
    </row>
    <row r="3" customFormat="false" ht="15" hidden="false" customHeight="false" outlineLevel="0" collapsed="false">
      <c r="B3" s="5" t="s">
        <v>112</v>
      </c>
      <c r="C3" s="17" t="s">
        <v>27</v>
      </c>
      <c r="D3" s="17" t="s">
        <v>28</v>
      </c>
      <c r="E3" s="17" t="s">
        <v>29</v>
      </c>
      <c r="F3" s="17" t="s">
        <v>113</v>
      </c>
      <c r="G3" s="17" t="s">
        <v>5</v>
      </c>
      <c r="H3" s="17" t="s">
        <v>7</v>
      </c>
      <c r="I3" s="17" t="s">
        <v>114</v>
      </c>
      <c r="J3" s="17" t="s">
        <v>115</v>
      </c>
      <c r="K3" s="17" t="s">
        <v>116</v>
      </c>
      <c r="L3" s="17" t="s">
        <v>117</v>
      </c>
      <c r="M3" s="17" t="s">
        <v>118</v>
      </c>
      <c r="N3" s="17" t="s">
        <v>21</v>
      </c>
      <c r="O3" s="17" t="s">
        <v>3</v>
      </c>
    </row>
    <row r="5" customFormat="false" ht="15" hidden="false" customHeight="false" outlineLevel="0" collapsed="false">
      <c r="B5" s="6" t="s">
        <v>119</v>
      </c>
      <c r="C5" s="6" t="s">
        <v>120</v>
      </c>
      <c r="D5" s="6" t="s">
        <v>121</v>
      </c>
      <c r="E5" s="6" t="s">
        <v>122</v>
      </c>
      <c r="F5" s="18" t="n">
        <f aca="false">'Global Inputs'!F$5</f>
        <v>2023</v>
      </c>
      <c r="G5" s="18" t="n">
        <f aca="false">'Global Inputs'!G$5</f>
        <v>2024</v>
      </c>
      <c r="H5" s="18" t="n">
        <f aca="false">'Global Inputs'!H$5</f>
        <v>2025</v>
      </c>
      <c r="I5" s="18" t="n">
        <f aca="false">'Global Inputs'!I$5</f>
        <v>2026</v>
      </c>
      <c r="J5" s="18" t="n">
        <f aca="false">'Global Inputs'!J$5</f>
        <v>2027</v>
      </c>
      <c r="K5" s="18" t="n">
        <f aca="false">'Global Inputs'!K$5</f>
        <v>2028</v>
      </c>
      <c r="L5" s="18" t="n">
        <f aca="false">'Global Inputs'!L$5</f>
        <v>2029</v>
      </c>
      <c r="M5" s="18" t="n">
        <f aca="false">'Global Inputs'!M$5</f>
        <v>2030</v>
      </c>
      <c r="N5" s="18" t="n">
        <f aca="false">'Global Inputs'!N$5</f>
        <v>2031</v>
      </c>
      <c r="O5" s="18" t="n">
        <f aca="false">'Global Inputs'!O$5</f>
        <v>2032</v>
      </c>
      <c r="P5" s="18" t="n">
        <f aca="false">'Global Inputs'!P$5</f>
        <v>2033</v>
      </c>
      <c r="Q5" s="18" t="n">
        <f aca="false">'Global Inputs'!Q$5</f>
        <v>2034</v>
      </c>
      <c r="R5" s="18" t="n">
        <f aca="false">'Global Inputs'!R$5</f>
        <v>2035</v>
      </c>
      <c r="S5" s="18" t="n">
        <f aca="false">'Global Inputs'!S$5</f>
        <v>2036</v>
      </c>
      <c r="T5" s="6" t="s">
        <v>123</v>
      </c>
      <c r="U5" s="6" t="s">
        <v>124</v>
      </c>
    </row>
    <row r="6" customFormat="false" ht="15" hidden="false" customHeight="false" outlineLevel="0" collapsed="false">
      <c r="B6" s="19" t="s">
        <v>125</v>
      </c>
      <c r="F6" s="20" t="n">
        <f aca="false">'Global Inputs'!F$6</f>
        <v>45291</v>
      </c>
      <c r="G6" s="20" t="n">
        <f aca="false">'Global Inputs'!G$6</f>
        <v>45657</v>
      </c>
      <c r="H6" s="20" t="n">
        <f aca="false">'Global Inputs'!H$6</f>
        <v>46022</v>
      </c>
      <c r="I6" s="20" t="n">
        <f aca="false">'Global Inputs'!I$6</f>
        <v>46387</v>
      </c>
      <c r="J6" s="20" t="n">
        <f aca="false">'Global Inputs'!J$6</f>
        <v>46752</v>
      </c>
      <c r="K6" s="20" t="n">
        <f aca="false">'Global Inputs'!K$6</f>
        <v>47118</v>
      </c>
      <c r="L6" s="20" t="n">
        <f aca="false">'Global Inputs'!L$6</f>
        <v>47483</v>
      </c>
      <c r="M6" s="20" t="n">
        <f aca="false">'Global Inputs'!M$6</f>
        <v>47848</v>
      </c>
      <c r="N6" s="20" t="n">
        <f aca="false">'Global Inputs'!N$6</f>
        <v>48213</v>
      </c>
      <c r="O6" s="20" t="n">
        <f aca="false">'Global Inputs'!O$6</f>
        <v>48579</v>
      </c>
      <c r="P6" s="20" t="n">
        <f aca="false">'Global Inputs'!P$6</f>
        <v>48944</v>
      </c>
      <c r="Q6" s="20" t="n">
        <f aca="false">'Global Inputs'!Q$6</f>
        <v>49309</v>
      </c>
      <c r="R6" s="20" t="n">
        <f aca="false">'Global Inputs'!R$6</f>
        <v>49674</v>
      </c>
      <c r="S6" s="20" t="n">
        <f aca="false">'Global Inputs'!S$6</f>
        <v>50040</v>
      </c>
    </row>
    <row r="7" customFormat="false" ht="15" hidden="false" customHeight="false" outlineLevel="0" collapsed="false">
      <c r="B7" s="19" t="s">
        <v>126</v>
      </c>
      <c r="F7" s="21" t="n">
        <f aca="false">'Global Inputs'!F$7</f>
        <v>365</v>
      </c>
      <c r="G7" s="21" t="n">
        <f aca="false">'Global Inputs'!G$7</f>
        <v>366</v>
      </c>
      <c r="H7" s="21" t="n">
        <f aca="false">'Global Inputs'!H$7</f>
        <v>365</v>
      </c>
      <c r="I7" s="21" t="n">
        <f aca="false">'Global Inputs'!I$7</f>
        <v>365</v>
      </c>
      <c r="J7" s="21" t="n">
        <f aca="false">'Global Inputs'!J$7</f>
        <v>365</v>
      </c>
      <c r="K7" s="21" t="n">
        <f aca="false">'Global Inputs'!K$7</f>
        <v>366</v>
      </c>
      <c r="L7" s="21" t="n">
        <f aca="false">'Global Inputs'!L$7</f>
        <v>365</v>
      </c>
      <c r="M7" s="21" t="n">
        <f aca="false">'Global Inputs'!M$7</f>
        <v>365</v>
      </c>
      <c r="N7" s="21" t="n">
        <f aca="false">'Global Inputs'!N$7</f>
        <v>365</v>
      </c>
      <c r="O7" s="21" t="n">
        <f aca="false">'Global Inputs'!O$7</f>
        <v>366</v>
      </c>
      <c r="P7" s="21" t="n">
        <f aca="false">'Global Inputs'!P$7</f>
        <v>365</v>
      </c>
      <c r="Q7" s="21" t="n">
        <f aca="false">'Global Inputs'!Q$7</f>
        <v>365</v>
      </c>
      <c r="R7" s="21" t="n">
        <f aca="false">'Global Inputs'!R$7</f>
        <v>365</v>
      </c>
      <c r="S7" s="21" t="n">
        <f aca="false">'Global Inputs'!S$7</f>
        <v>366</v>
      </c>
    </row>
    <row r="8" customFormat="false" ht="15" hidden="false" customHeight="false" outlineLevel="0" collapsed="false">
      <c r="B8" s="19" t="s">
        <v>127</v>
      </c>
      <c r="F8" s="21" t="n">
        <f aca="false">'Global Inputs'!F$8</f>
        <v>0</v>
      </c>
      <c r="G8" s="21" t="n">
        <f aca="false">'Global Inputs'!G$8</f>
        <v>1</v>
      </c>
      <c r="H8" s="21" t="n">
        <f aca="false">'Global Inputs'!H$8</f>
        <v>1</v>
      </c>
      <c r="I8" s="21" t="n">
        <f aca="false">'Global Inputs'!I$8</f>
        <v>1</v>
      </c>
      <c r="J8" s="21" t="n">
        <f aca="false">'Global Inputs'!J$8</f>
        <v>1</v>
      </c>
      <c r="K8" s="21" t="n">
        <f aca="false">'Global Inputs'!K$8</f>
        <v>1</v>
      </c>
      <c r="L8" s="21" t="n">
        <f aca="false">'Global Inputs'!L$8</f>
        <v>1</v>
      </c>
      <c r="M8" s="21" t="n">
        <f aca="false">'Global Inputs'!M$8</f>
        <v>1</v>
      </c>
      <c r="N8" s="21" t="n">
        <f aca="false">'Global Inputs'!N$8</f>
        <v>1</v>
      </c>
      <c r="O8" s="21" t="n">
        <f aca="false">'Global Inputs'!O$8</f>
        <v>1</v>
      </c>
      <c r="P8" s="21" t="n">
        <f aca="false">'Global Inputs'!P$8</f>
        <v>1</v>
      </c>
      <c r="Q8" s="21" t="n">
        <f aca="false">'Global Inputs'!Q$8</f>
        <v>1</v>
      </c>
      <c r="R8" s="21" t="n">
        <f aca="false">'Global Inputs'!R$8</f>
        <v>1</v>
      </c>
      <c r="S8" s="21" t="n">
        <f aca="false">'Global Inputs'!S$8</f>
        <v>1</v>
      </c>
    </row>
    <row r="10" customFormat="false" ht="15" hidden="false" customHeight="false" outlineLevel="0" collapsed="false">
      <c r="B10" s="22" t="s">
        <v>1015</v>
      </c>
      <c r="C10" s="23"/>
      <c r="D10" s="23"/>
      <c r="E10" s="23"/>
      <c r="F10" s="23"/>
      <c r="G10" s="23"/>
      <c r="H10" s="23"/>
      <c r="I10" s="23"/>
      <c r="J10" s="23"/>
      <c r="K10" s="23"/>
      <c r="L10" s="23"/>
      <c r="M10" s="23"/>
      <c r="N10" s="23"/>
      <c r="O10" s="23"/>
      <c r="P10" s="23"/>
      <c r="Q10" s="23"/>
      <c r="R10" s="23"/>
      <c r="S10" s="23"/>
    </row>
    <row r="11" customFormat="false" ht="15" hidden="false" customHeight="false" outlineLevel="0" collapsed="false">
      <c r="B11" s="24" t="s">
        <v>1016</v>
      </c>
      <c r="C11" s="25" t="s">
        <v>143</v>
      </c>
      <c r="F11" s="30" t="n">
        <f aca="false">IF(F$5&gt;='P04 TTLSilo Input'!$E$25,1,0)*F$8</f>
        <v>0</v>
      </c>
      <c r="G11" s="30" t="n">
        <f aca="false">IF(G$5&gt;='P04 TTLSilo Input'!$E$25,1,0)*G$8</f>
        <v>0</v>
      </c>
      <c r="H11" s="30" t="n">
        <f aca="false">IF(H$5&gt;='P04 TTLSilo Input'!$E$25,1,0)*H$8</f>
        <v>0</v>
      </c>
      <c r="I11" s="30" t="n">
        <f aca="false">IF(I$5&gt;='P04 TTLSilo Input'!$E$25,1,0)*I$8</f>
        <v>0</v>
      </c>
      <c r="J11" s="30" t="n">
        <f aca="false">IF(J$5&gt;='P04 TTLSilo Input'!$E$25,1,0)*J$8</f>
        <v>1</v>
      </c>
      <c r="K11" s="30" t="n">
        <f aca="false">IF(K$5&gt;='P04 TTLSilo Input'!$E$25,1,0)*K$8</f>
        <v>1</v>
      </c>
      <c r="L11" s="30" t="n">
        <f aca="false">IF(L$5&gt;='P04 TTLSilo Input'!$E$25,1,0)*L$8</f>
        <v>1</v>
      </c>
      <c r="M11" s="30" t="n">
        <f aca="false">IF(M$5&gt;='P04 TTLSilo Input'!$E$25,1,0)*M$8</f>
        <v>1</v>
      </c>
      <c r="N11" s="30" t="n">
        <f aca="false">IF(N$5&gt;='P04 TTLSilo Input'!$E$25,1,0)*N$8</f>
        <v>1</v>
      </c>
      <c r="O11" s="30" t="n">
        <f aca="false">IF(O$5&gt;='P04 TTLSilo Input'!$E$25,1,0)*O$8</f>
        <v>1</v>
      </c>
      <c r="P11" s="30" t="n">
        <f aca="false">IF(P$5&gt;='P04 TTLSilo Input'!$E$25,1,0)*P$8</f>
        <v>1</v>
      </c>
      <c r="Q11" s="30" t="n">
        <f aca="false">IF(Q$5&gt;='P04 TTLSilo Input'!$E$25,1,0)*Q$8</f>
        <v>1</v>
      </c>
      <c r="R11" s="30" t="n">
        <f aca="false">IF(R$5&gt;='P04 TTLSilo Input'!$E$25,1,0)*R$8</f>
        <v>1</v>
      </c>
      <c r="S11" s="30" t="n">
        <f aca="false">IF(S$5&gt;='P04 TTLSilo Input'!$E$25,1,0)*S$8</f>
        <v>1</v>
      </c>
    </row>
    <row r="13" customFormat="false" ht="15" hidden="false" customHeight="false" outlineLevel="0" collapsed="false">
      <c r="B13" s="22" t="s">
        <v>1964</v>
      </c>
      <c r="C13" s="23"/>
      <c r="D13" s="23"/>
      <c r="E13" s="23"/>
      <c r="F13" s="23"/>
      <c r="G13" s="23"/>
      <c r="H13" s="23"/>
      <c r="I13" s="23"/>
      <c r="J13" s="23"/>
      <c r="K13" s="23"/>
      <c r="L13" s="23"/>
      <c r="M13" s="23"/>
      <c r="N13" s="23"/>
      <c r="O13" s="23"/>
      <c r="P13" s="23"/>
      <c r="Q13" s="23"/>
      <c r="R13" s="23"/>
      <c r="S13" s="23"/>
    </row>
    <row r="14" customFormat="false" ht="15" hidden="false" customHeight="false" outlineLevel="0" collapsed="false">
      <c r="B14" s="24" t="s">
        <v>1965</v>
      </c>
      <c r="C14" s="25" t="s">
        <v>1937</v>
      </c>
      <c r="F14" s="31" t="n">
        <f aca="false">'P04 TTLSilo Input'!$E$28*'P04 TTLSilo Input'!$E$29</f>
        <v>17000</v>
      </c>
      <c r="G14" s="31" t="n">
        <f aca="false">'P04 TTLSilo Input'!$E$28*'P04 TTLSilo Input'!$E$29</f>
        <v>17000</v>
      </c>
      <c r="H14" s="31" t="n">
        <f aca="false">'P04 TTLSilo Input'!$E$28*'P04 TTLSilo Input'!$E$29</f>
        <v>17000</v>
      </c>
      <c r="I14" s="31" t="n">
        <f aca="false">'P04 TTLSilo Input'!$E$28*'P04 TTLSilo Input'!$E$29</f>
        <v>17000</v>
      </c>
      <c r="J14" s="31" t="n">
        <f aca="false">'P04 TTLSilo Input'!$E$28*'P04 TTLSilo Input'!$E$29</f>
        <v>17000</v>
      </c>
      <c r="K14" s="31" t="n">
        <f aca="false">'P04 TTLSilo Input'!$E$28*'P04 TTLSilo Input'!$E$29</f>
        <v>17000</v>
      </c>
      <c r="L14" s="31" t="n">
        <f aca="false">'P04 TTLSilo Input'!$E$28*'P04 TTLSilo Input'!$E$29</f>
        <v>17000</v>
      </c>
      <c r="M14" s="31" t="n">
        <f aca="false">'P04 TTLSilo Input'!$E$28*'P04 TTLSilo Input'!$E$29</f>
        <v>17000</v>
      </c>
      <c r="N14" s="31" t="n">
        <f aca="false">'P04 TTLSilo Input'!$E$28*'P04 TTLSilo Input'!$E$29</f>
        <v>17000</v>
      </c>
      <c r="O14" s="31" t="n">
        <f aca="false">'P04 TTLSilo Input'!$E$28*'P04 TTLSilo Input'!$E$29</f>
        <v>17000</v>
      </c>
      <c r="P14" s="31" t="n">
        <f aca="false">'P04 TTLSilo Input'!$E$28*'P04 TTLSilo Input'!$E$29</f>
        <v>17000</v>
      </c>
      <c r="Q14" s="31" t="n">
        <f aca="false">'P04 TTLSilo Input'!$E$28*'P04 TTLSilo Input'!$E$29</f>
        <v>17000</v>
      </c>
      <c r="R14" s="31" t="n">
        <f aca="false">'P04 TTLSilo Input'!$E$28*'P04 TTLSilo Input'!$E$29</f>
        <v>17000</v>
      </c>
      <c r="S14" s="31" t="n">
        <f aca="false">'P04 TTLSilo Input'!$E$28*'P04 TTLSilo Input'!$E$29</f>
        <v>17000</v>
      </c>
      <c r="U14" s="5" t="s">
        <v>1966</v>
      </c>
    </row>
    <row r="15" customFormat="false" ht="15" hidden="false" customHeight="false" outlineLevel="0" collapsed="false">
      <c r="B15" s="24" t="s">
        <v>1967</v>
      </c>
      <c r="C15" s="25" t="s">
        <v>900</v>
      </c>
      <c r="E15" s="31" t="n">
        <f aca="false">SUM(F15:S15)</f>
        <v>2040000</v>
      </c>
      <c r="F15" s="31" t="n">
        <f aca="false">F14*'P04 TTLSilo Input'!$E$30*F11</f>
        <v>0</v>
      </c>
      <c r="G15" s="31" t="n">
        <f aca="false">G14*'P04 TTLSilo Input'!$E$30*G11</f>
        <v>0</v>
      </c>
      <c r="H15" s="31" t="n">
        <f aca="false">H14*'P04 TTLSilo Input'!$E$30*H11</f>
        <v>0</v>
      </c>
      <c r="I15" s="31" t="n">
        <f aca="false">I14*'P04 TTLSilo Input'!$E$30*I11</f>
        <v>0</v>
      </c>
      <c r="J15" s="31" t="n">
        <f aca="false">J14*'P04 TTLSilo Input'!$E$30*J11</f>
        <v>204000</v>
      </c>
      <c r="K15" s="31" t="n">
        <f aca="false">K14*'P04 TTLSilo Input'!$E$30*K11</f>
        <v>204000</v>
      </c>
      <c r="L15" s="31" t="n">
        <f aca="false">L14*'P04 TTLSilo Input'!$E$30*L11</f>
        <v>204000</v>
      </c>
      <c r="M15" s="31" t="n">
        <f aca="false">M14*'P04 TTLSilo Input'!$E$30*M11</f>
        <v>204000</v>
      </c>
      <c r="N15" s="31" t="n">
        <f aca="false">N14*'P04 TTLSilo Input'!$E$30*N11</f>
        <v>204000</v>
      </c>
      <c r="O15" s="31" t="n">
        <f aca="false">O14*'P04 TTLSilo Input'!$E$30*O11</f>
        <v>204000</v>
      </c>
      <c r="P15" s="31" t="n">
        <f aca="false">P14*'P04 TTLSilo Input'!$E$30*P11</f>
        <v>204000</v>
      </c>
      <c r="Q15" s="31" t="n">
        <f aca="false">Q14*'P04 TTLSilo Input'!$E$30*Q11</f>
        <v>204000</v>
      </c>
      <c r="R15" s="31" t="n">
        <f aca="false">R14*'P04 TTLSilo Input'!$E$30*R11</f>
        <v>204000</v>
      </c>
      <c r="S15" s="31" t="n">
        <f aca="false">S14*'P04 TTLSilo Input'!$E$30*S11</f>
        <v>204000</v>
      </c>
      <c r="U15" s="5" t="s">
        <v>1968</v>
      </c>
    </row>
    <row r="16" customFormat="false" ht="15" hidden="false" customHeight="false" outlineLevel="0" collapsed="false">
      <c r="B16" s="24" t="s">
        <v>1969</v>
      </c>
      <c r="C16" s="25" t="s">
        <v>1943</v>
      </c>
      <c r="F16" s="31" t="n">
        <f aca="false">'P04 TTLSilo Input'!F31</f>
        <v>0</v>
      </c>
      <c r="G16" s="31" t="n">
        <f aca="false">'P04 TTLSilo Input'!G31</f>
        <v>65000</v>
      </c>
      <c r="H16" s="31" t="n">
        <f aca="false">'P04 TTLSilo Input'!H31</f>
        <v>65000</v>
      </c>
      <c r="I16" s="31" t="n">
        <f aca="false">'P04 TTLSilo Input'!I31</f>
        <v>65000</v>
      </c>
      <c r="J16" s="31" t="n">
        <f aca="false">'P04 TTLSilo Input'!J31</f>
        <v>65000</v>
      </c>
      <c r="K16" s="31" t="n">
        <f aca="false">'P04 TTLSilo Input'!K31</f>
        <v>65000</v>
      </c>
      <c r="L16" s="31" t="n">
        <f aca="false">'P04 TTLSilo Input'!L31</f>
        <v>65000</v>
      </c>
      <c r="M16" s="31" t="n">
        <f aca="false">'P04 TTLSilo Input'!M31</f>
        <v>65000</v>
      </c>
      <c r="N16" s="31" t="n">
        <f aca="false">'P04 TTLSilo Input'!N31</f>
        <v>65000</v>
      </c>
      <c r="O16" s="31" t="n">
        <f aca="false">'P04 TTLSilo Input'!O31</f>
        <v>65000</v>
      </c>
      <c r="P16" s="31" t="n">
        <f aca="false">'P04 TTLSilo Input'!P31</f>
        <v>65000</v>
      </c>
      <c r="Q16" s="31" t="n">
        <f aca="false">'P04 TTLSilo Input'!Q31</f>
        <v>65000</v>
      </c>
      <c r="R16" s="31" t="n">
        <f aca="false">'P04 TTLSilo Input'!R31</f>
        <v>65000</v>
      </c>
      <c r="S16" s="31" t="n">
        <f aca="false">'P04 TTLSilo Input'!S31</f>
        <v>65000</v>
      </c>
      <c r="U16" s="5" t="s">
        <v>1970</v>
      </c>
    </row>
    <row r="17" customFormat="false" ht="15" hidden="false" customHeight="false" outlineLevel="0" collapsed="false">
      <c r="B17" s="24" t="s">
        <v>1971</v>
      </c>
      <c r="C17" s="25" t="s">
        <v>170</v>
      </c>
      <c r="E17" s="47" t="n">
        <f aca="false">SUM(F17:S17)</f>
        <v>132.6</v>
      </c>
      <c r="F17" s="47" t="n">
        <f aca="false">F15*F16/10^9</f>
        <v>0</v>
      </c>
      <c r="G17" s="47" t="n">
        <f aca="false">G15*G16/10^9</f>
        <v>0</v>
      </c>
      <c r="H17" s="47" t="n">
        <f aca="false">H15*H16/10^9</f>
        <v>0</v>
      </c>
      <c r="I17" s="47" t="n">
        <f aca="false">I15*I16/10^9</f>
        <v>0</v>
      </c>
      <c r="J17" s="47" t="n">
        <f aca="false">J15*J16/10^9</f>
        <v>13.26</v>
      </c>
      <c r="K17" s="47" t="n">
        <f aca="false">K15*K16/10^9</f>
        <v>13.26</v>
      </c>
      <c r="L17" s="47" t="n">
        <f aca="false">L15*L16/10^9</f>
        <v>13.26</v>
      </c>
      <c r="M17" s="47" t="n">
        <f aca="false">M15*M16/10^9</f>
        <v>13.26</v>
      </c>
      <c r="N17" s="47" t="n">
        <f aca="false">N15*N16/10^9</f>
        <v>13.26</v>
      </c>
      <c r="O17" s="47" t="n">
        <f aca="false">O15*O16/10^9</f>
        <v>13.26</v>
      </c>
      <c r="P17" s="47" t="n">
        <f aca="false">P15*P16/10^9</f>
        <v>13.26</v>
      </c>
      <c r="Q17" s="47" t="n">
        <f aca="false">Q15*Q16/10^9</f>
        <v>13.26</v>
      </c>
      <c r="R17" s="47" t="n">
        <f aca="false">R15*R16/10^9</f>
        <v>13.26</v>
      </c>
      <c r="S17" s="47" t="n">
        <f aca="false">S15*S16/10^9</f>
        <v>13.26</v>
      </c>
      <c r="U17" s="5" t="s">
        <v>1972</v>
      </c>
    </row>
    <row r="19" customFormat="false" ht="15" hidden="false" customHeight="false" outlineLevel="0" collapsed="false">
      <c r="B19" s="22" t="s">
        <v>1973</v>
      </c>
      <c r="C19" s="23"/>
      <c r="D19" s="23"/>
      <c r="E19" s="23"/>
      <c r="F19" s="23"/>
      <c r="G19" s="23"/>
      <c r="H19" s="23"/>
      <c r="I19" s="23"/>
      <c r="J19" s="23"/>
      <c r="K19" s="23"/>
      <c r="L19" s="23"/>
      <c r="M19" s="23"/>
      <c r="N19" s="23"/>
      <c r="O19" s="23"/>
      <c r="P19" s="23"/>
      <c r="Q19" s="23"/>
      <c r="R19" s="23"/>
      <c r="S19" s="23"/>
    </row>
    <row r="20" customFormat="false" ht="15" hidden="false" customHeight="false" outlineLevel="0" collapsed="false">
      <c r="B20" s="24" t="s">
        <v>1974</v>
      </c>
      <c r="C20" s="25" t="s">
        <v>905</v>
      </c>
      <c r="F20" s="31" t="n">
        <f aca="false">'P04 TTLSilo Input'!F34</f>
        <v>0</v>
      </c>
      <c r="G20" s="31" t="n">
        <f aca="false">'P04 TTLSilo Input'!G34</f>
        <v>0.035</v>
      </c>
      <c r="H20" s="31" t="n">
        <f aca="false">'P04 TTLSilo Input'!H34</f>
        <v>0.035</v>
      </c>
      <c r="I20" s="31" t="n">
        <f aca="false">'P04 TTLSilo Input'!I34</f>
        <v>2000</v>
      </c>
      <c r="J20" s="31" t="n">
        <f aca="false">'P04 TTLSilo Input'!J34</f>
        <v>2000</v>
      </c>
      <c r="K20" s="31" t="n">
        <f aca="false">'P04 TTLSilo Input'!K34</f>
        <v>2000</v>
      </c>
      <c r="L20" s="31" t="n">
        <f aca="false">'P04 TTLSilo Input'!L34</f>
        <v>2000</v>
      </c>
      <c r="M20" s="31" t="n">
        <f aca="false">'P04 TTLSilo Input'!M34</f>
        <v>2000</v>
      </c>
      <c r="N20" s="31" t="n">
        <f aca="false">'P04 TTLSilo Input'!N34</f>
        <v>2000</v>
      </c>
      <c r="O20" s="31" t="n">
        <f aca="false">'P04 TTLSilo Input'!O34</f>
        <v>2000</v>
      </c>
      <c r="P20" s="31" t="n">
        <f aca="false">'P04 TTLSilo Input'!P34</f>
        <v>2000</v>
      </c>
      <c r="Q20" s="31" t="n">
        <f aca="false">'P04 TTLSilo Input'!Q34</f>
        <v>2000</v>
      </c>
      <c r="R20" s="31" t="n">
        <f aca="false">'P04 TTLSilo Input'!R34</f>
        <v>2000</v>
      </c>
      <c r="S20" s="31" t="n">
        <f aca="false">'P04 TTLSilo Input'!S34</f>
        <v>2000</v>
      </c>
      <c r="U20" s="5" t="s">
        <v>1975</v>
      </c>
    </row>
    <row r="21" customFormat="false" ht="15" hidden="false" customHeight="false" outlineLevel="0" collapsed="false">
      <c r="B21" s="24" t="s">
        <v>1976</v>
      </c>
      <c r="C21" s="25" t="s">
        <v>170</v>
      </c>
      <c r="E21" s="47" t="n">
        <f aca="false">SUM(F21:S21)</f>
        <v>0</v>
      </c>
      <c r="F21" s="47" t="n">
        <f aca="false">F14*F20/10^9*F$8*'P04 TTLSilo Input'!$E$33</f>
        <v>0</v>
      </c>
      <c r="G21" s="47" t="n">
        <f aca="false">G14*G20/10^9*G$8*'P04 TTLSilo Input'!$E$33</f>
        <v>0</v>
      </c>
      <c r="H21" s="47" t="n">
        <f aca="false">H14*H20/10^9*H$8*'P04 TTLSilo Input'!$E$33</f>
        <v>0</v>
      </c>
      <c r="I21" s="47" t="n">
        <f aca="false">I14*I20/10^9*I$8*'P04 TTLSilo Input'!$E$33</f>
        <v>0</v>
      </c>
      <c r="J21" s="47" t="n">
        <f aca="false">J14*J20/10^9*J$8*'P04 TTLSilo Input'!$E$33</f>
        <v>0</v>
      </c>
      <c r="K21" s="47" t="n">
        <f aca="false">K14*K20/10^9*K$8*'P04 TTLSilo Input'!$E$33</f>
        <v>0</v>
      </c>
      <c r="L21" s="47" t="n">
        <f aca="false">L14*L20/10^9*L$8*'P04 TTLSilo Input'!$E$33</f>
        <v>0</v>
      </c>
      <c r="M21" s="47" t="n">
        <f aca="false">M14*M20/10^9*M$8*'P04 TTLSilo Input'!$E$33</f>
        <v>0</v>
      </c>
      <c r="N21" s="47" t="n">
        <f aca="false">N14*N20/10^9*N$8*'P04 TTLSilo Input'!$E$33</f>
        <v>0</v>
      </c>
      <c r="O21" s="47" t="n">
        <f aca="false">O14*O20/10^9*O$8*'P04 TTLSilo Input'!$E$33</f>
        <v>0</v>
      </c>
      <c r="P21" s="47" t="n">
        <f aca="false">P14*P20/10^9*P$8*'P04 TTLSilo Input'!$E$33</f>
        <v>0</v>
      </c>
      <c r="Q21" s="47" t="n">
        <f aca="false">Q14*Q20/10^9*Q$8*'P04 TTLSilo Input'!$E$33</f>
        <v>0</v>
      </c>
      <c r="R21" s="47" t="n">
        <f aca="false">R14*R20/10^9*R$8*'P04 TTLSilo Input'!$E$33</f>
        <v>0</v>
      </c>
      <c r="S21" s="47" t="n">
        <f aca="false">S14*S20/10^9*S$8*'P04 TTLSilo Input'!$E$33</f>
        <v>0</v>
      </c>
      <c r="U21" s="5" t="s">
        <v>1977</v>
      </c>
    </row>
    <row r="23" customFormat="false" ht="15" hidden="false" customHeight="false" outlineLevel="0" collapsed="false">
      <c r="B23" s="22" t="s">
        <v>1978</v>
      </c>
      <c r="C23" s="23"/>
      <c r="D23" s="23"/>
      <c r="E23" s="23"/>
      <c r="F23" s="23"/>
      <c r="G23" s="23"/>
      <c r="H23" s="23"/>
      <c r="I23" s="23"/>
      <c r="J23" s="23"/>
      <c r="K23" s="23"/>
      <c r="L23" s="23"/>
      <c r="M23" s="23"/>
      <c r="N23" s="23"/>
      <c r="O23" s="23"/>
      <c r="P23" s="23"/>
      <c r="Q23" s="23"/>
      <c r="R23" s="23"/>
      <c r="S23" s="23"/>
    </row>
    <row r="24" customFormat="false" ht="15" hidden="false" customHeight="false" outlineLevel="0" collapsed="false">
      <c r="B24" s="69" t="s">
        <v>1979</v>
      </c>
      <c r="C24" s="25" t="s">
        <v>170</v>
      </c>
      <c r="E24" s="70" t="n">
        <f aca="false">SUM(F24:S24)</f>
        <v>132.6</v>
      </c>
      <c r="F24" s="68" t="n">
        <f aca="false">F17+F21</f>
        <v>0</v>
      </c>
      <c r="G24" s="68" t="n">
        <f aca="false">G17+G21</f>
        <v>0</v>
      </c>
      <c r="H24" s="68" t="n">
        <f aca="false">H17+H21</f>
        <v>0</v>
      </c>
      <c r="I24" s="68" t="n">
        <f aca="false">I17+I21</f>
        <v>0</v>
      </c>
      <c r="J24" s="68" t="n">
        <f aca="false">J17+J21</f>
        <v>13.26</v>
      </c>
      <c r="K24" s="68" t="n">
        <f aca="false">K17+K21</f>
        <v>13.26</v>
      </c>
      <c r="L24" s="68" t="n">
        <f aca="false">L17+L21</f>
        <v>13.26</v>
      </c>
      <c r="M24" s="68" t="n">
        <f aca="false">M17+M21</f>
        <v>13.26</v>
      </c>
      <c r="N24" s="68" t="n">
        <f aca="false">N17+N21</f>
        <v>13.26</v>
      </c>
      <c r="O24" s="68" t="n">
        <f aca="false">O17+O21</f>
        <v>13.26</v>
      </c>
      <c r="P24" s="68" t="n">
        <f aca="false">P17+P21</f>
        <v>13.26</v>
      </c>
      <c r="Q24" s="68" t="n">
        <f aca="false">Q17+Q21</f>
        <v>13.26</v>
      </c>
      <c r="R24" s="68" t="n">
        <f aca="false">R17+R21</f>
        <v>13.26</v>
      </c>
      <c r="S24" s="68" t="n">
        <f aca="false">S17+S21</f>
        <v>13.26</v>
      </c>
      <c r="U24" s="5" t="s">
        <v>1980</v>
      </c>
    </row>
    <row r="26" customFormat="false" ht="15" hidden="false" customHeight="false" outlineLevel="0" collapsed="false">
      <c r="B26" s="22" t="s">
        <v>1981</v>
      </c>
      <c r="C26" s="23"/>
      <c r="D26" s="23"/>
      <c r="E26" s="23"/>
      <c r="F26" s="23"/>
      <c r="G26" s="23"/>
      <c r="H26" s="23"/>
      <c r="I26" s="23"/>
      <c r="J26" s="23"/>
      <c r="K26" s="23"/>
      <c r="L26" s="23"/>
      <c r="M26" s="23"/>
      <c r="N26" s="23"/>
      <c r="O26" s="23"/>
      <c r="P26" s="23"/>
      <c r="Q26" s="23"/>
      <c r="R26" s="23"/>
      <c r="S26" s="23"/>
    </row>
    <row r="27" customFormat="false" ht="15" hidden="false" customHeight="false" outlineLevel="0" collapsed="false">
      <c r="B27" s="69" t="s">
        <v>1982</v>
      </c>
      <c r="C27" s="25" t="s">
        <v>170</v>
      </c>
      <c r="E27" s="70" t="n">
        <f aca="false">SUM(F27:S27)</f>
        <v>0</v>
      </c>
      <c r="F27" s="68" t="n">
        <f aca="false">0</f>
        <v>0</v>
      </c>
      <c r="G27" s="68" t="n">
        <f aca="false">0</f>
        <v>0</v>
      </c>
      <c r="H27" s="68" t="n">
        <f aca="false">0</f>
        <v>0</v>
      </c>
      <c r="I27" s="68" t="n">
        <f aca="false">0</f>
        <v>0</v>
      </c>
      <c r="J27" s="68" t="n">
        <f aca="false">0</f>
        <v>0</v>
      </c>
      <c r="K27" s="68" t="n">
        <f aca="false">0</f>
        <v>0</v>
      </c>
      <c r="L27" s="68" t="n">
        <f aca="false">0</f>
        <v>0</v>
      </c>
      <c r="M27" s="68" t="n">
        <f aca="false">0</f>
        <v>0</v>
      </c>
      <c r="N27" s="68" t="n">
        <f aca="false">0</f>
        <v>0</v>
      </c>
      <c r="O27" s="68" t="n">
        <f aca="false">0</f>
        <v>0</v>
      </c>
      <c r="P27" s="68" t="n">
        <f aca="false">0</f>
        <v>0</v>
      </c>
      <c r="Q27" s="68" t="n">
        <f aca="false">0</f>
        <v>0</v>
      </c>
      <c r="R27" s="68" t="n">
        <f aca="false">0</f>
        <v>0</v>
      </c>
      <c r="S27" s="68" t="n">
        <f aca="false">0</f>
        <v>0</v>
      </c>
      <c r="U27" s="5" t="s">
        <v>1983</v>
      </c>
    </row>
    <row r="29" customFormat="false" ht="15" hidden="false" customHeight="false" outlineLevel="0" collapsed="false">
      <c r="B29" s="22" t="s">
        <v>1984</v>
      </c>
      <c r="C29" s="23"/>
      <c r="D29" s="23"/>
      <c r="E29" s="23"/>
      <c r="F29" s="23"/>
      <c r="G29" s="23"/>
      <c r="H29" s="23"/>
      <c r="I29" s="23"/>
      <c r="J29" s="23"/>
      <c r="K29" s="23"/>
      <c r="L29" s="23"/>
      <c r="M29" s="23"/>
      <c r="N29" s="23"/>
      <c r="O29" s="23"/>
      <c r="P29" s="23"/>
      <c r="Q29" s="23"/>
      <c r="R29" s="23"/>
      <c r="S29" s="23"/>
    </row>
    <row r="30" customFormat="false" ht="15" hidden="false" customHeight="false" outlineLevel="0" collapsed="false">
      <c r="B30" s="24" t="s">
        <v>1985</v>
      </c>
      <c r="C30" s="25" t="s">
        <v>170</v>
      </c>
      <c r="E30" s="47" t="n">
        <f aca="false">SUM(F30:S30)</f>
        <v>0.612</v>
      </c>
      <c r="F30" s="47" t="n">
        <f aca="false">'P04 TTLSilo Input'!$E$36*F15/10^9</f>
        <v>0</v>
      </c>
      <c r="G30" s="47" t="n">
        <f aca="false">'P04 TTLSilo Input'!$E$36*G15/10^9</f>
        <v>0</v>
      </c>
      <c r="H30" s="47" t="n">
        <f aca="false">'P04 TTLSilo Input'!$E$36*H15/10^9</f>
        <v>0</v>
      </c>
      <c r="I30" s="47" t="n">
        <f aca="false">'P04 TTLSilo Input'!$E$36*I15/10^9</f>
        <v>0</v>
      </c>
      <c r="J30" s="47" t="n">
        <f aca="false">'P04 TTLSilo Input'!$E$36*J15/10^9</f>
        <v>0.0612</v>
      </c>
      <c r="K30" s="47" t="n">
        <f aca="false">'P04 TTLSilo Input'!$E$36*K15/10^9</f>
        <v>0.0612</v>
      </c>
      <c r="L30" s="47" t="n">
        <f aca="false">'P04 TTLSilo Input'!$E$36*L15/10^9</f>
        <v>0.0612</v>
      </c>
      <c r="M30" s="47" t="n">
        <f aca="false">'P04 TTLSilo Input'!$E$36*M15/10^9</f>
        <v>0.0612</v>
      </c>
      <c r="N30" s="47" t="n">
        <f aca="false">'P04 TTLSilo Input'!$E$36*N15/10^9</f>
        <v>0.0612</v>
      </c>
      <c r="O30" s="47" t="n">
        <f aca="false">'P04 TTLSilo Input'!$E$36*O15/10^9</f>
        <v>0.0612</v>
      </c>
      <c r="P30" s="47" t="n">
        <f aca="false">'P04 TTLSilo Input'!$E$36*P15/10^9</f>
        <v>0.0612</v>
      </c>
      <c r="Q30" s="47" t="n">
        <f aca="false">'P04 TTLSilo Input'!$E$36*Q15/10^9</f>
        <v>0.0612</v>
      </c>
      <c r="R30" s="47" t="n">
        <f aca="false">'P04 TTLSilo Input'!$E$36*R15/10^9</f>
        <v>0.0612</v>
      </c>
      <c r="S30" s="47" t="n">
        <f aca="false">'P04 TTLSilo Input'!$E$36*S15/10^9</f>
        <v>0.0612</v>
      </c>
      <c r="U30" s="5" t="s">
        <v>1986</v>
      </c>
    </row>
    <row r="31" customFormat="false" ht="15" hidden="false" customHeight="false" outlineLevel="0" collapsed="false">
      <c r="B31" s="69" t="s">
        <v>1987</v>
      </c>
      <c r="C31" s="25" t="s">
        <v>170</v>
      </c>
      <c r="E31" s="70" t="n">
        <f aca="false">SUM(F31:S31)</f>
        <v>0.612</v>
      </c>
      <c r="F31" s="68" t="n">
        <f aca="false">F30</f>
        <v>0</v>
      </c>
      <c r="G31" s="68" t="n">
        <f aca="false">G30</f>
        <v>0</v>
      </c>
      <c r="H31" s="68" t="n">
        <f aca="false">H30</f>
        <v>0</v>
      </c>
      <c r="I31" s="68" t="n">
        <f aca="false">I30</f>
        <v>0</v>
      </c>
      <c r="J31" s="68" t="n">
        <f aca="false">J30</f>
        <v>0.0612</v>
      </c>
      <c r="K31" s="68" t="n">
        <f aca="false">K30</f>
        <v>0.0612</v>
      </c>
      <c r="L31" s="68" t="n">
        <f aca="false">L30</f>
        <v>0.0612</v>
      </c>
      <c r="M31" s="68" t="n">
        <f aca="false">M30</f>
        <v>0.0612</v>
      </c>
      <c r="N31" s="68" t="n">
        <f aca="false">N30</f>
        <v>0.0612</v>
      </c>
      <c r="O31" s="68" t="n">
        <f aca="false">O30</f>
        <v>0.0612</v>
      </c>
      <c r="P31" s="68" t="n">
        <f aca="false">P30</f>
        <v>0.0612</v>
      </c>
      <c r="Q31" s="68" t="n">
        <f aca="false">Q30</f>
        <v>0.0612</v>
      </c>
      <c r="R31" s="68" t="n">
        <f aca="false">R30</f>
        <v>0.0612</v>
      </c>
      <c r="S31" s="68" t="n">
        <f aca="false">S30</f>
        <v>0.0612</v>
      </c>
      <c r="U31" s="5" t="s">
        <v>1988</v>
      </c>
    </row>
    <row r="33" customFormat="false" ht="15" hidden="false" customHeight="false" outlineLevel="0" collapsed="false">
      <c r="B33" s="22" t="s">
        <v>1989</v>
      </c>
      <c r="C33" s="23"/>
      <c r="D33" s="23"/>
      <c r="E33" s="23"/>
      <c r="F33" s="23"/>
      <c r="G33" s="23"/>
      <c r="H33" s="23"/>
      <c r="I33" s="23"/>
      <c r="J33" s="23"/>
      <c r="K33" s="23"/>
      <c r="L33" s="23"/>
      <c r="M33" s="23"/>
      <c r="N33" s="23"/>
      <c r="O33" s="23"/>
      <c r="P33" s="23"/>
      <c r="Q33" s="23"/>
      <c r="R33" s="23"/>
      <c r="S33" s="23"/>
    </row>
    <row r="34" customFormat="false" ht="15" hidden="false" customHeight="false" outlineLevel="0" collapsed="false">
      <c r="B34" s="24" t="s">
        <v>1330</v>
      </c>
      <c r="C34" s="25" t="s">
        <v>240</v>
      </c>
      <c r="E34" s="44" t="n">
        <f aca="false">SUM(F34:S34)</f>
        <v>3.7623</v>
      </c>
      <c r="F34" s="44" t="n">
        <f aca="false">'P04 TTLSilo Input'!F41</f>
        <v>0</v>
      </c>
      <c r="G34" s="44" t="n">
        <f aca="false">'P04 TTLSilo Input'!G41</f>
        <v>0</v>
      </c>
      <c r="H34" s="44" t="n">
        <f aca="false">'P04 TTLSilo Input'!H41</f>
        <v>0</v>
      </c>
      <c r="I34" s="44" t="n">
        <f aca="false">'P04 TTLSilo Input'!I41</f>
        <v>3.7623</v>
      </c>
      <c r="J34" s="44" t="n">
        <f aca="false">'P04 TTLSilo Input'!J41</f>
        <v>0</v>
      </c>
      <c r="K34" s="44" t="n">
        <f aca="false">'P04 TTLSilo Input'!K41</f>
        <v>0</v>
      </c>
      <c r="L34" s="44" t="n">
        <f aca="false">'P04 TTLSilo Input'!L41</f>
        <v>0</v>
      </c>
      <c r="M34" s="44" t="n">
        <f aca="false">'P04 TTLSilo Input'!M41</f>
        <v>0</v>
      </c>
      <c r="N34" s="44" t="n">
        <f aca="false">'P04 TTLSilo Input'!N41</f>
        <v>0</v>
      </c>
      <c r="O34" s="44" t="n">
        <f aca="false">'P04 TTLSilo Input'!O41</f>
        <v>0</v>
      </c>
      <c r="P34" s="44" t="n">
        <f aca="false">'P04 TTLSilo Input'!P41</f>
        <v>0</v>
      </c>
      <c r="Q34" s="44" t="n">
        <f aca="false">'P04 TTLSilo Input'!Q41</f>
        <v>0</v>
      </c>
      <c r="R34" s="44" t="n">
        <f aca="false">'P04 TTLSilo Input'!R41</f>
        <v>0</v>
      </c>
      <c r="S34" s="44" t="n">
        <f aca="false">'P04 TTLSilo Input'!S41</f>
        <v>0</v>
      </c>
    </row>
    <row r="35" customFormat="false" ht="15" hidden="false" customHeight="false" outlineLevel="0" collapsed="false">
      <c r="B35" s="24" t="s">
        <v>1331</v>
      </c>
      <c r="C35" s="25" t="s">
        <v>152</v>
      </c>
      <c r="F35" s="34" t="n">
        <f aca="false">'Global Inputs'!F22</f>
        <v>16265</v>
      </c>
      <c r="G35" s="34" t="n">
        <f aca="false">'Global Inputs'!G22</f>
        <v>16265</v>
      </c>
      <c r="H35" s="34" t="n">
        <f aca="false">'Global Inputs'!H22</f>
        <v>16265</v>
      </c>
      <c r="I35" s="34" t="n">
        <f aca="false">'Global Inputs'!I22</f>
        <v>16265</v>
      </c>
      <c r="J35" s="34" t="n">
        <f aca="false">'Global Inputs'!J22</f>
        <v>16265</v>
      </c>
      <c r="K35" s="34" t="n">
        <f aca="false">'Global Inputs'!K22</f>
        <v>16265</v>
      </c>
      <c r="L35" s="34" t="n">
        <f aca="false">'Global Inputs'!L22</f>
        <v>16265</v>
      </c>
      <c r="M35" s="34" t="n">
        <f aca="false">'Global Inputs'!M22</f>
        <v>16265</v>
      </c>
      <c r="N35" s="34" t="n">
        <f aca="false">'Global Inputs'!N22</f>
        <v>16265</v>
      </c>
      <c r="O35" s="34" t="n">
        <f aca="false">'Global Inputs'!O22</f>
        <v>16265</v>
      </c>
      <c r="P35" s="34" t="n">
        <f aca="false">'Global Inputs'!P22</f>
        <v>16265</v>
      </c>
      <c r="Q35" s="34" t="n">
        <f aca="false">'Global Inputs'!Q22</f>
        <v>16265</v>
      </c>
      <c r="R35" s="34" t="n">
        <f aca="false">'Global Inputs'!R22</f>
        <v>16265</v>
      </c>
      <c r="S35" s="34" t="n">
        <f aca="false">'Global Inputs'!S22</f>
        <v>16265</v>
      </c>
    </row>
    <row r="36" customFormat="false" ht="15" hidden="false" customHeight="false" outlineLevel="0" collapsed="false">
      <c r="B36" s="24" t="s">
        <v>351</v>
      </c>
      <c r="C36" s="25" t="s">
        <v>170</v>
      </c>
      <c r="E36" s="47" t="n">
        <f aca="false">SUM(F36:S36)</f>
        <v>61.1938095</v>
      </c>
      <c r="F36" s="47" t="n">
        <f aca="false">'P04 TTLSilo Input'!F43</f>
        <v>0</v>
      </c>
      <c r="G36" s="47" t="n">
        <f aca="false">'P04 TTLSilo Input'!G43</f>
        <v>0</v>
      </c>
      <c r="H36" s="47" t="n">
        <f aca="false">'P04 TTLSilo Input'!H43</f>
        <v>0</v>
      </c>
      <c r="I36" s="47" t="n">
        <f aca="false">'P04 TTLSilo Input'!I43</f>
        <v>61.1938095</v>
      </c>
      <c r="J36" s="47" t="n">
        <f aca="false">'P04 TTLSilo Input'!J43</f>
        <v>0</v>
      </c>
      <c r="K36" s="47" t="n">
        <f aca="false">'P04 TTLSilo Input'!K43</f>
        <v>0</v>
      </c>
      <c r="L36" s="47" t="n">
        <f aca="false">'P04 TTLSilo Input'!L43</f>
        <v>0</v>
      </c>
      <c r="M36" s="47" t="n">
        <f aca="false">'P04 TTLSilo Input'!M43</f>
        <v>0</v>
      </c>
      <c r="N36" s="47" t="n">
        <f aca="false">'P04 TTLSilo Input'!N43</f>
        <v>0</v>
      </c>
      <c r="O36" s="47" t="n">
        <f aca="false">'P04 TTLSilo Input'!O43</f>
        <v>0</v>
      </c>
      <c r="P36" s="47" t="n">
        <f aca="false">'P04 TTLSilo Input'!P43</f>
        <v>0</v>
      </c>
      <c r="Q36" s="47" t="n">
        <f aca="false">'P04 TTLSilo Input'!Q43</f>
        <v>0</v>
      </c>
      <c r="R36" s="47" t="n">
        <f aca="false">'P04 TTLSilo Input'!R43</f>
        <v>0</v>
      </c>
      <c r="S36" s="47" t="n">
        <f aca="false">'P04 TTLSilo Input'!S43</f>
        <v>0</v>
      </c>
    </row>
    <row r="37" customFormat="false" ht="15" hidden="false" customHeight="false" outlineLevel="0" collapsed="false">
      <c r="B37" s="24" t="s">
        <v>1332</v>
      </c>
      <c r="C37" s="25" t="s">
        <v>170</v>
      </c>
      <c r="F37" s="47" t="n">
        <f aca="false">SUM($F$36:F36)</f>
        <v>0</v>
      </c>
      <c r="G37" s="47" t="n">
        <f aca="false">SUM($F$36:G36)</f>
        <v>0</v>
      </c>
      <c r="H37" s="47" t="n">
        <f aca="false">SUM($F$36:H36)</f>
        <v>0</v>
      </c>
      <c r="I37" s="47" t="n">
        <f aca="false">SUM($F$36:I36)</f>
        <v>61.1938095</v>
      </c>
      <c r="J37" s="47" t="n">
        <f aca="false">SUM($F$36:J36)</f>
        <v>61.1938095</v>
      </c>
      <c r="K37" s="47" t="n">
        <f aca="false">SUM($F$36:K36)</f>
        <v>61.1938095</v>
      </c>
      <c r="L37" s="47" t="n">
        <f aca="false">SUM($F$36:L36)</f>
        <v>61.1938095</v>
      </c>
      <c r="M37" s="47" t="n">
        <f aca="false">SUM($F$36:M36)</f>
        <v>61.1938095</v>
      </c>
      <c r="N37" s="47" t="n">
        <f aca="false">SUM($F$36:N36)</f>
        <v>61.1938095</v>
      </c>
      <c r="O37" s="47" t="n">
        <f aca="false">SUM($F$36:O36)</f>
        <v>61.1938095</v>
      </c>
      <c r="P37" s="47" t="n">
        <f aca="false">SUM($F$36:P36)</f>
        <v>61.1938095</v>
      </c>
      <c r="Q37" s="47" t="n">
        <f aca="false">SUM($F$36:Q36)</f>
        <v>61.1938095</v>
      </c>
      <c r="R37" s="47" t="n">
        <f aca="false">SUM($F$36:R36)</f>
        <v>61.1938095</v>
      </c>
      <c r="S37" s="47" t="n">
        <f aca="false">SUM($F$36:S36)</f>
        <v>61.1938095</v>
      </c>
    </row>
    <row r="38" customFormat="false" ht="15" hidden="false" customHeight="false" outlineLevel="0" collapsed="false">
      <c r="B38" s="24" t="s">
        <v>1333</v>
      </c>
      <c r="C38" s="25" t="s">
        <v>143</v>
      </c>
      <c r="F38" s="30" t="n">
        <f aca="false">IF(F$5&gt;='P04 TTLSilo Input'!$E$48,1,0)*F$8</f>
        <v>0</v>
      </c>
      <c r="G38" s="30" t="n">
        <f aca="false">IF(G$5&gt;='P04 TTLSilo Input'!$E$48,1,0)*G$8</f>
        <v>0</v>
      </c>
      <c r="H38" s="30" t="n">
        <f aca="false">IF(H$5&gt;='P04 TTLSilo Input'!$E$48,1,0)*H$8</f>
        <v>0</v>
      </c>
      <c r="I38" s="30" t="n">
        <f aca="false">IF(I$5&gt;='P04 TTLSilo Input'!$E$48,1,0)*I$8</f>
        <v>0</v>
      </c>
      <c r="J38" s="30" t="n">
        <f aca="false">IF(J$5&gt;='P04 TTLSilo Input'!$E$48,1,0)*J$8</f>
        <v>1</v>
      </c>
      <c r="K38" s="30" t="n">
        <f aca="false">IF(K$5&gt;='P04 TTLSilo Input'!$E$48,1,0)*K$8</f>
        <v>1</v>
      </c>
      <c r="L38" s="30" t="n">
        <f aca="false">IF(L$5&gt;='P04 TTLSilo Input'!$E$48,1,0)*L$8</f>
        <v>1</v>
      </c>
      <c r="M38" s="30" t="n">
        <f aca="false">IF(M$5&gt;='P04 TTLSilo Input'!$E$48,1,0)*M$8</f>
        <v>1</v>
      </c>
      <c r="N38" s="30" t="n">
        <f aca="false">IF(N$5&gt;='P04 TTLSilo Input'!$E$48,1,0)*N$8</f>
        <v>1</v>
      </c>
      <c r="O38" s="30" t="n">
        <f aca="false">IF(O$5&gt;='P04 TTLSilo Input'!$E$48,1,0)*O$8</f>
        <v>1</v>
      </c>
      <c r="P38" s="30" t="n">
        <f aca="false">IF(P$5&gt;='P04 TTLSilo Input'!$E$48,1,0)*P$8</f>
        <v>1</v>
      </c>
      <c r="Q38" s="30" t="n">
        <f aca="false">IF(Q$5&gt;='P04 TTLSilo Input'!$E$48,1,0)*Q$8</f>
        <v>1</v>
      </c>
      <c r="R38" s="30" t="n">
        <f aca="false">IF(R$5&gt;='P04 TTLSilo Input'!$E$48,1,0)*R$8</f>
        <v>1</v>
      </c>
      <c r="S38" s="30" t="n">
        <f aca="false">IF(S$5&gt;='P04 TTLSilo Input'!$E$48,1,0)*S$8</f>
        <v>1</v>
      </c>
    </row>
    <row r="39" customFormat="false" ht="15" hidden="false" customHeight="false" outlineLevel="0" collapsed="false">
      <c r="B39" s="24" t="s">
        <v>1334</v>
      </c>
      <c r="C39" s="25" t="s">
        <v>135</v>
      </c>
      <c r="F39" s="29" t="n">
        <f aca="false">MAX(F$5,'P04 TTLSilo Input'!$E$48)</f>
        <v>2027</v>
      </c>
      <c r="G39" s="29" t="n">
        <f aca="false">MAX(G$5,'P04 TTLSilo Input'!$E$48)</f>
        <v>2027</v>
      </c>
      <c r="H39" s="29" t="n">
        <f aca="false">MAX(H$5,'P04 TTLSilo Input'!$E$48)</f>
        <v>2027</v>
      </c>
      <c r="I39" s="29" t="n">
        <f aca="false">MAX(I$5,'P04 TTLSilo Input'!$E$48)</f>
        <v>2027</v>
      </c>
      <c r="J39" s="29" t="n">
        <f aca="false">MAX(J$5,'P04 TTLSilo Input'!$E$48)</f>
        <v>2027</v>
      </c>
      <c r="K39" s="29" t="n">
        <f aca="false">MAX(K$5,'P04 TTLSilo Input'!$E$48)</f>
        <v>2028</v>
      </c>
      <c r="L39" s="29" t="n">
        <f aca="false">MAX(L$5,'P04 TTLSilo Input'!$E$48)</f>
        <v>2029</v>
      </c>
      <c r="M39" s="29" t="n">
        <f aca="false">MAX(M$5,'P04 TTLSilo Input'!$E$48)</f>
        <v>2030</v>
      </c>
      <c r="N39" s="29" t="n">
        <f aca="false">MAX(N$5,'P04 TTLSilo Input'!$E$48)</f>
        <v>2031</v>
      </c>
      <c r="O39" s="29" t="n">
        <f aca="false">MAX(O$5,'P04 TTLSilo Input'!$E$48)</f>
        <v>2032</v>
      </c>
      <c r="P39" s="29" t="n">
        <f aca="false">MAX(P$5,'P04 TTLSilo Input'!$E$48)</f>
        <v>2033</v>
      </c>
      <c r="Q39" s="29" t="n">
        <f aca="false">MAX(Q$5,'P04 TTLSilo Input'!$E$48)</f>
        <v>2034</v>
      </c>
      <c r="R39" s="29" t="n">
        <f aca="false">MAX(R$5,'P04 TTLSilo Input'!$E$48)</f>
        <v>2035</v>
      </c>
      <c r="S39" s="29" t="n">
        <f aca="false">MAX(S$5,'P04 TTLSilo Input'!$E$48)</f>
        <v>2036</v>
      </c>
    </row>
    <row r="40" customFormat="false" ht="15" hidden="false" customHeight="false" outlineLevel="0" collapsed="false">
      <c r="B40" s="24" t="s">
        <v>1335</v>
      </c>
      <c r="C40" s="25" t="s">
        <v>170</v>
      </c>
      <c r="E40" s="47" t="n">
        <f aca="false">SUM(F40:S40)</f>
        <v>19.2760499925</v>
      </c>
      <c r="F40" s="47" t="n">
        <f aca="false">IF('Global Inputs'!$E$33=1,SUM($F$36:$S$36)*'P04 TTLSilo Input'!$E$50/'P04 TTLSilo Input'!$E$51*F38,SUMPRODUCT($F$36:$S$36,--($F$39:$S$39&lt;=F$5),--(F$5&lt;$F$39:$S$39+'P04 TTLSilo Input'!$E$51))*'P04 TTLSilo Input'!$E$50/'P04 TTLSilo Input'!$E$51)</f>
        <v>0</v>
      </c>
      <c r="G40" s="47" t="n">
        <f aca="false">IF('Global Inputs'!$E$33=1,SUM($F$36:$S$36)*'P04 TTLSilo Input'!$E$50/'P04 TTLSilo Input'!$E$51*G38,SUMPRODUCT($F$36:$S$36,--($F$39:$S$39&lt;=G$5),--(G$5&lt;$F$39:$S$39+'P04 TTLSilo Input'!$E$51))*'P04 TTLSilo Input'!$E$50/'P04 TTLSilo Input'!$E$51)</f>
        <v>0</v>
      </c>
      <c r="H40" s="47" t="n">
        <f aca="false">IF('Global Inputs'!$E$33=1,SUM($F$36:$S$36)*'P04 TTLSilo Input'!$E$50/'P04 TTLSilo Input'!$E$51*H38,SUMPRODUCT($F$36:$S$36,--($F$39:$S$39&lt;=H$5),--(H$5&lt;$F$39:$S$39+'P04 TTLSilo Input'!$E$51))*'P04 TTLSilo Input'!$E$50/'P04 TTLSilo Input'!$E$51)</f>
        <v>0</v>
      </c>
      <c r="I40" s="47" t="n">
        <f aca="false">IF('Global Inputs'!$E$33=1,SUM($F$36:$S$36)*'P04 TTLSilo Input'!$E$50/'P04 TTLSilo Input'!$E$51*I38,SUMPRODUCT($F$36:$S$36,--($F$39:$S$39&lt;=I$5),--(I$5&lt;$F$39:$S$39+'P04 TTLSilo Input'!$E$51))*'P04 TTLSilo Input'!$E$50/'P04 TTLSilo Input'!$E$51)</f>
        <v>0</v>
      </c>
      <c r="J40" s="47" t="n">
        <f aca="false">IF('Global Inputs'!$E$33=1,SUM($F$36:$S$36)*'P04 TTLSilo Input'!$E$50/'P04 TTLSilo Input'!$E$51*J38,SUMPRODUCT($F$36:$S$36,--($F$39:$S$39&lt;=J$5),--(J$5&lt;$F$39:$S$39+'P04 TTLSilo Input'!$E$51))*'P04 TTLSilo Input'!$E$50/'P04 TTLSilo Input'!$E$51)</f>
        <v>1.92760499925</v>
      </c>
      <c r="K40" s="47" t="n">
        <f aca="false">IF('Global Inputs'!$E$33=1,SUM($F$36:$S$36)*'P04 TTLSilo Input'!$E$50/'P04 TTLSilo Input'!$E$51*K38,SUMPRODUCT($F$36:$S$36,--($F$39:$S$39&lt;=K$5),--(K$5&lt;$F$39:$S$39+'P04 TTLSilo Input'!$E$51))*'P04 TTLSilo Input'!$E$50/'P04 TTLSilo Input'!$E$51)</f>
        <v>1.92760499925</v>
      </c>
      <c r="L40" s="47" t="n">
        <f aca="false">IF('Global Inputs'!$E$33=1,SUM($F$36:$S$36)*'P04 TTLSilo Input'!$E$50/'P04 TTLSilo Input'!$E$51*L38,SUMPRODUCT($F$36:$S$36,--($F$39:$S$39&lt;=L$5),--(L$5&lt;$F$39:$S$39+'P04 TTLSilo Input'!$E$51))*'P04 TTLSilo Input'!$E$50/'P04 TTLSilo Input'!$E$51)</f>
        <v>1.92760499925</v>
      </c>
      <c r="M40" s="47" t="n">
        <f aca="false">IF('Global Inputs'!$E$33=1,SUM($F$36:$S$36)*'P04 TTLSilo Input'!$E$50/'P04 TTLSilo Input'!$E$51*M38,SUMPRODUCT($F$36:$S$36,--($F$39:$S$39&lt;=M$5),--(M$5&lt;$F$39:$S$39+'P04 TTLSilo Input'!$E$51))*'P04 TTLSilo Input'!$E$50/'P04 TTLSilo Input'!$E$51)</f>
        <v>1.92760499925</v>
      </c>
      <c r="N40" s="47" t="n">
        <f aca="false">IF('Global Inputs'!$E$33=1,SUM($F$36:$S$36)*'P04 TTLSilo Input'!$E$50/'P04 TTLSilo Input'!$E$51*N38,SUMPRODUCT($F$36:$S$36,--($F$39:$S$39&lt;=N$5),--(N$5&lt;$F$39:$S$39+'P04 TTLSilo Input'!$E$51))*'P04 TTLSilo Input'!$E$50/'P04 TTLSilo Input'!$E$51)</f>
        <v>1.92760499925</v>
      </c>
      <c r="O40" s="47" t="n">
        <f aca="false">IF('Global Inputs'!$E$33=1,SUM($F$36:$S$36)*'P04 TTLSilo Input'!$E$50/'P04 TTLSilo Input'!$E$51*O38,SUMPRODUCT($F$36:$S$36,--($F$39:$S$39&lt;=O$5),--(O$5&lt;$F$39:$S$39+'P04 TTLSilo Input'!$E$51))*'P04 TTLSilo Input'!$E$50/'P04 TTLSilo Input'!$E$51)</f>
        <v>1.92760499925</v>
      </c>
      <c r="P40" s="47" t="n">
        <f aca="false">IF('Global Inputs'!$E$33=1,SUM($F$36:$S$36)*'P04 TTLSilo Input'!$E$50/'P04 TTLSilo Input'!$E$51*P38,SUMPRODUCT($F$36:$S$36,--($F$39:$S$39&lt;=P$5),--(P$5&lt;$F$39:$S$39+'P04 TTLSilo Input'!$E$51))*'P04 TTLSilo Input'!$E$50/'P04 TTLSilo Input'!$E$51)</f>
        <v>1.92760499925</v>
      </c>
      <c r="Q40" s="47" t="n">
        <f aca="false">IF('Global Inputs'!$E$33=1,SUM($F$36:$S$36)*'P04 TTLSilo Input'!$E$50/'P04 TTLSilo Input'!$E$51*Q38,SUMPRODUCT($F$36:$S$36,--($F$39:$S$39&lt;=Q$5),--(Q$5&lt;$F$39:$S$39+'P04 TTLSilo Input'!$E$51))*'P04 TTLSilo Input'!$E$50/'P04 TTLSilo Input'!$E$51)</f>
        <v>1.92760499925</v>
      </c>
      <c r="R40" s="47" t="n">
        <f aca="false">IF('Global Inputs'!$E$33=1,SUM($F$36:$S$36)*'P04 TTLSilo Input'!$E$50/'P04 TTLSilo Input'!$E$51*R38,SUMPRODUCT($F$36:$S$36,--($F$39:$S$39&lt;=R$5),--(R$5&lt;$F$39:$S$39+'P04 TTLSilo Input'!$E$51))*'P04 TTLSilo Input'!$E$50/'P04 TTLSilo Input'!$E$51)</f>
        <v>1.92760499925</v>
      </c>
      <c r="S40" s="47" t="n">
        <f aca="false">IF('Global Inputs'!$E$33=1,SUM($F$36:$S$36)*'P04 TTLSilo Input'!$E$50/'P04 TTLSilo Input'!$E$51*S38,SUMPRODUCT($F$36:$S$36,--($F$39:$S$39&lt;=S$5),--(S$5&lt;$F$39:$S$39+'P04 TTLSilo Input'!$E$51))*'P04 TTLSilo Input'!$E$50/'P04 TTLSilo Input'!$E$51)</f>
        <v>1.92760499925</v>
      </c>
      <c r="T40" s="5" t="s">
        <v>1336</v>
      </c>
    </row>
    <row r="41" customFormat="false" ht="15" hidden="false" customHeight="false" outlineLevel="0" collapsed="false">
      <c r="B41" s="24" t="s">
        <v>1337</v>
      </c>
      <c r="C41" s="25" t="s">
        <v>170</v>
      </c>
      <c r="E41" s="47" t="n">
        <f aca="false">SUM(F41:S41)</f>
        <v>22.641709515</v>
      </c>
      <c r="F41" s="47" t="n">
        <f aca="false">IF('Global Inputs'!$E$33=1,SUM($F$36:$S$36)*(1-'P04 TTLSilo Input'!$E$50)/'P04 TTLSilo Input'!$E$52*F38,SUMPRODUCT($F$36:$S$36,--($F$39:$S$39&lt;=F$5),--(F$5&lt;$F$39:$S$39+'P04 TTLSilo Input'!$E$52))*(1-'P04 TTLSilo Input'!$E$50)/'P04 TTLSilo Input'!$E$52)</f>
        <v>0</v>
      </c>
      <c r="G41" s="47" t="n">
        <f aca="false">IF('Global Inputs'!$E$33=1,SUM($F$36:$S$36)*(1-'P04 TTLSilo Input'!$E$50)/'P04 TTLSilo Input'!$E$52*G38,SUMPRODUCT($F$36:$S$36,--($F$39:$S$39&lt;=G$5),--(G$5&lt;$F$39:$S$39+'P04 TTLSilo Input'!$E$52))*(1-'P04 TTLSilo Input'!$E$50)/'P04 TTLSilo Input'!$E$52)</f>
        <v>0</v>
      </c>
      <c r="H41" s="47" t="n">
        <f aca="false">IF('Global Inputs'!$E$33=1,SUM($F$36:$S$36)*(1-'P04 TTLSilo Input'!$E$50)/'P04 TTLSilo Input'!$E$52*H38,SUMPRODUCT($F$36:$S$36,--($F$39:$S$39&lt;=H$5),--(H$5&lt;$F$39:$S$39+'P04 TTLSilo Input'!$E$52))*(1-'P04 TTLSilo Input'!$E$50)/'P04 TTLSilo Input'!$E$52)</f>
        <v>0</v>
      </c>
      <c r="I41" s="47" t="n">
        <f aca="false">IF('Global Inputs'!$E$33=1,SUM($F$36:$S$36)*(1-'P04 TTLSilo Input'!$E$50)/'P04 TTLSilo Input'!$E$52*I38,SUMPRODUCT($F$36:$S$36,--($F$39:$S$39&lt;=I$5),--(I$5&lt;$F$39:$S$39+'P04 TTLSilo Input'!$E$52))*(1-'P04 TTLSilo Input'!$E$50)/'P04 TTLSilo Input'!$E$52)</f>
        <v>0</v>
      </c>
      <c r="J41" s="47" t="n">
        <f aca="false">IF('Global Inputs'!$E$33=1,SUM($F$36:$S$36)*(1-'P04 TTLSilo Input'!$E$50)/'P04 TTLSilo Input'!$E$52*J38,SUMPRODUCT($F$36:$S$36,--($F$39:$S$39&lt;=J$5),--(J$5&lt;$F$39:$S$39+'P04 TTLSilo Input'!$E$52))*(1-'P04 TTLSilo Input'!$E$50)/'P04 TTLSilo Input'!$E$52)</f>
        <v>2.2641709515</v>
      </c>
      <c r="K41" s="47" t="n">
        <f aca="false">IF('Global Inputs'!$E$33=1,SUM($F$36:$S$36)*(1-'P04 TTLSilo Input'!$E$50)/'P04 TTLSilo Input'!$E$52*K38,SUMPRODUCT($F$36:$S$36,--($F$39:$S$39&lt;=K$5),--(K$5&lt;$F$39:$S$39+'P04 TTLSilo Input'!$E$52))*(1-'P04 TTLSilo Input'!$E$50)/'P04 TTLSilo Input'!$E$52)</f>
        <v>2.2641709515</v>
      </c>
      <c r="L41" s="47" t="n">
        <f aca="false">IF('Global Inputs'!$E$33=1,SUM($F$36:$S$36)*(1-'P04 TTLSilo Input'!$E$50)/'P04 TTLSilo Input'!$E$52*L38,SUMPRODUCT($F$36:$S$36,--($F$39:$S$39&lt;=L$5),--(L$5&lt;$F$39:$S$39+'P04 TTLSilo Input'!$E$52))*(1-'P04 TTLSilo Input'!$E$50)/'P04 TTLSilo Input'!$E$52)</f>
        <v>2.2641709515</v>
      </c>
      <c r="M41" s="47" t="n">
        <f aca="false">IF('Global Inputs'!$E$33=1,SUM($F$36:$S$36)*(1-'P04 TTLSilo Input'!$E$50)/'P04 TTLSilo Input'!$E$52*M38,SUMPRODUCT($F$36:$S$36,--($F$39:$S$39&lt;=M$5),--(M$5&lt;$F$39:$S$39+'P04 TTLSilo Input'!$E$52))*(1-'P04 TTLSilo Input'!$E$50)/'P04 TTLSilo Input'!$E$52)</f>
        <v>2.2641709515</v>
      </c>
      <c r="N41" s="47" t="n">
        <f aca="false">IF('Global Inputs'!$E$33=1,SUM($F$36:$S$36)*(1-'P04 TTLSilo Input'!$E$50)/'P04 TTLSilo Input'!$E$52*N38,SUMPRODUCT($F$36:$S$36,--($F$39:$S$39&lt;=N$5),--(N$5&lt;$F$39:$S$39+'P04 TTLSilo Input'!$E$52))*(1-'P04 TTLSilo Input'!$E$50)/'P04 TTLSilo Input'!$E$52)</f>
        <v>2.2641709515</v>
      </c>
      <c r="O41" s="47" t="n">
        <f aca="false">IF('Global Inputs'!$E$33=1,SUM($F$36:$S$36)*(1-'P04 TTLSilo Input'!$E$50)/'P04 TTLSilo Input'!$E$52*O38,SUMPRODUCT($F$36:$S$36,--($F$39:$S$39&lt;=O$5),--(O$5&lt;$F$39:$S$39+'P04 TTLSilo Input'!$E$52))*(1-'P04 TTLSilo Input'!$E$50)/'P04 TTLSilo Input'!$E$52)</f>
        <v>2.2641709515</v>
      </c>
      <c r="P41" s="47" t="n">
        <f aca="false">IF('Global Inputs'!$E$33=1,SUM($F$36:$S$36)*(1-'P04 TTLSilo Input'!$E$50)/'P04 TTLSilo Input'!$E$52*P38,SUMPRODUCT($F$36:$S$36,--($F$39:$S$39&lt;=P$5),--(P$5&lt;$F$39:$S$39+'P04 TTLSilo Input'!$E$52))*(1-'P04 TTLSilo Input'!$E$50)/'P04 TTLSilo Input'!$E$52)</f>
        <v>2.2641709515</v>
      </c>
      <c r="Q41" s="47" t="n">
        <f aca="false">IF('Global Inputs'!$E$33=1,SUM($F$36:$S$36)*(1-'P04 TTLSilo Input'!$E$50)/'P04 TTLSilo Input'!$E$52*Q38,SUMPRODUCT($F$36:$S$36,--($F$39:$S$39&lt;=Q$5),--(Q$5&lt;$F$39:$S$39+'P04 TTLSilo Input'!$E$52))*(1-'P04 TTLSilo Input'!$E$50)/'P04 TTLSilo Input'!$E$52)</f>
        <v>2.2641709515</v>
      </c>
      <c r="R41" s="47" t="n">
        <f aca="false">IF('Global Inputs'!$E$33=1,SUM($F$36:$S$36)*(1-'P04 TTLSilo Input'!$E$50)/'P04 TTLSilo Input'!$E$52*R38,SUMPRODUCT($F$36:$S$36,--($F$39:$S$39&lt;=R$5),--(R$5&lt;$F$39:$S$39+'P04 TTLSilo Input'!$E$52))*(1-'P04 TTLSilo Input'!$E$50)/'P04 TTLSilo Input'!$E$52)</f>
        <v>2.2641709515</v>
      </c>
      <c r="S41" s="47" t="n">
        <f aca="false">IF('Global Inputs'!$E$33=1,SUM($F$36:$S$36)*(1-'P04 TTLSilo Input'!$E$50)/'P04 TTLSilo Input'!$E$52*S38,SUMPRODUCT($F$36:$S$36,--($F$39:$S$39&lt;=S$5),--(S$5&lt;$F$39:$S$39+'P04 TTLSilo Input'!$E$52))*(1-'P04 TTLSilo Input'!$E$50)/'P04 TTLSilo Input'!$E$52)</f>
        <v>2.2641709515</v>
      </c>
    </row>
    <row r="42" customFormat="false" ht="15" hidden="false" customHeight="false" outlineLevel="0" collapsed="false">
      <c r="B42" s="24" t="s">
        <v>1338</v>
      </c>
      <c r="C42" s="25" t="s">
        <v>170</v>
      </c>
      <c r="E42" s="47" t="n">
        <f aca="false">SUM(F42:S42)</f>
        <v>41.9177595075</v>
      </c>
      <c r="F42" s="47" t="n">
        <f aca="false">F40+F41</f>
        <v>0</v>
      </c>
      <c r="G42" s="47" t="n">
        <f aca="false">G40+G41</f>
        <v>0</v>
      </c>
      <c r="H42" s="47" t="n">
        <f aca="false">H40+H41</f>
        <v>0</v>
      </c>
      <c r="I42" s="47" t="n">
        <f aca="false">I40+I41</f>
        <v>0</v>
      </c>
      <c r="J42" s="47" t="n">
        <f aca="false">J40+J41</f>
        <v>4.19177595075</v>
      </c>
      <c r="K42" s="47" t="n">
        <f aca="false">K40+K41</f>
        <v>4.19177595075</v>
      </c>
      <c r="L42" s="47" t="n">
        <f aca="false">L40+L41</f>
        <v>4.19177595075</v>
      </c>
      <c r="M42" s="47" t="n">
        <f aca="false">M40+M41</f>
        <v>4.19177595075</v>
      </c>
      <c r="N42" s="47" t="n">
        <f aca="false">N40+N41</f>
        <v>4.19177595075</v>
      </c>
      <c r="O42" s="47" t="n">
        <f aca="false">O40+O41</f>
        <v>4.19177595075</v>
      </c>
      <c r="P42" s="47" t="n">
        <f aca="false">P40+P41</f>
        <v>4.19177595075</v>
      </c>
      <c r="Q42" s="47" t="n">
        <f aca="false">Q40+Q41</f>
        <v>4.19177595075</v>
      </c>
      <c r="R42" s="47" t="n">
        <f aca="false">R40+R41</f>
        <v>4.19177595075</v>
      </c>
      <c r="S42" s="47" t="n">
        <f aca="false">S40+S41</f>
        <v>4.19177595075</v>
      </c>
    </row>
    <row r="43" customFormat="false" ht="15" hidden="false" customHeight="false" outlineLevel="0" collapsed="false">
      <c r="B43" s="24" t="s">
        <v>1339</v>
      </c>
      <c r="C43" s="25" t="s">
        <v>170</v>
      </c>
      <c r="F43" s="47" t="n">
        <f aca="false">F36</f>
        <v>0</v>
      </c>
      <c r="G43" s="47" t="n">
        <f aca="false">F43+G36-G42</f>
        <v>0</v>
      </c>
      <c r="H43" s="47" t="n">
        <f aca="false">G43+H36-H42</f>
        <v>0</v>
      </c>
      <c r="I43" s="47" t="n">
        <f aca="false">H43+I36-I42</f>
        <v>61.1938095</v>
      </c>
      <c r="J43" s="47" t="n">
        <f aca="false">I43+J36-J42</f>
        <v>57.00203354925</v>
      </c>
      <c r="K43" s="47" t="n">
        <f aca="false">J43+K36-K42</f>
        <v>52.8102575985</v>
      </c>
      <c r="L43" s="47" t="n">
        <f aca="false">K43+L36-L42</f>
        <v>48.61848164775</v>
      </c>
      <c r="M43" s="47" t="n">
        <f aca="false">L43+M36-M42</f>
        <v>44.426705697</v>
      </c>
      <c r="N43" s="47" t="n">
        <f aca="false">M43+N36-N42</f>
        <v>40.23492974625</v>
      </c>
      <c r="O43" s="47" t="n">
        <f aca="false">N43+O36-O42</f>
        <v>36.0431537955</v>
      </c>
      <c r="P43" s="47" t="n">
        <f aca="false">O43+P36-P42</f>
        <v>31.85137784475</v>
      </c>
      <c r="Q43" s="47" t="n">
        <f aca="false">P43+Q36-Q42</f>
        <v>27.659601894</v>
      </c>
      <c r="R43" s="47" t="n">
        <f aca="false">Q43+R36-R42</f>
        <v>23.46782594325</v>
      </c>
      <c r="S43" s="47" t="n">
        <f aca="false">R43+S36-S42</f>
        <v>19.2760499925</v>
      </c>
    </row>
    <row r="44" customFormat="false" ht="15" hidden="false" customHeight="false" outlineLevel="0" collapsed="false">
      <c r="B44" s="24" t="s">
        <v>1340</v>
      </c>
      <c r="C44" s="25" t="s">
        <v>143</v>
      </c>
      <c r="F44" s="30" t="n">
        <f aca="false">IF(F36&gt;0,1,0)</f>
        <v>0</v>
      </c>
      <c r="G44" s="30" t="n">
        <f aca="false">IF(AND(G37&gt;0,F37=0),1,0)</f>
        <v>0</v>
      </c>
      <c r="H44" s="30" t="n">
        <f aca="false">IF(AND(H37&gt;0,G37=0),1,0)</f>
        <v>0</v>
      </c>
      <c r="I44" s="30" t="n">
        <f aca="false">IF(AND(I37&gt;0,H37=0),1,0)</f>
        <v>1</v>
      </c>
      <c r="J44" s="30" t="n">
        <f aca="false">IF(AND(J37&gt;0,I37=0),1,0)</f>
        <v>0</v>
      </c>
      <c r="K44" s="30" t="n">
        <f aca="false">IF(AND(K37&gt;0,J37=0),1,0)</f>
        <v>0</v>
      </c>
      <c r="L44" s="30" t="n">
        <f aca="false">IF(AND(L37&gt;0,K37=0),1,0)</f>
        <v>0</v>
      </c>
      <c r="M44" s="30" t="n">
        <f aca="false">IF(AND(M37&gt;0,L37=0),1,0)</f>
        <v>0</v>
      </c>
      <c r="N44" s="30" t="n">
        <f aca="false">IF(AND(N37&gt;0,M37=0),1,0)</f>
        <v>0</v>
      </c>
      <c r="O44" s="30" t="n">
        <f aca="false">IF(AND(O37&gt;0,N37=0),1,0)</f>
        <v>0</v>
      </c>
      <c r="P44" s="30" t="n">
        <f aca="false">IF(AND(P37&gt;0,O37=0),1,0)</f>
        <v>0</v>
      </c>
      <c r="Q44" s="30" t="n">
        <f aca="false">IF(AND(Q37&gt;0,P37=0),1,0)</f>
        <v>0</v>
      </c>
      <c r="R44" s="30" t="n">
        <f aca="false">IF(AND(R37&gt;0,Q37=0),1,0)</f>
        <v>0</v>
      </c>
      <c r="S44" s="30" t="n">
        <f aca="false">IF(AND(S37&gt;0,R37=0),1,0)</f>
        <v>0</v>
      </c>
    </row>
    <row r="45" customFormat="false" ht="15" hidden="false" customHeight="false" outlineLevel="0" collapsed="false">
      <c r="B45" s="69" t="s">
        <v>1094</v>
      </c>
      <c r="C45" s="25" t="s">
        <v>170</v>
      </c>
      <c r="E45" s="70" t="n">
        <f aca="false">SUM(F45:S45)</f>
        <v>41.9177595075</v>
      </c>
      <c r="F45" s="68" t="n">
        <f aca="false">F42</f>
        <v>0</v>
      </c>
      <c r="G45" s="68" t="n">
        <f aca="false">G42</f>
        <v>0</v>
      </c>
      <c r="H45" s="68" t="n">
        <f aca="false">H42</f>
        <v>0</v>
      </c>
      <c r="I45" s="68" t="n">
        <f aca="false">I42</f>
        <v>0</v>
      </c>
      <c r="J45" s="68" t="n">
        <f aca="false">J42</f>
        <v>4.19177595075</v>
      </c>
      <c r="K45" s="68" t="n">
        <f aca="false">K42</f>
        <v>4.19177595075</v>
      </c>
      <c r="L45" s="68" t="n">
        <f aca="false">L42</f>
        <v>4.19177595075</v>
      </c>
      <c r="M45" s="68" t="n">
        <f aca="false">M42</f>
        <v>4.19177595075</v>
      </c>
      <c r="N45" s="68" t="n">
        <f aca="false">N42</f>
        <v>4.19177595075</v>
      </c>
      <c r="O45" s="68" t="n">
        <f aca="false">O42</f>
        <v>4.19177595075</v>
      </c>
      <c r="P45" s="68" t="n">
        <f aca="false">P42</f>
        <v>4.19177595075</v>
      </c>
      <c r="Q45" s="68" t="n">
        <f aca="false">Q42</f>
        <v>4.19177595075</v>
      </c>
      <c r="R45" s="68" t="n">
        <f aca="false">R42</f>
        <v>4.19177595075</v>
      </c>
      <c r="S45" s="68" t="n">
        <f aca="false">S42</f>
        <v>4.19177595075</v>
      </c>
    </row>
    <row r="47" customFormat="false" ht="15" hidden="false" customHeight="false" outlineLevel="0" collapsed="false">
      <c r="B47" s="22" t="s">
        <v>1990</v>
      </c>
      <c r="C47" s="23"/>
      <c r="D47" s="23"/>
      <c r="E47" s="23"/>
      <c r="F47" s="23"/>
      <c r="G47" s="23"/>
      <c r="H47" s="23"/>
      <c r="I47" s="23"/>
      <c r="J47" s="23"/>
      <c r="K47" s="23"/>
      <c r="L47" s="23"/>
      <c r="M47" s="23"/>
      <c r="N47" s="23"/>
      <c r="O47" s="23"/>
      <c r="P47" s="23"/>
      <c r="Q47" s="23"/>
      <c r="R47" s="23"/>
      <c r="S47" s="23"/>
    </row>
    <row r="48" customFormat="false" ht="15" hidden="false" customHeight="false" outlineLevel="0" collapsed="false">
      <c r="B48" s="24" t="s">
        <v>1096</v>
      </c>
      <c r="C48" s="25" t="s">
        <v>170</v>
      </c>
      <c r="F48" s="47" t="n">
        <f aca="false">0</f>
        <v>0</v>
      </c>
      <c r="G48" s="47" t="n">
        <f aca="false">G24*'Global Inputs'!$E$28/G$7</f>
        <v>0</v>
      </c>
      <c r="H48" s="47" t="n">
        <f aca="false">H24*'Global Inputs'!$E$28/H$7</f>
        <v>0</v>
      </c>
      <c r="I48" s="47" t="n">
        <f aca="false">I24*'Global Inputs'!$E$28/I$7</f>
        <v>0</v>
      </c>
      <c r="J48" s="47" t="n">
        <f aca="false">J24*'Global Inputs'!$E$28/J$7</f>
        <v>1.63479452054795</v>
      </c>
      <c r="K48" s="47" t="n">
        <f aca="false">K24*'Global Inputs'!$E$28/K$7</f>
        <v>1.63032786885246</v>
      </c>
      <c r="L48" s="47" t="n">
        <f aca="false">L24*'Global Inputs'!$E$28/L$7</f>
        <v>1.63479452054795</v>
      </c>
      <c r="M48" s="47" t="n">
        <f aca="false">M24*'Global Inputs'!$E$28/M$7</f>
        <v>1.63479452054795</v>
      </c>
      <c r="N48" s="47" t="n">
        <f aca="false">N24*'Global Inputs'!$E$28/N$7</f>
        <v>1.63479452054795</v>
      </c>
      <c r="O48" s="47" t="n">
        <f aca="false">O24*'Global Inputs'!$E$28/O$7</f>
        <v>1.63032786885246</v>
      </c>
      <c r="P48" s="47" t="n">
        <f aca="false">P24*'Global Inputs'!$E$28/P$7</f>
        <v>1.63479452054795</v>
      </c>
      <c r="Q48" s="47" t="n">
        <f aca="false">Q24*'Global Inputs'!$E$28/Q$7</f>
        <v>1.63479452054795</v>
      </c>
      <c r="R48" s="47" t="n">
        <f aca="false">R24*'Global Inputs'!$E$28/R$7</f>
        <v>1.63479452054795</v>
      </c>
      <c r="S48" s="47" t="n">
        <f aca="false">S24*'Global Inputs'!$E$28/S$7</f>
        <v>1.63032786885246</v>
      </c>
    </row>
    <row r="49" customFormat="false" ht="15" hidden="false" customHeight="false" outlineLevel="0" collapsed="false">
      <c r="B49" s="24" t="s">
        <v>1098</v>
      </c>
      <c r="C49" s="25" t="s">
        <v>170</v>
      </c>
      <c r="F49" s="47" t="n">
        <f aca="false">0</f>
        <v>0</v>
      </c>
      <c r="G49" s="47" t="n">
        <f aca="false">0</f>
        <v>0</v>
      </c>
      <c r="H49" s="47" t="n">
        <f aca="false">0</f>
        <v>0</v>
      </c>
      <c r="I49" s="47" t="n">
        <f aca="false">0</f>
        <v>0</v>
      </c>
      <c r="J49" s="47" t="n">
        <f aca="false">0</f>
        <v>0</v>
      </c>
      <c r="K49" s="47" t="n">
        <f aca="false">0</f>
        <v>0</v>
      </c>
      <c r="L49" s="47" t="n">
        <f aca="false">0</f>
        <v>0</v>
      </c>
      <c r="M49" s="47" t="n">
        <f aca="false">0</f>
        <v>0</v>
      </c>
      <c r="N49" s="47" t="n">
        <f aca="false">0</f>
        <v>0</v>
      </c>
      <c r="O49" s="47" t="n">
        <f aca="false">0</f>
        <v>0</v>
      </c>
      <c r="P49" s="47" t="n">
        <f aca="false">0</f>
        <v>0</v>
      </c>
      <c r="Q49" s="47" t="n">
        <f aca="false">0</f>
        <v>0</v>
      </c>
      <c r="R49" s="47" t="n">
        <f aca="false">0</f>
        <v>0</v>
      </c>
      <c r="S49" s="47" t="n">
        <f aca="false">0</f>
        <v>0</v>
      </c>
    </row>
    <row r="50" customFormat="false" ht="15" hidden="false" customHeight="false" outlineLevel="0" collapsed="false">
      <c r="B50" s="24" t="s">
        <v>1099</v>
      </c>
      <c r="C50" s="25" t="s">
        <v>170</v>
      </c>
      <c r="F50" s="47" t="n">
        <f aca="false">F48-F49</f>
        <v>0</v>
      </c>
      <c r="G50" s="47" t="n">
        <f aca="false">G48-G49</f>
        <v>0</v>
      </c>
      <c r="H50" s="47" t="n">
        <f aca="false">H48-H49</f>
        <v>0</v>
      </c>
      <c r="I50" s="47" t="n">
        <f aca="false">I48-I49</f>
        <v>0</v>
      </c>
      <c r="J50" s="47" t="n">
        <f aca="false">J48-J49</f>
        <v>1.63479452054795</v>
      </c>
      <c r="K50" s="47" t="n">
        <f aca="false">K48-K49</f>
        <v>1.63032786885246</v>
      </c>
      <c r="L50" s="47" t="n">
        <f aca="false">L48-L49</f>
        <v>1.63479452054795</v>
      </c>
      <c r="M50" s="47" t="n">
        <f aca="false">M48-M49</f>
        <v>1.63479452054795</v>
      </c>
      <c r="N50" s="47" t="n">
        <f aca="false">N48-N49</f>
        <v>1.63479452054795</v>
      </c>
      <c r="O50" s="47" t="n">
        <f aca="false">O48-O49</f>
        <v>1.63032786885246</v>
      </c>
      <c r="P50" s="47" t="n">
        <f aca="false">P48-P49</f>
        <v>1.63479452054795</v>
      </c>
      <c r="Q50" s="47" t="n">
        <f aca="false">Q48-Q49</f>
        <v>1.63479452054795</v>
      </c>
      <c r="R50" s="47" t="n">
        <f aca="false">R48-R49</f>
        <v>1.63479452054795</v>
      </c>
      <c r="S50" s="47" t="n">
        <f aca="false">S48-S49</f>
        <v>1.63032786885246</v>
      </c>
    </row>
    <row r="51" customFormat="false" ht="15" hidden="false" customHeight="false" outlineLevel="0" collapsed="false">
      <c r="B51" s="24" t="s">
        <v>1100</v>
      </c>
      <c r="C51" s="25" t="s">
        <v>170</v>
      </c>
      <c r="E51" s="47" t="n">
        <f aca="false">SUM(F51:S51)</f>
        <v>1.63032786885246</v>
      </c>
      <c r="F51" s="47" t="n">
        <f aca="false">0</f>
        <v>0</v>
      </c>
      <c r="G51" s="47" t="n">
        <f aca="false">G50-F50</f>
        <v>0</v>
      </c>
      <c r="H51" s="47" t="n">
        <f aca="false">H50-G50</f>
        <v>0</v>
      </c>
      <c r="I51" s="47" t="n">
        <f aca="false">I50-H50</f>
        <v>0</v>
      </c>
      <c r="J51" s="47" t="n">
        <f aca="false">J50-I50</f>
        <v>1.63479452054795</v>
      </c>
      <c r="K51" s="47" t="n">
        <f aca="false">K50-J50</f>
        <v>-0.0044666516954861</v>
      </c>
      <c r="L51" s="47" t="n">
        <f aca="false">L50-K50</f>
        <v>0.0044666516954861</v>
      </c>
      <c r="M51" s="47" t="n">
        <f aca="false">M50-L50</f>
        <v>0</v>
      </c>
      <c r="N51" s="47" t="n">
        <f aca="false">N50-M50</f>
        <v>0</v>
      </c>
      <c r="O51" s="47" t="n">
        <f aca="false">O50-N50</f>
        <v>-0.0044666516954861</v>
      </c>
      <c r="P51" s="47" t="n">
        <f aca="false">P50-O50</f>
        <v>0.0044666516954861</v>
      </c>
      <c r="Q51" s="47" t="n">
        <f aca="false">Q50-P50</f>
        <v>0</v>
      </c>
      <c r="R51" s="47" t="n">
        <f aca="false">R50-Q50</f>
        <v>0</v>
      </c>
      <c r="S51" s="47" t="n">
        <f aca="false">S50-R50</f>
        <v>-0.0044666516954861</v>
      </c>
    </row>
  </sheetData>
  <hyperlinks>
    <hyperlink ref="C3" r:id="rId1" location="'P04%20TTLSilo%20Input'!A1" display="Input"/>
    <hyperlink ref="D3" r:id="rId2" location="'P04%20TTLSilo%20Calc'!A1" display="Calc"/>
    <hyperlink ref="E3" r:id="rId3" location="'P04%20TTLSilo%20Output'!A1" display="Output"/>
    <hyperlink ref="F3" r:id="rId4" location="'Navigation'!A1" display="Navigation"/>
    <hyperlink ref="G3" r:id="rId5" location="'Global%20Inputs'!A1" display="Global Inputs"/>
    <hyperlink ref="H3" r:id="rId6" location="'Project%20Summary'!A1" display="Project Summary"/>
    <hyperlink ref="I3" r:id="rId7" location="'Funding%20Requirement'!A1" display="Funding"/>
    <hyperlink ref="J3" r:id="rId8" location="'FSL%20Financials%20—%20Without%20BUMN'!A1" display="FSL w/o BUMN"/>
    <hyperlink ref="K3" r:id="rId9" location="'FSL%20Financials%20—%20With%20BUMN'!A1" display="FSL w/ BUMN"/>
    <hyperlink ref="L3" r:id="rId10" location="'Valuation%20—%20Without%20BUMN'!A1" display="Val w/o BUMN"/>
    <hyperlink ref="M3" r:id="rId11" location="'Valuation%20—%20With%20BUMN'!A1" display="Val w/ BUMN"/>
    <hyperlink ref="N3" r:id="rId12" location="'Checks'!A1" display="Checks"/>
    <hyperlink ref="O3" r:id="rId13" location="'Model%20Flow'!A1" display="Model Flow"/>
  </hyperlink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9D08E"/>
    <pageSetUpPr fitToPage="true"/>
  </sheetPr>
  <dimension ref="B1:U6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5" ySplit="9" topLeftCell="F10" activePane="bottomRight" state="frozen"/>
      <selection pane="topLeft" activeCell="A1" activeCellId="0" sqref="A1"/>
      <selection pane="topRight" activeCell="F1" activeCellId="0" sqref="F1"/>
      <selection pane="bottomLeft" activeCell="A10" activeCellId="0" sqref="A10"/>
      <selection pane="bottomRigh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66"/>
    <col collapsed="false" customWidth="true" hidden="false" outlineLevel="0" max="3" min="3" style="0" width="11"/>
    <col collapsed="false" customWidth="true" hidden="false" outlineLevel="0" max="4" min="4" style="0" width="12"/>
    <col collapsed="false" customWidth="true" hidden="false" outlineLevel="0" max="5" min="5" style="0" width="13"/>
    <col collapsed="false" customWidth="true" hidden="false" outlineLevel="0" max="19" min="6" style="0" width="11.5"/>
    <col collapsed="false" customWidth="true" hidden="false" outlineLevel="0" max="20" min="20" style="0" width="40"/>
    <col collapsed="false" customWidth="true" hidden="false" outlineLevel="0" max="21" min="21" style="0" width="48"/>
  </cols>
  <sheetData>
    <row r="1" customFormat="false" ht="21.75" hidden="false" customHeight="true" outlineLevel="0" collapsed="false">
      <c r="B1" s="1" t="s">
        <v>1991</v>
      </c>
    </row>
    <row r="2" customFormat="false" ht="15" hidden="false" customHeight="false" outlineLevel="0" collapsed="false">
      <c r="B2" s="2" t="s">
        <v>1102</v>
      </c>
    </row>
    <row r="3" customFormat="false" ht="15" hidden="false" customHeight="false" outlineLevel="0" collapsed="false">
      <c r="B3" s="5" t="s">
        <v>112</v>
      </c>
      <c r="C3" s="17" t="s">
        <v>27</v>
      </c>
      <c r="D3" s="17" t="s">
        <v>28</v>
      </c>
      <c r="E3" s="17" t="s">
        <v>29</v>
      </c>
      <c r="F3" s="17" t="s">
        <v>113</v>
      </c>
      <c r="G3" s="17" t="s">
        <v>5</v>
      </c>
      <c r="H3" s="17" t="s">
        <v>7</v>
      </c>
      <c r="I3" s="17" t="s">
        <v>114</v>
      </c>
      <c r="J3" s="17" t="s">
        <v>115</v>
      </c>
      <c r="K3" s="17" t="s">
        <v>116</v>
      </c>
      <c r="L3" s="17" t="s">
        <v>117</v>
      </c>
      <c r="M3" s="17" t="s">
        <v>118</v>
      </c>
      <c r="N3" s="17" t="s">
        <v>21</v>
      </c>
      <c r="O3" s="17" t="s">
        <v>3</v>
      </c>
    </row>
    <row r="5" customFormat="false" ht="15" hidden="false" customHeight="false" outlineLevel="0" collapsed="false">
      <c r="B5" s="6" t="s">
        <v>119</v>
      </c>
      <c r="C5" s="6" t="s">
        <v>120</v>
      </c>
      <c r="D5" s="6" t="s">
        <v>121</v>
      </c>
      <c r="E5" s="6" t="s">
        <v>122</v>
      </c>
      <c r="F5" s="18" t="n">
        <f aca="false">'Global Inputs'!F$5</f>
        <v>2023</v>
      </c>
      <c r="G5" s="18" t="n">
        <f aca="false">'Global Inputs'!G$5</f>
        <v>2024</v>
      </c>
      <c r="H5" s="18" t="n">
        <f aca="false">'Global Inputs'!H$5</f>
        <v>2025</v>
      </c>
      <c r="I5" s="18" t="n">
        <f aca="false">'Global Inputs'!I$5</f>
        <v>2026</v>
      </c>
      <c r="J5" s="18" t="n">
        <f aca="false">'Global Inputs'!J$5</f>
        <v>2027</v>
      </c>
      <c r="K5" s="18" t="n">
        <f aca="false">'Global Inputs'!K$5</f>
        <v>2028</v>
      </c>
      <c r="L5" s="18" t="n">
        <f aca="false">'Global Inputs'!L$5</f>
        <v>2029</v>
      </c>
      <c r="M5" s="18" t="n">
        <f aca="false">'Global Inputs'!M$5</f>
        <v>2030</v>
      </c>
      <c r="N5" s="18" t="n">
        <f aca="false">'Global Inputs'!N$5</f>
        <v>2031</v>
      </c>
      <c r="O5" s="18" t="n">
        <f aca="false">'Global Inputs'!O$5</f>
        <v>2032</v>
      </c>
      <c r="P5" s="18" t="n">
        <f aca="false">'Global Inputs'!P$5</f>
        <v>2033</v>
      </c>
      <c r="Q5" s="18" t="n">
        <f aca="false">'Global Inputs'!Q$5</f>
        <v>2034</v>
      </c>
      <c r="R5" s="18" t="n">
        <f aca="false">'Global Inputs'!R$5</f>
        <v>2035</v>
      </c>
      <c r="S5" s="18" t="n">
        <f aca="false">'Global Inputs'!S$5</f>
        <v>2036</v>
      </c>
      <c r="T5" s="6" t="s">
        <v>123</v>
      </c>
      <c r="U5" s="6" t="s">
        <v>124</v>
      </c>
    </row>
    <row r="6" customFormat="false" ht="15" hidden="false" customHeight="false" outlineLevel="0" collapsed="false">
      <c r="B6" s="19" t="s">
        <v>125</v>
      </c>
      <c r="F6" s="20" t="n">
        <f aca="false">'Global Inputs'!F$6</f>
        <v>45291</v>
      </c>
      <c r="G6" s="20" t="n">
        <f aca="false">'Global Inputs'!G$6</f>
        <v>45657</v>
      </c>
      <c r="H6" s="20" t="n">
        <f aca="false">'Global Inputs'!H$6</f>
        <v>46022</v>
      </c>
      <c r="I6" s="20" t="n">
        <f aca="false">'Global Inputs'!I$6</f>
        <v>46387</v>
      </c>
      <c r="J6" s="20" t="n">
        <f aca="false">'Global Inputs'!J$6</f>
        <v>46752</v>
      </c>
      <c r="K6" s="20" t="n">
        <f aca="false">'Global Inputs'!K$6</f>
        <v>47118</v>
      </c>
      <c r="L6" s="20" t="n">
        <f aca="false">'Global Inputs'!L$6</f>
        <v>47483</v>
      </c>
      <c r="M6" s="20" t="n">
        <f aca="false">'Global Inputs'!M$6</f>
        <v>47848</v>
      </c>
      <c r="N6" s="20" t="n">
        <f aca="false">'Global Inputs'!N$6</f>
        <v>48213</v>
      </c>
      <c r="O6" s="20" t="n">
        <f aca="false">'Global Inputs'!O$6</f>
        <v>48579</v>
      </c>
      <c r="P6" s="20" t="n">
        <f aca="false">'Global Inputs'!P$6</f>
        <v>48944</v>
      </c>
      <c r="Q6" s="20" t="n">
        <f aca="false">'Global Inputs'!Q$6</f>
        <v>49309</v>
      </c>
      <c r="R6" s="20" t="n">
        <f aca="false">'Global Inputs'!R$6</f>
        <v>49674</v>
      </c>
      <c r="S6" s="20" t="n">
        <f aca="false">'Global Inputs'!S$6</f>
        <v>50040</v>
      </c>
    </row>
    <row r="7" customFormat="false" ht="15" hidden="false" customHeight="false" outlineLevel="0" collapsed="false">
      <c r="B7" s="19" t="s">
        <v>126</v>
      </c>
      <c r="F7" s="21" t="n">
        <f aca="false">'Global Inputs'!F$7</f>
        <v>365</v>
      </c>
      <c r="G7" s="21" t="n">
        <f aca="false">'Global Inputs'!G$7</f>
        <v>366</v>
      </c>
      <c r="H7" s="21" t="n">
        <f aca="false">'Global Inputs'!H$7</f>
        <v>365</v>
      </c>
      <c r="I7" s="21" t="n">
        <f aca="false">'Global Inputs'!I$7</f>
        <v>365</v>
      </c>
      <c r="J7" s="21" t="n">
        <f aca="false">'Global Inputs'!J$7</f>
        <v>365</v>
      </c>
      <c r="K7" s="21" t="n">
        <f aca="false">'Global Inputs'!K$7</f>
        <v>366</v>
      </c>
      <c r="L7" s="21" t="n">
        <f aca="false">'Global Inputs'!L$7</f>
        <v>365</v>
      </c>
      <c r="M7" s="21" t="n">
        <f aca="false">'Global Inputs'!M$7</f>
        <v>365</v>
      </c>
      <c r="N7" s="21" t="n">
        <f aca="false">'Global Inputs'!N$7</f>
        <v>365</v>
      </c>
      <c r="O7" s="21" t="n">
        <f aca="false">'Global Inputs'!O$7</f>
        <v>366</v>
      </c>
      <c r="P7" s="21" t="n">
        <f aca="false">'Global Inputs'!P$7</f>
        <v>365</v>
      </c>
      <c r="Q7" s="21" t="n">
        <f aca="false">'Global Inputs'!Q$7</f>
        <v>365</v>
      </c>
      <c r="R7" s="21" t="n">
        <f aca="false">'Global Inputs'!R$7</f>
        <v>365</v>
      </c>
      <c r="S7" s="21" t="n">
        <f aca="false">'Global Inputs'!S$7</f>
        <v>366</v>
      </c>
    </row>
    <row r="8" customFormat="false" ht="15" hidden="false" customHeight="false" outlineLevel="0" collapsed="false">
      <c r="B8" s="19" t="s">
        <v>127</v>
      </c>
      <c r="F8" s="21" t="n">
        <f aca="false">'Global Inputs'!F$8</f>
        <v>0</v>
      </c>
      <c r="G8" s="21" t="n">
        <f aca="false">'Global Inputs'!G$8</f>
        <v>1</v>
      </c>
      <c r="H8" s="21" t="n">
        <f aca="false">'Global Inputs'!H$8</f>
        <v>1</v>
      </c>
      <c r="I8" s="21" t="n">
        <f aca="false">'Global Inputs'!I$8</f>
        <v>1</v>
      </c>
      <c r="J8" s="21" t="n">
        <f aca="false">'Global Inputs'!J$8</f>
        <v>1</v>
      </c>
      <c r="K8" s="21" t="n">
        <f aca="false">'Global Inputs'!K$8</f>
        <v>1</v>
      </c>
      <c r="L8" s="21" t="n">
        <f aca="false">'Global Inputs'!L$8</f>
        <v>1</v>
      </c>
      <c r="M8" s="21" t="n">
        <f aca="false">'Global Inputs'!M$8</f>
        <v>1</v>
      </c>
      <c r="N8" s="21" t="n">
        <f aca="false">'Global Inputs'!N$8</f>
        <v>1</v>
      </c>
      <c r="O8" s="21" t="n">
        <f aca="false">'Global Inputs'!O$8</f>
        <v>1</v>
      </c>
      <c r="P8" s="21" t="n">
        <f aca="false">'Global Inputs'!P$8</f>
        <v>1</v>
      </c>
      <c r="Q8" s="21" t="n">
        <f aca="false">'Global Inputs'!Q$8</f>
        <v>1</v>
      </c>
      <c r="R8" s="21" t="n">
        <f aca="false">'Global Inputs'!R$8</f>
        <v>1</v>
      </c>
      <c r="S8" s="21" t="n">
        <f aca="false">'Global Inputs'!S$8</f>
        <v>1</v>
      </c>
    </row>
    <row r="10" customFormat="false" ht="15" hidden="false" customHeight="false" outlineLevel="0" collapsed="false">
      <c r="B10" s="22" t="s">
        <v>1103</v>
      </c>
      <c r="C10" s="23"/>
      <c r="D10" s="23"/>
      <c r="E10" s="23"/>
      <c r="F10" s="23"/>
      <c r="G10" s="23"/>
      <c r="H10" s="23"/>
      <c r="I10" s="23"/>
      <c r="J10" s="23"/>
      <c r="K10" s="23"/>
      <c r="L10" s="23"/>
      <c r="M10" s="23"/>
      <c r="N10" s="23"/>
      <c r="O10" s="23"/>
      <c r="P10" s="23"/>
      <c r="Q10" s="23"/>
      <c r="R10" s="23"/>
      <c r="S10" s="23"/>
    </row>
    <row r="11" customFormat="false" ht="15" hidden="false" customHeight="false" outlineLevel="0" collapsed="false">
      <c r="B11" s="24" t="s">
        <v>345</v>
      </c>
      <c r="C11" s="25" t="s">
        <v>170</v>
      </c>
      <c r="E11" s="47" t="n">
        <f aca="false">SUM(F11:S11)</f>
        <v>132.6</v>
      </c>
      <c r="F11" s="47" t="n">
        <f aca="false">'P04 TTLSilo Calc'!F24</f>
        <v>0</v>
      </c>
      <c r="G11" s="47" t="n">
        <f aca="false">'P04 TTLSilo Calc'!G24</f>
        <v>0</v>
      </c>
      <c r="H11" s="47" t="n">
        <f aca="false">'P04 TTLSilo Calc'!H24</f>
        <v>0</v>
      </c>
      <c r="I11" s="47" t="n">
        <f aca="false">'P04 TTLSilo Calc'!I24</f>
        <v>0</v>
      </c>
      <c r="J11" s="47" t="n">
        <f aca="false">'P04 TTLSilo Calc'!J24</f>
        <v>13.26</v>
      </c>
      <c r="K11" s="47" t="n">
        <f aca="false">'P04 TTLSilo Calc'!K24</f>
        <v>13.26</v>
      </c>
      <c r="L11" s="47" t="n">
        <f aca="false">'P04 TTLSilo Calc'!L24</f>
        <v>13.26</v>
      </c>
      <c r="M11" s="47" t="n">
        <f aca="false">'P04 TTLSilo Calc'!M24</f>
        <v>13.26</v>
      </c>
      <c r="N11" s="47" t="n">
        <f aca="false">'P04 TTLSilo Calc'!N24</f>
        <v>13.26</v>
      </c>
      <c r="O11" s="47" t="n">
        <f aca="false">'P04 TTLSilo Calc'!O24</f>
        <v>13.26</v>
      </c>
      <c r="P11" s="47" t="n">
        <f aca="false">'P04 TTLSilo Calc'!P24</f>
        <v>13.26</v>
      </c>
      <c r="Q11" s="47" t="n">
        <f aca="false">'P04 TTLSilo Calc'!Q24</f>
        <v>13.26</v>
      </c>
      <c r="R11" s="47" t="n">
        <f aca="false">'P04 TTLSilo Calc'!R24</f>
        <v>13.26</v>
      </c>
      <c r="S11" s="47" t="n">
        <f aca="false">'P04 TTLSilo Calc'!S24</f>
        <v>13.26</v>
      </c>
    </row>
    <row r="12" customFormat="false" ht="15" hidden="false" customHeight="false" outlineLevel="0" collapsed="false">
      <c r="B12" s="24" t="s">
        <v>391</v>
      </c>
      <c r="C12" s="25" t="s">
        <v>170</v>
      </c>
      <c r="E12" s="47" t="n">
        <f aca="false">SUM(F12:S12)</f>
        <v>0</v>
      </c>
      <c r="F12" s="47" t="n">
        <f aca="false">0</f>
        <v>0</v>
      </c>
      <c r="G12" s="47" t="n">
        <f aca="false">0</f>
        <v>0</v>
      </c>
      <c r="H12" s="47" t="n">
        <f aca="false">0</f>
        <v>0</v>
      </c>
      <c r="I12" s="47" t="n">
        <f aca="false">0</f>
        <v>0</v>
      </c>
      <c r="J12" s="47" t="n">
        <f aca="false">0</f>
        <v>0</v>
      </c>
      <c r="K12" s="47" t="n">
        <f aca="false">0</f>
        <v>0</v>
      </c>
      <c r="L12" s="47" t="n">
        <f aca="false">0</f>
        <v>0</v>
      </c>
      <c r="M12" s="47" t="n">
        <f aca="false">0</f>
        <v>0</v>
      </c>
      <c r="N12" s="47" t="n">
        <f aca="false">0</f>
        <v>0</v>
      </c>
      <c r="O12" s="47" t="n">
        <f aca="false">0</f>
        <v>0</v>
      </c>
      <c r="P12" s="47" t="n">
        <f aca="false">0</f>
        <v>0</v>
      </c>
      <c r="Q12" s="47" t="n">
        <f aca="false">0</f>
        <v>0</v>
      </c>
      <c r="R12" s="47" t="n">
        <f aca="false">0</f>
        <v>0</v>
      </c>
      <c r="S12" s="47" t="n">
        <f aca="false">0</f>
        <v>0</v>
      </c>
    </row>
    <row r="13" customFormat="false" ht="15" hidden="false" customHeight="false" outlineLevel="0" collapsed="false">
      <c r="B13" s="69" t="s">
        <v>392</v>
      </c>
      <c r="C13" s="25" t="s">
        <v>170</v>
      </c>
      <c r="E13" s="70" t="n">
        <f aca="false">SUM(F13:S13)</f>
        <v>132.6</v>
      </c>
      <c r="F13" s="68" t="n">
        <f aca="false">F11+F12</f>
        <v>0</v>
      </c>
      <c r="G13" s="68" t="n">
        <f aca="false">G11+G12</f>
        <v>0</v>
      </c>
      <c r="H13" s="68" t="n">
        <f aca="false">H11+H12</f>
        <v>0</v>
      </c>
      <c r="I13" s="68" t="n">
        <f aca="false">I11+I12</f>
        <v>0</v>
      </c>
      <c r="J13" s="68" t="n">
        <f aca="false">J11+J12</f>
        <v>13.26</v>
      </c>
      <c r="K13" s="68" t="n">
        <f aca="false">K11+K12</f>
        <v>13.26</v>
      </c>
      <c r="L13" s="68" t="n">
        <f aca="false">L11+L12</f>
        <v>13.26</v>
      </c>
      <c r="M13" s="68" t="n">
        <f aca="false">M11+M12</f>
        <v>13.26</v>
      </c>
      <c r="N13" s="68" t="n">
        <f aca="false">N11+N12</f>
        <v>13.26</v>
      </c>
      <c r="O13" s="68" t="n">
        <f aca="false">O11+O12</f>
        <v>13.26</v>
      </c>
      <c r="P13" s="68" t="n">
        <f aca="false">P11+P12</f>
        <v>13.26</v>
      </c>
      <c r="Q13" s="68" t="n">
        <f aca="false">Q11+Q12</f>
        <v>13.26</v>
      </c>
      <c r="R13" s="68" t="n">
        <f aca="false">R11+R12</f>
        <v>13.26</v>
      </c>
      <c r="S13" s="68" t="n">
        <f aca="false">S11+S12</f>
        <v>13.26</v>
      </c>
    </row>
    <row r="14" customFormat="false" ht="15" hidden="false" customHeight="false" outlineLevel="0" collapsed="false">
      <c r="B14" s="24" t="s">
        <v>393</v>
      </c>
      <c r="C14" s="25" t="s">
        <v>170</v>
      </c>
      <c r="E14" s="47" t="n">
        <f aca="false">SUM(F14:S14)</f>
        <v>-0.612</v>
      </c>
      <c r="F14" s="47" t="n">
        <f aca="false">-'P04 TTLSilo Calc'!F31</f>
        <v>-0</v>
      </c>
      <c r="G14" s="47" t="n">
        <f aca="false">-'P04 TTLSilo Calc'!G31</f>
        <v>-0</v>
      </c>
      <c r="H14" s="47" t="n">
        <f aca="false">-'P04 TTLSilo Calc'!H31</f>
        <v>-0</v>
      </c>
      <c r="I14" s="47" t="n">
        <f aca="false">-'P04 TTLSilo Calc'!I31</f>
        <v>-0</v>
      </c>
      <c r="J14" s="47" t="n">
        <f aca="false">-'P04 TTLSilo Calc'!J31</f>
        <v>-0.0612</v>
      </c>
      <c r="K14" s="47" t="n">
        <f aca="false">-'P04 TTLSilo Calc'!K31</f>
        <v>-0.0612</v>
      </c>
      <c r="L14" s="47" t="n">
        <f aca="false">-'P04 TTLSilo Calc'!L31</f>
        <v>-0.0612</v>
      </c>
      <c r="M14" s="47" t="n">
        <f aca="false">-'P04 TTLSilo Calc'!M31</f>
        <v>-0.0612</v>
      </c>
      <c r="N14" s="47" t="n">
        <f aca="false">-'P04 TTLSilo Calc'!N31</f>
        <v>-0.0612</v>
      </c>
      <c r="O14" s="47" t="n">
        <f aca="false">-'P04 TTLSilo Calc'!O31</f>
        <v>-0.0612</v>
      </c>
      <c r="P14" s="47" t="n">
        <f aca="false">-'P04 TTLSilo Calc'!P31</f>
        <v>-0.0612</v>
      </c>
      <c r="Q14" s="47" t="n">
        <f aca="false">-'P04 TTLSilo Calc'!Q31</f>
        <v>-0.0612</v>
      </c>
      <c r="R14" s="47" t="n">
        <f aca="false">-'P04 TTLSilo Calc'!R31</f>
        <v>-0.0612</v>
      </c>
      <c r="S14" s="47" t="n">
        <f aca="false">-'P04 TTLSilo Calc'!S31</f>
        <v>-0.0612</v>
      </c>
    </row>
    <row r="15" customFormat="false" ht="15" hidden="false" customHeight="false" outlineLevel="0" collapsed="false">
      <c r="B15" s="69" t="s">
        <v>346</v>
      </c>
      <c r="C15" s="25" t="s">
        <v>170</v>
      </c>
      <c r="E15" s="70" t="n">
        <f aca="false">SUM(F15:S15)</f>
        <v>131.988</v>
      </c>
      <c r="F15" s="68" t="n">
        <f aca="false">F13+F14</f>
        <v>0</v>
      </c>
      <c r="G15" s="68" t="n">
        <f aca="false">G13+G14</f>
        <v>0</v>
      </c>
      <c r="H15" s="68" t="n">
        <f aca="false">H13+H14</f>
        <v>0</v>
      </c>
      <c r="I15" s="68" t="n">
        <f aca="false">I13+I14</f>
        <v>0</v>
      </c>
      <c r="J15" s="68" t="n">
        <f aca="false">J13+J14</f>
        <v>13.1988</v>
      </c>
      <c r="K15" s="68" t="n">
        <f aca="false">K13+K14</f>
        <v>13.1988</v>
      </c>
      <c r="L15" s="68" t="n">
        <f aca="false">L13+L14</f>
        <v>13.1988</v>
      </c>
      <c r="M15" s="68" t="n">
        <f aca="false">M13+M14</f>
        <v>13.1988</v>
      </c>
      <c r="N15" s="68" t="n">
        <f aca="false">N13+N14</f>
        <v>13.1988</v>
      </c>
      <c r="O15" s="68" t="n">
        <f aca="false">O13+O14</f>
        <v>13.1988</v>
      </c>
      <c r="P15" s="68" t="n">
        <f aca="false">P13+P14</f>
        <v>13.1988</v>
      </c>
      <c r="Q15" s="68" t="n">
        <f aca="false">Q13+Q14</f>
        <v>13.1988</v>
      </c>
      <c r="R15" s="68" t="n">
        <f aca="false">R13+R14</f>
        <v>13.1988</v>
      </c>
      <c r="S15" s="68" t="n">
        <f aca="false">S13+S14</f>
        <v>13.1988</v>
      </c>
    </row>
    <row r="16" customFormat="false" ht="15" hidden="false" customHeight="false" outlineLevel="0" collapsed="false">
      <c r="B16" s="24" t="s">
        <v>349</v>
      </c>
      <c r="C16" s="25" t="s">
        <v>170</v>
      </c>
      <c r="E16" s="47" t="n">
        <f aca="false">SUM(F16:S16)</f>
        <v>-41.9177595075</v>
      </c>
      <c r="F16" s="47" t="n">
        <f aca="false">-'P04 TTLSilo Calc'!F45</f>
        <v>-0</v>
      </c>
      <c r="G16" s="47" t="n">
        <f aca="false">-'P04 TTLSilo Calc'!G45</f>
        <v>-0</v>
      </c>
      <c r="H16" s="47" t="n">
        <f aca="false">-'P04 TTLSilo Calc'!H45</f>
        <v>-0</v>
      </c>
      <c r="I16" s="47" t="n">
        <f aca="false">-'P04 TTLSilo Calc'!I45</f>
        <v>-0</v>
      </c>
      <c r="J16" s="47" t="n">
        <f aca="false">-'P04 TTLSilo Calc'!J45</f>
        <v>-4.19177595075</v>
      </c>
      <c r="K16" s="47" t="n">
        <f aca="false">-'P04 TTLSilo Calc'!K45</f>
        <v>-4.19177595075</v>
      </c>
      <c r="L16" s="47" t="n">
        <f aca="false">-'P04 TTLSilo Calc'!L45</f>
        <v>-4.19177595075</v>
      </c>
      <c r="M16" s="47" t="n">
        <f aca="false">-'P04 TTLSilo Calc'!M45</f>
        <v>-4.19177595075</v>
      </c>
      <c r="N16" s="47" t="n">
        <f aca="false">-'P04 TTLSilo Calc'!N45</f>
        <v>-4.19177595075</v>
      </c>
      <c r="O16" s="47" t="n">
        <f aca="false">-'P04 TTLSilo Calc'!O45</f>
        <v>-4.19177595075</v>
      </c>
      <c r="P16" s="47" t="n">
        <f aca="false">-'P04 TTLSilo Calc'!P45</f>
        <v>-4.19177595075</v>
      </c>
      <c r="Q16" s="47" t="n">
        <f aca="false">-'P04 TTLSilo Calc'!Q45</f>
        <v>-4.19177595075</v>
      </c>
      <c r="R16" s="47" t="n">
        <f aca="false">-'P04 TTLSilo Calc'!R45</f>
        <v>-4.19177595075</v>
      </c>
      <c r="S16" s="47" t="n">
        <f aca="false">-'P04 TTLSilo Calc'!S45</f>
        <v>-4.19177595075</v>
      </c>
    </row>
    <row r="17" customFormat="false" ht="15" hidden="false" customHeight="false" outlineLevel="0" collapsed="false">
      <c r="B17" s="69" t="s">
        <v>347</v>
      </c>
      <c r="C17" s="25" t="s">
        <v>170</v>
      </c>
      <c r="E17" s="70" t="n">
        <f aca="false">SUM(F17:S17)</f>
        <v>90.0702404925</v>
      </c>
      <c r="F17" s="68" t="n">
        <f aca="false">F15+F16</f>
        <v>0</v>
      </c>
      <c r="G17" s="68" t="n">
        <f aca="false">G15+G16</f>
        <v>0</v>
      </c>
      <c r="H17" s="68" t="n">
        <f aca="false">H15+H16</f>
        <v>0</v>
      </c>
      <c r="I17" s="68" t="n">
        <f aca="false">I15+I16</f>
        <v>0</v>
      </c>
      <c r="J17" s="68" t="n">
        <f aca="false">J15+J16</f>
        <v>9.00702404925</v>
      </c>
      <c r="K17" s="68" t="n">
        <f aca="false">K15+K16</f>
        <v>9.00702404925</v>
      </c>
      <c r="L17" s="68" t="n">
        <f aca="false">L15+L16</f>
        <v>9.00702404925</v>
      </c>
      <c r="M17" s="68" t="n">
        <f aca="false">M15+M16</f>
        <v>9.00702404925</v>
      </c>
      <c r="N17" s="68" t="n">
        <f aca="false">N15+N16</f>
        <v>9.00702404925</v>
      </c>
      <c r="O17" s="68" t="n">
        <f aca="false">O15+O16</f>
        <v>9.00702404925</v>
      </c>
      <c r="P17" s="68" t="n">
        <f aca="false">P15+P16</f>
        <v>9.00702404925</v>
      </c>
      <c r="Q17" s="68" t="n">
        <f aca="false">Q15+Q16</f>
        <v>9.00702404925</v>
      </c>
      <c r="R17" s="68" t="n">
        <f aca="false">R15+R16</f>
        <v>9.00702404925</v>
      </c>
      <c r="S17" s="68" t="n">
        <f aca="false">S15+S16</f>
        <v>9.00702404925</v>
      </c>
    </row>
    <row r="18" customFormat="false" ht="15" hidden="false" customHeight="false" outlineLevel="0" collapsed="false">
      <c r="B18" s="24" t="s">
        <v>1104</v>
      </c>
      <c r="C18" s="25" t="s">
        <v>170</v>
      </c>
      <c r="E18" s="47" t="n">
        <f aca="false">SUM(F18:S18)</f>
        <v>-19.81545290835</v>
      </c>
      <c r="F18" s="47" t="n">
        <f aca="false">-MAX(0,F17)*'Global Inputs'!$E$27</f>
        <v>-0</v>
      </c>
      <c r="G18" s="47" t="n">
        <f aca="false">-MAX(0,G17)*'Global Inputs'!$E$27</f>
        <v>-0</v>
      </c>
      <c r="H18" s="47" t="n">
        <f aca="false">-MAX(0,H17)*'Global Inputs'!$E$27</f>
        <v>-0</v>
      </c>
      <c r="I18" s="47" t="n">
        <f aca="false">-MAX(0,I17)*'Global Inputs'!$E$27</f>
        <v>-0</v>
      </c>
      <c r="J18" s="47" t="n">
        <f aca="false">-MAX(0,J17)*'Global Inputs'!$E$27</f>
        <v>-1.981545290835</v>
      </c>
      <c r="K18" s="47" t="n">
        <f aca="false">-MAX(0,K17)*'Global Inputs'!$E$27</f>
        <v>-1.981545290835</v>
      </c>
      <c r="L18" s="47" t="n">
        <f aca="false">-MAX(0,L17)*'Global Inputs'!$E$27</f>
        <v>-1.981545290835</v>
      </c>
      <c r="M18" s="47" t="n">
        <f aca="false">-MAX(0,M17)*'Global Inputs'!$E$27</f>
        <v>-1.981545290835</v>
      </c>
      <c r="N18" s="47" t="n">
        <f aca="false">-MAX(0,N17)*'Global Inputs'!$E$27</f>
        <v>-1.981545290835</v>
      </c>
      <c r="O18" s="47" t="n">
        <f aca="false">-MAX(0,O17)*'Global Inputs'!$E$27</f>
        <v>-1.981545290835</v>
      </c>
      <c r="P18" s="47" t="n">
        <f aca="false">-MAX(0,P17)*'Global Inputs'!$E$27</f>
        <v>-1.981545290835</v>
      </c>
      <c r="Q18" s="47" t="n">
        <f aca="false">-MAX(0,Q17)*'Global Inputs'!$E$27</f>
        <v>-1.981545290835</v>
      </c>
      <c r="R18" s="47" t="n">
        <f aca="false">-MAX(0,R17)*'Global Inputs'!$E$27</f>
        <v>-1.981545290835</v>
      </c>
      <c r="S18" s="47" t="n">
        <f aca="false">-MAX(0,S17)*'Global Inputs'!$E$27</f>
        <v>-1.981545290835</v>
      </c>
    </row>
    <row r="19" customFormat="false" ht="15" hidden="false" customHeight="false" outlineLevel="0" collapsed="false">
      <c r="B19" s="69" t="s">
        <v>1105</v>
      </c>
      <c r="C19" s="25" t="s">
        <v>170</v>
      </c>
      <c r="E19" s="70" t="n">
        <f aca="false">SUM(F19:S19)</f>
        <v>70.25478758415</v>
      </c>
      <c r="F19" s="68" t="n">
        <f aca="false">F17+F18</f>
        <v>0</v>
      </c>
      <c r="G19" s="68" t="n">
        <f aca="false">G17+G18</f>
        <v>0</v>
      </c>
      <c r="H19" s="68" t="n">
        <f aca="false">H17+H18</f>
        <v>0</v>
      </c>
      <c r="I19" s="68" t="n">
        <f aca="false">I17+I18</f>
        <v>0</v>
      </c>
      <c r="J19" s="68" t="n">
        <f aca="false">J17+J18</f>
        <v>7.025478758415</v>
      </c>
      <c r="K19" s="68" t="n">
        <f aca="false">K17+K18</f>
        <v>7.025478758415</v>
      </c>
      <c r="L19" s="68" t="n">
        <f aca="false">L17+L18</f>
        <v>7.025478758415</v>
      </c>
      <c r="M19" s="68" t="n">
        <f aca="false">M17+M18</f>
        <v>7.025478758415</v>
      </c>
      <c r="N19" s="68" t="n">
        <f aca="false">N17+N18</f>
        <v>7.025478758415</v>
      </c>
      <c r="O19" s="68" t="n">
        <f aca="false">O17+O18</f>
        <v>7.025478758415</v>
      </c>
      <c r="P19" s="68" t="n">
        <f aca="false">P17+P18</f>
        <v>7.025478758415</v>
      </c>
      <c r="Q19" s="68" t="n">
        <f aca="false">Q17+Q18</f>
        <v>7.025478758415</v>
      </c>
      <c r="R19" s="68" t="n">
        <f aca="false">R17+R18</f>
        <v>7.025478758415</v>
      </c>
      <c r="S19" s="68" t="n">
        <f aca="false">S17+S18</f>
        <v>7.025478758415</v>
      </c>
    </row>
    <row r="20" customFormat="false" ht="15" hidden="false" customHeight="false" outlineLevel="0" collapsed="false">
      <c r="B20" s="24" t="s">
        <v>402</v>
      </c>
      <c r="C20" s="25" t="s">
        <v>160</v>
      </c>
      <c r="F20" s="49" t="n">
        <f aca="false">IF(F11=0,0,F15/F11)</f>
        <v>0</v>
      </c>
      <c r="G20" s="49" t="n">
        <f aca="false">IF(G11=0,0,G15/G11)</f>
        <v>0</v>
      </c>
      <c r="H20" s="49" t="n">
        <f aca="false">IF(H11=0,0,H15/H11)</f>
        <v>0</v>
      </c>
      <c r="I20" s="49" t="n">
        <f aca="false">IF(I11=0,0,I15/I11)</f>
        <v>0</v>
      </c>
      <c r="J20" s="49" t="n">
        <f aca="false">IF(J11=0,0,J15/J11)</f>
        <v>0.995384615384615</v>
      </c>
      <c r="K20" s="49" t="n">
        <f aca="false">IF(K11=0,0,K15/K11)</f>
        <v>0.995384615384615</v>
      </c>
      <c r="L20" s="49" t="n">
        <f aca="false">IF(L11=0,0,L15/L11)</f>
        <v>0.995384615384615</v>
      </c>
      <c r="M20" s="49" t="n">
        <f aca="false">IF(M11=0,0,M15/M11)</f>
        <v>0.995384615384615</v>
      </c>
      <c r="N20" s="49" t="n">
        <f aca="false">IF(N11=0,0,N15/N11)</f>
        <v>0.995384615384615</v>
      </c>
      <c r="O20" s="49" t="n">
        <f aca="false">IF(O11=0,0,O15/O11)</f>
        <v>0.995384615384615</v>
      </c>
      <c r="P20" s="49" t="n">
        <f aca="false">IF(P11=0,0,P15/P11)</f>
        <v>0.995384615384615</v>
      </c>
      <c r="Q20" s="49" t="n">
        <f aca="false">IF(Q11=0,0,Q15/Q11)</f>
        <v>0.995384615384615</v>
      </c>
      <c r="R20" s="49" t="n">
        <f aca="false">IF(R11=0,0,R15/R11)</f>
        <v>0.995384615384615</v>
      </c>
      <c r="S20" s="49" t="n">
        <f aca="false">IF(S11=0,0,S15/S11)</f>
        <v>0.995384615384615</v>
      </c>
    </row>
    <row r="21" customFormat="false" ht="15" hidden="false" customHeight="false" outlineLevel="0" collapsed="false">
      <c r="B21" s="24" t="s">
        <v>1106</v>
      </c>
      <c r="C21" s="25" t="s">
        <v>160</v>
      </c>
      <c r="F21" s="49" t="n">
        <f aca="false">IF(F11=0,0,F17/F11)</f>
        <v>0</v>
      </c>
      <c r="G21" s="49" t="n">
        <f aca="false">IF(G11=0,0,G17/G11)</f>
        <v>0</v>
      </c>
      <c r="H21" s="49" t="n">
        <f aca="false">IF(H11=0,0,H17/H11)</f>
        <v>0</v>
      </c>
      <c r="I21" s="49" t="n">
        <f aca="false">IF(I11=0,0,I17/I11)</f>
        <v>0</v>
      </c>
      <c r="J21" s="49" t="n">
        <f aca="false">IF(J11=0,0,J17/J11)</f>
        <v>0.679262748812217</v>
      </c>
      <c r="K21" s="49" t="n">
        <f aca="false">IF(K11=0,0,K17/K11)</f>
        <v>0.679262748812217</v>
      </c>
      <c r="L21" s="49" t="n">
        <f aca="false">IF(L11=0,0,L17/L11)</f>
        <v>0.679262748812217</v>
      </c>
      <c r="M21" s="49" t="n">
        <f aca="false">IF(M11=0,0,M17/M11)</f>
        <v>0.679262748812217</v>
      </c>
      <c r="N21" s="49" t="n">
        <f aca="false">IF(N11=0,0,N17/N11)</f>
        <v>0.679262748812217</v>
      </c>
      <c r="O21" s="49" t="n">
        <f aca="false">IF(O11=0,0,O17/O11)</f>
        <v>0.679262748812217</v>
      </c>
      <c r="P21" s="49" t="n">
        <f aca="false">IF(P11=0,0,P17/P11)</f>
        <v>0.679262748812217</v>
      </c>
      <c r="Q21" s="49" t="n">
        <f aca="false">IF(Q11=0,0,Q17/Q11)</f>
        <v>0.679262748812217</v>
      </c>
      <c r="R21" s="49" t="n">
        <f aca="false">IF(R11=0,0,R17/R11)</f>
        <v>0.679262748812217</v>
      </c>
      <c r="S21" s="49" t="n">
        <f aca="false">IF(S11=0,0,S17/S11)</f>
        <v>0.679262748812217</v>
      </c>
    </row>
    <row r="23" customFormat="false" ht="15" hidden="false" customHeight="false" outlineLevel="0" collapsed="false">
      <c r="B23" s="22" t="s">
        <v>1107</v>
      </c>
      <c r="C23" s="23"/>
      <c r="D23" s="23"/>
      <c r="E23" s="23"/>
      <c r="F23" s="23"/>
      <c r="G23" s="23"/>
      <c r="H23" s="23"/>
      <c r="I23" s="23"/>
      <c r="J23" s="23"/>
      <c r="K23" s="23"/>
      <c r="L23" s="23"/>
      <c r="M23" s="23"/>
      <c r="N23" s="23"/>
      <c r="O23" s="23"/>
      <c r="P23" s="23"/>
      <c r="Q23" s="23"/>
      <c r="R23" s="23"/>
      <c r="S23" s="23"/>
    </row>
    <row r="24" customFormat="false" ht="15" hidden="false" customHeight="false" outlineLevel="0" collapsed="false">
      <c r="B24" s="24" t="s">
        <v>456</v>
      </c>
      <c r="C24" s="25" t="s">
        <v>170</v>
      </c>
      <c r="E24" s="47" t="n">
        <f aca="false">SUM(F24:S24)</f>
        <v>70.25478758415</v>
      </c>
      <c r="F24" s="47" t="n">
        <f aca="false">F19</f>
        <v>0</v>
      </c>
      <c r="G24" s="47" t="n">
        <f aca="false">G19</f>
        <v>0</v>
      </c>
      <c r="H24" s="47" t="n">
        <f aca="false">H19</f>
        <v>0</v>
      </c>
      <c r="I24" s="47" t="n">
        <f aca="false">I19</f>
        <v>0</v>
      </c>
      <c r="J24" s="47" t="n">
        <f aca="false">J19</f>
        <v>7.025478758415</v>
      </c>
      <c r="K24" s="47" t="n">
        <f aca="false">K19</f>
        <v>7.025478758415</v>
      </c>
      <c r="L24" s="47" t="n">
        <f aca="false">L19</f>
        <v>7.025478758415</v>
      </c>
      <c r="M24" s="47" t="n">
        <f aca="false">M19</f>
        <v>7.025478758415</v>
      </c>
      <c r="N24" s="47" t="n">
        <f aca="false">N19</f>
        <v>7.025478758415</v>
      </c>
      <c r="O24" s="47" t="n">
        <f aca="false">O19</f>
        <v>7.025478758415</v>
      </c>
      <c r="P24" s="47" t="n">
        <f aca="false">P19</f>
        <v>7.025478758415</v>
      </c>
      <c r="Q24" s="47" t="n">
        <f aca="false">Q19</f>
        <v>7.025478758415</v>
      </c>
      <c r="R24" s="47" t="n">
        <f aca="false">R19</f>
        <v>7.025478758415</v>
      </c>
      <c r="S24" s="47" t="n">
        <f aca="false">S19</f>
        <v>7.025478758415</v>
      </c>
    </row>
    <row r="25" customFormat="false" ht="15" hidden="false" customHeight="false" outlineLevel="0" collapsed="false">
      <c r="B25" s="24" t="s">
        <v>419</v>
      </c>
      <c r="C25" s="25" t="s">
        <v>170</v>
      </c>
      <c r="E25" s="47" t="n">
        <f aca="false">SUM(F25:S25)</f>
        <v>41.9177595075</v>
      </c>
      <c r="F25" s="47" t="n">
        <f aca="false">-F16</f>
        <v>0</v>
      </c>
      <c r="G25" s="47" t="n">
        <f aca="false">-G16</f>
        <v>0</v>
      </c>
      <c r="H25" s="47" t="n">
        <f aca="false">-H16</f>
        <v>0</v>
      </c>
      <c r="I25" s="47" t="n">
        <f aca="false">-I16</f>
        <v>0</v>
      </c>
      <c r="J25" s="47" t="n">
        <f aca="false">-J16</f>
        <v>4.19177595075</v>
      </c>
      <c r="K25" s="47" t="n">
        <f aca="false">-K16</f>
        <v>4.19177595075</v>
      </c>
      <c r="L25" s="47" t="n">
        <f aca="false">-L16</f>
        <v>4.19177595075</v>
      </c>
      <c r="M25" s="47" t="n">
        <f aca="false">-M16</f>
        <v>4.19177595075</v>
      </c>
      <c r="N25" s="47" t="n">
        <f aca="false">-N16</f>
        <v>4.19177595075</v>
      </c>
      <c r="O25" s="47" t="n">
        <f aca="false">-O16</f>
        <v>4.19177595075</v>
      </c>
      <c r="P25" s="47" t="n">
        <f aca="false">-P16</f>
        <v>4.19177595075</v>
      </c>
      <c r="Q25" s="47" t="n">
        <f aca="false">-Q16</f>
        <v>4.19177595075</v>
      </c>
      <c r="R25" s="47" t="n">
        <f aca="false">-R16</f>
        <v>4.19177595075</v>
      </c>
      <c r="S25" s="47" t="n">
        <f aca="false">-S16</f>
        <v>4.19177595075</v>
      </c>
    </row>
    <row r="26" customFormat="false" ht="15" hidden="false" customHeight="false" outlineLevel="0" collapsed="false">
      <c r="B26" s="24" t="s">
        <v>1108</v>
      </c>
      <c r="C26" s="25" t="s">
        <v>170</v>
      </c>
      <c r="E26" s="47" t="n">
        <f aca="false">SUM(F26:S26)</f>
        <v>-61.1938095</v>
      </c>
      <c r="F26" s="47" t="n">
        <f aca="false">-'P04 TTLSilo Calc'!F36</f>
        <v>-0</v>
      </c>
      <c r="G26" s="47" t="n">
        <f aca="false">-'P04 TTLSilo Calc'!G36</f>
        <v>-0</v>
      </c>
      <c r="H26" s="47" t="n">
        <f aca="false">-'P04 TTLSilo Calc'!H36</f>
        <v>-0</v>
      </c>
      <c r="I26" s="47" t="n">
        <f aca="false">-'P04 TTLSilo Calc'!I36</f>
        <v>-61.1938095</v>
      </c>
      <c r="J26" s="47" t="n">
        <f aca="false">-'P04 TTLSilo Calc'!J36</f>
        <v>-0</v>
      </c>
      <c r="K26" s="47" t="n">
        <f aca="false">-'P04 TTLSilo Calc'!K36</f>
        <v>-0</v>
      </c>
      <c r="L26" s="47" t="n">
        <f aca="false">-'P04 TTLSilo Calc'!L36</f>
        <v>-0</v>
      </c>
      <c r="M26" s="47" t="n">
        <f aca="false">-'P04 TTLSilo Calc'!M36</f>
        <v>-0</v>
      </c>
      <c r="N26" s="47" t="n">
        <f aca="false">-'P04 TTLSilo Calc'!N36</f>
        <v>-0</v>
      </c>
      <c r="O26" s="47" t="n">
        <f aca="false">-'P04 TTLSilo Calc'!O36</f>
        <v>-0</v>
      </c>
      <c r="P26" s="47" t="n">
        <f aca="false">-'P04 TTLSilo Calc'!P36</f>
        <v>-0</v>
      </c>
      <c r="Q26" s="47" t="n">
        <f aca="false">-'P04 TTLSilo Calc'!Q36</f>
        <v>-0</v>
      </c>
      <c r="R26" s="47" t="n">
        <f aca="false">-'P04 TTLSilo Calc'!R36</f>
        <v>-0</v>
      </c>
      <c r="S26" s="47" t="n">
        <f aca="false">-'P04 TTLSilo Calc'!S36</f>
        <v>-0</v>
      </c>
    </row>
    <row r="27" customFormat="false" ht="15" hidden="false" customHeight="false" outlineLevel="0" collapsed="false">
      <c r="B27" s="24" t="s">
        <v>651</v>
      </c>
      <c r="C27" s="25" t="s">
        <v>170</v>
      </c>
      <c r="E27" s="47" t="n">
        <f aca="false">SUM(F27:S27)</f>
        <v>-1.63032786885246</v>
      </c>
      <c r="F27" s="47" t="n">
        <f aca="false">-'P04 TTLSilo Calc'!F51</f>
        <v>-0</v>
      </c>
      <c r="G27" s="47" t="n">
        <f aca="false">-'P04 TTLSilo Calc'!G51</f>
        <v>-0</v>
      </c>
      <c r="H27" s="47" t="n">
        <f aca="false">-'P04 TTLSilo Calc'!H51</f>
        <v>-0</v>
      </c>
      <c r="I27" s="47" t="n">
        <f aca="false">-'P04 TTLSilo Calc'!I51</f>
        <v>-0</v>
      </c>
      <c r="J27" s="47" t="n">
        <f aca="false">-'P04 TTLSilo Calc'!J51</f>
        <v>-1.63479452054795</v>
      </c>
      <c r="K27" s="47" t="n">
        <f aca="false">-'P04 TTLSilo Calc'!K51</f>
        <v>0.0044666516954861</v>
      </c>
      <c r="L27" s="47" t="n">
        <f aca="false">-'P04 TTLSilo Calc'!L51</f>
        <v>-0.0044666516954861</v>
      </c>
      <c r="M27" s="47" t="n">
        <f aca="false">-'P04 TTLSilo Calc'!M51</f>
        <v>-0</v>
      </c>
      <c r="N27" s="47" t="n">
        <f aca="false">-'P04 TTLSilo Calc'!N51</f>
        <v>-0</v>
      </c>
      <c r="O27" s="47" t="n">
        <f aca="false">-'P04 TTLSilo Calc'!O51</f>
        <v>0.0044666516954861</v>
      </c>
      <c r="P27" s="47" t="n">
        <f aca="false">-'P04 TTLSilo Calc'!P51</f>
        <v>-0.0044666516954861</v>
      </c>
      <c r="Q27" s="47" t="n">
        <f aca="false">-'P04 TTLSilo Calc'!Q51</f>
        <v>-0</v>
      </c>
      <c r="R27" s="47" t="n">
        <f aca="false">-'P04 TTLSilo Calc'!R51</f>
        <v>-0</v>
      </c>
      <c r="S27" s="47" t="n">
        <f aca="false">-'P04 TTLSilo Calc'!S51</f>
        <v>0.0044666516954861</v>
      </c>
    </row>
    <row r="28" customFormat="false" ht="15" hidden="false" customHeight="false" outlineLevel="0" collapsed="false">
      <c r="B28" s="69" t="s">
        <v>1109</v>
      </c>
      <c r="C28" s="25" t="s">
        <v>170</v>
      </c>
      <c r="E28" s="70" t="n">
        <f aca="false">SUM(F28:S28)</f>
        <v>49.3484097227976</v>
      </c>
      <c r="F28" s="68" t="n">
        <f aca="false">F24+F25+F26+F27</f>
        <v>0</v>
      </c>
      <c r="G28" s="68" t="n">
        <f aca="false">G24+G25+G26+G27</f>
        <v>0</v>
      </c>
      <c r="H28" s="68" t="n">
        <f aca="false">H24+H25+H26+H27</f>
        <v>0</v>
      </c>
      <c r="I28" s="68" t="n">
        <f aca="false">I24+I25+I26+I27</f>
        <v>-61.1938095</v>
      </c>
      <c r="J28" s="68" t="n">
        <f aca="false">J24+J25+J26+J27</f>
        <v>9.58246018861706</v>
      </c>
      <c r="K28" s="68" t="n">
        <f aca="false">K24+K25+K26+K27</f>
        <v>11.2217213608605</v>
      </c>
      <c r="L28" s="68" t="n">
        <f aca="false">L24+L25+L26+L27</f>
        <v>11.2127880574695</v>
      </c>
      <c r="M28" s="68" t="n">
        <f aca="false">M24+M25+M26+M27</f>
        <v>11.217254709165</v>
      </c>
      <c r="N28" s="68" t="n">
        <f aca="false">N24+N25+N26+N27</f>
        <v>11.217254709165</v>
      </c>
      <c r="O28" s="68" t="n">
        <f aca="false">O24+O25+O26+O27</f>
        <v>11.2217213608605</v>
      </c>
      <c r="P28" s="68" t="n">
        <f aca="false">P24+P25+P26+P27</f>
        <v>11.2127880574695</v>
      </c>
      <c r="Q28" s="68" t="n">
        <f aca="false">Q24+Q25+Q26+Q27</f>
        <v>11.217254709165</v>
      </c>
      <c r="R28" s="68" t="n">
        <f aca="false">R24+R25+R26+R27</f>
        <v>11.217254709165</v>
      </c>
      <c r="S28" s="68" t="n">
        <f aca="false">S24+S25+S26+S27</f>
        <v>11.2217213608605</v>
      </c>
    </row>
    <row r="29" customFormat="false" ht="15" hidden="false" customHeight="false" outlineLevel="0" collapsed="false">
      <c r="B29" s="24" t="s">
        <v>354</v>
      </c>
      <c r="C29" s="25" t="s">
        <v>170</v>
      </c>
      <c r="F29" s="47" t="n">
        <f aca="false">SUM($F$28:F28)</f>
        <v>0</v>
      </c>
      <c r="G29" s="47" t="n">
        <f aca="false">SUM($F$28:G28)</f>
        <v>0</v>
      </c>
      <c r="H29" s="47" t="n">
        <f aca="false">SUM($F$28:H28)</f>
        <v>0</v>
      </c>
      <c r="I29" s="47" t="n">
        <f aca="false">SUM($F$28:I28)</f>
        <v>-61.1938095</v>
      </c>
      <c r="J29" s="47" t="n">
        <f aca="false">SUM($F$28:J28)</f>
        <v>-51.6113493113829</v>
      </c>
      <c r="K29" s="47" t="n">
        <f aca="false">SUM($F$28:K28)</f>
        <v>-40.3896279505225</v>
      </c>
      <c r="L29" s="47" t="n">
        <f aca="false">SUM($F$28:L28)</f>
        <v>-29.1768398930529</v>
      </c>
      <c r="M29" s="47" t="n">
        <f aca="false">SUM($F$28:M28)</f>
        <v>-17.9595851838879</v>
      </c>
      <c r="N29" s="47" t="n">
        <f aca="false">SUM($F$28:N28)</f>
        <v>-6.74233047472294</v>
      </c>
      <c r="O29" s="47" t="n">
        <f aca="false">SUM($F$28:O28)</f>
        <v>4.47939088613755</v>
      </c>
      <c r="P29" s="47" t="n">
        <f aca="false">SUM($F$28:P28)</f>
        <v>15.6921789436071</v>
      </c>
      <c r="Q29" s="47" t="n">
        <f aca="false">SUM($F$28:Q28)</f>
        <v>26.9094336527721</v>
      </c>
      <c r="R29" s="47" t="n">
        <f aca="false">SUM($F$28:R28)</f>
        <v>38.1266883619371</v>
      </c>
      <c r="S29" s="47" t="n">
        <f aca="false">SUM($F$28:S28)</f>
        <v>49.3484097227976</v>
      </c>
    </row>
    <row r="30" customFormat="false" ht="15" hidden="false" customHeight="false" outlineLevel="0" collapsed="false">
      <c r="B30" s="24" t="s">
        <v>1110</v>
      </c>
      <c r="C30" s="25" t="s">
        <v>170</v>
      </c>
      <c r="E30" s="47" t="n">
        <f aca="false">SUM(F30:S30)</f>
        <v>110.542219222798</v>
      </c>
      <c r="F30" s="47" t="n">
        <f aca="false">F28*'Global Inputs'!F16</f>
        <v>0</v>
      </c>
      <c r="G30" s="47" t="n">
        <f aca="false">G28*'Global Inputs'!G16</f>
        <v>0</v>
      </c>
      <c r="H30" s="47" t="n">
        <f aca="false">H28*'Global Inputs'!H16</f>
        <v>0</v>
      </c>
      <c r="I30" s="47" t="n">
        <f aca="false">I28*'Global Inputs'!I16</f>
        <v>-0</v>
      </c>
      <c r="J30" s="47" t="n">
        <f aca="false">J28*'Global Inputs'!J16</f>
        <v>9.58246018861706</v>
      </c>
      <c r="K30" s="47" t="n">
        <f aca="false">K28*'Global Inputs'!K16</f>
        <v>11.2217213608605</v>
      </c>
      <c r="L30" s="47" t="n">
        <f aca="false">L28*'Global Inputs'!L16</f>
        <v>11.2127880574695</v>
      </c>
      <c r="M30" s="47" t="n">
        <f aca="false">M28*'Global Inputs'!M16</f>
        <v>11.217254709165</v>
      </c>
      <c r="N30" s="47" t="n">
        <f aca="false">N28*'Global Inputs'!N16</f>
        <v>11.217254709165</v>
      </c>
      <c r="O30" s="47" t="n">
        <f aca="false">O28*'Global Inputs'!O16</f>
        <v>11.2217213608605</v>
      </c>
      <c r="P30" s="47" t="n">
        <f aca="false">P28*'Global Inputs'!P16</f>
        <v>11.2127880574695</v>
      </c>
      <c r="Q30" s="47" t="n">
        <f aca="false">Q28*'Global Inputs'!Q16</f>
        <v>11.217254709165</v>
      </c>
      <c r="R30" s="47" t="n">
        <f aca="false">R28*'Global Inputs'!R16</f>
        <v>11.217254709165</v>
      </c>
      <c r="S30" s="47" t="n">
        <f aca="false">S28*'Global Inputs'!S16</f>
        <v>11.2217213608605</v>
      </c>
    </row>
    <row r="31" customFormat="false" ht="15" hidden="false" customHeight="false" outlineLevel="0" collapsed="false">
      <c r="B31" s="24" t="s">
        <v>1111</v>
      </c>
      <c r="C31" s="25" t="s">
        <v>170</v>
      </c>
      <c r="E31" s="47" t="n">
        <f aca="false">SUM(F31:S31)</f>
        <v>61.1938095</v>
      </c>
      <c r="F31" s="47" t="n">
        <f aca="false">MAX(0,-F28)</f>
        <v>-0</v>
      </c>
      <c r="G31" s="47" t="n">
        <f aca="false">MAX(0,-G28)</f>
        <v>-0</v>
      </c>
      <c r="H31" s="47" t="n">
        <f aca="false">MAX(0,-H28)</f>
        <v>-0</v>
      </c>
      <c r="I31" s="47" t="n">
        <f aca="false">MAX(0,-I28)</f>
        <v>61.1938095</v>
      </c>
      <c r="J31" s="47" t="n">
        <f aca="false">MAX(0,-J28)</f>
        <v>0</v>
      </c>
      <c r="K31" s="47" t="n">
        <f aca="false">MAX(0,-K28)</f>
        <v>0</v>
      </c>
      <c r="L31" s="47" t="n">
        <f aca="false">MAX(0,-L28)</f>
        <v>0</v>
      </c>
      <c r="M31" s="47" t="n">
        <f aca="false">MAX(0,-M28)</f>
        <v>0</v>
      </c>
      <c r="N31" s="47" t="n">
        <f aca="false">MAX(0,-N28)</f>
        <v>0</v>
      </c>
      <c r="O31" s="47" t="n">
        <f aca="false">MAX(0,-O28)</f>
        <v>0</v>
      </c>
      <c r="P31" s="47" t="n">
        <f aca="false">MAX(0,-P28)</f>
        <v>0</v>
      </c>
      <c r="Q31" s="47" t="n">
        <f aca="false">MAX(0,-Q28)</f>
        <v>0</v>
      </c>
      <c r="R31" s="47" t="n">
        <f aca="false">MAX(0,-R28)</f>
        <v>0</v>
      </c>
      <c r="S31" s="47" t="n">
        <f aca="false">MAX(0,-S28)</f>
        <v>0</v>
      </c>
    </row>
    <row r="33" customFormat="false" ht="15" hidden="false" customHeight="false" outlineLevel="0" collapsed="false">
      <c r="B33" s="22" t="s">
        <v>1112</v>
      </c>
      <c r="C33" s="23"/>
      <c r="D33" s="23"/>
      <c r="E33" s="23"/>
      <c r="F33" s="23"/>
      <c r="G33" s="23"/>
      <c r="H33" s="23"/>
      <c r="I33" s="23"/>
      <c r="J33" s="23"/>
      <c r="K33" s="23"/>
      <c r="L33" s="23"/>
      <c r="M33" s="23"/>
      <c r="N33" s="23"/>
      <c r="O33" s="23"/>
      <c r="P33" s="23"/>
      <c r="Q33" s="23"/>
      <c r="R33" s="23"/>
      <c r="S33" s="23"/>
    </row>
    <row r="34" customFormat="false" ht="15" hidden="false" customHeight="false" outlineLevel="0" collapsed="false">
      <c r="B34" s="24" t="s">
        <v>1113</v>
      </c>
      <c r="C34" s="25" t="s">
        <v>240</v>
      </c>
      <c r="E34" s="44" t="n">
        <f aca="false">SUM(F34:S34)</f>
        <v>3.7623</v>
      </c>
      <c r="F34" s="44" t="n">
        <f aca="false">'P04 TTLSilo Calc'!F34</f>
        <v>0</v>
      </c>
      <c r="G34" s="44" t="n">
        <f aca="false">'P04 TTLSilo Calc'!G34</f>
        <v>0</v>
      </c>
      <c r="H34" s="44" t="n">
        <f aca="false">'P04 TTLSilo Calc'!H34</f>
        <v>0</v>
      </c>
      <c r="I34" s="44" t="n">
        <f aca="false">'P04 TTLSilo Calc'!I34</f>
        <v>3.7623</v>
      </c>
      <c r="J34" s="44" t="n">
        <f aca="false">'P04 TTLSilo Calc'!J34</f>
        <v>0</v>
      </c>
      <c r="K34" s="44" t="n">
        <f aca="false">'P04 TTLSilo Calc'!K34</f>
        <v>0</v>
      </c>
      <c r="L34" s="44" t="n">
        <f aca="false">'P04 TTLSilo Calc'!L34</f>
        <v>0</v>
      </c>
      <c r="M34" s="44" t="n">
        <f aca="false">'P04 TTLSilo Calc'!M34</f>
        <v>0</v>
      </c>
      <c r="N34" s="44" t="n">
        <f aca="false">'P04 TTLSilo Calc'!N34</f>
        <v>0</v>
      </c>
      <c r="O34" s="44" t="n">
        <f aca="false">'P04 TTLSilo Calc'!O34</f>
        <v>0</v>
      </c>
      <c r="P34" s="44" t="n">
        <f aca="false">'P04 TTLSilo Calc'!P34</f>
        <v>0</v>
      </c>
      <c r="Q34" s="44" t="n">
        <f aca="false">'P04 TTLSilo Calc'!Q34</f>
        <v>0</v>
      </c>
      <c r="R34" s="44" t="n">
        <f aca="false">'P04 TTLSilo Calc'!R34</f>
        <v>0</v>
      </c>
      <c r="S34" s="44" t="n">
        <f aca="false">'P04 TTLSilo Calc'!S34</f>
        <v>0</v>
      </c>
    </row>
    <row r="35" customFormat="false" ht="15" hidden="false" customHeight="false" outlineLevel="0" collapsed="false">
      <c r="B35" s="24" t="s">
        <v>1114</v>
      </c>
      <c r="C35" s="25" t="s">
        <v>170</v>
      </c>
      <c r="E35" s="47" t="n">
        <f aca="false">SUM(F35:S35)</f>
        <v>61.1938095</v>
      </c>
      <c r="F35" s="47" t="n">
        <f aca="false">'P04 TTLSilo Calc'!F36</f>
        <v>0</v>
      </c>
      <c r="G35" s="47" t="n">
        <f aca="false">'P04 TTLSilo Calc'!G36</f>
        <v>0</v>
      </c>
      <c r="H35" s="47" t="n">
        <f aca="false">'P04 TTLSilo Calc'!H36</f>
        <v>0</v>
      </c>
      <c r="I35" s="47" t="n">
        <f aca="false">'P04 TTLSilo Calc'!I36</f>
        <v>61.1938095</v>
      </c>
      <c r="J35" s="47" t="n">
        <f aca="false">'P04 TTLSilo Calc'!J36</f>
        <v>0</v>
      </c>
      <c r="K35" s="47" t="n">
        <f aca="false">'P04 TTLSilo Calc'!K36</f>
        <v>0</v>
      </c>
      <c r="L35" s="47" t="n">
        <f aca="false">'P04 TTLSilo Calc'!L36</f>
        <v>0</v>
      </c>
      <c r="M35" s="47" t="n">
        <f aca="false">'P04 TTLSilo Calc'!M36</f>
        <v>0</v>
      </c>
      <c r="N35" s="47" t="n">
        <f aca="false">'P04 TTLSilo Calc'!N36</f>
        <v>0</v>
      </c>
      <c r="O35" s="47" t="n">
        <f aca="false">'P04 TTLSilo Calc'!O36</f>
        <v>0</v>
      </c>
      <c r="P35" s="47" t="n">
        <f aca="false">'P04 TTLSilo Calc'!P36</f>
        <v>0</v>
      </c>
      <c r="Q35" s="47" t="n">
        <f aca="false">'P04 TTLSilo Calc'!Q36</f>
        <v>0</v>
      </c>
      <c r="R35" s="47" t="n">
        <f aca="false">'P04 TTLSilo Calc'!R36</f>
        <v>0</v>
      </c>
      <c r="S35" s="47" t="n">
        <f aca="false">'P04 TTLSilo Calc'!S36</f>
        <v>0</v>
      </c>
    </row>
    <row r="36" customFormat="false" ht="15" hidden="false" customHeight="false" outlineLevel="0" collapsed="false">
      <c r="B36" s="24" t="s">
        <v>1115</v>
      </c>
      <c r="C36" s="25" t="s">
        <v>170</v>
      </c>
      <c r="F36" s="47" t="n">
        <f aca="false">'P04 TTLSilo Calc'!F43</f>
        <v>0</v>
      </c>
      <c r="G36" s="47" t="n">
        <f aca="false">'P04 TTLSilo Calc'!G43</f>
        <v>0</v>
      </c>
      <c r="H36" s="47" t="n">
        <f aca="false">'P04 TTLSilo Calc'!H43</f>
        <v>0</v>
      </c>
      <c r="I36" s="47" t="n">
        <f aca="false">'P04 TTLSilo Calc'!I43</f>
        <v>61.1938095</v>
      </c>
      <c r="J36" s="47" t="n">
        <f aca="false">'P04 TTLSilo Calc'!J43</f>
        <v>57.00203354925</v>
      </c>
      <c r="K36" s="47" t="n">
        <f aca="false">'P04 TTLSilo Calc'!K43</f>
        <v>52.8102575985</v>
      </c>
      <c r="L36" s="47" t="n">
        <f aca="false">'P04 TTLSilo Calc'!L43</f>
        <v>48.61848164775</v>
      </c>
      <c r="M36" s="47" t="n">
        <f aca="false">'P04 TTLSilo Calc'!M43</f>
        <v>44.426705697</v>
      </c>
      <c r="N36" s="47" t="n">
        <f aca="false">'P04 TTLSilo Calc'!N43</f>
        <v>40.23492974625</v>
      </c>
      <c r="O36" s="47" t="n">
        <f aca="false">'P04 TTLSilo Calc'!O43</f>
        <v>36.0431537955</v>
      </c>
      <c r="P36" s="47" t="n">
        <f aca="false">'P04 TTLSilo Calc'!P43</f>
        <v>31.85137784475</v>
      </c>
      <c r="Q36" s="47" t="n">
        <f aca="false">'P04 TTLSilo Calc'!Q43</f>
        <v>27.659601894</v>
      </c>
      <c r="R36" s="47" t="n">
        <f aca="false">'P04 TTLSilo Calc'!R43</f>
        <v>23.46782594325</v>
      </c>
      <c r="S36" s="47" t="n">
        <f aca="false">'P04 TTLSilo Calc'!S43</f>
        <v>19.2760499925</v>
      </c>
    </row>
    <row r="37" customFormat="false" ht="15" hidden="false" customHeight="false" outlineLevel="0" collapsed="false">
      <c r="B37" s="24" t="s">
        <v>463</v>
      </c>
      <c r="C37" s="25" t="s">
        <v>170</v>
      </c>
      <c r="F37" s="47" t="n">
        <f aca="false">'P04 TTLSilo Calc'!F48</f>
        <v>0</v>
      </c>
      <c r="G37" s="47" t="n">
        <f aca="false">'P04 TTLSilo Calc'!G48</f>
        <v>0</v>
      </c>
      <c r="H37" s="47" t="n">
        <f aca="false">'P04 TTLSilo Calc'!H48</f>
        <v>0</v>
      </c>
      <c r="I37" s="47" t="n">
        <f aca="false">'P04 TTLSilo Calc'!I48</f>
        <v>0</v>
      </c>
      <c r="J37" s="47" t="n">
        <f aca="false">'P04 TTLSilo Calc'!J48</f>
        <v>1.63479452054795</v>
      </c>
      <c r="K37" s="47" t="n">
        <f aca="false">'P04 TTLSilo Calc'!K48</f>
        <v>1.63032786885246</v>
      </c>
      <c r="L37" s="47" t="n">
        <f aca="false">'P04 TTLSilo Calc'!L48</f>
        <v>1.63479452054795</v>
      </c>
      <c r="M37" s="47" t="n">
        <f aca="false">'P04 TTLSilo Calc'!M48</f>
        <v>1.63479452054795</v>
      </c>
      <c r="N37" s="47" t="n">
        <f aca="false">'P04 TTLSilo Calc'!N48</f>
        <v>1.63479452054795</v>
      </c>
      <c r="O37" s="47" t="n">
        <f aca="false">'P04 TTLSilo Calc'!O48</f>
        <v>1.63032786885246</v>
      </c>
      <c r="P37" s="47" t="n">
        <f aca="false">'P04 TTLSilo Calc'!P48</f>
        <v>1.63479452054795</v>
      </c>
      <c r="Q37" s="47" t="n">
        <f aca="false">'P04 TTLSilo Calc'!Q48</f>
        <v>1.63479452054795</v>
      </c>
      <c r="R37" s="47" t="n">
        <f aca="false">'P04 TTLSilo Calc'!R48</f>
        <v>1.63479452054795</v>
      </c>
      <c r="S37" s="47" t="n">
        <f aca="false">'P04 TTLSilo Calc'!S48</f>
        <v>1.63032786885246</v>
      </c>
    </row>
    <row r="38" customFormat="false" ht="15" hidden="false" customHeight="false" outlineLevel="0" collapsed="false">
      <c r="B38" s="24" t="s">
        <v>1116</v>
      </c>
      <c r="C38" s="25" t="s">
        <v>170</v>
      </c>
      <c r="F38" s="47" t="n">
        <f aca="false">-'P04 TTLSilo Calc'!F49</f>
        <v>-0</v>
      </c>
      <c r="G38" s="47" t="n">
        <f aca="false">-'P04 TTLSilo Calc'!G49</f>
        <v>-0</v>
      </c>
      <c r="H38" s="47" t="n">
        <f aca="false">-'P04 TTLSilo Calc'!H49</f>
        <v>-0</v>
      </c>
      <c r="I38" s="47" t="n">
        <f aca="false">-'P04 TTLSilo Calc'!I49</f>
        <v>-0</v>
      </c>
      <c r="J38" s="47" t="n">
        <f aca="false">-'P04 TTLSilo Calc'!J49</f>
        <v>-0</v>
      </c>
      <c r="K38" s="47" t="n">
        <f aca="false">-'P04 TTLSilo Calc'!K49</f>
        <v>-0</v>
      </c>
      <c r="L38" s="47" t="n">
        <f aca="false">-'P04 TTLSilo Calc'!L49</f>
        <v>-0</v>
      </c>
      <c r="M38" s="47" t="n">
        <f aca="false">-'P04 TTLSilo Calc'!M49</f>
        <v>-0</v>
      </c>
      <c r="N38" s="47" t="n">
        <f aca="false">-'P04 TTLSilo Calc'!N49</f>
        <v>-0</v>
      </c>
      <c r="O38" s="47" t="n">
        <f aca="false">-'P04 TTLSilo Calc'!O49</f>
        <v>-0</v>
      </c>
      <c r="P38" s="47" t="n">
        <f aca="false">-'P04 TTLSilo Calc'!P49</f>
        <v>-0</v>
      </c>
      <c r="Q38" s="47" t="n">
        <f aca="false">-'P04 TTLSilo Calc'!Q49</f>
        <v>-0</v>
      </c>
      <c r="R38" s="47" t="n">
        <f aca="false">-'P04 TTLSilo Calc'!R49</f>
        <v>-0</v>
      </c>
      <c r="S38" s="47" t="n">
        <f aca="false">-'P04 TTLSilo Calc'!S49</f>
        <v>-0</v>
      </c>
    </row>
    <row r="39" customFormat="false" ht="15" hidden="false" customHeight="false" outlineLevel="0" collapsed="false">
      <c r="B39" s="69" t="s">
        <v>1117</v>
      </c>
      <c r="C39" s="25" t="s">
        <v>170</v>
      </c>
      <c r="F39" s="68" t="n">
        <f aca="false">F36+F37+F38</f>
        <v>0</v>
      </c>
      <c r="G39" s="68" t="n">
        <f aca="false">G36+G37+G38</f>
        <v>0</v>
      </c>
      <c r="H39" s="68" t="n">
        <f aca="false">H36+H37+H38</f>
        <v>0</v>
      </c>
      <c r="I39" s="68" t="n">
        <f aca="false">I36+I37+I38</f>
        <v>61.1938095</v>
      </c>
      <c r="J39" s="68" t="n">
        <f aca="false">J36+J37+J38</f>
        <v>58.6368280697979</v>
      </c>
      <c r="K39" s="68" t="n">
        <f aca="false">K36+K37+K38</f>
        <v>54.4405854673525</v>
      </c>
      <c r="L39" s="68" t="n">
        <f aca="false">L36+L37+L38</f>
        <v>50.2532761682979</v>
      </c>
      <c r="M39" s="68" t="n">
        <f aca="false">M36+M37+M38</f>
        <v>46.0615002175479</v>
      </c>
      <c r="N39" s="68" t="n">
        <f aca="false">N36+N37+N38</f>
        <v>41.8697242667979</v>
      </c>
      <c r="O39" s="68" t="n">
        <f aca="false">O36+O37+O38</f>
        <v>37.6734816643525</v>
      </c>
      <c r="P39" s="68" t="n">
        <f aca="false">P36+P37+P38</f>
        <v>33.4861723652979</v>
      </c>
      <c r="Q39" s="68" t="n">
        <f aca="false">Q36+Q37+Q38</f>
        <v>29.294396414548</v>
      </c>
      <c r="R39" s="68" t="n">
        <f aca="false">R36+R37+R38</f>
        <v>25.102620463798</v>
      </c>
      <c r="S39" s="68" t="n">
        <f aca="false">S36+S37+S38</f>
        <v>20.9063778613525</v>
      </c>
    </row>
    <row r="41" customFormat="false" ht="15" hidden="false" customHeight="false" outlineLevel="0" collapsed="false">
      <c r="B41" s="22" t="s">
        <v>1119</v>
      </c>
      <c r="C41" s="23"/>
      <c r="D41" s="23"/>
      <c r="E41" s="23"/>
      <c r="F41" s="23"/>
      <c r="G41" s="23"/>
      <c r="H41" s="23"/>
      <c r="I41" s="23"/>
      <c r="J41" s="23"/>
      <c r="K41" s="23"/>
      <c r="L41" s="23"/>
      <c r="M41" s="23"/>
      <c r="N41" s="23"/>
      <c r="O41" s="23"/>
      <c r="P41" s="23"/>
      <c r="Q41" s="23"/>
      <c r="R41" s="23"/>
      <c r="S41" s="23"/>
    </row>
    <row r="42" customFormat="false" ht="15" hidden="false" customHeight="false" outlineLevel="0" collapsed="false">
      <c r="B42" s="24" t="s">
        <v>1120</v>
      </c>
      <c r="C42" s="25" t="s">
        <v>143</v>
      </c>
      <c r="F42" s="30" t="n">
        <f aca="false">0</f>
        <v>0</v>
      </c>
      <c r="G42" s="30" t="n">
        <f aca="false">MIN(1,F42+F43)</f>
        <v>0</v>
      </c>
      <c r="H42" s="30" t="n">
        <f aca="false">MIN(1,G42+G43)</f>
        <v>0</v>
      </c>
      <c r="I42" s="30" t="n">
        <f aca="false">MIN(1,H42+H43)</f>
        <v>0</v>
      </c>
      <c r="J42" s="30" t="n">
        <f aca="false">MIN(1,I42+I43)</f>
        <v>0</v>
      </c>
      <c r="K42" s="30" t="n">
        <f aca="false">MIN(1,J42+J43)</f>
        <v>0</v>
      </c>
      <c r="L42" s="30" t="n">
        <f aca="false">MIN(1,K42+K43)</f>
        <v>0</v>
      </c>
      <c r="M42" s="30" t="n">
        <f aca="false">MIN(1,L42+L43)</f>
        <v>0</v>
      </c>
      <c r="N42" s="30" t="n">
        <f aca="false">MIN(1,M42+M43)</f>
        <v>0</v>
      </c>
      <c r="O42" s="30" t="n">
        <f aca="false">MIN(1,N42+N43)</f>
        <v>0</v>
      </c>
      <c r="P42" s="30" t="n">
        <f aca="false">MIN(1,O42+O43)</f>
        <v>1</v>
      </c>
      <c r="Q42" s="30" t="n">
        <f aca="false">MIN(1,P42+P43)</f>
        <v>1</v>
      </c>
      <c r="R42" s="30" t="n">
        <f aca="false">MIN(1,Q42+Q43)</f>
        <v>1</v>
      </c>
      <c r="S42" s="30" t="n">
        <f aca="false">MIN(1,R42+R43)</f>
        <v>1</v>
      </c>
    </row>
    <row r="43" customFormat="false" ht="15" hidden="false" customHeight="false" outlineLevel="0" collapsed="false">
      <c r="B43" s="24" t="s">
        <v>1121</v>
      </c>
      <c r="C43" s="25" t="s">
        <v>143</v>
      </c>
      <c r="F43" s="30" t="n">
        <f aca="false">0</f>
        <v>0</v>
      </c>
      <c r="G43" s="30" t="n">
        <f aca="false">IF(AND(G29&gt;=0,F29&lt;0,G42=0),1,0)</f>
        <v>0</v>
      </c>
      <c r="H43" s="30" t="n">
        <f aca="false">IF(AND(H29&gt;=0,G29&lt;0,H42=0),1,0)</f>
        <v>0</v>
      </c>
      <c r="I43" s="30" t="n">
        <f aca="false">IF(AND(I29&gt;=0,H29&lt;0,I42=0),1,0)</f>
        <v>0</v>
      </c>
      <c r="J43" s="30" t="n">
        <f aca="false">IF(AND(J29&gt;=0,I29&lt;0,J42=0),1,0)</f>
        <v>0</v>
      </c>
      <c r="K43" s="30" t="n">
        <f aca="false">IF(AND(K29&gt;=0,J29&lt;0,K42=0),1,0)</f>
        <v>0</v>
      </c>
      <c r="L43" s="30" t="n">
        <f aca="false">IF(AND(L29&gt;=0,K29&lt;0,L42=0),1,0)</f>
        <v>0</v>
      </c>
      <c r="M43" s="30" t="n">
        <f aca="false">IF(AND(M29&gt;=0,L29&lt;0,M42=0),1,0)</f>
        <v>0</v>
      </c>
      <c r="N43" s="30" t="n">
        <f aca="false">IF(AND(N29&gt;=0,M29&lt;0,N42=0),1,0)</f>
        <v>0</v>
      </c>
      <c r="O43" s="30" t="n">
        <f aca="false">IF(AND(O29&gt;=0,N29&lt;0,O42=0),1,0)</f>
        <v>1</v>
      </c>
      <c r="P43" s="30" t="n">
        <f aca="false">IF(AND(P29&gt;=0,O29&lt;0,P42=0),1,0)</f>
        <v>0</v>
      </c>
      <c r="Q43" s="30" t="n">
        <f aca="false">IF(AND(Q29&gt;=0,P29&lt;0,Q42=0),1,0)</f>
        <v>0</v>
      </c>
      <c r="R43" s="30" t="n">
        <f aca="false">IF(AND(R29&gt;=0,Q29&lt;0,R42=0),1,0)</f>
        <v>0</v>
      </c>
      <c r="S43" s="30" t="n">
        <f aca="false">IF(AND(S29&gt;=0,R29&lt;0,S42=0),1,0)</f>
        <v>0</v>
      </c>
    </row>
    <row r="44" customFormat="false" ht="15" hidden="false" customHeight="false" outlineLevel="0" collapsed="false">
      <c r="B44" s="24" t="s">
        <v>1122</v>
      </c>
      <c r="C44" s="25" t="s">
        <v>170</v>
      </c>
      <c r="F44" s="47" t="n">
        <f aca="false">IF(F$5='Global Inputs'!$E$14,F28*(1+'Global Inputs'!$E$54)/('Global Inputs'!$E$53-'Global Inputs'!$E$54),0)</f>
        <v>0</v>
      </c>
      <c r="G44" s="47" t="n">
        <f aca="false">IF(G$5='Global Inputs'!$E$14,G28*(1+'Global Inputs'!$E$54)/('Global Inputs'!$E$53-'Global Inputs'!$E$54),0)</f>
        <v>0</v>
      </c>
      <c r="H44" s="47" t="n">
        <f aca="false">IF(H$5='Global Inputs'!$E$14,H28*(1+'Global Inputs'!$E$54)/('Global Inputs'!$E$53-'Global Inputs'!$E$54),0)</f>
        <v>0</v>
      </c>
      <c r="I44" s="47" t="n">
        <f aca="false">IF(I$5='Global Inputs'!$E$14,I28*(1+'Global Inputs'!$E$54)/('Global Inputs'!$E$53-'Global Inputs'!$E$54),0)</f>
        <v>0</v>
      </c>
      <c r="J44" s="47" t="n">
        <f aca="false">IF(J$5='Global Inputs'!$E$14,J28*(1+'Global Inputs'!$E$54)/('Global Inputs'!$E$53-'Global Inputs'!$E$54),0)</f>
        <v>0</v>
      </c>
      <c r="K44" s="47" t="n">
        <f aca="false">IF(K$5='Global Inputs'!$E$14,K28*(1+'Global Inputs'!$E$54)/('Global Inputs'!$E$53-'Global Inputs'!$E$54),0)</f>
        <v>0</v>
      </c>
      <c r="L44" s="47" t="n">
        <f aca="false">IF(L$5='Global Inputs'!$E$14,L28*(1+'Global Inputs'!$E$54)/('Global Inputs'!$E$53-'Global Inputs'!$E$54),0)</f>
        <v>0</v>
      </c>
      <c r="M44" s="47" t="n">
        <f aca="false">IF(M$5='Global Inputs'!$E$14,M28*(1+'Global Inputs'!$E$54)/('Global Inputs'!$E$53-'Global Inputs'!$E$54),0)</f>
        <v>0</v>
      </c>
      <c r="N44" s="47" t="n">
        <f aca="false">IF(N$5='Global Inputs'!$E$14,N28*(1+'Global Inputs'!$E$54)/('Global Inputs'!$E$53-'Global Inputs'!$E$54),0)</f>
        <v>0</v>
      </c>
      <c r="O44" s="47" t="n">
        <f aca="false">IF(O$5='Global Inputs'!$E$14,O28*(1+'Global Inputs'!$E$54)/('Global Inputs'!$E$53-'Global Inputs'!$E$54),0)</f>
        <v>0</v>
      </c>
      <c r="P44" s="47" t="n">
        <f aca="false">IF(P$5='Global Inputs'!$E$14,P28*(1+'Global Inputs'!$E$54)/('Global Inputs'!$E$53-'Global Inputs'!$E$54),0)</f>
        <v>0</v>
      </c>
      <c r="Q44" s="47" t="n">
        <f aca="false">IF(Q$5='Global Inputs'!$E$14,Q28*(1+'Global Inputs'!$E$54)/('Global Inputs'!$E$53-'Global Inputs'!$E$54),0)</f>
        <v>0</v>
      </c>
      <c r="R44" s="47" t="n">
        <f aca="false">IF(R$5='Global Inputs'!$E$14,R28*(1+'Global Inputs'!$E$54)/('Global Inputs'!$E$53-'Global Inputs'!$E$54),0)</f>
        <v>0</v>
      </c>
      <c r="S44" s="47" t="n">
        <f aca="false">IF(S$5='Global Inputs'!$E$14,S28*(1+'Global Inputs'!$E$54)/('Global Inputs'!$E$53-'Global Inputs'!$E$54),0)</f>
        <v>130.359864191086</v>
      </c>
    </row>
    <row r="45" customFormat="false" ht="15" hidden="false" customHeight="false" outlineLevel="0" collapsed="false">
      <c r="B45" s="24" t="s">
        <v>1123</v>
      </c>
      <c r="C45" s="25" t="s">
        <v>170</v>
      </c>
      <c r="F45" s="47" t="n">
        <f aca="false">F28+F44</f>
        <v>0</v>
      </c>
      <c r="G45" s="47" t="n">
        <f aca="false">G28+G44</f>
        <v>0</v>
      </c>
      <c r="H45" s="47" t="n">
        <f aca="false">H28+H44</f>
        <v>0</v>
      </c>
      <c r="I45" s="47" t="n">
        <f aca="false">I28+I44</f>
        <v>-61.1938095</v>
      </c>
      <c r="J45" s="47" t="n">
        <f aca="false">J28+J44</f>
        <v>9.58246018861706</v>
      </c>
      <c r="K45" s="47" t="n">
        <f aca="false">K28+K44</f>
        <v>11.2217213608605</v>
      </c>
      <c r="L45" s="47" t="n">
        <f aca="false">L28+L44</f>
        <v>11.2127880574695</v>
      </c>
      <c r="M45" s="47" t="n">
        <f aca="false">M28+M44</f>
        <v>11.217254709165</v>
      </c>
      <c r="N45" s="47" t="n">
        <f aca="false">N28+N44</f>
        <v>11.217254709165</v>
      </c>
      <c r="O45" s="47" t="n">
        <f aca="false">O28+O44</f>
        <v>11.2217213608605</v>
      </c>
      <c r="P45" s="47" t="n">
        <f aca="false">P28+P44</f>
        <v>11.2127880574695</v>
      </c>
      <c r="Q45" s="47" t="n">
        <f aca="false">Q28+Q44</f>
        <v>11.217254709165</v>
      </c>
      <c r="R45" s="47" t="n">
        <f aca="false">R28+R44</f>
        <v>11.217254709165</v>
      </c>
      <c r="S45" s="47" t="n">
        <f aca="false">S28+S44</f>
        <v>141.581585551946</v>
      </c>
    </row>
    <row r="46" customFormat="false" ht="15" hidden="false" customHeight="false" outlineLevel="0" collapsed="false">
      <c r="B46" s="24" t="s">
        <v>1124</v>
      </c>
      <c r="C46" s="25" t="s">
        <v>170</v>
      </c>
      <c r="E46" s="47" t="n">
        <f aca="false">SUM(F46:S46)</f>
        <v>104.744450946781</v>
      </c>
      <c r="F46" s="47" t="n">
        <f aca="false">F45*'Global Inputs'!F18</f>
        <v>0</v>
      </c>
      <c r="G46" s="47" t="n">
        <f aca="false">G45*'Global Inputs'!G18</f>
        <v>0</v>
      </c>
      <c r="H46" s="47" t="n">
        <f aca="false">H45*'Global Inputs'!H18</f>
        <v>0</v>
      </c>
      <c r="I46" s="47" t="n">
        <f aca="false">I45*'Global Inputs'!I18</f>
        <v>-0</v>
      </c>
      <c r="J46" s="47" t="n">
        <f aca="false">J45*'Global Inputs'!J18</f>
        <v>8.56597744695665</v>
      </c>
      <c r="K46" s="47" t="n">
        <f aca="false">K45*'Global Inputs'!K18</f>
        <v>8.96725018865058</v>
      </c>
      <c r="L46" s="47" t="n">
        <f aca="false">L45*'Global Inputs'!L18</f>
        <v>8.00964600351898</v>
      </c>
      <c r="M46" s="47" t="n">
        <f aca="false">M45*'Global Inputs'!M18</f>
        <v>7.16285555845695</v>
      </c>
      <c r="N46" s="47" t="n">
        <f aca="false">N45*'Global Inputs'!N18</f>
        <v>6.40303825550309</v>
      </c>
      <c r="O46" s="47" t="n">
        <f aca="false">O45*'Global Inputs'!O18</f>
        <v>5.72609961378253</v>
      </c>
      <c r="P46" s="47" t="n">
        <f aca="false">P45*'Global Inputs'!P18</f>
        <v>5.11461483982378</v>
      </c>
      <c r="Q46" s="47" t="n">
        <f aca="false">Q45*'Global Inputs'!Q18</f>
        <v>4.5738909458299</v>
      </c>
      <c r="R46" s="47" t="n">
        <f aca="false">R45*'Global Inputs'!R18</f>
        <v>4.08870435312214</v>
      </c>
      <c r="S46" s="47" t="n">
        <f aca="false">S45*'Global Inputs'!S18</f>
        <v>46.1323737411363</v>
      </c>
    </row>
    <row r="47" customFormat="false" ht="15" hidden="false" customHeight="false" outlineLevel="0" collapsed="false">
      <c r="B47" s="24" t="s">
        <v>1125</v>
      </c>
      <c r="C47" s="25" t="s">
        <v>170</v>
      </c>
      <c r="E47" s="47" t="n">
        <f aca="false">SUM($F$46:$S$46)</f>
        <v>104.744450946781</v>
      </c>
    </row>
    <row r="48" customFormat="false" ht="15" hidden="false" customHeight="false" outlineLevel="0" collapsed="false">
      <c r="B48" s="24" t="s">
        <v>1126</v>
      </c>
      <c r="C48" s="25" t="s">
        <v>170</v>
      </c>
      <c r="E48" s="47" t="n">
        <f aca="false">SUMPRODUCT($F$28:$S$28,'Global Inputs'!$F$18:$S$18)</f>
        <v>62.2685177082703</v>
      </c>
    </row>
    <row r="49" customFormat="false" ht="15" hidden="false" customHeight="false" outlineLevel="0" collapsed="false">
      <c r="B49" s="24" t="s">
        <v>1831</v>
      </c>
      <c r="C49" s="25" t="s">
        <v>160</v>
      </c>
      <c r="E49" s="49" t="n">
        <f aca="false">IFERROR(IRR($F$28:$S$28),"n/a")</f>
        <v>0.122848661216462</v>
      </c>
    </row>
    <row r="50" customFormat="false" ht="15" hidden="false" customHeight="false" outlineLevel="0" collapsed="false">
      <c r="B50" s="24" t="s">
        <v>1832</v>
      </c>
      <c r="C50" s="25" t="s">
        <v>160</v>
      </c>
      <c r="E50" s="49" t="n">
        <f aca="false">IFERROR(IRR($F$45:$S$45),"n/a")</f>
        <v>0.217662946755342</v>
      </c>
    </row>
    <row r="51" customFormat="false" ht="15" hidden="false" customHeight="false" outlineLevel="0" collapsed="false">
      <c r="B51" s="24" t="s">
        <v>1128</v>
      </c>
      <c r="C51" s="25" t="s">
        <v>160</v>
      </c>
      <c r="E51" s="49" t="str">
        <f aca="false">"= project IRR (no project-level debt in v29; corporate LT loan is not project debt)"</f>
        <v>= project IRR (no project-level debt in v29; corporate LT loan is not project debt)</v>
      </c>
    </row>
    <row r="52" customFormat="false" ht="15" hidden="false" customHeight="false" outlineLevel="0" collapsed="false">
      <c r="B52" s="24" t="s">
        <v>1129</v>
      </c>
      <c r="C52" s="25" t="s">
        <v>135</v>
      </c>
      <c r="E52" s="29" t="n">
        <f aca="false">IF(SUM($F$43:$S$43)=0,"not within horizon",SUMPRODUCT($F$43:$S$43,'Global Inputs'!$F$15:$S$15))</f>
        <v>2032</v>
      </c>
    </row>
    <row r="53" customFormat="false" ht="15" hidden="false" customHeight="false" outlineLevel="0" collapsed="false">
      <c r="B53" s="24" t="s">
        <v>1130</v>
      </c>
      <c r="C53" s="25" t="s">
        <v>135</v>
      </c>
      <c r="E53" s="29" t="n">
        <f aca="false">IF(SUM('P04 TTLSilo Calc'!$F$34:$S$34)=0,"n/a",SUMPRODUCT('P04 TTLSilo Calc'!$F$44:$S$44,'Global Inputs'!$F$15:$S$15))</f>
        <v>2026</v>
      </c>
    </row>
    <row r="54" customFormat="false" ht="15" hidden="false" customHeight="false" outlineLevel="0" collapsed="false">
      <c r="B54" s="24" t="s">
        <v>1131</v>
      </c>
      <c r="C54" s="25" t="s">
        <v>240</v>
      </c>
      <c r="E54" s="44" t="n">
        <f aca="false">'P04 TTLSilo Input'!$E$39</f>
        <v>3.7623</v>
      </c>
    </row>
    <row r="55" customFormat="false" ht="15" hidden="false" customHeight="false" outlineLevel="0" collapsed="false">
      <c r="B55" s="24" t="s">
        <v>1132</v>
      </c>
      <c r="C55" s="25" t="s">
        <v>240</v>
      </c>
      <c r="E55" s="44" t="n">
        <f aca="false">'P04 TTLSilo Input'!$E$45</f>
        <v>0</v>
      </c>
    </row>
    <row r="57" customFormat="false" ht="15" hidden="false" customHeight="false" outlineLevel="0" collapsed="false">
      <c r="B57" s="22" t="s">
        <v>1133</v>
      </c>
      <c r="C57" s="23"/>
      <c r="D57" s="23"/>
      <c r="E57" s="23"/>
      <c r="F57" s="23"/>
      <c r="G57" s="23"/>
      <c r="H57" s="23"/>
      <c r="I57" s="23"/>
      <c r="J57" s="23"/>
      <c r="K57" s="23"/>
      <c r="L57" s="23"/>
      <c r="M57" s="23"/>
      <c r="N57" s="23"/>
      <c r="O57" s="23"/>
      <c r="P57" s="23"/>
      <c r="Q57" s="23"/>
      <c r="R57" s="23"/>
      <c r="S57" s="23"/>
    </row>
    <row r="58" customFormat="false" ht="15" hidden="false" customHeight="false" outlineLevel="0" collapsed="false">
      <c r="B58" s="24" t="s">
        <v>1134</v>
      </c>
      <c r="C58" s="25" t="s">
        <v>180</v>
      </c>
      <c r="E58" s="29" t="n">
        <f aca="false">'P04 TTLSilo Input'!$E$22*IF('P04 TTLSilo Input'!$E$23=1,1,0)</f>
        <v>1</v>
      </c>
    </row>
    <row r="59" customFormat="false" ht="15" hidden="false" customHeight="false" outlineLevel="0" collapsed="false">
      <c r="B59" s="24" t="s">
        <v>1135</v>
      </c>
      <c r="C59" s="25" t="s">
        <v>180</v>
      </c>
      <c r="E59" s="29" t="n">
        <f aca="false">'P04 TTLSilo Input'!$E$22</f>
        <v>1</v>
      </c>
    </row>
    <row r="60" customFormat="false" ht="15" hidden="false" customHeight="false" outlineLevel="0" collapsed="false">
      <c r="B60" s="24" t="s">
        <v>897</v>
      </c>
      <c r="C60" s="25" t="s">
        <v>160</v>
      </c>
      <c r="E60" s="49" t="n">
        <f aca="false">'P04 TTLSilo Input'!$E$24</f>
        <v>1</v>
      </c>
    </row>
  </sheetData>
  <hyperlinks>
    <hyperlink ref="C3" r:id="rId1" location="'P04%20TTLSilo%20Input'!A1" display="Input"/>
    <hyperlink ref="D3" r:id="rId2" location="'P04%20TTLSilo%20Calc'!A1" display="Calc"/>
    <hyperlink ref="E3" r:id="rId3" location="'P04%20TTLSilo%20Output'!A1" display="Output"/>
    <hyperlink ref="F3" r:id="rId4" location="'Navigation'!A1" display="Navigation"/>
    <hyperlink ref="G3" r:id="rId5" location="'Global%20Inputs'!A1" display="Global Inputs"/>
    <hyperlink ref="H3" r:id="rId6" location="'Project%20Summary'!A1" display="Project Summary"/>
    <hyperlink ref="I3" r:id="rId7" location="'Funding%20Requirement'!A1" display="Funding"/>
    <hyperlink ref="J3" r:id="rId8" location="'FSL%20Financials%20—%20Without%20BUMN'!A1" display="FSL w/o BUMN"/>
    <hyperlink ref="K3" r:id="rId9" location="'FSL%20Financials%20—%20With%20BUMN'!A1" display="FSL w/ BUMN"/>
    <hyperlink ref="L3" r:id="rId10" location="'Valuation%20—%20Without%20BUMN'!A1" display="Val w/o BUMN"/>
    <hyperlink ref="M3" r:id="rId11" location="'Valuation%20—%20With%20BUMN'!A1" display="Val w/ BUMN"/>
    <hyperlink ref="N3" r:id="rId12" location="'Checks'!A1" display="Checks"/>
    <hyperlink ref="O3" r:id="rId13" location="'Model%20Flow'!A1" display="Model Flow"/>
  </hyperlink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D966"/>
    <pageSetUpPr fitToPage="true"/>
  </sheetPr>
  <dimension ref="B1:U5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5" ySplit="9" topLeftCell="F10" activePane="bottomRight" state="frozen"/>
      <selection pane="topLeft" activeCell="A1" activeCellId="0" sqref="A1"/>
      <selection pane="topRight" activeCell="F1" activeCellId="0" sqref="F1"/>
      <selection pane="bottomLeft" activeCell="A10" activeCellId="0" sqref="A10"/>
      <selection pane="bottomRigh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66"/>
    <col collapsed="false" customWidth="true" hidden="false" outlineLevel="0" max="3" min="3" style="0" width="11"/>
    <col collapsed="false" customWidth="true" hidden="false" outlineLevel="0" max="4" min="4" style="0" width="12"/>
    <col collapsed="false" customWidth="true" hidden="false" outlineLevel="0" max="5" min="5" style="0" width="13"/>
    <col collapsed="false" customWidth="true" hidden="false" outlineLevel="0" max="19" min="6" style="0" width="11.5"/>
    <col collapsed="false" customWidth="true" hidden="false" outlineLevel="0" max="20" min="20" style="0" width="40"/>
    <col collapsed="false" customWidth="true" hidden="false" outlineLevel="0" max="21" min="21" style="0" width="48"/>
  </cols>
  <sheetData>
    <row r="1" customFormat="false" ht="21.75" hidden="false" customHeight="true" outlineLevel="0" collapsed="false">
      <c r="B1" s="1" t="s">
        <v>1992</v>
      </c>
    </row>
    <row r="2" customFormat="false" ht="15" hidden="false" customHeight="false" outlineLevel="0" collapsed="false">
      <c r="B2" s="2" t="s">
        <v>1993</v>
      </c>
    </row>
    <row r="3" customFormat="false" ht="15" hidden="false" customHeight="false" outlineLevel="0" collapsed="false">
      <c r="B3" s="5" t="s">
        <v>112</v>
      </c>
      <c r="C3" s="17" t="s">
        <v>27</v>
      </c>
      <c r="D3" s="17" t="s">
        <v>28</v>
      </c>
      <c r="E3" s="17" t="s">
        <v>29</v>
      </c>
      <c r="F3" s="17" t="s">
        <v>113</v>
      </c>
      <c r="G3" s="17" t="s">
        <v>5</v>
      </c>
      <c r="H3" s="17" t="s">
        <v>7</v>
      </c>
      <c r="I3" s="17" t="s">
        <v>114</v>
      </c>
      <c r="J3" s="17" t="s">
        <v>115</v>
      </c>
      <c r="K3" s="17" t="s">
        <v>116</v>
      </c>
      <c r="L3" s="17" t="s">
        <v>117</v>
      </c>
      <c r="M3" s="17" t="s">
        <v>118</v>
      </c>
      <c r="N3" s="17" t="s">
        <v>21</v>
      </c>
      <c r="O3" s="17" t="s">
        <v>3</v>
      </c>
    </row>
    <row r="5" customFormat="false" ht="15" hidden="false" customHeight="false" outlineLevel="0" collapsed="false">
      <c r="B5" s="6" t="s">
        <v>119</v>
      </c>
      <c r="C5" s="6" t="s">
        <v>120</v>
      </c>
      <c r="D5" s="6" t="s">
        <v>121</v>
      </c>
      <c r="E5" s="6" t="s">
        <v>122</v>
      </c>
      <c r="F5" s="18" t="n">
        <f aca="false">'Global Inputs'!F$5</f>
        <v>2023</v>
      </c>
      <c r="G5" s="18" t="n">
        <f aca="false">'Global Inputs'!G$5</f>
        <v>2024</v>
      </c>
      <c r="H5" s="18" t="n">
        <f aca="false">'Global Inputs'!H$5</f>
        <v>2025</v>
      </c>
      <c r="I5" s="18" t="n">
        <f aca="false">'Global Inputs'!I$5</f>
        <v>2026</v>
      </c>
      <c r="J5" s="18" t="n">
        <f aca="false">'Global Inputs'!J$5</f>
        <v>2027</v>
      </c>
      <c r="K5" s="18" t="n">
        <f aca="false">'Global Inputs'!K$5</f>
        <v>2028</v>
      </c>
      <c r="L5" s="18" t="n">
        <f aca="false">'Global Inputs'!L$5</f>
        <v>2029</v>
      </c>
      <c r="M5" s="18" t="n">
        <f aca="false">'Global Inputs'!M$5</f>
        <v>2030</v>
      </c>
      <c r="N5" s="18" t="n">
        <f aca="false">'Global Inputs'!N$5</f>
        <v>2031</v>
      </c>
      <c r="O5" s="18" t="n">
        <f aca="false">'Global Inputs'!O$5</f>
        <v>2032</v>
      </c>
      <c r="P5" s="18" t="n">
        <f aca="false">'Global Inputs'!P$5</f>
        <v>2033</v>
      </c>
      <c r="Q5" s="18" t="n">
        <f aca="false">'Global Inputs'!Q$5</f>
        <v>2034</v>
      </c>
      <c r="R5" s="18" t="n">
        <f aca="false">'Global Inputs'!R$5</f>
        <v>2035</v>
      </c>
      <c r="S5" s="18" t="n">
        <f aca="false">'Global Inputs'!S$5</f>
        <v>2036</v>
      </c>
      <c r="T5" s="6" t="s">
        <v>123</v>
      </c>
      <c r="U5" s="6" t="s">
        <v>124</v>
      </c>
    </row>
    <row r="6" customFormat="false" ht="15" hidden="false" customHeight="false" outlineLevel="0" collapsed="false">
      <c r="B6" s="19" t="s">
        <v>125</v>
      </c>
      <c r="F6" s="20" t="n">
        <f aca="false">'Global Inputs'!F$6</f>
        <v>45291</v>
      </c>
      <c r="G6" s="20" t="n">
        <f aca="false">'Global Inputs'!G$6</f>
        <v>45657</v>
      </c>
      <c r="H6" s="20" t="n">
        <f aca="false">'Global Inputs'!H$6</f>
        <v>46022</v>
      </c>
      <c r="I6" s="20" t="n">
        <f aca="false">'Global Inputs'!I$6</f>
        <v>46387</v>
      </c>
      <c r="J6" s="20" t="n">
        <f aca="false">'Global Inputs'!J$6</f>
        <v>46752</v>
      </c>
      <c r="K6" s="20" t="n">
        <f aca="false">'Global Inputs'!K$6</f>
        <v>47118</v>
      </c>
      <c r="L6" s="20" t="n">
        <f aca="false">'Global Inputs'!L$6</f>
        <v>47483</v>
      </c>
      <c r="M6" s="20" t="n">
        <f aca="false">'Global Inputs'!M$6</f>
        <v>47848</v>
      </c>
      <c r="N6" s="20" t="n">
        <f aca="false">'Global Inputs'!N$6</f>
        <v>48213</v>
      </c>
      <c r="O6" s="20" t="n">
        <f aca="false">'Global Inputs'!O$6</f>
        <v>48579</v>
      </c>
      <c r="P6" s="20" t="n">
        <f aca="false">'Global Inputs'!P$6</f>
        <v>48944</v>
      </c>
      <c r="Q6" s="20" t="n">
        <f aca="false">'Global Inputs'!Q$6</f>
        <v>49309</v>
      </c>
      <c r="R6" s="20" t="n">
        <f aca="false">'Global Inputs'!R$6</f>
        <v>49674</v>
      </c>
      <c r="S6" s="20" t="n">
        <f aca="false">'Global Inputs'!S$6</f>
        <v>50040</v>
      </c>
    </row>
    <row r="7" customFormat="false" ht="15" hidden="false" customHeight="false" outlineLevel="0" collapsed="false">
      <c r="B7" s="19" t="s">
        <v>126</v>
      </c>
      <c r="F7" s="21" t="n">
        <f aca="false">'Global Inputs'!F$7</f>
        <v>365</v>
      </c>
      <c r="G7" s="21" t="n">
        <f aca="false">'Global Inputs'!G$7</f>
        <v>366</v>
      </c>
      <c r="H7" s="21" t="n">
        <f aca="false">'Global Inputs'!H$7</f>
        <v>365</v>
      </c>
      <c r="I7" s="21" t="n">
        <f aca="false">'Global Inputs'!I$7</f>
        <v>365</v>
      </c>
      <c r="J7" s="21" t="n">
        <f aca="false">'Global Inputs'!J$7</f>
        <v>365</v>
      </c>
      <c r="K7" s="21" t="n">
        <f aca="false">'Global Inputs'!K$7</f>
        <v>366</v>
      </c>
      <c r="L7" s="21" t="n">
        <f aca="false">'Global Inputs'!L$7</f>
        <v>365</v>
      </c>
      <c r="M7" s="21" t="n">
        <f aca="false">'Global Inputs'!M$7</f>
        <v>365</v>
      </c>
      <c r="N7" s="21" t="n">
        <f aca="false">'Global Inputs'!N$7</f>
        <v>365</v>
      </c>
      <c r="O7" s="21" t="n">
        <f aca="false">'Global Inputs'!O$7</f>
        <v>366</v>
      </c>
      <c r="P7" s="21" t="n">
        <f aca="false">'Global Inputs'!P$7</f>
        <v>365</v>
      </c>
      <c r="Q7" s="21" t="n">
        <f aca="false">'Global Inputs'!Q$7</f>
        <v>365</v>
      </c>
      <c r="R7" s="21" t="n">
        <f aca="false">'Global Inputs'!R$7</f>
        <v>365</v>
      </c>
      <c r="S7" s="21" t="n">
        <f aca="false">'Global Inputs'!S$7</f>
        <v>366</v>
      </c>
    </row>
    <row r="8" customFormat="false" ht="15" hidden="false" customHeight="false" outlineLevel="0" collapsed="false">
      <c r="B8" s="19" t="s">
        <v>127</v>
      </c>
      <c r="F8" s="21" t="n">
        <f aca="false">'Global Inputs'!F$8</f>
        <v>0</v>
      </c>
      <c r="G8" s="21" t="n">
        <f aca="false">'Global Inputs'!G$8</f>
        <v>1</v>
      </c>
      <c r="H8" s="21" t="n">
        <f aca="false">'Global Inputs'!H$8</f>
        <v>1</v>
      </c>
      <c r="I8" s="21" t="n">
        <f aca="false">'Global Inputs'!I$8</f>
        <v>1</v>
      </c>
      <c r="J8" s="21" t="n">
        <f aca="false">'Global Inputs'!J$8</f>
        <v>1</v>
      </c>
      <c r="K8" s="21" t="n">
        <f aca="false">'Global Inputs'!K$8</f>
        <v>1</v>
      </c>
      <c r="L8" s="21" t="n">
        <f aca="false">'Global Inputs'!L$8</f>
        <v>1</v>
      </c>
      <c r="M8" s="21" t="n">
        <f aca="false">'Global Inputs'!M$8</f>
        <v>1</v>
      </c>
      <c r="N8" s="21" t="n">
        <f aca="false">'Global Inputs'!N$8</f>
        <v>1</v>
      </c>
      <c r="O8" s="21" t="n">
        <f aca="false">'Global Inputs'!O$8</f>
        <v>1</v>
      </c>
      <c r="P8" s="21" t="n">
        <f aca="false">'Global Inputs'!P$8</f>
        <v>1</v>
      </c>
      <c r="Q8" s="21" t="n">
        <f aca="false">'Global Inputs'!Q$8</f>
        <v>1</v>
      </c>
      <c r="R8" s="21" t="n">
        <f aca="false">'Global Inputs'!R$8</f>
        <v>1</v>
      </c>
      <c r="S8" s="21" t="n">
        <f aca="false">'Global Inputs'!S$8</f>
        <v>1</v>
      </c>
    </row>
    <row r="10" customFormat="false" ht="15" hidden="false" customHeight="false" outlineLevel="0" collapsed="false">
      <c r="B10" s="22" t="s">
        <v>878</v>
      </c>
      <c r="C10" s="23"/>
      <c r="D10" s="23"/>
      <c r="E10" s="23"/>
      <c r="F10" s="23"/>
      <c r="G10" s="23"/>
      <c r="H10" s="23"/>
      <c r="I10" s="23"/>
      <c r="J10" s="23"/>
      <c r="K10" s="23"/>
      <c r="L10" s="23"/>
      <c r="M10" s="23"/>
      <c r="N10" s="23"/>
      <c r="O10" s="23"/>
      <c r="P10" s="23"/>
      <c r="Q10" s="23"/>
      <c r="R10" s="23"/>
      <c r="S10" s="23"/>
    </row>
    <row r="11" customFormat="false" ht="15" hidden="false" customHeight="false" outlineLevel="0" collapsed="false">
      <c r="B11" s="24" t="s">
        <v>879</v>
      </c>
      <c r="E11" s="24" t="s">
        <v>1994</v>
      </c>
    </row>
    <row r="12" customFormat="false" ht="15" hidden="false" customHeight="false" outlineLevel="0" collapsed="false">
      <c r="B12" s="24" t="s">
        <v>25</v>
      </c>
      <c r="E12" s="24" t="s">
        <v>1995</v>
      </c>
    </row>
    <row r="13" customFormat="false" ht="15" hidden="false" customHeight="false" outlineLevel="0" collapsed="false">
      <c r="B13" s="24" t="s">
        <v>882</v>
      </c>
      <c r="E13" s="24" t="s">
        <v>1996</v>
      </c>
    </row>
    <row r="14" customFormat="false" ht="15" hidden="false" customHeight="false" outlineLevel="0" collapsed="false">
      <c r="B14" s="24" t="s">
        <v>275</v>
      </c>
      <c r="E14" s="24" t="s">
        <v>293</v>
      </c>
    </row>
    <row r="15" customFormat="false" ht="15" hidden="false" customHeight="false" outlineLevel="0" collapsed="false">
      <c r="B15" s="24" t="s">
        <v>386</v>
      </c>
      <c r="E15" s="24" t="s">
        <v>55</v>
      </c>
    </row>
    <row r="16" customFormat="false" ht="15" hidden="false" customHeight="false" outlineLevel="0" collapsed="false">
      <c r="B16" s="24" t="s">
        <v>884</v>
      </c>
      <c r="E16" s="24" t="s">
        <v>1997</v>
      </c>
    </row>
    <row r="17" customFormat="false" ht="15" hidden="false" customHeight="false" outlineLevel="0" collapsed="false">
      <c r="B17" s="24" t="s">
        <v>886</v>
      </c>
      <c r="E17" s="24" t="s">
        <v>1998</v>
      </c>
    </row>
    <row r="18" customFormat="false" ht="15" hidden="false" customHeight="false" outlineLevel="0" collapsed="false">
      <c r="B18" s="24" t="s">
        <v>888</v>
      </c>
      <c r="E18" s="24" t="s">
        <v>1999</v>
      </c>
    </row>
    <row r="19" customFormat="false" ht="15" hidden="false" customHeight="false" outlineLevel="0" collapsed="false">
      <c r="B19" s="24" t="s">
        <v>890</v>
      </c>
      <c r="E19" s="24" t="s">
        <v>2000</v>
      </c>
    </row>
    <row r="21" customFormat="false" ht="15" hidden="false" customHeight="false" outlineLevel="0" collapsed="false">
      <c r="B21" s="22" t="s">
        <v>892</v>
      </c>
      <c r="C21" s="23"/>
      <c r="D21" s="23"/>
      <c r="E21" s="23"/>
      <c r="F21" s="23"/>
      <c r="G21" s="23"/>
      <c r="H21" s="23"/>
      <c r="I21" s="23"/>
      <c r="J21" s="23"/>
      <c r="K21" s="23"/>
      <c r="L21" s="23"/>
      <c r="M21" s="23"/>
      <c r="N21" s="23"/>
      <c r="O21" s="23"/>
      <c r="P21" s="23"/>
      <c r="Q21" s="23"/>
      <c r="R21" s="23"/>
      <c r="S21" s="23"/>
    </row>
    <row r="22" customFormat="false" ht="15" hidden="false" customHeight="false" outlineLevel="0" collapsed="false">
      <c r="B22" s="24" t="s">
        <v>893</v>
      </c>
      <c r="C22" s="25" t="s">
        <v>180</v>
      </c>
      <c r="D22" s="25" t="s">
        <v>894</v>
      </c>
      <c r="E22" s="65" t="n">
        <f aca="false">'Global Inputs'!$E$97</f>
        <v>1</v>
      </c>
      <c r="T22" s="5" t="s">
        <v>895</v>
      </c>
    </row>
    <row r="23" customFormat="false" ht="15" hidden="false" customHeight="false" outlineLevel="0" collapsed="false">
      <c r="B23" s="24" t="s">
        <v>896</v>
      </c>
      <c r="C23" s="25" t="s">
        <v>175</v>
      </c>
      <c r="D23" s="25" t="s">
        <v>894</v>
      </c>
      <c r="E23" s="65" t="n">
        <f aca="false">'Global Inputs'!$F$97</f>
        <v>1</v>
      </c>
      <c r="T23" s="5" t="s">
        <v>895</v>
      </c>
    </row>
    <row r="24" customFormat="false" ht="15" hidden="false" customHeight="false" outlineLevel="0" collapsed="false">
      <c r="B24" s="24" t="s">
        <v>897</v>
      </c>
      <c r="C24" s="25" t="s">
        <v>160</v>
      </c>
      <c r="D24" s="25" t="s">
        <v>894</v>
      </c>
      <c r="E24" s="67" t="n">
        <f aca="false">'Global Inputs'!$G$97</f>
        <v>1</v>
      </c>
      <c r="T24" s="5" t="s">
        <v>895</v>
      </c>
    </row>
    <row r="25" customFormat="false" ht="15" hidden="false" customHeight="false" outlineLevel="0" collapsed="false">
      <c r="B25" s="24" t="s">
        <v>1793</v>
      </c>
      <c r="C25" s="25" t="s">
        <v>135</v>
      </c>
      <c r="D25" s="28" t="s">
        <v>153</v>
      </c>
      <c r="E25" s="36" t="n">
        <v>2026</v>
      </c>
      <c r="T25" s="5" t="s">
        <v>2001</v>
      </c>
      <c r="U25" s="5" t="s">
        <v>2002</v>
      </c>
    </row>
    <row r="27" customFormat="false" ht="15" hidden="false" customHeight="false" outlineLevel="0" collapsed="false">
      <c r="B27" s="22" t="s">
        <v>898</v>
      </c>
      <c r="C27" s="23"/>
      <c r="D27" s="23"/>
      <c r="E27" s="23"/>
      <c r="F27" s="23"/>
      <c r="G27" s="23"/>
      <c r="H27" s="23"/>
      <c r="I27" s="23"/>
      <c r="J27" s="23"/>
      <c r="K27" s="23"/>
      <c r="L27" s="23"/>
      <c r="M27" s="23"/>
      <c r="N27" s="23"/>
      <c r="O27" s="23"/>
      <c r="P27" s="23"/>
      <c r="Q27" s="23"/>
      <c r="R27" s="23"/>
      <c r="S27" s="23"/>
    </row>
    <row r="28" customFormat="false" ht="15" hidden="false" customHeight="false" outlineLevel="0" collapsed="false">
      <c r="B28" s="24" t="s">
        <v>2003</v>
      </c>
      <c r="C28" s="25" t="s">
        <v>900</v>
      </c>
      <c r="D28" s="28" t="s">
        <v>153</v>
      </c>
      <c r="G28" s="101" t="n">
        <v>0</v>
      </c>
      <c r="H28" s="101" t="n">
        <v>0</v>
      </c>
      <c r="I28" s="101" t="n">
        <v>1300000</v>
      </c>
      <c r="J28" s="101" t="n">
        <v>1300000</v>
      </c>
      <c r="K28" s="101" t="n">
        <v>1300000</v>
      </c>
      <c r="L28" s="101" t="n">
        <v>1339000</v>
      </c>
      <c r="M28" s="101" t="n">
        <v>1339000</v>
      </c>
      <c r="N28" s="101" t="n">
        <v>1339000</v>
      </c>
      <c r="O28" s="101" t="n">
        <v>1339000</v>
      </c>
      <c r="P28" s="101" t="n">
        <v>1379170</v>
      </c>
      <c r="Q28" s="101" t="n">
        <v>1379170</v>
      </c>
      <c r="R28" s="101" t="n">
        <v>1379170</v>
      </c>
      <c r="S28" s="101" t="n">
        <v>1379170</v>
      </c>
      <c r="T28" s="5" t="s">
        <v>2004</v>
      </c>
      <c r="U28" s="5" t="s">
        <v>2005</v>
      </c>
    </row>
    <row r="29" customFormat="false" ht="15" hidden="false" customHeight="false" outlineLevel="0" collapsed="false">
      <c r="B29" s="24" t="s">
        <v>2006</v>
      </c>
      <c r="C29" s="25" t="s">
        <v>905</v>
      </c>
      <c r="D29" s="28" t="s">
        <v>153</v>
      </c>
      <c r="G29" s="101" t="n">
        <v>0</v>
      </c>
      <c r="H29" s="101" t="n">
        <v>0</v>
      </c>
      <c r="I29" s="101" t="n">
        <v>35000</v>
      </c>
      <c r="J29" s="101" t="n">
        <v>35000</v>
      </c>
      <c r="K29" s="101" t="n">
        <v>35000</v>
      </c>
      <c r="L29" s="101" t="n">
        <v>36400</v>
      </c>
      <c r="M29" s="101" t="n">
        <v>36400</v>
      </c>
      <c r="N29" s="101" t="n">
        <v>36400</v>
      </c>
      <c r="O29" s="101" t="n">
        <v>36400</v>
      </c>
      <c r="P29" s="101" t="n">
        <v>37856</v>
      </c>
      <c r="Q29" s="101" t="n">
        <v>37856</v>
      </c>
      <c r="R29" s="101" t="n">
        <v>37856</v>
      </c>
      <c r="S29" s="101" t="n">
        <v>37856</v>
      </c>
      <c r="T29" s="5" t="s">
        <v>2007</v>
      </c>
      <c r="U29" s="5" t="s">
        <v>2008</v>
      </c>
    </row>
    <row r="30" customFormat="false" ht="15" hidden="false" customHeight="false" outlineLevel="0" collapsed="false">
      <c r="B30" s="24" t="s">
        <v>2009</v>
      </c>
      <c r="C30" s="25" t="s">
        <v>905</v>
      </c>
      <c r="D30" s="28" t="s">
        <v>153</v>
      </c>
      <c r="G30" s="101" t="n">
        <v>0</v>
      </c>
      <c r="H30" s="101" t="n">
        <v>0</v>
      </c>
      <c r="I30" s="101" t="n">
        <v>2000</v>
      </c>
      <c r="J30" s="101" t="n">
        <v>2000</v>
      </c>
      <c r="K30" s="101" t="n">
        <v>2000</v>
      </c>
      <c r="L30" s="101" t="n">
        <v>2000</v>
      </c>
      <c r="M30" s="101" t="n">
        <v>2000</v>
      </c>
      <c r="N30" s="101" t="n">
        <v>2000</v>
      </c>
      <c r="O30" s="101" t="n">
        <v>2000</v>
      </c>
      <c r="P30" s="101" t="n">
        <v>2000</v>
      </c>
      <c r="Q30" s="101" t="n">
        <v>2000</v>
      </c>
      <c r="R30" s="101" t="n">
        <v>2000</v>
      </c>
      <c r="S30" s="101" t="n">
        <v>2000</v>
      </c>
      <c r="T30" s="5" t="s">
        <v>2010</v>
      </c>
    </row>
    <row r="31" customFormat="false" ht="15" hidden="false" customHeight="false" outlineLevel="0" collapsed="false">
      <c r="B31" s="22" t="s">
        <v>918</v>
      </c>
      <c r="C31" s="23"/>
      <c r="D31" s="23"/>
      <c r="E31" s="23"/>
      <c r="F31" s="23"/>
      <c r="G31" s="23"/>
      <c r="H31" s="23"/>
      <c r="I31" s="23"/>
      <c r="J31" s="23"/>
      <c r="K31" s="23"/>
      <c r="L31" s="23"/>
      <c r="M31" s="23"/>
      <c r="N31" s="23"/>
      <c r="O31" s="23"/>
      <c r="P31" s="23"/>
      <c r="Q31" s="23"/>
      <c r="R31" s="23"/>
      <c r="S31" s="23"/>
    </row>
    <row r="32" customFormat="false" ht="15" hidden="false" customHeight="false" outlineLevel="0" collapsed="false">
      <c r="B32" s="24" t="s">
        <v>2011</v>
      </c>
      <c r="C32" s="25" t="s">
        <v>160</v>
      </c>
      <c r="D32" s="28" t="s">
        <v>153</v>
      </c>
      <c r="E32" s="103" t="n">
        <v>0</v>
      </c>
      <c r="T32" s="5" t="s">
        <v>2012</v>
      </c>
      <c r="U32" s="5" t="s">
        <v>2013</v>
      </c>
    </row>
    <row r="33" customFormat="false" ht="15" hidden="false" customHeight="false" outlineLevel="0" collapsed="false">
      <c r="B33" s="22" t="s">
        <v>2014</v>
      </c>
      <c r="C33" s="23"/>
      <c r="D33" s="23"/>
      <c r="E33" s="23"/>
      <c r="F33" s="23"/>
      <c r="G33" s="23"/>
      <c r="H33" s="23"/>
      <c r="I33" s="23"/>
      <c r="J33" s="23"/>
      <c r="K33" s="23"/>
      <c r="L33" s="23"/>
      <c r="M33" s="23"/>
      <c r="N33" s="23"/>
      <c r="O33" s="23"/>
      <c r="P33" s="23"/>
      <c r="Q33" s="23"/>
      <c r="R33" s="23"/>
      <c r="S33" s="23"/>
    </row>
    <row r="34" customFormat="false" ht="15" hidden="false" customHeight="false" outlineLevel="0" collapsed="false">
      <c r="B34" s="24" t="s">
        <v>1805</v>
      </c>
      <c r="C34" s="25" t="s">
        <v>160</v>
      </c>
      <c r="D34" s="28" t="s">
        <v>153</v>
      </c>
      <c r="E34" s="103" t="n">
        <v>0.0021836245</v>
      </c>
      <c r="T34" s="5" t="s">
        <v>2015</v>
      </c>
      <c r="U34" s="5" t="s">
        <v>2016</v>
      </c>
    </row>
    <row r="35" customFormat="false" ht="15" hidden="false" customHeight="false" outlineLevel="0" collapsed="false">
      <c r="B35" s="24" t="s">
        <v>2017</v>
      </c>
      <c r="C35" s="25" t="s">
        <v>160</v>
      </c>
      <c r="D35" s="28" t="s">
        <v>153</v>
      </c>
      <c r="G35" s="103" t="n">
        <v>0</v>
      </c>
      <c r="H35" s="103" t="n">
        <v>0</v>
      </c>
      <c r="I35" s="103" t="n">
        <v>0.474903979721769</v>
      </c>
      <c r="J35" s="103" t="n">
        <v>0.485913847929626</v>
      </c>
      <c r="K35" s="103" t="n">
        <v>0.497198962842679</v>
      </c>
      <c r="L35" s="103" t="n">
        <v>0.484042413469238</v>
      </c>
      <c r="M35" s="103" t="n">
        <v>0.504173739043363</v>
      </c>
      <c r="N35" s="103" t="n">
        <v>0.511270625206045</v>
      </c>
      <c r="O35" s="103" t="n">
        <v>0.523094496019373</v>
      </c>
      <c r="P35" s="103" t="n">
        <v>0.509188206710778</v>
      </c>
      <c r="Q35" s="103" t="n">
        <v>0.520982143752312</v>
      </c>
      <c r="R35" s="103" t="n">
        <v>0.541358079252815</v>
      </c>
      <c r="S35" s="103" t="n">
        <v>0.54629064932744</v>
      </c>
      <c r="T35" s="5" t="s">
        <v>2018</v>
      </c>
      <c r="U35" s="5" t="s">
        <v>2019</v>
      </c>
    </row>
    <row r="36" customFormat="false" ht="15" hidden="false" customHeight="false" outlineLevel="0" collapsed="false">
      <c r="B36" s="24" t="s">
        <v>2020</v>
      </c>
      <c r="C36" s="25" t="s">
        <v>160</v>
      </c>
      <c r="D36" s="28" t="s">
        <v>153</v>
      </c>
      <c r="G36" s="103" t="n">
        <v>0.659907061</v>
      </c>
      <c r="H36" s="103" t="n">
        <v>0</v>
      </c>
      <c r="I36" s="103" t="n">
        <v>0.192</v>
      </c>
      <c r="J36" s="103" t="n">
        <v>0.196125</v>
      </c>
      <c r="K36" s="103" t="n">
        <v>0.200353125</v>
      </c>
      <c r="L36" s="103" t="n">
        <v>0.199511604975728</v>
      </c>
      <c r="M36" s="103" t="n">
        <v>0.205824395100121</v>
      </c>
      <c r="N36" s="103" t="n">
        <v>0.209245004977624</v>
      </c>
      <c r="O36" s="103" t="n">
        <v>0.213776130102065</v>
      </c>
      <c r="P36" s="103" t="n">
        <v>0.212874304227783</v>
      </c>
      <c r="Q36" s="103" t="n">
        <v>0.217496161833478</v>
      </c>
      <c r="R36" s="103" t="n">
        <v>0.224233565879315</v>
      </c>
      <c r="S36" s="103" t="n">
        <v>0.227289405026297</v>
      </c>
      <c r="T36" s="5" t="s">
        <v>2021</v>
      </c>
      <c r="U36" s="5" t="s">
        <v>2022</v>
      </c>
    </row>
    <row r="38" customFormat="false" ht="15" hidden="false" customHeight="false" outlineLevel="0" collapsed="false">
      <c r="B38" s="22" t="s">
        <v>1957</v>
      </c>
      <c r="C38" s="23"/>
      <c r="D38" s="23"/>
      <c r="E38" s="23"/>
      <c r="F38" s="23"/>
      <c r="G38" s="23"/>
      <c r="H38" s="23"/>
      <c r="I38" s="23"/>
      <c r="J38" s="23"/>
      <c r="K38" s="23"/>
      <c r="L38" s="23"/>
      <c r="M38" s="23"/>
      <c r="N38" s="23"/>
      <c r="O38" s="23"/>
      <c r="P38" s="23"/>
      <c r="Q38" s="23"/>
      <c r="R38" s="23"/>
      <c r="S38" s="23"/>
    </row>
    <row r="39" customFormat="false" ht="15" hidden="false" customHeight="false" outlineLevel="0" collapsed="false">
      <c r="B39" s="24" t="s">
        <v>1287</v>
      </c>
      <c r="C39" s="25" t="s">
        <v>240</v>
      </c>
      <c r="D39" s="28" t="s">
        <v>153</v>
      </c>
      <c r="E39" s="37" t="n">
        <v>6.80952380952381</v>
      </c>
      <c r="T39" s="5" t="s">
        <v>2023</v>
      </c>
      <c r="U39" s="5" t="s">
        <v>2024</v>
      </c>
    </row>
    <row r="40" customFormat="false" ht="15" hidden="false" customHeight="false" outlineLevel="0" collapsed="false">
      <c r="B40" s="24" t="s">
        <v>1290</v>
      </c>
      <c r="C40" s="25" t="s">
        <v>160</v>
      </c>
      <c r="D40" s="28" t="s">
        <v>153</v>
      </c>
      <c r="E40" s="85" t="n">
        <f aca="false">SUM(F40:S40)</f>
        <v>1</v>
      </c>
      <c r="F40" s="35" t="n">
        <v>0</v>
      </c>
      <c r="G40" s="35" t="n">
        <v>0</v>
      </c>
      <c r="H40" s="35" t="n">
        <v>0</v>
      </c>
      <c r="I40" s="35" t="n">
        <v>0.952272727272727</v>
      </c>
      <c r="J40" s="35" t="n">
        <v>0.0477272727272727</v>
      </c>
      <c r="K40" s="35" t="n">
        <v>0</v>
      </c>
      <c r="L40" s="35" t="n">
        <v>0</v>
      </c>
      <c r="M40" s="35" t="n">
        <v>0</v>
      </c>
      <c r="N40" s="35" t="n">
        <v>0</v>
      </c>
      <c r="O40" s="35" t="n">
        <v>0</v>
      </c>
      <c r="P40" s="35" t="n">
        <v>0</v>
      </c>
      <c r="Q40" s="35" t="n">
        <v>0</v>
      </c>
      <c r="R40" s="35" t="n">
        <v>0</v>
      </c>
      <c r="S40" s="35" t="n">
        <v>0</v>
      </c>
      <c r="T40" s="5" t="s">
        <v>2025</v>
      </c>
      <c r="U40" s="5" t="s">
        <v>1292</v>
      </c>
    </row>
    <row r="41" customFormat="false" ht="15" hidden="false" customHeight="false" outlineLevel="0" collapsed="false">
      <c r="B41" s="24" t="s">
        <v>1293</v>
      </c>
      <c r="C41" s="25" t="s">
        <v>240</v>
      </c>
      <c r="E41" s="44" t="n">
        <f aca="false">SUM(F41:S41)</f>
        <v>6.80952380952381</v>
      </c>
      <c r="F41" s="44" t="n">
        <f aca="false">$E$39*F40</f>
        <v>0</v>
      </c>
      <c r="G41" s="44" t="n">
        <f aca="false">$E$39*G40</f>
        <v>0</v>
      </c>
      <c r="H41" s="44" t="n">
        <f aca="false">$E$39*H40</f>
        <v>0</v>
      </c>
      <c r="I41" s="44" t="n">
        <f aca="false">$E$39*I40</f>
        <v>6.48452380952381</v>
      </c>
      <c r="J41" s="44" t="n">
        <f aca="false">$E$39*J40</f>
        <v>0.325</v>
      </c>
      <c r="K41" s="44" t="n">
        <f aca="false">$E$39*K40</f>
        <v>0</v>
      </c>
      <c r="L41" s="44" t="n">
        <f aca="false">$E$39*L40</f>
        <v>0</v>
      </c>
      <c r="M41" s="44" t="n">
        <f aca="false">$E$39*M40</f>
        <v>0</v>
      </c>
      <c r="N41" s="44" t="n">
        <f aca="false">$E$39*N40</f>
        <v>0</v>
      </c>
      <c r="O41" s="44" t="n">
        <f aca="false">$E$39*O40</f>
        <v>0</v>
      </c>
      <c r="P41" s="44" t="n">
        <f aca="false">$E$39*P40</f>
        <v>0</v>
      </c>
      <c r="Q41" s="44" t="n">
        <f aca="false">$E$39*Q40</f>
        <v>0</v>
      </c>
      <c r="R41" s="44" t="n">
        <f aca="false">$E$39*R40</f>
        <v>0</v>
      </c>
      <c r="S41" s="44" t="n">
        <f aca="false">$E$39*S40</f>
        <v>0</v>
      </c>
    </row>
    <row r="42" customFormat="false" ht="15" hidden="false" customHeight="false" outlineLevel="0" collapsed="false">
      <c r="B42" s="24" t="s">
        <v>1294</v>
      </c>
      <c r="C42" s="25" t="s">
        <v>152</v>
      </c>
      <c r="F42" s="107" t="n">
        <f aca="false">'Global Inputs'!F22</f>
        <v>16265</v>
      </c>
      <c r="G42" s="107" t="n">
        <f aca="false">'Global Inputs'!G22</f>
        <v>16265</v>
      </c>
      <c r="H42" s="107" t="n">
        <f aca="false">'Global Inputs'!H22</f>
        <v>16265</v>
      </c>
      <c r="I42" s="107" t="n">
        <f aca="false">'Global Inputs'!I22</f>
        <v>16265</v>
      </c>
      <c r="J42" s="107" t="n">
        <f aca="false">'Global Inputs'!J22</f>
        <v>16265</v>
      </c>
      <c r="K42" s="107" t="n">
        <f aca="false">'Global Inputs'!K22</f>
        <v>16265</v>
      </c>
      <c r="L42" s="107" t="n">
        <f aca="false">'Global Inputs'!L22</f>
        <v>16265</v>
      </c>
      <c r="M42" s="107" t="n">
        <f aca="false">'Global Inputs'!M22</f>
        <v>16265</v>
      </c>
      <c r="N42" s="107" t="n">
        <f aca="false">'Global Inputs'!N22</f>
        <v>16265</v>
      </c>
      <c r="O42" s="107" t="n">
        <f aca="false">'Global Inputs'!O22</f>
        <v>16265</v>
      </c>
      <c r="P42" s="107" t="n">
        <f aca="false">'Global Inputs'!P22</f>
        <v>16265</v>
      </c>
      <c r="Q42" s="107" t="n">
        <f aca="false">'Global Inputs'!Q22</f>
        <v>16265</v>
      </c>
      <c r="R42" s="107" t="n">
        <f aca="false">'Global Inputs'!R22</f>
        <v>16265</v>
      </c>
      <c r="S42" s="107" t="n">
        <f aca="false">'Global Inputs'!S22</f>
        <v>16265</v>
      </c>
    </row>
    <row r="43" customFormat="false" ht="15" hidden="false" customHeight="false" outlineLevel="0" collapsed="false">
      <c r="B43" s="24" t="s">
        <v>1295</v>
      </c>
      <c r="C43" s="25" t="s">
        <v>170</v>
      </c>
      <c r="E43" s="47" t="n">
        <f aca="false">SUM(F43:S43)</f>
        <v>110.756904761905</v>
      </c>
      <c r="F43" s="47" t="n">
        <f aca="false">F41*F42/1000</f>
        <v>0</v>
      </c>
      <c r="G43" s="47" t="n">
        <f aca="false">G41*G42/1000</f>
        <v>0</v>
      </c>
      <c r="H43" s="47" t="n">
        <f aca="false">H41*H42/1000</f>
        <v>0</v>
      </c>
      <c r="I43" s="47" t="n">
        <f aca="false">I41*I42/1000</f>
        <v>105.470779761905</v>
      </c>
      <c r="J43" s="47" t="n">
        <f aca="false">J41*J42/1000</f>
        <v>5.286125</v>
      </c>
      <c r="K43" s="47" t="n">
        <f aca="false">K41*K42/1000</f>
        <v>0</v>
      </c>
      <c r="L43" s="47" t="n">
        <f aca="false">L41*L42/1000</f>
        <v>0</v>
      </c>
      <c r="M43" s="47" t="n">
        <f aca="false">M41*M42/1000</f>
        <v>0</v>
      </c>
      <c r="N43" s="47" t="n">
        <f aca="false">N41*N42/1000</f>
        <v>0</v>
      </c>
      <c r="O43" s="47" t="n">
        <f aca="false">O41*O42/1000</f>
        <v>0</v>
      </c>
      <c r="P43" s="47" t="n">
        <f aca="false">P41*P42/1000</f>
        <v>0</v>
      </c>
      <c r="Q43" s="47" t="n">
        <f aca="false">Q41*Q42/1000</f>
        <v>0</v>
      </c>
      <c r="R43" s="47" t="n">
        <f aca="false">R41*R42/1000</f>
        <v>0</v>
      </c>
      <c r="S43" s="47" t="n">
        <f aca="false">S41*S42/1000</f>
        <v>0</v>
      </c>
    </row>
    <row r="44" customFormat="false" ht="15" hidden="false" customHeight="false" outlineLevel="0" collapsed="false">
      <c r="B44" s="24" t="s">
        <v>1296</v>
      </c>
      <c r="C44" s="25" t="s">
        <v>240</v>
      </c>
      <c r="E44" s="44" t="n">
        <f aca="false">SUMPRODUCT($F$41:$S$41,--('Global Inputs'!$F$15:$S$15&lt;='Global Inputs'!$E$12))</f>
        <v>6.48452380952381</v>
      </c>
    </row>
    <row r="45" customFormat="false" ht="15" hidden="false" customHeight="false" outlineLevel="0" collapsed="false">
      <c r="B45" s="24" t="s">
        <v>1297</v>
      </c>
      <c r="C45" s="25" t="s">
        <v>240</v>
      </c>
      <c r="E45" s="44" t="n">
        <f aca="false">SUMPRODUCT($F$41:$S$41,--('Global Inputs'!$F$15:$S$15&gt;'Global Inputs'!$E$12))</f>
        <v>0.325</v>
      </c>
    </row>
    <row r="46" customFormat="false" ht="15" hidden="false" customHeight="false" outlineLevel="0" collapsed="false">
      <c r="B46" s="24" t="s">
        <v>1298</v>
      </c>
      <c r="C46" s="25" t="s">
        <v>240</v>
      </c>
      <c r="E46" s="44" t="n">
        <f aca="false">$E$39-SUM($F$41:$S$41)</f>
        <v>0</v>
      </c>
    </row>
    <row r="47" customFormat="false" ht="15" hidden="false" customHeight="false" outlineLevel="0" collapsed="false">
      <c r="B47" s="24" t="s">
        <v>1299</v>
      </c>
      <c r="C47" s="25" t="s">
        <v>527</v>
      </c>
      <c r="E47" s="108" t="str">
        <f aca="false">IF(ABS(SUM($F$40:$S$40)-1)&lt;0.000001,"PASS","CHECK: % not 100%")</f>
        <v>PASS</v>
      </c>
    </row>
    <row r="48" customFormat="false" ht="15" hidden="false" customHeight="false" outlineLevel="0" collapsed="false">
      <c r="B48" s="24" t="s">
        <v>1811</v>
      </c>
      <c r="C48" s="25" t="s">
        <v>135</v>
      </c>
      <c r="D48" s="25" t="s">
        <v>894</v>
      </c>
      <c r="E48" s="65" t="n">
        <f aca="false">$E$25</f>
        <v>2026</v>
      </c>
      <c r="T48" s="5" t="s">
        <v>1812</v>
      </c>
    </row>
    <row r="49" customFormat="false" ht="15" hidden="false" customHeight="false" outlineLevel="0" collapsed="false">
      <c r="B49" s="24" t="s">
        <v>1302</v>
      </c>
      <c r="C49" s="25" t="s">
        <v>180</v>
      </c>
      <c r="D49" s="26" t="s">
        <v>190</v>
      </c>
      <c r="E49" s="39" t="n">
        <v>0</v>
      </c>
      <c r="T49" s="5" t="s">
        <v>1303</v>
      </c>
      <c r="U49" s="5" t="s">
        <v>1304</v>
      </c>
    </row>
    <row r="50" customFormat="false" ht="15" hidden="false" customHeight="false" outlineLevel="0" collapsed="false">
      <c r="B50" s="24" t="s">
        <v>1305</v>
      </c>
      <c r="C50" s="25" t="s">
        <v>160</v>
      </c>
      <c r="D50" s="28" t="s">
        <v>153</v>
      </c>
      <c r="E50" s="35" t="n">
        <v>0.6</v>
      </c>
      <c r="T50" s="5" t="s">
        <v>2026</v>
      </c>
    </row>
    <row r="51" customFormat="false" ht="15" hidden="false" customHeight="false" outlineLevel="0" collapsed="false">
      <c r="B51" s="24" t="s">
        <v>1307</v>
      </c>
      <c r="C51" s="25" t="s">
        <v>145</v>
      </c>
      <c r="D51" s="28" t="s">
        <v>153</v>
      </c>
      <c r="E51" s="36" t="n">
        <v>20</v>
      </c>
      <c r="T51" s="5" t="s">
        <v>2027</v>
      </c>
    </row>
    <row r="52" customFormat="false" ht="15" hidden="false" customHeight="false" outlineLevel="0" collapsed="false">
      <c r="B52" s="24" t="s">
        <v>1309</v>
      </c>
      <c r="C52" s="25" t="s">
        <v>145</v>
      </c>
      <c r="D52" s="28" t="s">
        <v>153</v>
      </c>
      <c r="E52" s="36" t="n">
        <v>8</v>
      </c>
      <c r="T52" s="5" t="s">
        <v>2027</v>
      </c>
    </row>
  </sheetData>
  <hyperlinks>
    <hyperlink ref="C3" r:id="rId1" location="'P05%20Dumai%20Input'!A1" display="Input"/>
    <hyperlink ref="D3" r:id="rId2" location="'P05%20Dumai%20Calc'!A1" display="Calc"/>
    <hyperlink ref="E3" r:id="rId3" location="'P05%20Dumai%20Output'!A1" display="Output"/>
    <hyperlink ref="F3" r:id="rId4" location="'Navigation'!A1" display="Navigation"/>
    <hyperlink ref="G3" r:id="rId5" location="'Global%20Inputs'!A1" display="Global Inputs"/>
    <hyperlink ref="H3" r:id="rId6" location="'Project%20Summary'!A1" display="Project Summary"/>
    <hyperlink ref="I3" r:id="rId7" location="'Funding%20Requirement'!A1" display="Funding"/>
    <hyperlink ref="J3" r:id="rId8" location="'FSL%20Financials%20—%20Without%20BUMN'!A1" display="FSL w/o BUMN"/>
    <hyperlink ref="K3" r:id="rId9" location="'FSL%20Financials%20—%20With%20BUMN'!A1" display="FSL w/ BUMN"/>
    <hyperlink ref="L3" r:id="rId10" location="'Valuation%20—%20Without%20BUMN'!A1" display="Val w/o BUMN"/>
    <hyperlink ref="M3" r:id="rId11" location="'Valuation%20—%20With%20BUMN'!A1" display="Val w/ BUMN"/>
    <hyperlink ref="N3" r:id="rId12" location="'Checks'!A1" display="Checks"/>
    <hyperlink ref="O3" r:id="rId13" location="'Model%20Flow'!A1" display="Model Flow"/>
  </hyperlink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BFBF"/>
    <pageSetUpPr fitToPage="true"/>
  </sheetPr>
  <dimension ref="B1:U5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5" ySplit="9" topLeftCell="F10" activePane="bottomRight" state="frozen"/>
      <selection pane="topLeft" activeCell="A1" activeCellId="0" sqref="A1"/>
      <selection pane="topRight" activeCell="F1" activeCellId="0" sqref="F1"/>
      <selection pane="bottomLeft" activeCell="A10" activeCellId="0" sqref="A10"/>
      <selection pane="bottomRigh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66"/>
    <col collapsed="false" customWidth="true" hidden="false" outlineLevel="0" max="3" min="3" style="0" width="11"/>
    <col collapsed="false" customWidth="true" hidden="false" outlineLevel="0" max="4" min="4" style="0" width="12"/>
    <col collapsed="false" customWidth="true" hidden="false" outlineLevel="0" max="5" min="5" style="0" width="13"/>
    <col collapsed="false" customWidth="true" hidden="false" outlineLevel="0" max="19" min="6" style="0" width="11.5"/>
    <col collapsed="false" customWidth="true" hidden="false" outlineLevel="0" max="20" min="20" style="0" width="40"/>
    <col collapsed="false" customWidth="true" hidden="false" outlineLevel="0" max="21" min="21" style="0" width="48"/>
  </cols>
  <sheetData>
    <row r="1" customFormat="false" ht="21.75" hidden="false" customHeight="true" outlineLevel="0" collapsed="false">
      <c r="B1" s="1" t="s">
        <v>2028</v>
      </c>
    </row>
    <row r="2" customFormat="false" ht="15" hidden="false" customHeight="false" outlineLevel="0" collapsed="false">
      <c r="B2" s="2" t="s">
        <v>1014</v>
      </c>
    </row>
    <row r="3" customFormat="false" ht="15" hidden="false" customHeight="false" outlineLevel="0" collapsed="false">
      <c r="B3" s="5" t="s">
        <v>112</v>
      </c>
      <c r="C3" s="17" t="s">
        <v>27</v>
      </c>
      <c r="D3" s="17" t="s">
        <v>28</v>
      </c>
      <c r="E3" s="17" t="s">
        <v>29</v>
      </c>
      <c r="F3" s="17" t="s">
        <v>113</v>
      </c>
      <c r="G3" s="17" t="s">
        <v>5</v>
      </c>
      <c r="H3" s="17" t="s">
        <v>7</v>
      </c>
      <c r="I3" s="17" t="s">
        <v>114</v>
      </c>
      <c r="J3" s="17" t="s">
        <v>115</v>
      </c>
      <c r="K3" s="17" t="s">
        <v>116</v>
      </c>
      <c r="L3" s="17" t="s">
        <v>117</v>
      </c>
      <c r="M3" s="17" t="s">
        <v>118</v>
      </c>
      <c r="N3" s="17" t="s">
        <v>21</v>
      </c>
      <c r="O3" s="17" t="s">
        <v>3</v>
      </c>
    </row>
    <row r="5" customFormat="false" ht="15" hidden="false" customHeight="false" outlineLevel="0" collapsed="false">
      <c r="B5" s="6" t="s">
        <v>119</v>
      </c>
      <c r="C5" s="6" t="s">
        <v>120</v>
      </c>
      <c r="D5" s="6" t="s">
        <v>121</v>
      </c>
      <c r="E5" s="6" t="s">
        <v>122</v>
      </c>
      <c r="F5" s="18" t="n">
        <f aca="false">'Global Inputs'!F$5</f>
        <v>2023</v>
      </c>
      <c r="G5" s="18" t="n">
        <f aca="false">'Global Inputs'!G$5</f>
        <v>2024</v>
      </c>
      <c r="H5" s="18" t="n">
        <f aca="false">'Global Inputs'!H$5</f>
        <v>2025</v>
      </c>
      <c r="I5" s="18" t="n">
        <f aca="false">'Global Inputs'!I$5</f>
        <v>2026</v>
      </c>
      <c r="J5" s="18" t="n">
        <f aca="false">'Global Inputs'!J$5</f>
        <v>2027</v>
      </c>
      <c r="K5" s="18" t="n">
        <f aca="false">'Global Inputs'!K$5</f>
        <v>2028</v>
      </c>
      <c r="L5" s="18" t="n">
        <f aca="false">'Global Inputs'!L$5</f>
        <v>2029</v>
      </c>
      <c r="M5" s="18" t="n">
        <f aca="false">'Global Inputs'!M$5</f>
        <v>2030</v>
      </c>
      <c r="N5" s="18" t="n">
        <f aca="false">'Global Inputs'!N$5</f>
        <v>2031</v>
      </c>
      <c r="O5" s="18" t="n">
        <f aca="false">'Global Inputs'!O$5</f>
        <v>2032</v>
      </c>
      <c r="P5" s="18" t="n">
        <f aca="false">'Global Inputs'!P$5</f>
        <v>2033</v>
      </c>
      <c r="Q5" s="18" t="n">
        <f aca="false">'Global Inputs'!Q$5</f>
        <v>2034</v>
      </c>
      <c r="R5" s="18" t="n">
        <f aca="false">'Global Inputs'!R$5</f>
        <v>2035</v>
      </c>
      <c r="S5" s="18" t="n">
        <f aca="false">'Global Inputs'!S$5</f>
        <v>2036</v>
      </c>
      <c r="T5" s="6" t="s">
        <v>123</v>
      </c>
      <c r="U5" s="6" t="s">
        <v>124</v>
      </c>
    </row>
    <row r="6" customFormat="false" ht="15" hidden="false" customHeight="false" outlineLevel="0" collapsed="false">
      <c r="B6" s="19" t="s">
        <v>125</v>
      </c>
      <c r="F6" s="20" t="n">
        <f aca="false">'Global Inputs'!F$6</f>
        <v>45291</v>
      </c>
      <c r="G6" s="20" t="n">
        <f aca="false">'Global Inputs'!G$6</f>
        <v>45657</v>
      </c>
      <c r="H6" s="20" t="n">
        <f aca="false">'Global Inputs'!H$6</f>
        <v>46022</v>
      </c>
      <c r="I6" s="20" t="n">
        <f aca="false">'Global Inputs'!I$6</f>
        <v>46387</v>
      </c>
      <c r="J6" s="20" t="n">
        <f aca="false">'Global Inputs'!J$6</f>
        <v>46752</v>
      </c>
      <c r="K6" s="20" t="n">
        <f aca="false">'Global Inputs'!K$6</f>
        <v>47118</v>
      </c>
      <c r="L6" s="20" t="n">
        <f aca="false">'Global Inputs'!L$6</f>
        <v>47483</v>
      </c>
      <c r="M6" s="20" t="n">
        <f aca="false">'Global Inputs'!M$6</f>
        <v>47848</v>
      </c>
      <c r="N6" s="20" t="n">
        <f aca="false">'Global Inputs'!N$6</f>
        <v>48213</v>
      </c>
      <c r="O6" s="20" t="n">
        <f aca="false">'Global Inputs'!O$6</f>
        <v>48579</v>
      </c>
      <c r="P6" s="20" t="n">
        <f aca="false">'Global Inputs'!P$6</f>
        <v>48944</v>
      </c>
      <c r="Q6" s="20" t="n">
        <f aca="false">'Global Inputs'!Q$6</f>
        <v>49309</v>
      </c>
      <c r="R6" s="20" t="n">
        <f aca="false">'Global Inputs'!R$6</f>
        <v>49674</v>
      </c>
      <c r="S6" s="20" t="n">
        <f aca="false">'Global Inputs'!S$6</f>
        <v>50040</v>
      </c>
    </row>
    <row r="7" customFormat="false" ht="15" hidden="false" customHeight="false" outlineLevel="0" collapsed="false">
      <c r="B7" s="19" t="s">
        <v>126</v>
      </c>
      <c r="F7" s="21" t="n">
        <f aca="false">'Global Inputs'!F$7</f>
        <v>365</v>
      </c>
      <c r="G7" s="21" t="n">
        <f aca="false">'Global Inputs'!G$7</f>
        <v>366</v>
      </c>
      <c r="H7" s="21" t="n">
        <f aca="false">'Global Inputs'!H$7</f>
        <v>365</v>
      </c>
      <c r="I7" s="21" t="n">
        <f aca="false">'Global Inputs'!I$7</f>
        <v>365</v>
      </c>
      <c r="J7" s="21" t="n">
        <f aca="false">'Global Inputs'!J$7</f>
        <v>365</v>
      </c>
      <c r="K7" s="21" t="n">
        <f aca="false">'Global Inputs'!K$7</f>
        <v>366</v>
      </c>
      <c r="L7" s="21" t="n">
        <f aca="false">'Global Inputs'!L$7</f>
        <v>365</v>
      </c>
      <c r="M7" s="21" t="n">
        <f aca="false">'Global Inputs'!M$7</f>
        <v>365</v>
      </c>
      <c r="N7" s="21" t="n">
        <f aca="false">'Global Inputs'!N$7</f>
        <v>365</v>
      </c>
      <c r="O7" s="21" t="n">
        <f aca="false">'Global Inputs'!O$7</f>
        <v>366</v>
      </c>
      <c r="P7" s="21" t="n">
        <f aca="false">'Global Inputs'!P$7</f>
        <v>365</v>
      </c>
      <c r="Q7" s="21" t="n">
        <f aca="false">'Global Inputs'!Q$7</f>
        <v>365</v>
      </c>
      <c r="R7" s="21" t="n">
        <f aca="false">'Global Inputs'!R$7</f>
        <v>365</v>
      </c>
      <c r="S7" s="21" t="n">
        <f aca="false">'Global Inputs'!S$7</f>
        <v>366</v>
      </c>
    </row>
    <row r="8" customFormat="false" ht="15" hidden="false" customHeight="false" outlineLevel="0" collapsed="false">
      <c r="B8" s="19" t="s">
        <v>127</v>
      </c>
      <c r="F8" s="21" t="n">
        <f aca="false">'Global Inputs'!F$8</f>
        <v>0</v>
      </c>
      <c r="G8" s="21" t="n">
        <f aca="false">'Global Inputs'!G$8</f>
        <v>1</v>
      </c>
      <c r="H8" s="21" t="n">
        <f aca="false">'Global Inputs'!H$8</f>
        <v>1</v>
      </c>
      <c r="I8" s="21" t="n">
        <f aca="false">'Global Inputs'!I$8</f>
        <v>1</v>
      </c>
      <c r="J8" s="21" t="n">
        <f aca="false">'Global Inputs'!J$8</f>
        <v>1</v>
      </c>
      <c r="K8" s="21" t="n">
        <f aca="false">'Global Inputs'!K$8</f>
        <v>1</v>
      </c>
      <c r="L8" s="21" t="n">
        <f aca="false">'Global Inputs'!L$8</f>
        <v>1</v>
      </c>
      <c r="M8" s="21" t="n">
        <f aca="false">'Global Inputs'!M$8</f>
        <v>1</v>
      </c>
      <c r="N8" s="21" t="n">
        <f aca="false">'Global Inputs'!N$8</f>
        <v>1</v>
      </c>
      <c r="O8" s="21" t="n">
        <f aca="false">'Global Inputs'!O$8</f>
        <v>1</v>
      </c>
      <c r="P8" s="21" t="n">
        <f aca="false">'Global Inputs'!P$8</f>
        <v>1</v>
      </c>
      <c r="Q8" s="21" t="n">
        <f aca="false">'Global Inputs'!Q$8</f>
        <v>1</v>
      </c>
      <c r="R8" s="21" t="n">
        <f aca="false">'Global Inputs'!R$8</f>
        <v>1</v>
      </c>
      <c r="S8" s="21" t="n">
        <f aca="false">'Global Inputs'!S$8</f>
        <v>1</v>
      </c>
    </row>
    <row r="10" customFormat="false" ht="15" hidden="false" customHeight="false" outlineLevel="0" collapsed="false">
      <c r="B10" s="22" t="s">
        <v>1015</v>
      </c>
      <c r="C10" s="23"/>
      <c r="D10" s="23"/>
      <c r="E10" s="23"/>
      <c r="F10" s="23"/>
      <c r="G10" s="23"/>
      <c r="H10" s="23"/>
      <c r="I10" s="23"/>
      <c r="J10" s="23"/>
      <c r="K10" s="23"/>
      <c r="L10" s="23"/>
      <c r="M10" s="23"/>
      <c r="N10" s="23"/>
      <c r="O10" s="23"/>
      <c r="P10" s="23"/>
      <c r="Q10" s="23"/>
      <c r="R10" s="23"/>
      <c r="S10" s="23"/>
    </row>
    <row r="11" customFormat="false" ht="15" hidden="false" customHeight="false" outlineLevel="0" collapsed="false">
      <c r="B11" s="24" t="s">
        <v>1016</v>
      </c>
      <c r="C11" s="25" t="s">
        <v>143</v>
      </c>
      <c r="F11" s="30" t="n">
        <f aca="false">IF(F$5&gt;='P05 Dumai Input'!$E$25,1,0)*F$8</f>
        <v>0</v>
      </c>
      <c r="G11" s="30" t="n">
        <f aca="false">IF(G$5&gt;='P05 Dumai Input'!$E$25,1,0)*G$8</f>
        <v>0</v>
      </c>
      <c r="H11" s="30" t="n">
        <f aca="false">IF(H$5&gt;='P05 Dumai Input'!$E$25,1,0)*H$8</f>
        <v>0</v>
      </c>
      <c r="I11" s="30" t="n">
        <f aca="false">IF(I$5&gt;='P05 Dumai Input'!$E$25,1,0)*I$8</f>
        <v>1</v>
      </c>
      <c r="J11" s="30" t="n">
        <f aca="false">IF(J$5&gt;='P05 Dumai Input'!$E$25,1,0)*J$8</f>
        <v>1</v>
      </c>
      <c r="K11" s="30" t="n">
        <f aca="false">IF(K$5&gt;='P05 Dumai Input'!$E$25,1,0)*K$8</f>
        <v>1</v>
      </c>
      <c r="L11" s="30" t="n">
        <f aca="false">IF(L$5&gt;='P05 Dumai Input'!$E$25,1,0)*L$8</f>
        <v>1</v>
      </c>
      <c r="M11" s="30" t="n">
        <f aca="false">IF(M$5&gt;='P05 Dumai Input'!$E$25,1,0)*M$8</f>
        <v>1</v>
      </c>
      <c r="N11" s="30" t="n">
        <f aca="false">IF(N$5&gt;='P05 Dumai Input'!$E$25,1,0)*N$8</f>
        <v>1</v>
      </c>
      <c r="O11" s="30" t="n">
        <f aca="false">IF(O$5&gt;='P05 Dumai Input'!$E$25,1,0)*O$8</f>
        <v>1</v>
      </c>
      <c r="P11" s="30" t="n">
        <f aca="false">IF(P$5&gt;='P05 Dumai Input'!$E$25,1,0)*P$8</f>
        <v>1</v>
      </c>
      <c r="Q11" s="30" t="n">
        <f aca="false">IF(Q$5&gt;='P05 Dumai Input'!$E$25,1,0)*Q$8</f>
        <v>1</v>
      </c>
      <c r="R11" s="30" t="n">
        <f aca="false">IF(R$5&gt;='P05 Dumai Input'!$E$25,1,0)*R$8</f>
        <v>1</v>
      </c>
      <c r="S11" s="30" t="n">
        <f aca="false">IF(S$5&gt;='P05 Dumai Input'!$E$25,1,0)*S$8</f>
        <v>1</v>
      </c>
    </row>
    <row r="13" customFormat="false" ht="15" hidden="false" customHeight="false" outlineLevel="0" collapsed="false">
      <c r="B13" s="22" t="s">
        <v>1017</v>
      </c>
      <c r="C13" s="23"/>
      <c r="D13" s="23"/>
      <c r="E13" s="23"/>
      <c r="F13" s="23"/>
      <c r="G13" s="23"/>
      <c r="H13" s="23"/>
      <c r="I13" s="23"/>
      <c r="J13" s="23"/>
      <c r="K13" s="23"/>
      <c r="L13" s="23"/>
      <c r="M13" s="23"/>
      <c r="N13" s="23"/>
      <c r="O13" s="23"/>
      <c r="P13" s="23"/>
      <c r="Q13" s="23"/>
      <c r="R13" s="23"/>
      <c r="S13" s="23"/>
    </row>
    <row r="14" customFormat="false" ht="15" hidden="false" customHeight="false" outlineLevel="0" collapsed="false">
      <c r="B14" s="24" t="s">
        <v>2029</v>
      </c>
      <c r="C14" s="25" t="s">
        <v>900</v>
      </c>
      <c r="E14" s="31" t="n">
        <f aca="false">SUM(F14:S14)</f>
        <v>14772680</v>
      </c>
      <c r="F14" s="31" t="n">
        <f aca="false">'P05 Dumai Input'!F28*F11</f>
        <v>0</v>
      </c>
      <c r="G14" s="31" t="n">
        <f aca="false">'P05 Dumai Input'!G28*G11</f>
        <v>0</v>
      </c>
      <c r="H14" s="31" t="n">
        <f aca="false">'P05 Dumai Input'!H28*H11</f>
        <v>0</v>
      </c>
      <c r="I14" s="31" t="n">
        <f aca="false">'P05 Dumai Input'!I28*I11</f>
        <v>1300000</v>
      </c>
      <c r="J14" s="31" t="n">
        <f aca="false">'P05 Dumai Input'!J28*J11</f>
        <v>1300000</v>
      </c>
      <c r="K14" s="31" t="n">
        <f aca="false">'P05 Dumai Input'!K28*K11</f>
        <v>1300000</v>
      </c>
      <c r="L14" s="31" t="n">
        <f aca="false">'P05 Dumai Input'!L28*L11</f>
        <v>1339000</v>
      </c>
      <c r="M14" s="31" t="n">
        <f aca="false">'P05 Dumai Input'!M28*M11</f>
        <v>1339000</v>
      </c>
      <c r="N14" s="31" t="n">
        <f aca="false">'P05 Dumai Input'!N28*N11</f>
        <v>1339000</v>
      </c>
      <c r="O14" s="31" t="n">
        <f aca="false">'P05 Dumai Input'!O28*O11</f>
        <v>1339000</v>
      </c>
      <c r="P14" s="31" t="n">
        <f aca="false">'P05 Dumai Input'!P28*P11</f>
        <v>1379170</v>
      </c>
      <c r="Q14" s="31" t="n">
        <f aca="false">'P05 Dumai Input'!Q28*Q11</f>
        <v>1379170</v>
      </c>
      <c r="R14" s="31" t="n">
        <f aca="false">'P05 Dumai Input'!R28*R11</f>
        <v>1379170</v>
      </c>
      <c r="S14" s="31" t="n">
        <f aca="false">'P05 Dumai Input'!S28*S11</f>
        <v>1379170</v>
      </c>
      <c r="U14" s="5" t="s">
        <v>2030</v>
      </c>
    </row>
    <row r="15" customFormat="false" ht="15" hidden="false" customHeight="false" outlineLevel="0" collapsed="false">
      <c r="B15" s="24" t="s">
        <v>2006</v>
      </c>
      <c r="C15" s="25" t="s">
        <v>905</v>
      </c>
      <c r="F15" s="31" t="n">
        <f aca="false">'P05 Dumai Input'!F29</f>
        <v>0</v>
      </c>
      <c r="G15" s="31" t="n">
        <f aca="false">'P05 Dumai Input'!G29</f>
        <v>0</v>
      </c>
      <c r="H15" s="31" t="n">
        <f aca="false">'P05 Dumai Input'!H29</f>
        <v>0</v>
      </c>
      <c r="I15" s="31" t="n">
        <f aca="false">'P05 Dumai Input'!I29</f>
        <v>35000</v>
      </c>
      <c r="J15" s="31" t="n">
        <f aca="false">'P05 Dumai Input'!J29</f>
        <v>35000</v>
      </c>
      <c r="K15" s="31" t="n">
        <f aca="false">'P05 Dumai Input'!K29</f>
        <v>35000</v>
      </c>
      <c r="L15" s="31" t="n">
        <f aca="false">'P05 Dumai Input'!L29</f>
        <v>36400</v>
      </c>
      <c r="M15" s="31" t="n">
        <f aca="false">'P05 Dumai Input'!M29</f>
        <v>36400</v>
      </c>
      <c r="N15" s="31" t="n">
        <f aca="false">'P05 Dumai Input'!N29</f>
        <v>36400</v>
      </c>
      <c r="O15" s="31" t="n">
        <f aca="false">'P05 Dumai Input'!O29</f>
        <v>36400</v>
      </c>
      <c r="P15" s="31" t="n">
        <f aca="false">'P05 Dumai Input'!P29</f>
        <v>37856</v>
      </c>
      <c r="Q15" s="31" t="n">
        <f aca="false">'P05 Dumai Input'!Q29</f>
        <v>37856</v>
      </c>
      <c r="R15" s="31" t="n">
        <f aca="false">'P05 Dumai Input'!R29</f>
        <v>37856</v>
      </c>
      <c r="S15" s="31" t="n">
        <f aca="false">'P05 Dumai Input'!S29</f>
        <v>37856</v>
      </c>
      <c r="U15" s="5" t="s">
        <v>2031</v>
      </c>
    </row>
    <row r="16" customFormat="false" ht="15" hidden="false" customHeight="false" outlineLevel="0" collapsed="false">
      <c r="B16" s="24" t="s">
        <v>2032</v>
      </c>
      <c r="C16" s="25" t="s">
        <v>170</v>
      </c>
      <c r="E16" s="47" t="n">
        <f aca="false">SUM(F16:S16)</f>
        <v>540.29783808</v>
      </c>
      <c r="F16" s="47" t="n">
        <f aca="false">F14*F15/10^9</f>
        <v>0</v>
      </c>
      <c r="G16" s="47" t="n">
        <f aca="false">G14*G15/10^9</f>
        <v>0</v>
      </c>
      <c r="H16" s="47" t="n">
        <f aca="false">H14*H15/10^9</f>
        <v>0</v>
      </c>
      <c r="I16" s="47" t="n">
        <f aca="false">I14*I15/10^9</f>
        <v>45.5</v>
      </c>
      <c r="J16" s="47" t="n">
        <f aca="false">J14*J15/10^9</f>
        <v>45.5</v>
      </c>
      <c r="K16" s="47" t="n">
        <f aca="false">K14*K15/10^9</f>
        <v>45.5</v>
      </c>
      <c r="L16" s="47" t="n">
        <f aca="false">L14*L15/10^9</f>
        <v>48.7396</v>
      </c>
      <c r="M16" s="47" t="n">
        <f aca="false">M14*M15/10^9</f>
        <v>48.7396</v>
      </c>
      <c r="N16" s="47" t="n">
        <f aca="false">N14*N15/10^9</f>
        <v>48.7396</v>
      </c>
      <c r="O16" s="47" t="n">
        <f aca="false">O14*O15/10^9</f>
        <v>48.7396</v>
      </c>
      <c r="P16" s="47" t="n">
        <f aca="false">P14*P15/10^9</f>
        <v>52.20985952</v>
      </c>
      <c r="Q16" s="47" t="n">
        <f aca="false">Q14*Q15/10^9</f>
        <v>52.20985952</v>
      </c>
      <c r="R16" s="47" t="n">
        <f aca="false">R14*R15/10^9</f>
        <v>52.20985952</v>
      </c>
      <c r="S16" s="47" t="n">
        <f aca="false">S14*S15/10^9</f>
        <v>52.20985952</v>
      </c>
      <c r="U16" s="5" t="s">
        <v>2033</v>
      </c>
    </row>
    <row r="17" customFormat="false" ht="15" hidden="false" customHeight="false" outlineLevel="0" collapsed="false">
      <c r="B17" s="24" t="s">
        <v>2034</v>
      </c>
      <c r="C17" s="25" t="s">
        <v>900</v>
      </c>
      <c r="E17" s="31" t="n">
        <f aca="false">SUM(F17:S17)</f>
        <v>14772680</v>
      </c>
      <c r="F17" s="31" t="n">
        <f aca="false">F14</f>
        <v>0</v>
      </c>
      <c r="G17" s="31" t="n">
        <f aca="false">G14</f>
        <v>0</v>
      </c>
      <c r="H17" s="31" t="n">
        <f aca="false">H14</f>
        <v>0</v>
      </c>
      <c r="I17" s="31" t="n">
        <f aca="false">I14</f>
        <v>1300000</v>
      </c>
      <c r="J17" s="31" t="n">
        <f aca="false">J14</f>
        <v>1300000</v>
      </c>
      <c r="K17" s="31" t="n">
        <f aca="false">K14</f>
        <v>1300000</v>
      </c>
      <c r="L17" s="31" t="n">
        <f aca="false">L14</f>
        <v>1339000</v>
      </c>
      <c r="M17" s="31" t="n">
        <f aca="false">M14</f>
        <v>1339000</v>
      </c>
      <c r="N17" s="31" t="n">
        <f aca="false">N14</f>
        <v>1339000</v>
      </c>
      <c r="O17" s="31" t="n">
        <f aca="false">O14</f>
        <v>1339000</v>
      </c>
      <c r="P17" s="31" t="n">
        <f aca="false">P14</f>
        <v>1379170</v>
      </c>
      <c r="Q17" s="31" t="n">
        <f aca="false">Q14</f>
        <v>1379170</v>
      </c>
      <c r="R17" s="31" t="n">
        <f aca="false">R14</f>
        <v>1379170</v>
      </c>
      <c r="S17" s="31" t="n">
        <f aca="false">S14</f>
        <v>1379170</v>
      </c>
      <c r="U17" s="5" t="s">
        <v>2035</v>
      </c>
    </row>
    <row r="18" customFormat="false" ht="15" hidden="false" customHeight="false" outlineLevel="0" collapsed="false">
      <c r="B18" s="24" t="s">
        <v>2009</v>
      </c>
      <c r="C18" s="25" t="s">
        <v>905</v>
      </c>
      <c r="F18" s="31" t="n">
        <f aca="false">'P05 Dumai Input'!F30</f>
        <v>0</v>
      </c>
      <c r="G18" s="31" t="n">
        <f aca="false">'P05 Dumai Input'!G30</f>
        <v>0</v>
      </c>
      <c r="H18" s="31" t="n">
        <f aca="false">'P05 Dumai Input'!H30</f>
        <v>0</v>
      </c>
      <c r="I18" s="31" t="n">
        <f aca="false">'P05 Dumai Input'!I30</f>
        <v>2000</v>
      </c>
      <c r="J18" s="31" t="n">
        <f aca="false">'P05 Dumai Input'!J30</f>
        <v>2000</v>
      </c>
      <c r="K18" s="31" t="n">
        <f aca="false">'P05 Dumai Input'!K30</f>
        <v>2000</v>
      </c>
      <c r="L18" s="31" t="n">
        <f aca="false">'P05 Dumai Input'!L30</f>
        <v>2000</v>
      </c>
      <c r="M18" s="31" t="n">
        <f aca="false">'P05 Dumai Input'!M30</f>
        <v>2000</v>
      </c>
      <c r="N18" s="31" t="n">
        <f aca="false">'P05 Dumai Input'!N30</f>
        <v>2000</v>
      </c>
      <c r="O18" s="31" t="n">
        <f aca="false">'P05 Dumai Input'!O30</f>
        <v>2000</v>
      </c>
      <c r="P18" s="31" t="n">
        <f aca="false">'P05 Dumai Input'!P30</f>
        <v>2000</v>
      </c>
      <c r="Q18" s="31" t="n">
        <f aca="false">'P05 Dumai Input'!Q30</f>
        <v>2000</v>
      </c>
      <c r="R18" s="31" t="n">
        <f aca="false">'P05 Dumai Input'!R30</f>
        <v>2000</v>
      </c>
      <c r="S18" s="31" t="n">
        <f aca="false">'P05 Dumai Input'!S30</f>
        <v>2000</v>
      </c>
      <c r="U18" s="5" t="s">
        <v>2036</v>
      </c>
    </row>
    <row r="19" customFormat="false" ht="15" hidden="false" customHeight="false" outlineLevel="0" collapsed="false">
      <c r="B19" s="24" t="s">
        <v>2037</v>
      </c>
      <c r="C19" s="25" t="s">
        <v>170</v>
      </c>
      <c r="E19" s="47" t="n">
        <f aca="false">SUM(F19:S19)</f>
        <v>29.54536</v>
      </c>
      <c r="F19" s="47" t="n">
        <f aca="false">F17*F18/10^9</f>
        <v>0</v>
      </c>
      <c r="G19" s="47" t="n">
        <f aca="false">G17*G18/10^9</f>
        <v>0</v>
      </c>
      <c r="H19" s="47" t="n">
        <f aca="false">H17*H18/10^9</f>
        <v>0</v>
      </c>
      <c r="I19" s="47" t="n">
        <f aca="false">I17*I18/10^9</f>
        <v>2.6</v>
      </c>
      <c r="J19" s="47" t="n">
        <f aca="false">J17*J18/10^9</f>
        <v>2.6</v>
      </c>
      <c r="K19" s="47" t="n">
        <f aca="false">K17*K18/10^9</f>
        <v>2.6</v>
      </c>
      <c r="L19" s="47" t="n">
        <f aca="false">L17*L18/10^9</f>
        <v>2.678</v>
      </c>
      <c r="M19" s="47" t="n">
        <f aca="false">M17*M18/10^9</f>
        <v>2.678</v>
      </c>
      <c r="N19" s="47" t="n">
        <f aca="false">N17*N18/10^9</f>
        <v>2.678</v>
      </c>
      <c r="O19" s="47" t="n">
        <f aca="false">O17*O18/10^9</f>
        <v>2.678</v>
      </c>
      <c r="P19" s="47" t="n">
        <f aca="false">P17*P18/10^9</f>
        <v>2.75834</v>
      </c>
      <c r="Q19" s="47" t="n">
        <f aca="false">Q17*Q18/10^9</f>
        <v>2.75834</v>
      </c>
      <c r="R19" s="47" t="n">
        <f aca="false">R17*R18/10^9</f>
        <v>2.75834</v>
      </c>
      <c r="S19" s="47" t="n">
        <f aca="false">S17*S18/10^9</f>
        <v>2.75834</v>
      </c>
      <c r="U19" s="5" t="s">
        <v>2038</v>
      </c>
    </row>
    <row r="20" customFormat="false" ht="15" hidden="false" customHeight="false" outlineLevel="0" collapsed="false">
      <c r="B20" s="69" t="s">
        <v>1979</v>
      </c>
      <c r="C20" s="25" t="s">
        <v>170</v>
      </c>
      <c r="E20" s="70" t="n">
        <f aca="false">SUM(F20:S20)</f>
        <v>569.84319808</v>
      </c>
      <c r="F20" s="68" t="n">
        <f aca="false">F16+F19</f>
        <v>0</v>
      </c>
      <c r="G20" s="68" t="n">
        <f aca="false">G16+G19</f>
        <v>0</v>
      </c>
      <c r="H20" s="68" t="n">
        <f aca="false">H16+H19</f>
        <v>0</v>
      </c>
      <c r="I20" s="68" t="n">
        <f aca="false">I16+I19</f>
        <v>48.1</v>
      </c>
      <c r="J20" s="68" t="n">
        <f aca="false">J16+J19</f>
        <v>48.1</v>
      </c>
      <c r="K20" s="68" t="n">
        <f aca="false">K16+K19</f>
        <v>48.1</v>
      </c>
      <c r="L20" s="68" t="n">
        <f aca="false">L16+L19</f>
        <v>51.4176</v>
      </c>
      <c r="M20" s="68" t="n">
        <f aca="false">M16+M19</f>
        <v>51.4176</v>
      </c>
      <c r="N20" s="68" t="n">
        <f aca="false">N16+N19</f>
        <v>51.4176</v>
      </c>
      <c r="O20" s="68" t="n">
        <f aca="false">O16+O19</f>
        <v>51.4176</v>
      </c>
      <c r="P20" s="68" t="n">
        <f aca="false">P16+P19</f>
        <v>54.96819952</v>
      </c>
      <c r="Q20" s="68" t="n">
        <f aca="false">Q16+Q19</f>
        <v>54.96819952</v>
      </c>
      <c r="R20" s="68" t="n">
        <f aca="false">R16+R19</f>
        <v>54.96819952</v>
      </c>
      <c r="S20" s="68" t="n">
        <f aca="false">S16+S19</f>
        <v>54.96819952</v>
      </c>
      <c r="U20" s="5" t="s">
        <v>2039</v>
      </c>
    </row>
    <row r="22" customFormat="false" ht="15" hidden="false" customHeight="false" outlineLevel="0" collapsed="false">
      <c r="B22" s="22" t="s">
        <v>1029</v>
      </c>
      <c r="C22" s="23"/>
      <c r="D22" s="23"/>
      <c r="E22" s="23"/>
      <c r="F22" s="23"/>
      <c r="G22" s="23"/>
      <c r="H22" s="23"/>
      <c r="I22" s="23"/>
      <c r="J22" s="23"/>
      <c r="K22" s="23"/>
      <c r="L22" s="23"/>
      <c r="M22" s="23"/>
      <c r="N22" s="23"/>
      <c r="O22" s="23"/>
      <c r="P22" s="23"/>
      <c r="Q22" s="23"/>
      <c r="R22" s="23"/>
      <c r="S22" s="23"/>
    </row>
    <row r="23" customFormat="false" ht="15" hidden="false" customHeight="false" outlineLevel="0" collapsed="false">
      <c r="B23" s="69" t="s">
        <v>2040</v>
      </c>
      <c r="C23" s="25" t="s">
        <v>170</v>
      </c>
      <c r="E23" s="70" t="n">
        <f aca="false">SUM(F23:S23)</f>
        <v>0</v>
      </c>
      <c r="F23" s="68" t="n">
        <f aca="false">F20*'P05 Dumai Input'!$E$32</f>
        <v>0</v>
      </c>
      <c r="G23" s="68" t="n">
        <f aca="false">G20*'P05 Dumai Input'!$E$32</f>
        <v>0</v>
      </c>
      <c r="H23" s="68" t="n">
        <f aca="false">H20*'P05 Dumai Input'!$E$32</f>
        <v>0</v>
      </c>
      <c r="I23" s="68" t="n">
        <f aca="false">I20*'P05 Dumai Input'!$E$32</f>
        <v>0</v>
      </c>
      <c r="J23" s="68" t="n">
        <f aca="false">J20*'P05 Dumai Input'!$E$32</f>
        <v>0</v>
      </c>
      <c r="K23" s="68" t="n">
        <f aca="false">K20*'P05 Dumai Input'!$E$32</f>
        <v>0</v>
      </c>
      <c r="L23" s="68" t="n">
        <f aca="false">L20*'P05 Dumai Input'!$E$32</f>
        <v>0</v>
      </c>
      <c r="M23" s="68" t="n">
        <f aca="false">M20*'P05 Dumai Input'!$E$32</f>
        <v>0</v>
      </c>
      <c r="N23" s="68" t="n">
        <f aca="false">N20*'P05 Dumai Input'!$E$32</f>
        <v>0</v>
      </c>
      <c r="O23" s="68" t="n">
        <f aca="false">O20*'P05 Dumai Input'!$E$32</f>
        <v>0</v>
      </c>
      <c r="P23" s="68" t="n">
        <f aca="false">P20*'P05 Dumai Input'!$E$32</f>
        <v>0</v>
      </c>
      <c r="Q23" s="68" t="n">
        <f aca="false">Q20*'P05 Dumai Input'!$E$32</f>
        <v>0</v>
      </c>
      <c r="R23" s="68" t="n">
        <f aca="false">R20*'P05 Dumai Input'!$E$32</f>
        <v>0</v>
      </c>
      <c r="S23" s="68" t="n">
        <f aca="false">S20*'P05 Dumai Input'!$E$32</f>
        <v>0</v>
      </c>
      <c r="U23" s="5" t="s">
        <v>2041</v>
      </c>
    </row>
    <row r="25" customFormat="false" ht="15" hidden="false" customHeight="false" outlineLevel="0" collapsed="false">
      <c r="B25" s="22" t="s">
        <v>1826</v>
      </c>
      <c r="C25" s="23"/>
      <c r="D25" s="23"/>
      <c r="E25" s="23"/>
      <c r="F25" s="23"/>
      <c r="G25" s="23"/>
      <c r="H25" s="23"/>
      <c r="I25" s="23"/>
      <c r="J25" s="23"/>
      <c r="K25" s="23"/>
      <c r="L25" s="23"/>
      <c r="M25" s="23"/>
      <c r="N25" s="23"/>
      <c r="O25" s="23"/>
      <c r="P25" s="23"/>
      <c r="Q25" s="23"/>
      <c r="R25" s="23"/>
      <c r="S25" s="23"/>
    </row>
    <row r="26" customFormat="false" ht="15" hidden="false" customHeight="false" outlineLevel="0" collapsed="false">
      <c r="B26" s="24" t="s">
        <v>1823</v>
      </c>
      <c r="C26" s="25" t="s">
        <v>170</v>
      </c>
      <c r="E26" s="47" t="n">
        <f aca="false">SUM(F26:S26)</f>
        <v>2.66036639860488</v>
      </c>
      <c r="F26" s="47" t="n">
        <f aca="false">SUM($F$40:$S$40)*'P05 Dumai Input'!$E$34*F11</f>
        <v>0</v>
      </c>
      <c r="G26" s="47" t="n">
        <f aca="false">SUM($F$40:$S$40)*'P05 Dumai Input'!$E$34*G11</f>
        <v>0</v>
      </c>
      <c r="H26" s="47" t="n">
        <f aca="false">SUM($F$40:$S$40)*'P05 Dumai Input'!$E$34*H11</f>
        <v>0</v>
      </c>
      <c r="I26" s="47" t="n">
        <f aca="false">SUM($F$40:$S$40)*'P05 Dumai Input'!$E$34*I11</f>
        <v>0.241851490782262</v>
      </c>
      <c r="J26" s="47" t="n">
        <f aca="false">SUM($F$40:$S$40)*'P05 Dumai Input'!$E$34*J11</f>
        <v>0.241851490782262</v>
      </c>
      <c r="K26" s="47" t="n">
        <f aca="false">SUM($F$40:$S$40)*'P05 Dumai Input'!$E$34*K11</f>
        <v>0.241851490782262</v>
      </c>
      <c r="L26" s="47" t="n">
        <f aca="false">SUM($F$40:$S$40)*'P05 Dumai Input'!$E$34*L11</f>
        <v>0.241851490782262</v>
      </c>
      <c r="M26" s="47" t="n">
        <f aca="false">SUM($F$40:$S$40)*'P05 Dumai Input'!$E$34*M11</f>
        <v>0.241851490782262</v>
      </c>
      <c r="N26" s="47" t="n">
        <f aca="false">SUM($F$40:$S$40)*'P05 Dumai Input'!$E$34*N11</f>
        <v>0.241851490782262</v>
      </c>
      <c r="O26" s="47" t="n">
        <f aca="false">SUM($F$40:$S$40)*'P05 Dumai Input'!$E$34*O11</f>
        <v>0.241851490782262</v>
      </c>
      <c r="P26" s="47" t="n">
        <f aca="false">SUM($F$40:$S$40)*'P05 Dumai Input'!$E$34*P11</f>
        <v>0.241851490782262</v>
      </c>
      <c r="Q26" s="47" t="n">
        <f aca="false">SUM($F$40:$S$40)*'P05 Dumai Input'!$E$34*Q11</f>
        <v>0.241851490782262</v>
      </c>
      <c r="R26" s="47" t="n">
        <f aca="false">SUM($F$40:$S$40)*'P05 Dumai Input'!$E$34*R11</f>
        <v>0.241851490782262</v>
      </c>
      <c r="S26" s="47" t="n">
        <f aca="false">SUM($F$40:$S$40)*'P05 Dumai Input'!$E$34*S11</f>
        <v>0.241851490782262</v>
      </c>
      <c r="U26" s="5" t="s">
        <v>2042</v>
      </c>
    </row>
    <row r="27" customFormat="false" ht="15" hidden="false" customHeight="false" outlineLevel="0" collapsed="false">
      <c r="B27" s="24" t="s">
        <v>2043</v>
      </c>
      <c r="C27" s="25" t="s">
        <v>170</v>
      </c>
      <c r="E27" s="47" t="n">
        <f aca="false">SUM(F27:S27)</f>
        <v>275.490602822591</v>
      </c>
      <c r="F27" s="47" t="n">
        <f aca="false">F16*'P05 Dumai Input'!F35</f>
        <v>0</v>
      </c>
      <c r="G27" s="47" t="n">
        <f aca="false">G16*'P05 Dumai Input'!G35</f>
        <v>0</v>
      </c>
      <c r="H27" s="47" t="n">
        <f aca="false">H16*'P05 Dumai Input'!H35</f>
        <v>0</v>
      </c>
      <c r="I27" s="47" t="n">
        <f aca="false">I16*'P05 Dumai Input'!I35</f>
        <v>21.6081310773405</v>
      </c>
      <c r="J27" s="47" t="n">
        <f aca="false">J16*'P05 Dumai Input'!J35</f>
        <v>22.109080080798</v>
      </c>
      <c r="K27" s="47" t="n">
        <f aca="false">K16*'P05 Dumai Input'!K35</f>
        <v>22.6225528093419</v>
      </c>
      <c r="L27" s="47" t="n">
        <f aca="false">L16*'P05 Dumai Input'!L35</f>
        <v>23.5920336155253</v>
      </c>
      <c r="M27" s="47" t="n">
        <f aca="false">M16*'P05 Dumai Input'!M35</f>
        <v>24.5732263714779</v>
      </c>
      <c r="N27" s="47" t="n">
        <f aca="false">N16*'P05 Dumai Input'!N35</f>
        <v>24.9191257642926</v>
      </c>
      <c r="O27" s="47" t="n">
        <f aca="false">O16*'P05 Dumai Input'!O35</f>
        <v>25.4954164981858</v>
      </c>
      <c r="P27" s="47" t="n">
        <f aca="false">P16*'P05 Dumai Input'!P35</f>
        <v>26.5846447416104</v>
      </c>
      <c r="Q27" s="47" t="n">
        <f aca="false">Q16*'P05 Dumai Input'!Q35</f>
        <v>27.2004045377367</v>
      </c>
      <c r="R27" s="47" t="n">
        <f aca="false">R16*'P05 Dumai Input'!R35</f>
        <v>28.2642292678065</v>
      </c>
      <c r="S27" s="47" t="n">
        <f aca="false">S16*'P05 Dumai Input'!S35</f>
        <v>28.5217580584752</v>
      </c>
      <c r="U27" s="5" t="s">
        <v>2044</v>
      </c>
    </row>
    <row r="28" customFormat="false" ht="15" hidden="false" customHeight="false" outlineLevel="0" collapsed="false">
      <c r="B28" s="24" t="s">
        <v>2045</v>
      </c>
      <c r="C28" s="25" t="s">
        <v>170</v>
      </c>
      <c r="E28" s="47" t="n">
        <f aca="false">SUM(F28:S28)</f>
        <v>6.18094547586974</v>
      </c>
      <c r="F28" s="47" t="n">
        <f aca="false">F19*'P05 Dumai Input'!F36</f>
        <v>0</v>
      </c>
      <c r="G28" s="47" t="n">
        <f aca="false">G19*'P05 Dumai Input'!G36</f>
        <v>0</v>
      </c>
      <c r="H28" s="47" t="n">
        <f aca="false">H19*'P05 Dumai Input'!H36</f>
        <v>0</v>
      </c>
      <c r="I28" s="47" t="n">
        <f aca="false">I19*'P05 Dumai Input'!I36</f>
        <v>0.4992</v>
      </c>
      <c r="J28" s="47" t="n">
        <f aca="false">J19*'P05 Dumai Input'!J36</f>
        <v>0.509925</v>
      </c>
      <c r="K28" s="47" t="n">
        <f aca="false">K19*'P05 Dumai Input'!K36</f>
        <v>0.520918125</v>
      </c>
      <c r="L28" s="47" t="n">
        <f aca="false">L19*'P05 Dumai Input'!L36</f>
        <v>0.534292078125</v>
      </c>
      <c r="M28" s="47" t="n">
        <f aca="false">M19*'P05 Dumai Input'!M36</f>
        <v>0.551197730078125</v>
      </c>
      <c r="N28" s="47" t="n">
        <f aca="false">N19*'P05 Dumai Input'!N36</f>
        <v>0.560358123330078</v>
      </c>
      <c r="O28" s="47" t="n">
        <f aca="false">O19*'P05 Dumai Input'!O36</f>
        <v>0.57249247641333</v>
      </c>
      <c r="P28" s="47" t="n">
        <f aca="false">P19*'P05 Dumai Input'!P36</f>
        <v>0.587179708323663</v>
      </c>
      <c r="Q28" s="47" t="n">
        <f aca="false">Q19*'P05 Dumai Input'!Q36</f>
        <v>0.599928363031755</v>
      </c>
      <c r="R28" s="47" t="n">
        <f aca="false">R19*'P05 Dumai Input'!R36</f>
        <v>0.618512414107548</v>
      </c>
      <c r="S28" s="47" t="n">
        <f aca="false">S19*'P05 Dumai Input'!S36</f>
        <v>0.626941457460237</v>
      </c>
      <c r="U28" s="5" t="s">
        <v>2046</v>
      </c>
    </row>
    <row r="29" customFormat="false" ht="15" hidden="false" customHeight="false" outlineLevel="0" collapsed="false">
      <c r="B29" s="24" t="s">
        <v>2047</v>
      </c>
      <c r="C29" s="25" t="s">
        <v>170</v>
      </c>
      <c r="E29" s="47" t="n">
        <f aca="false">SUM(F29:S29)</f>
        <v>281.67154829846</v>
      </c>
      <c r="F29" s="47" t="n">
        <f aca="false">F27+F28</f>
        <v>0</v>
      </c>
      <c r="G29" s="47" t="n">
        <f aca="false">G27+G28</f>
        <v>0</v>
      </c>
      <c r="H29" s="47" t="n">
        <f aca="false">H27+H28</f>
        <v>0</v>
      </c>
      <c r="I29" s="47" t="n">
        <f aca="false">I27+I28</f>
        <v>22.1073310773405</v>
      </c>
      <c r="J29" s="47" t="n">
        <f aca="false">J27+J28</f>
        <v>22.619005080798</v>
      </c>
      <c r="K29" s="47" t="n">
        <f aca="false">K27+K28</f>
        <v>23.1434709343419</v>
      </c>
      <c r="L29" s="47" t="n">
        <f aca="false">L27+L28</f>
        <v>24.1263256936503</v>
      </c>
      <c r="M29" s="47" t="n">
        <f aca="false">M27+M28</f>
        <v>25.124424101556</v>
      </c>
      <c r="N29" s="47" t="n">
        <f aca="false">N27+N28</f>
        <v>25.4794838876226</v>
      </c>
      <c r="O29" s="47" t="n">
        <f aca="false">O27+O28</f>
        <v>26.0679089745992</v>
      </c>
      <c r="P29" s="47" t="n">
        <f aca="false">P27+P28</f>
        <v>27.1718244499341</v>
      </c>
      <c r="Q29" s="47" t="n">
        <f aca="false">Q27+Q28</f>
        <v>27.8003329007684</v>
      </c>
      <c r="R29" s="47" t="n">
        <f aca="false">R27+R28</f>
        <v>28.8827416819141</v>
      </c>
      <c r="S29" s="47" t="n">
        <f aca="false">S27+S28</f>
        <v>29.1486995159355</v>
      </c>
      <c r="U29" s="5" t="s">
        <v>2048</v>
      </c>
    </row>
    <row r="30" customFormat="false" ht="15" hidden="false" customHeight="false" outlineLevel="0" collapsed="false">
      <c r="B30" s="69" t="s">
        <v>2049</v>
      </c>
      <c r="C30" s="25" t="s">
        <v>170</v>
      </c>
      <c r="E30" s="70" t="n">
        <f aca="false">SUM(F30:S30)</f>
        <v>284.331914697065</v>
      </c>
      <c r="F30" s="68" t="n">
        <f aca="false">F26+F29</f>
        <v>0</v>
      </c>
      <c r="G30" s="68" t="n">
        <f aca="false">G26+G29</f>
        <v>0</v>
      </c>
      <c r="H30" s="68" t="n">
        <f aca="false">H26+H29</f>
        <v>0</v>
      </c>
      <c r="I30" s="68" t="n">
        <f aca="false">I26+I29</f>
        <v>22.3491825681227</v>
      </c>
      <c r="J30" s="68" t="n">
        <f aca="false">J26+J29</f>
        <v>22.8608565715802</v>
      </c>
      <c r="K30" s="68" t="n">
        <f aca="false">K26+K29</f>
        <v>23.3853224251242</v>
      </c>
      <c r="L30" s="68" t="n">
        <f aca="false">L26+L29</f>
        <v>24.3681771844325</v>
      </c>
      <c r="M30" s="68" t="n">
        <f aca="false">M26+M29</f>
        <v>25.3662755923383</v>
      </c>
      <c r="N30" s="68" t="n">
        <f aca="false">N26+N29</f>
        <v>25.7213353784049</v>
      </c>
      <c r="O30" s="68" t="n">
        <f aca="false">O26+O29</f>
        <v>26.3097604653814</v>
      </c>
      <c r="P30" s="68" t="n">
        <f aca="false">P26+P29</f>
        <v>27.4136759407163</v>
      </c>
      <c r="Q30" s="68" t="n">
        <f aca="false">Q26+Q29</f>
        <v>28.0421843915507</v>
      </c>
      <c r="R30" s="68" t="n">
        <f aca="false">R26+R29</f>
        <v>29.1245931726963</v>
      </c>
      <c r="S30" s="68" t="n">
        <f aca="false">S26+S29</f>
        <v>29.3905510067177</v>
      </c>
      <c r="U30" s="5" t="s">
        <v>2050</v>
      </c>
    </row>
    <row r="32" customFormat="false" ht="15" hidden="false" customHeight="false" outlineLevel="0" collapsed="false">
      <c r="B32" s="22" t="s">
        <v>2051</v>
      </c>
      <c r="C32" s="23"/>
      <c r="D32" s="23"/>
      <c r="E32" s="23"/>
      <c r="F32" s="23"/>
      <c r="G32" s="23"/>
      <c r="H32" s="23"/>
      <c r="I32" s="23"/>
      <c r="J32" s="23"/>
      <c r="K32" s="23"/>
      <c r="L32" s="23"/>
      <c r="M32" s="23"/>
      <c r="N32" s="23"/>
      <c r="O32" s="23"/>
      <c r="P32" s="23"/>
      <c r="Q32" s="23"/>
      <c r="R32" s="23"/>
      <c r="S32" s="23"/>
    </row>
    <row r="33" customFormat="false" ht="15" hidden="false" customHeight="false" outlineLevel="0" collapsed="false">
      <c r="B33" s="24" t="s">
        <v>2052</v>
      </c>
      <c r="C33" s="25" t="s">
        <v>145</v>
      </c>
      <c r="F33" s="29" t="n">
        <f aca="false">SUM($F$11:F11)</f>
        <v>0</v>
      </c>
      <c r="G33" s="29" t="n">
        <f aca="false">SUM($F$11:G11)</f>
        <v>0</v>
      </c>
      <c r="H33" s="29" t="n">
        <f aca="false">SUM($F$11:H11)</f>
        <v>0</v>
      </c>
      <c r="I33" s="29" t="n">
        <f aca="false">SUM($F$11:I11)</f>
        <v>1</v>
      </c>
      <c r="J33" s="29" t="n">
        <f aca="false">SUM($F$11:J11)</f>
        <v>2</v>
      </c>
      <c r="K33" s="29" t="n">
        <f aca="false">SUM($F$11:K11)</f>
        <v>3</v>
      </c>
      <c r="L33" s="29" t="n">
        <f aca="false">SUM($F$11:L11)</f>
        <v>4</v>
      </c>
      <c r="M33" s="29" t="n">
        <f aca="false">SUM($F$11:M11)</f>
        <v>5</v>
      </c>
      <c r="N33" s="29" t="n">
        <f aca="false">SUM($F$11:N11)</f>
        <v>6</v>
      </c>
      <c r="O33" s="29" t="n">
        <f aca="false">SUM($F$11:O11)</f>
        <v>7</v>
      </c>
      <c r="P33" s="29" t="n">
        <f aca="false">SUM($F$11:P11)</f>
        <v>8</v>
      </c>
      <c r="Q33" s="29" t="n">
        <f aca="false">SUM($F$11:Q11)</f>
        <v>9</v>
      </c>
      <c r="R33" s="29" t="n">
        <f aca="false">SUM($F$11:R11)</f>
        <v>10</v>
      </c>
      <c r="S33" s="29" t="n">
        <f aca="false">SUM($F$11:S11)</f>
        <v>11</v>
      </c>
      <c r="U33" s="5" t="s">
        <v>2053</v>
      </c>
    </row>
    <row r="34" customFormat="false" ht="15" hidden="false" customHeight="false" outlineLevel="0" collapsed="false">
      <c r="B34" s="24" t="s">
        <v>2054</v>
      </c>
      <c r="C34" s="25" t="s">
        <v>143</v>
      </c>
      <c r="F34" s="30" t="n">
        <f aca="false">IF(AND(F33&gt;0,F33&lt;='P05 Dumai Input'!$E$52),1,0)</f>
        <v>0</v>
      </c>
      <c r="G34" s="30" t="n">
        <f aca="false">IF(AND(G33&gt;0,G33&lt;='P05 Dumai Input'!$E$52),1,0)</f>
        <v>0</v>
      </c>
      <c r="H34" s="30" t="n">
        <f aca="false">IF(AND(H33&gt;0,H33&lt;='P05 Dumai Input'!$E$52),1,0)</f>
        <v>0</v>
      </c>
      <c r="I34" s="30" t="n">
        <f aca="false">IF(AND(I33&gt;0,I33&lt;='P05 Dumai Input'!$E$52),1,0)</f>
        <v>1</v>
      </c>
      <c r="J34" s="30" t="n">
        <f aca="false">IF(AND(J33&gt;0,J33&lt;='P05 Dumai Input'!$E$52),1,0)</f>
        <v>1</v>
      </c>
      <c r="K34" s="30" t="n">
        <f aca="false">IF(AND(K33&gt;0,K33&lt;='P05 Dumai Input'!$E$52),1,0)</f>
        <v>1</v>
      </c>
      <c r="L34" s="30" t="n">
        <f aca="false">IF(AND(L33&gt;0,L33&lt;='P05 Dumai Input'!$E$52),1,0)</f>
        <v>1</v>
      </c>
      <c r="M34" s="30" t="n">
        <f aca="false">IF(AND(M33&gt;0,M33&lt;='P05 Dumai Input'!$E$52),1,0)</f>
        <v>1</v>
      </c>
      <c r="N34" s="30" t="n">
        <f aca="false">IF(AND(N33&gt;0,N33&lt;='P05 Dumai Input'!$E$52),1,0)</f>
        <v>1</v>
      </c>
      <c r="O34" s="30" t="n">
        <f aca="false">IF(AND(O33&gt;0,O33&lt;='P05 Dumai Input'!$E$52),1,0)</f>
        <v>1</v>
      </c>
      <c r="P34" s="30" t="n">
        <f aca="false">IF(AND(P33&gt;0,P33&lt;='P05 Dumai Input'!$E$52),1,0)</f>
        <v>1</v>
      </c>
      <c r="Q34" s="30" t="n">
        <f aca="false">IF(AND(Q33&gt;0,Q33&lt;='P05 Dumai Input'!$E$52),1,0)</f>
        <v>0</v>
      </c>
      <c r="R34" s="30" t="n">
        <f aca="false">IF(AND(R33&gt;0,R33&lt;='P05 Dumai Input'!$E$52),1,0)</f>
        <v>0</v>
      </c>
      <c r="S34" s="30" t="n">
        <f aca="false">IF(AND(S33&gt;0,S33&lt;='P05 Dumai Input'!$E$52),1,0)</f>
        <v>0</v>
      </c>
      <c r="U34" s="5" t="s">
        <v>2055</v>
      </c>
    </row>
    <row r="35" customFormat="false" ht="15" hidden="false" customHeight="false" outlineLevel="0" collapsed="false">
      <c r="B35" s="24" t="s">
        <v>2056</v>
      </c>
      <c r="C35" s="25" t="s">
        <v>170</v>
      </c>
      <c r="E35" s="47" t="n">
        <f aca="false">SUM(F35:S35)</f>
        <v>0</v>
      </c>
      <c r="F35" s="47" t="n">
        <f aca="false">IF('Global Inputs'!$E$33=1,-F45*(1-F34),0)</f>
        <v>0</v>
      </c>
      <c r="G35" s="47" t="n">
        <f aca="false">IF('Global Inputs'!$E$33=1,-G45*(1-G34),0)</f>
        <v>0</v>
      </c>
      <c r="H35" s="47" t="n">
        <f aca="false">IF('Global Inputs'!$E$33=1,-H45*(1-H34),0)</f>
        <v>0</v>
      </c>
      <c r="I35" s="47" t="n">
        <f aca="false">IF('Global Inputs'!$E$33=1,-I45*(1-I34),0)</f>
        <v>0</v>
      </c>
      <c r="J35" s="47" t="n">
        <f aca="false">IF('Global Inputs'!$E$33=1,-J45*(1-J34),0)</f>
        <v>0</v>
      </c>
      <c r="K35" s="47" t="n">
        <f aca="false">IF('Global Inputs'!$E$33=1,-K45*(1-K34),0)</f>
        <v>0</v>
      </c>
      <c r="L35" s="47" t="n">
        <f aca="false">IF('Global Inputs'!$E$33=1,-L45*(1-L34),0)</f>
        <v>0</v>
      </c>
      <c r="M35" s="47" t="n">
        <f aca="false">IF('Global Inputs'!$E$33=1,-M45*(1-M34),0)</f>
        <v>0</v>
      </c>
      <c r="N35" s="47" t="n">
        <f aca="false">IF('Global Inputs'!$E$33=1,-N45*(1-N34),0)</f>
        <v>0</v>
      </c>
      <c r="O35" s="47" t="n">
        <f aca="false">IF('Global Inputs'!$E$33=1,-O45*(1-O34),0)</f>
        <v>0</v>
      </c>
      <c r="P35" s="47" t="n">
        <f aca="false">IF('Global Inputs'!$E$33=1,-P45*(1-P34),0)</f>
        <v>0</v>
      </c>
      <c r="Q35" s="47" t="n">
        <f aca="false">IF('Global Inputs'!$E$33=1,-Q45*(1-Q34),0)</f>
        <v>0</v>
      </c>
      <c r="R35" s="47" t="n">
        <f aca="false">IF('Global Inputs'!$E$33=1,-R45*(1-R34),0)</f>
        <v>0</v>
      </c>
      <c r="S35" s="47" t="n">
        <f aca="false">IF('Global Inputs'!$E$33=1,-S45*(1-S34),0)</f>
        <v>0</v>
      </c>
      <c r="U35" s="5" t="s">
        <v>2057</v>
      </c>
    </row>
    <row r="37" customFormat="false" ht="15" hidden="false" customHeight="false" outlineLevel="0" collapsed="false">
      <c r="B37" s="22" t="s">
        <v>1089</v>
      </c>
      <c r="C37" s="23"/>
      <c r="D37" s="23"/>
      <c r="E37" s="23"/>
      <c r="F37" s="23"/>
      <c r="G37" s="23"/>
      <c r="H37" s="23"/>
      <c r="I37" s="23"/>
      <c r="J37" s="23"/>
      <c r="K37" s="23"/>
      <c r="L37" s="23"/>
      <c r="M37" s="23"/>
      <c r="N37" s="23"/>
      <c r="O37" s="23"/>
      <c r="P37" s="23"/>
      <c r="Q37" s="23"/>
      <c r="R37" s="23"/>
      <c r="S37" s="23"/>
    </row>
    <row r="38" customFormat="false" ht="15" hidden="false" customHeight="false" outlineLevel="0" collapsed="false">
      <c r="B38" s="24" t="s">
        <v>1330</v>
      </c>
      <c r="C38" s="25" t="s">
        <v>240</v>
      </c>
      <c r="E38" s="44" t="n">
        <f aca="false">SUM(F38:S38)</f>
        <v>6.80952380952381</v>
      </c>
      <c r="F38" s="44" t="n">
        <f aca="false">'P05 Dumai Input'!F41</f>
        <v>0</v>
      </c>
      <c r="G38" s="44" t="n">
        <f aca="false">'P05 Dumai Input'!G41</f>
        <v>0</v>
      </c>
      <c r="H38" s="44" t="n">
        <f aca="false">'P05 Dumai Input'!H41</f>
        <v>0</v>
      </c>
      <c r="I38" s="44" t="n">
        <f aca="false">'P05 Dumai Input'!I41</f>
        <v>6.48452380952381</v>
      </c>
      <c r="J38" s="44" t="n">
        <f aca="false">'P05 Dumai Input'!J41</f>
        <v>0.325</v>
      </c>
      <c r="K38" s="44" t="n">
        <f aca="false">'P05 Dumai Input'!K41</f>
        <v>0</v>
      </c>
      <c r="L38" s="44" t="n">
        <f aca="false">'P05 Dumai Input'!L41</f>
        <v>0</v>
      </c>
      <c r="M38" s="44" t="n">
        <f aca="false">'P05 Dumai Input'!M41</f>
        <v>0</v>
      </c>
      <c r="N38" s="44" t="n">
        <f aca="false">'P05 Dumai Input'!N41</f>
        <v>0</v>
      </c>
      <c r="O38" s="44" t="n">
        <f aca="false">'P05 Dumai Input'!O41</f>
        <v>0</v>
      </c>
      <c r="P38" s="44" t="n">
        <f aca="false">'P05 Dumai Input'!P41</f>
        <v>0</v>
      </c>
      <c r="Q38" s="44" t="n">
        <f aca="false">'P05 Dumai Input'!Q41</f>
        <v>0</v>
      </c>
      <c r="R38" s="44" t="n">
        <f aca="false">'P05 Dumai Input'!R41</f>
        <v>0</v>
      </c>
      <c r="S38" s="44" t="n">
        <f aca="false">'P05 Dumai Input'!S41</f>
        <v>0</v>
      </c>
    </row>
    <row r="39" customFormat="false" ht="15" hidden="false" customHeight="false" outlineLevel="0" collapsed="false">
      <c r="B39" s="24" t="s">
        <v>1331</v>
      </c>
      <c r="C39" s="25" t="s">
        <v>152</v>
      </c>
      <c r="F39" s="34" t="n">
        <f aca="false">'Global Inputs'!F22</f>
        <v>16265</v>
      </c>
      <c r="G39" s="34" t="n">
        <f aca="false">'Global Inputs'!G22</f>
        <v>16265</v>
      </c>
      <c r="H39" s="34" t="n">
        <f aca="false">'Global Inputs'!H22</f>
        <v>16265</v>
      </c>
      <c r="I39" s="34" t="n">
        <f aca="false">'Global Inputs'!I22</f>
        <v>16265</v>
      </c>
      <c r="J39" s="34" t="n">
        <f aca="false">'Global Inputs'!J22</f>
        <v>16265</v>
      </c>
      <c r="K39" s="34" t="n">
        <f aca="false">'Global Inputs'!K22</f>
        <v>16265</v>
      </c>
      <c r="L39" s="34" t="n">
        <f aca="false">'Global Inputs'!L22</f>
        <v>16265</v>
      </c>
      <c r="M39" s="34" t="n">
        <f aca="false">'Global Inputs'!M22</f>
        <v>16265</v>
      </c>
      <c r="N39" s="34" t="n">
        <f aca="false">'Global Inputs'!N22</f>
        <v>16265</v>
      </c>
      <c r="O39" s="34" t="n">
        <f aca="false">'Global Inputs'!O22</f>
        <v>16265</v>
      </c>
      <c r="P39" s="34" t="n">
        <f aca="false">'Global Inputs'!P22</f>
        <v>16265</v>
      </c>
      <c r="Q39" s="34" t="n">
        <f aca="false">'Global Inputs'!Q22</f>
        <v>16265</v>
      </c>
      <c r="R39" s="34" t="n">
        <f aca="false">'Global Inputs'!R22</f>
        <v>16265</v>
      </c>
      <c r="S39" s="34" t="n">
        <f aca="false">'Global Inputs'!S22</f>
        <v>16265</v>
      </c>
    </row>
    <row r="40" customFormat="false" ht="15" hidden="false" customHeight="false" outlineLevel="0" collapsed="false">
      <c r="B40" s="24" t="s">
        <v>351</v>
      </c>
      <c r="C40" s="25" t="s">
        <v>170</v>
      </c>
      <c r="E40" s="47" t="n">
        <f aca="false">SUM(F40:S40)</f>
        <v>110.756904761905</v>
      </c>
      <c r="F40" s="47" t="n">
        <f aca="false">'P05 Dumai Input'!F43</f>
        <v>0</v>
      </c>
      <c r="G40" s="47" t="n">
        <f aca="false">'P05 Dumai Input'!G43</f>
        <v>0</v>
      </c>
      <c r="H40" s="47" t="n">
        <f aca="false">'P05 Dumai Input'!H43</f>
        <v>0</v>
      </c>
      <c r="I40" s="47" t="n">
        <f aca="false">'P05 Dumai Input'!I43</f>
        <v>105.470779761905</v>
      </c>
      <c r="J40" s="47" t="n">
        <f aca="false">'P05 Dumai Input'!J43</f>
        <v>5.286125</v>
      </c>
      <c r="K40" s="47" t="n">
        <f aca="false">'P05 Dumai Input'!K43</f>
        <v>0</v>
      </c>
      <c r="L40" s="47" t="n">
        <f aca="false">'P05 Dumai Input'!L43</f>
        <v>0</v>
      </c>
      <c r="M40" s="47" t="n">
        <f aca="false">'P05 Dumai Input'!M43</f>
        <v>0</v>
      </c>
      <c r="N40" s="47" t="n">
        <f aca="false">'P05 Dumai Input'!N43</f>
        <v>0</v>
      </c>
      <c r="O40" s="47" t="n">
        <f aca="false">'P05 Dumai Input'!O43</f>
        <v>0</v>
      </c>
      <c r="P40" s="47" t="n">
        <f aca="false">'P05 Dumai Input'!P43</f>
        <v>0</v>
      </c>
      <c r="Q40" s="47" t="n">
        <f aca="false">'P05 Dumai Input'!Q43</f>
        <v>0</v>
      </c>
      <c r="R40" s="47" t="n">
        <f aca="false">'P05 Dumai Input'!R43</f>
        <v>0</v>
      </c>
      <c r="S40" s="47" t="n">
        <f aca="false">'P05 Dumai Input'!S43</f>
        <v>0</v>
      </c>
    </row>
    <row r="41" customFormat="false" ht="15" hidden="false" customHeight="false" outlineLevel="0" collapsed="false">
      <c r="B41" s="24" t="s">
        <v>1332</v>
      </c>
      <c r="C41" s="25" t="s">
        <v>170</v>
      </c>
      <c r="F41" s="47" t="n">
        <f aca="false">SUM($F$40:F40)</f>
        <v>0</v>
      </c>
      <c r="G41" s="47" t="n">
        <f aca="false">SUM($F$40:G40)</f>
        <v>0</v>
      </c>
      <c r="H41" s="47" t="n">
        <f aca="false">SUM($F$40:H40)</f>
        <v>0</v>
      </c>
      <c r="I41" s="47" t="n">
        <f aca="false">SUM($F$40:I40)</f>
        <v>105.470779761905</v>
      </c>
      <c r="J41" s="47" t="n">
        <f aca="false">SUM($F$40:J40)</f>
        <v>110.756904761905</v>
      </c>
      <c r="K41" s="47" t="n">
        <f aca="false">SUM($F$40:K40)</f>
        <v>110.756904761905</v>
      </c>
      <c r="L41" s="47" t="n">
        <f aca="false">SUM($F$40:L40)</f>
        <v>110.756904761905</v>
      </c>
      <c r="M41" s="47" t="n">
        <f aca="false">SUM($F$40:M40)</f>
        <v>110.756904761905</v>
      </c>
      <c r="N41" s="47" t="n">
        <f aca="false">SUM($F$40:N40)</f>
        <v>110.756904761905</v>
      </c>
      <c r="O41" s="47" t="n">
        <f aca="false">SUM($F$40:O40)</f>
        <v>110.756904761905</v>
      </c>
      <c r="P41" s="47" t="n">
        <f aca="false">SUM($F$40:P40)</f>
        <v>110.756904761905</v>
      </c>
      <c r="Q41" s="47" t="n">
        <f aca="false">SUM($F$40:Q40)</f>
        <v>110.756904761905</v>
      </c>
      <c r="R41" s="47" t="n">
        <f aca="false">SUM($F$40:R40)</f>
        <v>110.756904761905</v>
      </c>
      <c r="S41" s="47" t="n">
        <f aca="false">SUM($F$40:S40)</f>
        <v>110.756904761905</v>
      </c>
    </row>
    <row r="42" customFormat="false" ht="15" hidden="false" customHeight="false" outlineLevel="0" collapsed="false">
      <c r="B42" s="24" t="s">
        <v>1333</v>
      </c>
      <c r="C42" s="25" t="s">
        <v>143</v>
      </c>
      <c r="F42" s="30" t="n">
        <f aca="false">IF(F$5&gt;='P05 Dumai Input'!$E$48,1,0)*F$8</f>
        <v>0</v>
      </c>
      <c r="G42" s="30" t="n">
        <f aca="false">IF(G$5&gt;='P05 Dumai Input'!$E$48,1,0)*G$8</f>
        <v>0</v>
      </c>
      <c r="H42" s="30" t="n">
        <f aca="false">IF(H$5&gt;='P05 Dumai Input'!$E$48,1,0)*H$8</f>
        <v>0</v>
      </c>
      <c r="I42" s="30" t="n">
        <f aca="false">IF(I$5&gt;='P05 Dumai Input'!$E$48,1,0)*I$8</f>
        <v>1</v>
      </c>
      <c r="J42" s="30" t="n">
        <f aca="false">IF(J$5&gt;='P05 Dumai Input'!$E$48,1,0)*J$8</f>
        <v>1</v>
      </c>
      <c r="K42" s="30" t="n">
        <f aca="false">IF(K$5&gt;='P05 Dumai Input'!$E$48,1,0)*K$8</f>
        <v>1</v>
      </c>
      <c r="L42" s="30" t="n">
        <f aca="false">IF(L$5&gt;='P05 Dumai Input'!$E$48,1,0)*L$8</f>
        <v>1</v>
      </c>
      <c r="M42" s="30" t="n">
        <f aca="false">IF(M$5&gt;='P05 Dumai Input'!$E$48,1,0)*M$8</f>
        <v>1</v>
      </c>
      <c r="N42" s="30" t="n">
        <f aca="false">IF(N$5&gt;='P05 Dumai Input'!$E$48,1,0)*N$8</f>
        <v>1</v>
      </c>
      <c r="O42" s="30" t="n">
        <f aca="false">IF(O$5&gt;='P05 Dumai Input'!$E$48,1,0)*O$8</f>
        <v>1</v>
      </c>
      <c r="P42" s="30" t="n">
        <f aca="false">IF(P$5&gt;='P05 Dumai Input'!$E$48,1,0)*P$8</f>
        <v>1</v>
      </c>
      <c r="Q42" s="30" t="n">
        <f aca="false">IF(Q$5&gt;='P05 Dumai Input'!$E$48,1,0)*Q$8</f>
        <v>1</v>
      </c>
      <c r="R42" s="30" t="n">
        <f aca="false">IF(R$5&gt;='P05 Dumai Input'!$E$48,1,0)*R$8</f>
        <v>1</v>
      </c>
      <c r="S42" s="30" t="n">
        <f aca="false">IF(S$5&gt;='P05 Dumai Input'!$E$48,1,0)*S$8</f>
        <v>1</v>
      </c>
    </row>
    <row r="43" customFormat="false" ht="15" hidden="false" customHeight="false" outlineLevel="0" collapsed="false">
      <c r="B43" s="24" t="s">
        <v>1334</v>
      </c>
      <c r="C43" s="25" t="s">
        <v>135</v>
      </c>
      <c r="F43" s="29" t="n">
        <f aca="false">MAX(F$5,'P05 Dumai Input'!$E$48)</f>
        <v>2026</v>
      </c>
      <c r="G43" s="29" t="n">
        <f aca="false">MAX(G$5,'P05 Dumai Input'!$E$48)</f>
        <v>2026</v>
      </c>
      <c r="H43" s="29" t="n">
        <f aca="false">MAX(H$5,'P05 Dumai Input'!$E$48)</f>
        <v>2026</v>
      </c>
      <c r="I43" s="29" t="n">
        <f aca="false">MAX(I$5,'P05 Dumai Input'!$E$48)</f>
        <v>2026</v>
      </c>
      <c r="J43" s="29" t="n">
        <f aca="false">MAX(J$5,'P05 Dumai Input'!$E$48)</f>
        <v>2027</v>
      </c>
      <c r="K43" s="29" t="n">
        <f aca="false">MAX(K$5,'P05 Dumai Input'!$E$48)</f>
        <v>2028</v>
      </c>
      <c r="L43" s="29" t="n">
        <f aca="false">MAX(L$5,'P05 Dumai Input'!$E$48)</f>
        <v>2029</v>
      </c>
      <c r="M43" s="29" t="n">
        <f aca="false">MAX(M$5,'P05 Dumai Input'!$E$48)</f>
        <v>2030</v>
      </c>
      <c r="N43" s="29" t="n">
        <f aca="false">MAX(N$5,'P05 Dumai Input'!$E$48)</f>
        <v>2031</v>
      </c>
      <c r="O43" s="29" t="n">
        <f aca="false">MAX(O$5,'P05 Dumai Input'!$E$48)</f>
        <v>2032</v>
      </c>
      <c r="P43" s="29" t="n">
        <f aca="false">MAX(P$5,'P05 Dumai Input'!$E$48)</f>
        <v>2033</v>
      </c>
      <c r="Q43" s="29" t="n">
        <f aca="false">MAX(Q$5,'P05 Dumai Input'!$E$48)</f>
        <v>2034</v>
      </c>
      <c r="R43" s="29" t="n">
        <f aca="false">MAX(R$5,'P05 Dumai Input'!$E$48)</f>
        <v>2035</v>
      </c>
      <c r="S43" s="29" t="n">
        <f aca="false">MAX(S$5,'P05 Dumai Input'!$E$48)</f>
        <v>2036</v>
      </c>
    </row>
    <row r="44" customFormat="false" ht="15" hidden="false" customHeight="false" outlineLevel="0" collapsed="false">
      <c r="B44" s="24" t="s">
        <v>1335</v>
      </c>
      <c r="C44" s="25" t="s">
        <v>170</v>
      </c>
      <c r="E44" s="47" t="n">
        <f aca="false">SUM(F44:S44)</f>
        <v>36.3911948214286</v>
      </c>
      <c r="F44" s="47" t="n">
        <f aca="false">IF('Global Inputs'!$E$33=1,SUM($F$40:$S$40)*'P05 Dumai Input'!$E$50/'P05 Dumai Input'!$E$51*F42,SUMPRODUCT($F$40:$S$40,--($F$43:$S$43&lt;=F$5),--(F$5&lt;$F$43:$S$43+'P05 Dumai Input'!$E$51))*'P05 Dumai Input'!$E$50/'P05 Dumai Input'!$E$51)</f>
        <v>0</v>
      </c>
      <c r="G44" s="47" t="n">
        <f aca="false">IF('Global Inputs'!$E$33=1,SUM($F$40:$S$40)*'P05 Dumai Input'!$E$50/'P05 Dumai Input'!$E$51*G42,SUMPRODUCT($F$40:$S$40,--($F$43:$S$43&lt;=G$5),--(G$5&lt;$F$43:$S$43+'P05 Dumai Input'!$E$51))*'P05 Dumai Input'!$E$50/'P05 Dumai Input'!$E$51)</f>
        <v>0</v>
      </c>
      <c r="H44" s="47" t="n">
        <f aca="false">IF('Global Inputs'!$E$33=1,SUM($F$40:$S$40)*'P05 Dumai Input'!$E$50/'P05 Dumai Input'!$E$51*H42,SUMPRODUCT($F$40:$S$40,--($F$43:$S$43&lt;=H$5),--(H$5&lt;$F$43:$S$43+'P05 Dumai Input'!$E$51))*'P05 Dumai Input'!$E$50/'P05 Dumai Input'!$E$51)</f>
        <v>0</v>
      </c>
      <c r="I44" s="47" t="n">
        <f aca="false">IF('Global Inputs'!$E$33=1,SUM($F$40:$S$40)*'P05 Dumai Input'!$E$50/'P05 Dumai Input'!$E$51*I42,SUMPRODUCT($F$40:$S$40,--($F$43:$S$43&lt;=I$5),--(I$5&lt;$F$43:$S$43+'P05 Dumai Input'!$E$51))*'P05 Dumai Input'!$E$50/'P05 Dumai Input'!$E$51)</f>
        <v>3.16412339285714</v>
      </c>
      <c r="J44" s="47" t="n">
        <f aca="false">IF('Global Inputs'!$E$33=1,SUM($F$40:$S$40)*'P05 Dumai Input'!$E$50/'P05 Dumai Input'!$E$51*J42,SUMPRODUCT($F$40:$S$40,--($F$43:$S$43&lt;=J$5),--(J$5&lt;$F$43:$S$43+'P05 Dumai Input'!$E$51))*'P05 Dumai Input'!$E$50/'P05 Dumai Input'!$E$51)</f>
        <v>3.32270714285714</v>
      </c>
      <c r="K44" s="47" t="n">
        <f aca="false">IF('Global Inputs'!$E$33=1,SUM($F$40:$S$40)*'P05 Dumai Input'!$E$50/'P05 Dumai Input'!$E$51*K42,SUMPRODUCT($F$40:$S$40,--($F$43:$S$43&lt;=K$5),--(K$5&lt;$F$43:$S$43+'P05 Dumai Input'!$E$51))*'P05 Dumai Input'!$E$50/'P05 Dumai Input'!$E$51)</f>
        <v>3.32270714285714</v>
      </c>
      <c r="L44" s="47" t="n">
        <f aca="false">IF('Global Inputs'!$E$33=1,SUM($F$40:$S$40)*'P05 Dumai Input'!$E$50/'P05 Dumai Input'!$E$51*L42,SUMPRODUCT($F$40:$S$40,--($F$43:$S$43&lt;=L$5),--(L$5&lt;$F$43:$S$43+'P05 Dumai Input'!$E$51))*'P05 Dumai Input'!$E$50/'P05 Dumai Input'!$E$51)</f>
        <v>3.32270714285714</v>
      </c>
      <c r="M44" s="47" t="n">
        <f aca="false">IF('Global Inputs'!$E$33=1,SUM($F$40:$S$40)*'P05 Dumai Input'!$E$50/'P05 Dumai Input'!$E$51*M42,SUMPRODUCT($F$40:$S$40,--($F$43:$S$43&lt;=M$5),--(M$5&lt;$F$43:$S$43+'P05 Dumai Input'!$E$51))*'P05 Dumai Input'!$E$50/'P05 Dumai Input'!$E$51)</f>
        <v>3.32270714285714</v>
      </c>
      <c r="N44" s="47" t="n">
        <f aca="false">IF('Global Inputs'!$E$33=1,SUM($F$40:$S$40)*'P05 Dumai Input'!$E$50/'P05 Dumai Input'!$E$51*N42,SUMPRODUCT($F$40:$S$40,--($F$43:$S$43&lt;=N$5),--(N$5&lt;$F$43:$S$43+'P05 Dumai Input'!$E$51))*'P05 Dumai Input'!$E$50/'P05 Dumai Input'!$E$51)</f>
        <v>3.32270714285714</v>
      </c>
      <c r="O44" s="47" t="n">
        <f aca="false">IF('Global Inputs'!$E$33=1,SUM($F$40:$S$40)*'P05 Dumai Input'!$E$50/'P05 Dumai Input'!$E$51*O42,SUMPRODUCT($F$40:$S$40,--($F$43:$S$43&lt;=O$5),--(O$5&lt;$F$43:$S$43+'P05 Dumai Input'!$E$51))*'P05 Dumai Input'!$E$50/'P05 Dumai Input'!$E$51)</f>
        <v>3.32270714285714</v>
      </c>
      <c r="P44" s="47" t="n">
        <f aca="false">IF('Global Inputs'!$E$33=1,SUM($F$40:$S$40)*'P05 Dumai Input'!$E$50/'P05 Dumai Input'!$E$51*P42,SUMPRODUCT($F$40:$S$40,--($F$43:$S$43&lt;=P$5),--(P$5&lt;$F$43:$S$43+'P05 Dumai Input'!$E$51))*'P05 Dumai Input'!$E$50/'P05 Dumai Input'!$E$51)</f>
        <v>3.32270714285714</v>
      </c>
      <c r="Q44" s="47" t="n">
        <f aca="false">IF('Global Inputs'!$E$33=1,SUM($F$40:$S$40)*'P05 Dumai Input'!$E$50/'P05 Dumai Input'!$E$51*Q42,SUMPRODUCT($F$40:$S$40,--($F$43:$S$43&lt;=Q$5),--(Q$5&lt;$F$43:$S$43+'P05 Dumai Input'!$E$51))*'P05 Dumai Input'!$E$50/'P05 Dumai Input'!$E$51)</f>
        <v>3.32270714285714</v>
      </c>
      <c r="R44" s="47" t="n">
        <f aca="false">IF('Global Inputs'!$E$33=1,SUM($F$40:$S$40)*'P05 Dumai Input'!$E$50/'P05 Dumai Input'!$E$51*R42,SUMPRODUCT($F$40:$S$40,--($F$43:$S$43&lt;=R$5),--(R$5&lt;$F$43:$S$43+'P05 Dumai Input'!$E$51))*'P05 Dumai Input'!$E$50/'P05 Dumai Input'!$E$51)</f>
        <v>3.32270714285714</v>
      </c>
      <c r="S44" s="47" t="n">
        <f aca="false">IF('Global Inputs'!$E$33=1,SUM($F$40:$S$40)*'P05 Dumai Input'!$E$50/'P05 Dumai Input'!$E$51*S42,SUMPRODUCT($F$40:$S$40,--($F$43:$S$43&lt;=S$5),--(S$5&lt;$F$43:$S$43+'P05 Dumai Input'!$E$51))*'P05 Dumai Input'!$E$50/'P05 Dumai Input'!$E$51)</f>
        <v>3.32270714285714</v>
      </c>
      <c r="T44" s="5" t="s">
        <v>1336</v>
      </c>
    </row>
    <row r="45" customFormat="false" ht="15" hidden="false" customHeight="false" outlineLevel="0" collapsed="false">
      <c r="B45" s="24" t="s">
        <v>1337</v>
      </c>
      <c r="C45" s="25" t="s">
        <v>170</v>
      </c>
      <c r="E45" s="47" t="n">
        <f aca="false">SUM(F45:S45)</f>
        <v>44.3027619047619</v>
      </c>
      <c r="F45" s="47" t="n">
        <f aca="false">IF('Global Inputs'!$E$33=1,SUM($F$40:$S$40)*(1-'P05 Dumai Input'!$E$50)/'P05 Dumai Input'!$E$52*F42,SUMPRODUCT($F$40:$S$40,--($F$43:$S$43&lt;=F$5),--(F$5&lt;$F$43:$S$43+'P05 Dumai Input'!$E$52))*(1-'P05 Dumai Input'!$E$50)/'P05 Dumai Input'!$E$52)</f>
        <v>0</v>
      </c>
      <c r="G45" s="47" t="n">
        <f aca="false">IF('Global Inputs'!$E$33=1,SUM($F$40:$S$40)*(1-'P05 Dumai Input'!$E$50)/'P05 Dumai Input'!$E$52*G42,SUMPRODUCT($F$40:$S$40,--($F$43:$S$43&lt;=G$5),--(G$5&lt;$F$43:$S$43+'P05 Dumai Input'!$E$52))*(1-'P05 Dumai Input'!$E$50)/'P05 Dumai Input'!$E$52)</f>
        <v>0</v>
      </c>
      <c r="H45" s="47" t="n">
        <f aca="false">IF('Global Inputs'!$E$33=1,SUM($F$40:$S$40)*(1-'P05 Dumai Input'!$E$50)/'P05 Dumai Input'!$E$52*H42,SUMPRODUCT($F$40:$S$40,--($F$43:$S$43&lt;=H$5),--(H$5&lt;$F$43:$S$43+'P05 Dumai Input'!$E$52))*(1-'P05 Dumai Input'!$E$50)/'P05 Dumai Input'!$E$52)</f>
        <v>0</v>
      </c>
      <c r="I45" s="47" t="n">
        <f aca="false">IF('Global Inputs'!$E$33=1,SUM($F$40:$S$40)*(1-'P05 Dumai Input'!$E$50)/'P05 Dumai Input'!$E$52*I42,SUMPRODUCT($F$40:$S$40,--($F$43:$S$43&lt;=I$5),--(I$5&lt;$F$43:$S$43+'P05 Dumai Input'!$E$52))*(1-'P05 Dumai Input'!$E$50)/'P05 Dumai Input'!$E$52)</f>
        <v>5.27353898809524</v>
      </c>
      <c r="J45" s="47" t="n">
        <f aca="false">IF('Global Inputs'!$E$33=1,SUM($F$40:$S$40)*(1-'P05 Dumai Input'!$E$50)/'P05 Dumai Input'!$E$52*J42,SUMPRODUCT($F$40:$S$40,--($F$43:$S$43&lt;=J$5),--(J$5&lt;$F$43:$S$43+'P05 Dumai Input'!$E$52))*(1-'P05 Dumai Input'!$E$50)/'P05 Dumai Input'!$E$52)</f>
        <v>5.53784523809524</v>
      </c>
      <c r="K45" s="47" t="n">
        <f aca="false">IF('Global Inputs'!$E$33=1,SUM($F$40:$S$40)*(1-'P05 Dumai Input'!$E$50)/'P05 Dumai Input'!$E$52*K42,SUMPRODUCT($F$40:$S$40,--($F$43:$S$43&lt;=K$5),--(K$5&lt;$F$43:$S$43+'P05 Dumai Input'!$E$52))*(1-'P05 Dumai Input'!$E$50)/'P05 Dumai Input'!$E$52)</f>
        <v>5.53784523809524</v>
      </c>
      <c r="L45" s="47" t="n">
        <f aca="false">IF('Global Inputs'!$E$33=1,SUM($F$40:$S$40)*(1-'P05 Dumai Input'!$E$50)/'P05 Dumai Input'!$E$52*L42,SUMPRODUCT($F$40:$S$40,--($F$43:$S$43&lt;=L$5),--(L$5&lt;$F$43:$S$43+'P05 Dumai Input'!$E$52))*(1-'P05 Dumai Input'!$E$50)/'P05 Dumai Input'!$E$52)</f>
        <v>5.53784523809524</v>
      </c>
      <c r="M45" s="47" t="n">
        <f aca="false">IF('Global Inputs'!$E$33=1,SUM($F$40:$S$40)*(1-'P05 Dumai Input'!$E$50)/'P05 Dumai Input'!$E$52*M42,SUMPRODUCT($F$40:$S$40,--($F$43:$S$43&lt;=M$5),--(M$5&lt;$F$43:$S$43+'P05 Dumai Input'!$E$52))*(1-'P05 Dumai Input'!$E$50)/'P05 Dumai Input'!$E$52)</f>
        <v>5.53784523809524</v>
      </c>
      <c r="N45" s="47" t="n">
        <f aca="false">IF('Global Inputs'!$E$33=1,SUM($F$40:$S$40)*(1-'P05 Dumai Input'!$E$50)/'P05 Dumai Input'!$E$52*N42,SUMPRODUCT($F$40:$S$40,--($F$43:$S$43&lt;=N$5),--(N$5&lt;$F$43:$S$43+'P05 Dumai Input'!$E$52))*(1-'P05 Dumai Input'!$E$50)/'P05 Dumai Input'!$E$52)</f>
        <v>5.53784523809524</v>
      </c>
      <c r="O45" s="47" t="n">
        <f aca="false">IF('Global Inputs'!$E$33=1,SUM($F$40:$S$40)*(1-'P05 Dumai Input'!$E$50)/'P05 Dumai Input'!$E$52*O42,SUMPRODUCT($F$40:$S$40,--($F$43:$S$43&lt;=O$5),--(O$5&lt;$F$43:$S$43+'P05 Dumai Input'!$E$52))*(1-'P05 Dumai Input'!$E$50)/'P05 Dumai Input'!$E$52)</f>
        <v>5.53784523809524</v>
      </c>
      <c r="P45" s="47" t="n">
        <f aca="false">IF('Global Inputs'!$E$33=1,SUM($F$40:$S$40)*(1-'P05 Dumai Input'!$E$50)/'P05 Dumai Input'!$E$52*P42,SUMPRODUCT($F$40:$S$40,--($F$43:$S$43&lt;=P$5),--(P$5&lt;$F$43:$S$43+'P05 Dumai Input'!$E$52))*(1-'P05 Dumai Input'!$E$50)/'P05 Dumai Input'!$E$52)</f>
        <v>5.53784523809524</v>
      </c>
      <c r="Q45" s="47" t="n">
        <f aca="false">IF('Global Inputs'!$E$33=1,SUM($F$40:$S$40)*(1-'P05 Dumai Input'!$E$50)/'P05 Dumai Input'!$E$52*Q42,SUMPRODUCT($F$40:$S$40,--($F$43:$S$43&lt;=Q$5),--(Q$5&lt;$F$43:$S$43+'P05 Dumai Input'!$E$52))*(1-'P05 Dumai Input'!$E$50)/'P05 Dumai Input'!$E$52)</f>
        <v>0.26430625</v>
      </c>
      <c r="R45" s="47" t="n">
        <f aca="false">IF('Global Inputs'!$E$33=1,SUM($F$40:$S$40)*(1-'P05 Dumai Input'!$E$50)/'P05 Dumai Input'!$E$52*R42,SUMPRODUCT($F$40:$S$40,--($F$43:$S$43&lt;=R$5),--(R$5&lt;$F$43:$S$43+'P05 Dumai Input'!$E$52))*(1-'P05 Dumai Input'!$E$50)/'P05 Dumai Input'!$E$52)</f>
        <v>0</v>
      </c>
      <c r="S45" s="47" t="n">
        <f aca="false">IF('Global Inputs'!$E$33=1,SUM($F$40:$S$40)*(1-'P05 Dumai Input'!$E$50)/'P05 Dumai Input'!$E$52*S42,SUMPRODUCT($F$40:$S$40,--($F$43:$S$43&lt;=S$5),--(S$5&lt;$F$43:$S$43+'P05 Dumai Input'!$E$52))*(1-'P05 Dumai Input'!$E$50)/'P05 Dumai Input'!$E$52)</f>
        <v>0</v>
      </c>
    </row>
    <row r="46" customFormat="false" ht="15" hidden="false" customHeight="false" outlineLevel="0" collapsed="false">
      <c r="B46" s="24" t="s">
        <v>1338</v>
      </c>
      <c r="C46" s="25" t="s">
        <v>170</v>
      </c>
      <c r="E46" s="47" t="n">
        <f aca="false">SUM(F46:S46)</f>
        <v>80.6939567261905</v>
      </c>
      <c r="F46" s="47" t="n">
        <f aca="false">F44+F45</f>
        <v>0</v>
      </c>
      <c r="G46" s="47" t="n">
        <f aca="false">G44+G45</f>
        <v>0</v>
      </c>
      <c r="H46" s="47" t="n">
        <f aca="false">H44+H45</f>
        <v>0</v>
      </c>
      <c r="I46" s="47" t="n">
        <f aca="false">I44+I45</f>
        <v>8.43766238095238</v>
      </c>
      <c r="J46" s="47" t="n">
        <f aca="false">J44+J45</f>
        <v>8.86055238095238</v>
      </c>
      <c r="K46" s="47" t="n">
        <f aca="false">K44+K45</f>
        <v>8.86055238095238</v>
      </c>
      <c r="L46" s="47" t="n">
        <f aca="false">L44+L45</f>
        <v>8.86055238095238</v>
      </c>
      <c r="M46" s="47" t="n">
        <f aca="false">M44+M45</f>
        <v>8.86055238095238</v>
      </c>
      <c r="N46" s="47" t="n">
        <f aca="false">N44+N45</f>
        <v>8.86055238095238</v>
      </c>
      <c r="O46" s="47" t="n">
        <f aca="false">O44+O45</f>
        <v>8.86055238095238</v>
      </c>
      <c r="P46" s="47" t="n">
        <f aca="false">P44+P45</f>
        <v>8.86055238095238</v>
      </c>
      <c r="Q46" s="47" t="n">
        <f aca="false">Q44+Q45</f>
        <v>3.58701339285714</v>
      </c>
      <c r="R46" s="47" t="n">
        <f aca="false">R44+R45</f>
        <v>3.32270714285714</v>
      </c>
      <c r="S46" s="47" t="n">
        <f aca="false">S44+S45</f>
        <v>3.32270714285714</v>
      </c>
    </row>
    <row r="47" customFormat="false" ht="15" hidden="false" customHeight="false" outlineLevel="0" collapsed="false">
      <c r="B47" s="24" t="s">
        <v>1339</v>
      </c>
      <c r="C47" s="25" t="s">
        <v>170</v>
      </c>
      <c r="F47" s="47" t="n">
        <f aca="false">F40</f>
        <v>0</v>
      </c>
      <c r="G47" s="47" t="n">
        <f aca="false">F47+G40-G46</f>
        <v>0</v>
      </c>
      <c r="H47" s="47" t="n">
        <f aca="false">G47+H40-H46</f>
        <v>0</v>
      </c>
      <c r="I47" s="47" t="n">
        <f aca="false">H47+I40-I46</f>
        <v>97.0331173809524</v>
      </c>
      <c r="J47" s="47" t="n">
        <f aca="false">I47+J40-J46</f>
        <v>93.45869</v>
      </c>
      <c r="K47" s="47" t="n">
        <f aca="false">J47+K40-K46</f>
        <v>84.5981376190476</v>
      </c>
      <c r="L47" s="47" t="n">
        <f aca="false">K47+L40-L46</f>
        <v>75.7375852380952</v>
      </c>
      <c r="M47" s="47" t="n">
        <f aca="false">L47+M40-M46</f>
        <v>66.8770328571428</v>
      </c>
      <c r="N47" s="47" t="n">
        <f aca="false">M47+N40-N46</f>
        <v>58.0164804761905</v>
      </c>
      <c r="O47" s="47" t="n">
        <f aca="false">N47+O40-O46</f>
        <v>49.1559280952381</v>
      </c>
      <c r="P47" s="47" t="n">
        <f aca="false">O47+P40-P46</f>
        <v>40.2953757142857</v>
      </c>
      <c r="Q47" s="47" t="n">
        <f aca="false">P47+Q40-Q46</f>
        <v>36.7083623214285</v>
      </c>
      <c r="R47" s="47" t="n">
        <f aca="false">Q47+R40-R46</f>
        <v>33.3856551785714</v>
      </c>
      <c r="S47" s="47" t="n">
        <f aca="false">R47+S40-S46</f>
        <v>30.0629480357143</v>
      </c>
    </row>
    <row r="48" customFormat="false" ht="15" hidden="false" customHeight="false" outlineLevel="0" collapsed="false">
      <c r="B48" s="24" t="s">
        <v>1340</v>
      </c>
      <c r="C48" s="25" t="s">
        <v>143</v>
      </c>
      <c r="F48" s="30" t="n">
        <f aca="false">IF(F40&gt;0,1,0)</f>
        <v>0</v>
      </c>
      <c r="G48" s="30" t="n">
        <f aca="false">IF(AND(G41&gt;0,F41=0),1,0)</f>
        <v>0</v>
      </c>
      <c r="H48" s="30" t="n">
        <f aca="false">IF(AND(H41&gt;0,G41=0),1,0)</f>
        <v>0</v>
      </c>
      <c r="I48" s="30" t="n">
        <f aca="false">IF(AND(I41&gt;0,H41=0),1,0)</f>
        <v>1</v>
      </c>
      <c r="J48" s="30" t="n">
        <f aca="false">IF(AND(J41&gt;0,I41=0),1,0)</f>
        <v>0</v>
      </c>
      <c r="K48" s="30" t="n">
        <f aca="false">IF(AND(K41&gt;0,J41=0),1,0)</f>
        <v>0</v>
      </c>
      <c r="L48" s="30" t="n">
        <f aca="false">IF(AND(L41&gt;0,K41=0),1,0)</f>
        <v>0</v>
      </c>
      <c r="M48" s="30" t="n">
        <f aca="false">IF(AND(M41&gt;0,L41=0),1,0)</f>
        <v>0</v>
      </c>
      <c r="N48" s="30" t="n">
        <f aca="false">IF(AND(N41&gt;0,M41=0),1,0)</f>
        <v>0</v>
      </c>
      <c r="O48" s="30" t="n">
        <f aca="false">IF(AND(O41&gt;0,N41=0),1,0)</f>
        <v>0</v>
      </c>
      <c r="P48" s="30" t="n">
        <f aca="false">IF(AND(P41&gt;0,O41=0),1,0)</f>
        <v>0</v>
      </c>
      <c r="Q48" s="30" t="n">
        <f aca="false">IF(AND(Q41&gt;0,P41=0),1,0)</f>
        <v>0</v>
      </c>
      <c r="R48" s="30" t="n">
        <f aca="false">IF(AND(R41&gt;0,Q41=0),1,0)</f>
        <v>0</v>
      </c>
      <c r="S48" s="30" t="n">
        <f aca="false">IF(AND(S41&gt;0,R41=0),1,0)</f>
        <v>0</v>
      </c>
    </row>
    <row r="49" customFormat="false" ht="15" hidden="false" customHeight="false" outlineLevel="0" collapsed="false">
      <c r="B49" s="69" t="s">
        <v>1094</v>
      </c>
      <c r="C49" s="25" t="s">
        <v>170</v>
      </c>
      <c r="E49" s="70" t="n">
        <f aca="false">SUM(F49:S49)</f>
        <v>80.6939567261905</v>
      </c>
      <c r="F49" s="68" t="n">
        <f aca="false">F46+F35</f>
        <v>0</v>
      </c>
      <c r="G49" s="68" t="n">
        <f aca="false">G46+G35</f>
        <v>0</v>
      </c>
      <c r="H49" s="68" t="n">
        <f aca="false">H46+H35</f>
        <v>0</v>
      </c>
      <c r="I49" s="68" t="n">
        <f aca="false">I46+I35</f>
        <v>8.43766238095238</v>
      </c>
      <c r="J49" s="68" t="n">
        <f aca="false">J46+J35</f>
        <v>8.86055238095238</v>
      </c>
      <c r="K49" s="68" t="n">
        <f aca="false">K46+K35</f>
        <v>8.86055238095238</v>
      </c>
      <c r="L49" s="68" t="n">
        <f aca="false">L46+L35</f>
        <v>8.86055238095238</v>
      </c>
      <c r="M49" s="68" t="n">
        <f aca="false">M46+M35</f>
        <v>8.86055238095238</v>
      </c>
      <c r="N49" s="68" t="n">
        <f aca="false">N46+N35</f>
        <v>8.86055238095238</v>
      </c>
      <c r="O49" s="68" t="n">
        <f aca="false">O46+O35</f>
        <v>8.86055238095238</v>
      </c>
      <c r="P49" s="68" t="n">
        <f aca="false">P46+P35</f>
        <v>8.86055238095238</v>
      </c>
      <c r="Q49" s="68" t="n">
        <f aca="false">Q46+Q35</f>
        <v>3.58701339285714</v>
      </c>
      <c r="R49" s="68" t="n">
        <f aca="false">R46+R35</f>
        <v>3.32270714285714</v>
      </c>
      <c r="S49" s="68" t="n">
        <f aca="false">S46+S35</f>
        <v>3.32270714285714</v>
      </c>
    </row>
    <row r="51" customFormat="false" ht="15" hidden="false" customHeight="false" outlineLevel="0" collapsed="false">
      <c r="B51" s="22" t="s">
        <v>1095</v>
      </c>
      <c r="C51" s="23"/>
      <c r="D51" s="23"/>
      <c r="E51" s="23"/>
      <c r="F51" s="23"/>
      <c r="G51" s="23"/>
      <c r="H51" s="23"/>
      <c r="I51" s="23"/>
      <c r="J51" s="23"/>
      <c r="K51" s="23"/>
      <c r="L51" s="23"/>
      <c r="M51" s="23"/>
      <c r="N51" s="23"/>
      <c r="O51" s="23"/>
      <c r="P51" s="23"/>
      <c r="Q51" s="23"/>
      <c r="R51" s="23"/>
      <c r="S51" s="23"/>
    </row>
    <row r="52" customFormat="false" ht="15" hidden="false" customHeight="false" outlineLevel="0" collapsed="false">
      <c r="B52" s="24" t="s">
        <v>1096</v>
      </c>
      <c r="C52" s="25" t="s">
        <v>170</v>
      </c>
      <c r="F52" s="47" t="n">
        <f aca="false">0</f>
        <v>0</v>
      </c>
      <c r="G52" s="47" t="n">
        <f aca="false">G20*'Global Inputs'!$E$28/G$7</f>
        <v>0</v>
      </c>
      <c r="H52" s="47" t="n">
        <f aca="false">H20*'Global Inputs'!$E$28/H$7</f>
        <v>0</v>
      </c>
      <c r="I52" s="47" t="n">
        <f aca="false">I20*'Global Inputs'!$E$28/I$7</f>
        <v>5.93013698630137</v>
      </c>
      <c r="J52" s="47" t="n">
        <f aca="false">J20*'Global Inputs'!$E$28/J$7</f>
        <v>5.93013698630137</v>
      </c>
      <c r="K52" s="47" t="n">
        <f aca="false">K20*'Global Inputs'!$E$28/K$7</f>
        <v>5.91393442622951</v>
      </c>
      <c r="L52" s="47" t="n">
        <f aca="false">L20*'Global Inputs'!$E$28/L$7</f>
        <v>6.33915616438356</v>
      </c>
      <c r="M52" s="47" t="n">
        <f aca="false">M20*'Global Inputs'!$E$28/M$7</f>
        <v>6.33915616438356</v>
      </c>
      <c r="N52" s="47" t="n">
        <f aca="false">N20*'Global Inputs'!$E$28/N$7</f>
        <v>6.33915616438356</v>
      </c>
      <c r="O52" s="47" t="n">
        <f aca="false">O20*'Global Inputs'!$E$28/O$7</f>
        <v>6.32183606557377</v>
      </c>
      <c r="P52" s="47" t="n">
        <f aca="false">P20*'Global Inputs'!$E$28/P$7</f>
        <v>6.77690131068493</v>
      </c>
      <c r="Q52" s="47" t="n">
        <f aca="false">Q20*'Global Inputs'!$E$28/Q$7</f>
        <v>6.77690131068493</v>
      </c>
      <c r="R52" s="47" t="n">
        <f aca="false">R20*'Global Inputs'!$E$28/R$7</f>
        <v>6.77690131068493</v>
      </c>
      <c r="S52" s="47" t="n">
        <f aca="false">S20*'Global Inputs'!$E$28/S$7</f>
        <v>6.75838518688525</v>
      </c>
    </row>
    <row r="53" customFormat="false" ht="15" hidden="false" customHeight="false" outlineLevel="0" collapsed="false">
      <c r="B53" s="24" t="s">
        <v>1098</v>
      </c>
      <c r="C53" s="25" t="s">
        <v>170</v>
      </c>
      <c r="F53" s="47" t="n">
        <f aca="false">0</f>
        <v>0</v>
      </c>
      <c r="G53" s="47" t="n">
        <f aca="false">G23*'Global Inputs'!$E$29/G$7</f>
        <v>0</v>
      </c>
      <c r="H53" s="47" t="n">
        <f aca="false">H23*'Global Inputs'!$E$29/H$7</f>
        <v>0</v>
      </c>
      <c r="I53" s="47" t="n">
        <f aca="false">I23*'Global Inputs'!$E$29/I$7</f>
        <v>0</v>
      </c>
      <c r="J53" s="47" t="n">
        <f aca="false">J23*'Global Inputs'!$E$29/J$7</f>
        <v>0</v>
      </c>
      <c r="K53" s="47" t="n">
        <f aca="false">K23*'Global Inputs'!$E$29/K$7</f>
        <v>0</v>
      </c>
      <c r="L53" s="47" t="n">
        <f aca="false">L23*'Global Inputs'!$E$29/L$7</f>
        <v>0</v>
      </c>
      <c r="M53" s="47" t="n">
        <f aca="false">M23*'Global Inputs'!$E$29/M$7</f>
        <v>0</v>
      </c>
      <c r="N53" s="47" t="n">
        <f aca="false">N23*'Global Inputs'!$E$29/N$7</f>
        <v>0</v>
      </c>
      <c r="O53" s="47" t="n">
        <f aca="false">O23*'Global Inputs'!$E$29/O$7</f>
        <v>0</v>
      </c>
      <c r="P53" s="47" t="n">
        <f aca="false">P23*'Global Inputs'!$E$29/P$7</f>
        <v>0</v>
      </c>
      <c r="Q53" s="47" t="n">
        <f aca="false">Q23*'Global Inputs'!$E$29/Q$7</f>
        <v>0</v>
      </c>
      <c r="R53" s="47" t="n">
        <f aca="false">R23*'Global Inputs'!$E$29/R$7</f>
        <v>0</v>
      </c>
      <c r="S53" s="47" t="n">
        <f aca="false">S23*'Global Inputs'!$E$29/S$7</f>
        <v>0</v>
      </c>
    </row>
    <row r="54" customFormat="false" ht="15" hidden="false" customHeight="false" outlineLevel="0" collapsed="false">
      <c r="B54" s="24" t="s">
        <v>1099</v>
      </c>
      <c r="C54" s="25" t="s">
        <v>170</v>
      </c>
      <c r="F54" s="47" t="n">
        <f aca="false">F52-F53</f>
        <v>0</v>
      </c>
      <c r="G54" s="47" t="n">
        <f aca="false">G52-G53</f>
        <v>0</v>
      </c>
      <c r="H54" s="47" t="n">
        <f aca="false">H52-H53</f>
        <v>0</v>
      </c>
      <c r="I54" s="47" t="n">
        <f aca="false">I52-I53</f>
        <v>5.93013698630137</v>
      </c>
      <c r="J54" s="47" t="n">
        <f aca="false">J52-J53</f>
        <v>5.93013698630137</v>
      </c>
      <c r="K54" s="47" t="n">
        <f aca="false">K52-K53</f>
        <v>5.91393442622951</v>
      </c>
      <c r="L54" s="47" t="n">
        <f aca="false">L52-L53</f>
        <v>6.33915616438356</v>
      </c>
      <c r="M54" s="47" t="n">
        <f aca="false">M52-M53</f>
        <v>6.33915616438356</v>
      </c>
      <c r="N54" s="47" t="n">
        <f aca="false">N52-N53</f>
        <v>6.33915616438356</v>
      </c>
      <c r="O54" s="47" t="n">
        <f aca="false">O52-O53</f>
        <v>6.32183606557377</v>
      </c>
      <c r="P54" s="47" t="n">
        <f aca="false">P52-P53</f>
        <v>6.77690131068493</v>
      </c>
      <c r="Q54" s="47" t="n">
        <f aca="false">Q52-Q53</f>
        <v>6.77690131068493</v>
      </c>
      <c r="R54" s="47" t="n">
        <f aca="false">R52-R53</f>
        <v>6.77690131068493</v>
      </c>
      <c r="S54" s="47" t="n">
        <f aca="false">S52-S53</f>
        <v>6.75838518688525</v>
      </c>
    </row>
    <row r="55" customFormat="false" ht="15" hidden="false" customHeight="false" outlineLevel="0" collapsed="false">
      <c r="B55" s="24" t="s">
        <v>1100</v>
      </c>
      <c r="C55" s="25" t="s">
        <v>170</v>
      </c>
      <c r="E55" s="47" t="n">
        <f aca="false">SUM(F55:S55)</f>
        <v>6.75838518688525</v>
      </c>
      <c r="F55" s="47" t="n">
        <f aca="false">0</f>
        <v>0</v>
      </c>
      <c r="G55" s="47" t="n">
        <f aca="false">G54-F54</f>
        <v>0</v>
      </c>
      <c r="H55" s="47" t="n">
        <f aca="false">H54-G54</f>
        <v>0</v>
      </c>
      <c r="I55" s="47" t="n">
        <f aca="false">I54-H54</f>
        <v>5.93013698630137</v>
      </c>
      <c r="J55" s="47" t="n">
        <f aca="false">J54-I54</f>
        <v>0</v>
      </c>
      <c r="K55" s="47" t="n">
        <f aca="false">K54-J54</f>
        <v>-0.0162025600718616</v>
      </c>
      <c r="L55" s="47" t="n">
        <f aca="false">L54-K54</f>
        <v>0.425221738154053</v>
      </c>
      <c r="M55" s="47" t="n">
        <f aca="false">M54-L54</f>
        <v>0</v>
      </c>
      <c r="N55" s="47" t="n">
        <f aca="false">N54-M54</f>
        <v>0</v>
      </c>
      <c r="O55" s="47" t="n">
        <f aca="false">O54-N54</f>
        <v>-0.0173200988097904</v>
      </c>
      <c r="P55" s="47" t="n">
        <f aca="false">P54-O54</f>
        <v>0.455065245111161</v>
      </c>
      <c r="Q55" s="47" t="n">
        <f aca="false">Q54-P54</f>
        <v>0</v>
      </c>
      <c r="R55" s="47" t="n">
        <f aca="false">R54-Q54</f>
        <v>0</v>
      </c>
      <c r="S55" s="47" t="n">
        <f aca="false">S54-R54</f>
        <v>-0.0185161237996851</v>
      </c>
    </row>
  </sheetData>
  <hyperlinks>
    <hyperlink ref="C3" r:id="rId1" location="'P05%20Dumai%20Input'!A1" display="Input"/>
    <hyperlink ref="D3" r:id="rId2" location="'P05%20Dumai%20Calc'!A1" display="Calc"/>
    <hyperlink ref="E3" r:id="rId3" location="'P05%20Dumai%20Output'!A1" display="Output"/>
    <hyperlink ref="F3" r:id="rId4" location="'Navigation'!A1" display="Navigation"/>
    <hyperlink ref="G3" r:id="rId5" location="'Global%20Inputs'!A1" display="Global Inputs"/>
    <hyperlink ref="H3" r:id="rId6" location="'Project%20Summary'!A1" display="Project Summary"/>
    <hyperlink ref="I3" r:id="rId7" location="'Funding%20Requirement'!A1" display="Funding"/>
    <hyperlink ref="J3" r:id="rId8" location="'FSL%20Financials%20—%20Without%20BUMN'!A1" display="FSL w/o BUMN"/>
    <hyperlink ref="K3" r:id="rId9" location="'FSL%20Financials%20—%20With%20BUMN'!A1" display="FSL w/ BUMN"/>
    <hyperlink ref="L3" r:id="rId10" location="'Valuation%20—%20Without%20BUMN'!A1" display="Val w/o BUMN"/>
    <hyperlink ref="M3" r:id="rId11" location="'Valuation%20—%20With%20BUMN'!A1" display="Val w/ BUMN"/>
    <hyperlink ref="N3" r:id="rId12" location="'Checks'!A1" display="Checks"/>
    <hyperlink ref="O3" r:id="rId13" location="'Model%20Flow'!A1" display="Model Flow"/>
  </hyperlink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9D08E"/>
    <pageSetUpPr fitToPage="true"/>
  </sheetPr>
  <dimension ref="B1:U6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5" ySplit="9" topLeftCell="F10" activePane="bottomRight" state="frozen"/>
      <selection pane="topLeft" activeCell="A1" activeCellId="0" sqref="A1"/>
      <selection pane="topRight" activeCell="F1" activeCellId="0" sqref="F1"/>
      <selection pane="bottomLeft" activeCell="A10" activeCellId="0" sqref="A10"/>
      <selection pane="bottomRigh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66"/>
    <col collapsed="false" customWidth="true" hidden="false" outlineLevel="0" max="3" min="3" style="0" width="11"/>
    <col collapsed="false" customWidth="true" hidden="false" outlineLevel="0" max="4" min="4" style="0" width="12"/>
    <col collapsed="false" customWidth="true" hidden="false" outlineLevel="0" max="5" min="5" style="0" width="13"/>
    <col collapsed="false" customWidth="true" hidden="false" outlineLevel="0" max="19" min="6" style="0" width="11.5"/>
    <col collapsed="false" customWidth="true" hidden="false" outlineLevel="0" max="20" min="20" style="0" width="40"/>
    <col collapsed="false" customWidth="true" hidden="false" outlineLevel="0" max="21" min="21" style="0" width="48"/>
  </cols>
  <sheetData>
    <row r="1" customFormat="false" ht="21.75" hidden="false" customHeight="true" outlineLevel="0" collapsed="false">
      <c r="B1" s="1" t="s">
        <v>2058</v>
      </c>
    </row>
    <row r="2" customFormat="false" ht="15" hidden="false" customHeight="false" outlineLevel="0" collapsed="false">
      <c r="B2" s="2" t="s">
        <v>1102</v>
      </c>
    </row>
    <row r="3" customFormat="false" ht="15" hidden="false" customHeight="false" outlineLevel="0" collapsed="false">
      <c r="B3" s="5" t="s">
        <v>112</v>
      </c>
      <c r="C3" s="17" t="s">
        <v>27</v>
      </c>
      <c r="D3" s="17" t="s">
        <v>28</v>
      </c>
      <c r="E3" s="17" t="s">
        <v>29</v>
      </c>
      <c r="F3" s="17" t="s">
        <v>113</v>
      </c>
      <c r="G3" s="17" t="s">
        <v>5</v>
      </c>
      <c r="H3" s="17" t="s">
        <v>7</v>
      </c>
      <c r="I3" s="17" t="s">
        <v>114</v>
      </c>
      <c r="J3" s="17" t="s">
        <v>115</v>
      </c>
      <c r="K3" s="17" t="s">
        <v>116</v>
      </c>
      <c r="L3" s="17" t="s">
        <v>117</v>
      </c>
      <c r="M3" s="17" t="s">
        <v>118</v>
      </c>
      <c r="N3" s="17" t="s">
        <v>21</v>
      </c>
      <c r="O3" s="17" t="s">
        <v>3</v>
      </c>
    </row>
    <row r="5" customFormat="false" ht="15" hidden="false" customHeight="false" outlineLevel="0" collapsed="false">
      <c r="B5" s="6" t="s">
        <v>119</v>
      </c>
      <c r="C5" s="6" t="s">
        <v>120</v>
      </c>
      <c r="D5" s="6" t="s">
        <v>121</v>
      </c>
      <c r="E5" s="6" t="s">
        <v>122</v>
      </c>
      <c r="F5" s="18" t="n">
        <f aca="false">'Global Inputs'!F$5</f>
        <v>2023</v>
      </c>
      <c r="G5" s="18" t="n">
        <f aca="false">'Global Inputs'!G$5</f>
        <v>2024</v>
      </c>
      <c r="H5" s="18" t="n">
        <f aca="false">'Global Inputs'!H$5</f>
        <v>2025</v>
      </c>
      <c r="I5" s="18" t="n">
        <f aca="false">'Global Inputs'!I$5</f>
        <v>2026</v>
      </c>
      <c r="J5" s="18" t="n">
        <f aca="false">'Global Inputs'!J$5</f>
        <v>2027</v>
      </c>
      <c r="K5" s="18" t="n">
        <f aca="false">'Global Inputs'!K$5</f>
        <v>2028</v>
      </c>
      <c r="L5" s="18" t="n">
        <f aca="false">'Global Inputs'!L$5</f>
        <v>2029</v>
      </c>
      <c r="M5" s="18" t="n">
        <f aca="false">'Global Inputs'!M$5</f>
        <v>2030</v>
      </c>
      <c r="N5" s="18" t="n">
        <f aca="false">'Global Inputs'!N$5</f>
        <v>2031</v>
      </c>
      <c r="O5" s="18" t="n">
        <f aca="false">'Global Inputs'!O$5</f>
        <v>2032</v>
      </c>
      <c r="P5" s="18" t="n">
        <f aca="false">'Global Inputs'!P$5</f>
        <v>2033</v>
      </c>
      <c r="Q5" s="18" t="n">
        <f aca="false">'Global Inputs'!Q$5</f>
        <v>2034</v>
      </c>
      <c r="R5" s="18" t="n">
        <f aca="false">'Global Inputs'!R$5</f>
        <v>2035</v>
      </c>
      <c r="S5" s="18" t="n">
        <f aca="false">'Global Inputs'!S$5</f>
        <v>2036</v>
      </c>
      <c r="T5" s="6" t="s">
        <v>123</v>
      </c>
      <c r="U5" s="6" t="s">
        <v>124</v>
      </c>
    </row>
    <row r="6" customFormat="false" ht="15" hidden="false" customHeight="false" outlineLevel="0" collapsed="false">
      <c r="B6" s="19" t="s">
        <v>125</v>
      </c>
      <c r="F6" s="20" t="n">
        <f aca="false">'Global Inputs'!F$6</f>
        <v>45291</v>
      </c>
      <c r="G6" s="20" t="n">
        <f aca="false">'Global Inputs'!G$6</f>
        <v>45657</v>
      </c>
      <c r="H6" s="20" t="n">
        <f aca="false">'Global Inputs'!H$6</f>
        <v>46022</v>
      </c>
      <c r="I6" s="20" t="n">
        <f aca="false">'Global Inputs'!I$6</f>
        <v>46387</v>
      </c>
      <c r="J6" s="20" t="n">
        <f aca="false">'Global Inputs'!J$6</f>
        <v>46752</v>
      </c>
      <c r="K6" s="20" t="n">
        <f aca="false">'Global Inputs'!K$6</f>
        <v>47118</v>
      </c>
      <c r="L6" s="20" t="n">
        <f aca="false">'Global Inputs'!L$6</f>
        <v>47483</v>
      </c>
      <c r="M6" s="20" t="n">
        <f aca="false">'Global Inputs'!M$6</f>
        <v>47848</v>
      </c>
      <c r="N6" s="20" t="n">
        <f aca="false">'Global Inputs'!N$6</f>
        <v>48213</v>
      </c>
      <c r="O6" s="20" t="n">
        <f aca="false">'Global Inputs'!O$6</f>
        <v>48579</v>
      </c>
      <c r="P6" s="20" t="n">
        <f aca="false">'Global Inputs'!P$6</f>
        <v>48944</v>
      </c>
      <c r="Q6" s="20" t="n">
        <f aca="false">'Global Inputs'!Q$6</f>
        <v>49309</v>
      </c>
      <c r="R6" s="20" t="n">
        <f aca="false">'Global Inputs'!R$6</f>
        <v>49674</v>
      </c>
      <c r="S6" s="20" t="n">
        <f aca="false">'Global Inputs'!S$6</f>
        <v>50040</v>
      </c>
    </row>
    <row r="7" customFormat="false" ht="15" hidden="false" customHeight="false" outlineLevel="0" collapsed="false">
      <c r="B7" s="19" t="s">
        <v>126</v>
      </c>
      <c r="F7" s="21" t="n">
        <f aca="false">'Global Inputs'!F$7</f>
        <v>365</v>
      </c>
      <c r="G7" s="21" t="n">
        <f aca="false">'Global Inputs'!G$7</f>
        <v>366</v>
      </c>
      <c r="H7" s="21" t="n">
        <f aca="false">'Global Inputs'!H$7</f>
        <v>365</v>
      </c>
      <c r="I7" s="21" t="n">
        <f aca="false">'Global Inputs'!I$7</f>
        <v>365</v>
      </c>
      <c r="J7" s="21" t="n">
        <f aca="false">'Global Inputs'!J$7</f>
        <v>365</v>
      </c>
      <c r="K7" s="21" t="n">
        <f aca="false">'Global Inputs'!K$7</f>
        <v>366</v>
      </c>
      <c r="L7" s="21" t="n">
        <f aca="false">'Global Inputs'!L$7</f>
        <v>365</v>
      </c>
      <c r="M7" s="21" t="n">
        <f aca="false">'Global Inputs'!M$7</f>
        <v>365</v>
      </c>
      <c r="N7" s="21" t="n">
        <f aca="false">'Global Inputs'!N$7</f>
        <v>365</v>
      </c>
      <c r="O7" s="21" t="n">
        <f aca="false">'Global Inputs'!O$7</f>
        <v>366</v>
      </c>
      <c r="P7" s="21" t="n">
        <f aca="false">'Global Inputs'!P$7</f>
        <v>365</v>
      </c>
      <c r="Q7" s="21" t="n">
        <f aca="false">'Global Inputs'!Q$7</f>
        <v>365</v>
      </c>
      <c r="R7" s="21" t="n">
        <f aca="false">'Global Inputs'!R$7</f>
        <v>365</v>
      </c>
      <c r="S7" s="21" t="n">
        <f aca="false">'Global Inputs'!S$7</f>
        <v>366</v>
      </c>
    </row>
    <row r="8" customFormat="false" ht="15" hidden="false" customHeight="false" outlineLevel="0" collapsed="false">
      <c r="B8" s="19" t="s">
        <v>127</v>
      </c>
      <c r="F8" s="21" t="n">
        <f aca="false">'Global Inputs'!F$8</f>
        <v>0</v>
      </c>
      <c r="G8" s="21" t="n">
        <f aca="false">'Global Inputs'!G$8</f>
        <v>1</v>
      </c>
      <c r="H8" s="21" t="n">
        <f aca="false">'Global Inputs'!H$8</f>
        <v>1</v>
      </c>
      <c r="I8" s="21" t="n">
        <f aca="false">'Global Inputs'!I$8</f>
        <v>1</v>
      </c>
      <c r="J8" s="21" t="n">
        <f aca="false">'Global Inputs'!J$8</f>
        <v>1</v>
      </c>
      <c r="K8" s="21" t="n">
        <f aca="false">'Global Inputs'!K$8</f>
        <v>1</v>
      </c>
      <c r="L8" s="21" t="n">
        <f aca="false">'Global Inputs'!L$8</f>
        <v>1</v>
      </c>
      <c r="M8" s="21" t="n">
        <f aca="false">'Global Inputs'!M$8</f>
        <v>1</v>
      </c>
      <c r="N8" s="21" t="n">
        <f aca="false">'Global Inputs'!N$8</f>
        <v>1</v>
      </c>
      <c r="O8" s="21" t="n">
        <f aca="false">'Global Inputs'!O$8</f>
        <v>1</v>
      </c>
      <c r="P8" s="21" t="n">
        <f aca="false">'Global Inputs'!P$8</f>
        <v>1</v>
      </c>
      <c r="Q8" s="21" t="n">
        <f aca="false">'Global Inputs'!Q$8</f>
        <v>1</v>
      </c>
      <c r="R8" s="21" t="n">
        <f aca="false">'Global Inputs'!R$8</f>
        <v>1</v>
      </c>
      <c r="S8" s="21" t="n">
        <f aca="false">'Global Inputs'!S$8</f>
        <v>1</v>
      </c>
    </row>
    <row r="10" customFormat="false" ht="15" hidden="false" customHeight="false" outlineLevel="0" collapsed="false">
      <c r="B10" s="22" t="s">
        <v>1103</v>
      </c>
      <c r="C10" s="23"/>
      <c r="D10" s="23"/>
      <c r="E10" s="23"/>
      <c r="F10" s="23"/>
      <c r="G10" s="23"/>
      <c r="H10" s="23"/>
      <c r="I10" s="23"/>
      <c r="J10" s="23"/>
      <c r="K10" s="23"/>
      <c r="L10" s="23"/>
      <c r="M10" s="23"/>
      <c r="N10" s="23"/>
      <c r="O10" s="23"/>
      <c r="P10" s="23"/>
      <c r="Q10" s="23"/>
      <c r="R10" s="23"/>
      <c r="S10" s="23"/>
    </row>
    <row r="11" customFormat="false" ht="15" hidden="false" customHeight="false" outlineLevel="0" collapsed="false">
      <c r="B11" s="24" t="s">
        <v>345</v>
      </c>
      <c r="C11" s="25" t="s">
        <v>170</v>
      </c>
      <c r="E11" s="47" t="n">
        <f aca="false">SUM(F11:S11)</f>
        <v>569.84319808</v>
      </c>
      <c r="F11" s="47" t="n">
        <f aca="false">'P05 Dumai Calc'!F20</f>
        <v>0</v>
      </c>
      <c r="G11" s="47" t="n">
        <f aca="false">'P05 Dumai Calc'!G20</f>
        <v>0</v>
      </c>
      <c r="H11" s="47" t="n">
        <f aca="false">'P05 Dumai Calc'!H20</f>
        <v>0</v>
      </c>
      <c r="I11" s="47" t="n">
        <f aca="false">'P05 Dumai Calc'!I20</f>
        <v>48.1</v>
      </c>
      <c r="J11" s="47" t="n">
        <f aca="false">'P05 Dumai Calc'!J20</f>
        <v>48.1</v>
      </c>
      <c r="K11" s="47" t="n">
        <f aca="false">'P05 Dumai Calc'!K20</f>
        <v>48.1</v>
      </c>
      <c r="L11" s="47" t="n">
        <f aca="false">'P05 Dumai Calc'!L20</f>
        <v>51.4176</v>
      </c>
      <c r="M11" s="47" t="n">
        <f aca="false">'P05 Dumai Calc'!M20</f>
        <v>51.4176</v>
      </c>
      <c r="N11" s="47" t="n">
        <f aca="false">'P05 Dumai Calc'!N20</f>
        <v>51.4176</v>
      </c>
      <c r="O11" s="47" t="n">
        <f aca="false">'P05 Dumai Calc'!O20</f>
        <v>51.4176</v>
      </c>
      <c r="P11" s="47" t="n">
        <f aca="false">'P05 Dumai Calc'!P20</f>
        <v>54.96819952</v>
      </c>
      <c r="Q11" s="47" t="n">
        <f aca="false">'P05 Dumai Calc'!Q20</f>
        <v>54.96819952</v>
      </c>
      <c r="R11" s="47" t="n">
        <f aca="false">'P05 Dumai Calc'!R20</f>
        <v>54.96819952</v>
      </c>
      <c r="S11" s="47" t="n">
        <f aca="false">'P05 Dumai Calc'!S20</f>
        <v>54.96819952</v>
      </c>
    </row>
    <row r="12" customFormat="false" ht="15" hidden="false" customHeight="false" outlineLevel="0" collapsed="false">
      <c r="B12" s="24" t="s">
        <v>391</v>
      </c>
      <c r="C12" s="25" t="s">
        <v>170</v>
      </c>
      <c r="E12" s="47" t="n">
        <f aca="false">SUM(F12:S12)</f>
        <v>0</v>
      </c>
      <c r="F12" s="47" t="n">
        <f aca="false">-'P05 Dumai Calc'!F23</f>
        <v>-0</v>
      </c>
      <c r="G12" s="47" t="n">
        <f aca="false">-'P05 Dumai Calc'!G23</f>
        <v>-0</v>
      </c>
      <c r="H12" s="47" t="n">
        <f aca="false">-'P05 Dumai Calc'!H23</f>
        <v>-0</v>
      </c>
      <c r="I12" s="47" t="n">
        <f aca="false">-'P05 Dumai Calc'!I23</f>
        <v>-0</v>
      </c>
      <c r="J12" s="47" t="n">
        <f aca="false">-'P05 Dumai Calc'!J23</f>
        <v>-0</v>
      </c>
      <c r="K12" s="47" t="n">
        <f aca="false">-'P05 Dumai Calc'!K23</f>
        <v>-0</v>
      </c>
      <c r="L12" s="47" t="n">
        <f aca="false">-'P05 Dumai Calc'!L23</f>
        <v>-0</v>
      </c>
      <c r="M12" s="47" t="n">
        <f aca="false">-'P05 Dumai Calc'!M23</f>
        <v>-0</v>
      </c>
      <c r="N12" s="47" t="n">
        <f aca="false">-'P05 Dumai Calc'!N23</f>
        <v>-0</v>
      </c>
      <c r="O12" s="47" t="n">
        <f aca="false">-'P05 Dumai Calc'!O23</f>
        <v>-0</v>
      </c>
      <c r="P12" s="47" t="n">
        <f aca="false">-'P05 Dumai Calc'!P23</f>
        <v>-0</v>
      </c>
      <c r="Q12" s="47" t="n">
        <f aca="false">-'P05 Dumai Calc'!Q23</f>
        <v>-0</v>
      </c>
      <c r="R12" s="47" t="n">
        <f aca="false">-'P05 Dumai Calc'!R23</f>
        <v>-0</v>
      </c>
      <c r="S12" s="47" t="n">
        <f aca="false">-'P05 Dumai Calc'!S23</f>
        <v>-0</v>
      </c>
    </row>
    <row r="13" customFormat="false" ht="15" hidden="false" customHeight="false" outlineLevel="0" collapsed="false">
      <c r="B13" s="69" t="s">
        <v>392</v>
      </c>
      <c r="C13" s="25" t="s">
        <v>170</v>
      </c>
      <c r="E13" s="70" t="n">
        <f aca="false">SUM(F13:S13)</f>
        <v>569.84319808</v>
      </c>
      <c r="F13" s="68" t="n">
        <f aca="false">F11+F12</f>
        <v>0</v>
      </c>
      <c r="G13" s="68" t="n">
        <f aca="false">G11+G12</f>
        <v>0</v>
      </c>
      <c r="H13" s="68" t="n">
        <f aca="false">H11+H12</f>
        <v>0</v>
      </c>
      <c r="I13" s="68" t="n">
        <f aca="false">I11+I12</f>
        <v>48.1</v>
      </c>
      <c r="J13" s="68" t="n">
        <f aca="false">J11+J12</f>
        <v>48.1</v>
      </c>
      <c r="K13" s="68" t="n">
        <f aca="false">K11+K12</f>
        <v>48.1</v>
      </c>
      <c r="L13" s="68" t="n">
        <f aca="false">L11+L12</f>
        <v>51.4176</v>
      </c>
      <c r="M13" s="68" t="n">
        <f aca="false">M11+M12</f>
        <v>51.4176</v>
      </c>
      <c r="N13" s="68" t="n">
        <f aca="false">N11+N12</f>
        <v>51.4176</v>
      </c>
      <c r="O13" s="68" t="n">
        <f aca="false">O11+O12</f>
        <v>51.4176</v>
      </c>
      <c r="P13" s="68" t="n">
        <f aca="false">P11+P12</f>
        <v>54.96819952</v>
      </c>
      <c r="Q13" s="68" t="n">
        <f aca="false">Q11+Q12</f>
        <v>54.96819952</v>
      </c>
      <c r="R13" s="68" t="n">
        <f aca="false">R11+R12</f>
        <v>54.96819952</v>
      </c>
      <c r="S13" s="68" t="n">
        <f aca="false">S11+S12</f>
        <v>54.96819952</v>
      </c>
    </row>
    <row r="14" customFormat="false" ht="15" hidden="false" customHeight="false" outlineLevel="0" collapsed="false">
      <c r="B14" s="24" t="s">
        <v>393</v>
      </c>
      <c r="C14" s="25" t="s">
        <v>170</v>
      </c>
      <c r="E14" s="47" t="n">
        <f aca="false">SUM(F14:S14)</f>
        <v>-284.331914697065</v>
      </c>
      <c r="F14" s="47" t="n">
        <f aca="false">-'P05 Dumai Calc'!F30</f>
        <v>-0</v>
      </c>
      <c r="G14" s="47" t="n">
        <f aca="false">-'P05 Dumai Calc'!G30</f>
        <v>-0</v>
      </c>
      <c r="H14" s="47" t="n">
        <f aca="false">-'P05 Dumai Calc'!H30</f>
        <v>-0</v>
      </c>
      <c r="I14" s="47" t="n">
        <f aca="false">-'P05 Dumai Calc'!I30</f>
        <v>-22.3491825681227</v>
      </c>
      <c r="J14" s="47" t="n">
        <f aca="false">-'P05 Dumai Calc'!J30</f>
        <v>-22.8608565715802</v>
      </c>
      <c r="K14" s="47" t="n">
        <f aca="false">-'P05 Dumai Calc'!K30</f>
        <v>-23.3853224251242</v>
      </c>
      <c r="L14" s="47" t="n">
        <f aca="false">-'P05 Dumai Calc'!L30</f>
        <v>-24.3681771844325</v>
      </c>
      <c r="M14" s="47" t="n">
        <f aca="false">-'P05 Dumai Calc'!M30</f>
        <v>-25.3662755923383</v>
      </c>
      <c r="N14" s="47" t="n">
        <f aca="false">-'P05 Dumai Calc'!N30</f>
        <v>-25.7213353784049</v>
      </c>
      <c r="O14" s="47" t="n">
        <f aca="false">-'P05 Dumai Calc'!O30</f>
        <v>-26.3097604653814</v>
      </c>
      <c r="P14" s="47" t="n">
        <f aca="false">-'P05 Dumai Calc'!P30</f>
        <v>-27.4136759407163</v>
      </c>
      <c r="Q14" s="47" t="n">
        <f aca="false">-'P05 Dumai Calc'!Q30</f>
        <v>-28.0421843915507</v>
      </c>
      <c r="R14" s="47" t="n">
        <f aca="false">-'P05 Dumai Calc'!R30</f>
        <v>-29.1245931726963</v>
      </c>
      <c r="S14" s="47" t="n">
        <f aca="false">-'P05 Dumai Calc'!S30</f>
        <v>-29.3905510067177</v>
      </c>
    </row>
    <row r="15" customFormat="false" ht="15" hidden="false" customHeight="false" outlineLevel="0" collapsed="false">
      <c r="B15" s="69" t="s">
        <v>346</v>
      </c>
      <c r="C15" s="25" t="s">
        <v>170</v>
      </c>
      <c r="E15" s="70" t="n">
        <f aca="false">SUM(F15:S15)</f>
        <v>285.511283382935</v>
      </c>
      <c r="F15" s="68" t="n">
        <f aca="false">F13+F14</f>
        <v>0</v>
      </c>
      <c r="G15" s="68" t="n">
        <f aca="false">G13+G14</f>
        <v>0</v>
      </c>
      <c r="H15" s="68" t="n">
        <f aca="false">H13+H14</f>
        <v>0</v>
      </c>
      <c r="I15" s="68" t="n">
        <f aca="false">I13+I14</f>
        <v>25.7508174318773</v>
      </c>
      <c r="J15" s="68" t="n">
        <f aca="false">J13+J14</f>
        <v>25.2391434284198</v>
      </c>
      <c r="K15" s="68" t="n">
        <f aca="false">K13+K14</f>
        <v>24.7146775748758</v>
      </c>
      <c r="L15" s="68" t="n">
        <f aca="false">L13+L14</f>
        <v>27.0494228155675</v>
      </c>
      <c r="M15" s="68" t="n">
        <f aca="false">M13+M14</f>
        <v>26.0513244076617</v>
      </c>
      <c r="N15" s="68" t="n">
        <f aca="false">N13+N14</f>
        <v>25.6962646215951</v>
      </c>
      <c r="O15" s="68" t="n">
        <f aca="false">O13+O14</f>
        <v>25.1078395346186</v>
      </c>
      <c r="P15" s="68" t="n">
        <f aca="false">P13+P14</f>
        <v>27.5545235792837</v>
      </c>
      <c r="Q15" s="68" t="n">
        <f aca="false">Q13+Q14</f>
        <v>26.9260151284493</v>
      </c>
      <c r="R15" s="68" t="n">
        <f aca="false">R13+R14</f>
        <v>25.8436063473037</v>
      </c>
      <c r="S15" s="68" t="n">
        <f aca="false">S13+S14</f>
        <v>25.5776485132823</v>
      </c>
    </row>
    <row r="16" customFormat="false" ht="15" hidden="false" customHeight="false" outlineLevel="0" collapsed="false">
      <c r="B16" s="24" t="s">
        <v>349</v>
      </c>
      <c r="C16" s="25" t="s">
        <v>170</v>
      </c>
      <c r="E16" s="47" t="n">
        <f aca="false">SUM(F16:S16)</f>
        <v>-80.6939567261905</v>
      </c>
      <c r="F16" s="47" t="n">
        <f aca="false">-'P05 Dumai Calc'!F49</f>
        <v>-0</v>
      </c>
      <c r="G16" s="47" t="n">
        <f aca="false">-'P05 Dumai Calc'!G49</f>
        <v>-0</v>
      </c>
      <c r="H16" s="47" t="n">
        <f aca="false">-'P05 Dumai Calc'!H49</f>
        <v>-0</v>
      </c>
      <c r="I16" s="47" t="n">
        <f aca="false">-'P05 Dumai Calc'!I49</f>
        <v>-8.43766238095238</v>
      </c>
      <c r="J16" s="47" t="n">
        <f aca="false">-'P05 Dumai Calc'!J49</f>
        <v>-8.86055238095238</v>
      </c>
      <c r="K16" s="47" t="n">
        <f aca="false">-'P05 Dumai Calc'!K49</f>
        <v>-8.86055238095238</v>
      </c>
      <c r="L16" s="47" t="n">
        <f aca="false">-'P05 Dumai Calc'!L49</f>
        <v>-8.86055238095238</v>
      </c>
      <c r="M16" s="47" t="n">
        <f aca="false">-'P05 Dumai Calc'!M49</f>
        <v>-8.86055238095238</v>
      </c>
      <c r="N16" s="47" t="n">
        <f aca="false">-'P05 Dumai Calc'!N49</f>
        <v>-8.86055238095238</v>
      </c>
      <c r="O16" s="47" t="n">
        <f aca="false">-'P05 Dumai Calc'!O49</f>
        <v>-8.86055238095238</v>
      </c>
      <c r="P16" s="47" t="n">
        <f aca="false">-'P05 Dumai Calc'!P49</f>
        <v>-8.86055238095238</v>
      </c>
      <c r="Q16" s="47" t="n">
        <f aca="false">-'P05 Dumai Calc'!Q49</f>
        <v>-3.58701339285714</v>
      </c>
      <c r="R16" s="47" t="n">
        <f aca="false">-'P05 Dumai Calc'!R49</f>
        <v>-3.32270714285714</v>
      </c>
      <c r="S16" s="47" t="n">
        <f aca="false">-'P05 Dumai Calc'!S49</f>
        <v>-3.32270714285714</v>
      </c>
    </row>
    <row r="17" customFormat="false" ht="15" hidden="false" customHeight="false" outlineLevel="0" collapsed="false">
      <c r="B17" s="69" t="s">
        <v>347</v>
      </c>
      <c r="C17" s="25" t="s">
        <v>170</v>
      </c>
      <c r="E17" s="70" t="n">
        <f aca="false">SUM(F17:S17)</f>
        <v>204.817326656744</v>
      </c>
      <c r="F17" s="68" t="n">
        <f aca="false">F15+F16</f>
        <v>0</v>
      </c>
      <c r="G17" s="68" t="n">
        <f aca="false">G15+G16</f>
        <v>0</v>
      </c>
      <c r="H17" s="68" t="n">
        <f aca="false">H15+H16</f>
        <v>0</v>
      </c>
      <c r="I17" s="68" t="n">
        <f aca="false">I15+I16</f>
        <v>17.3131550509249</v>
      </c>
      <c r="J17" s="68" t="n">
        <f aca="false">J15+J16</f>
        <v>16.3785910474674</v>
      </c>
      <c r="K17" s="68" t="n">
        <f aca="false">K15+K16</f>
        <v>15.8541251939234</v>
      </c>
      <c r="L17" s="68" t="n">
        <f aca="false">L15+L16</f>
        <v>18.1888704346151</v>
      </c>
      <c r="M17" s="68" t="n">
        <f aca="false">M15+M16</f>
        <v>17.1907720267094</v>
      </c>
      <c r="N17" s="68" t="n">
        <f aca="false">N15+N16</f>
        <v>16.8357122406427</v>
      </c>
      <c r="O17" s="68" t="n">
        <f aca="false">O15+O16</f>
        <v>16.2472871536662</v>
      </c>
      <c r="P17" s="68" t="n">
        <f aca="false">P15+P16</f>
        <v>18.6939711983313</v>
      </c>
      <c r="Q17" s="68" t="n">
        <f aca="false">Q15+Q16</f>
        <v>23.3390017355922</v>
      </c>
      <c r="R17" s="68" t="n">
        <f aca="false">R15+R16</f>
        <v>22.5208992044465</v>
      </c>
      <c r="S17" s="68" t="n">
        <f aca="false">S15+S16</f>
        <v>22.2549413704251</v>
      </c>
    </row>
    <row r="18" customFormat="false" ht="15" hidden="false" customHeight="false" outlineLevel="0" collapsed="false">
      <c r="B18" s="24" t="s">
        <v>1104</v>
      </c>
      <c r="C18" s="25" t="s">
        <v>170</v>
      </c>
      <c r="E18" s="47" t="n">
        <f aca="false">SUM(F18:S18)</f>
        <v>-45.0598118644837</v>
      </c>
      <c r="F18" s="47" t="n">
        <f aca="false">-MAX(0,F17)*'Global Inputs'!$E$27</f>
        <v>-0</v>
      </c>
      <c r="G18" s="47" t="n">
        <f aca="false">-MAX(0,G17)*'Global Inputs'!$E$27</f>
        <v>-0</v>
      </c>
      <c r="H18" s="47" t="n">
        <f aca="false">-MAX(0,H17)*'Global Inputs'!$E$27</f>
        <v>-0</v>
      </c>
      <c r="I18" s="47" t="n">
        <f aca="false">-MAX(0,I17)*'Global Inputs'!$E$27</f>
        <v>-3.80889411120347</v>
      </c>
      <c r="J18" s="47" t="n">
        <f aca="false">-MAX(0,J17)*'Global Inputs'!$E$27</f>
        <v>-3.60329003044282</v>
      </c>
      <c r="K18" s="47" t="n">
        <f aca="false">-MAX(0,K17)*'Global Inputs'!$E$27</f>
        <v>-3.48790754266316</v>
      </c>
      <c r="L18" s="47" t="n">
        <f aca="false">-MAX(0,L17)*'Global Inputs'!$E$27</f>
        <v>-4.00155149561532</v>
      </c>
      <c r="M18" s="47" t="n">
        <f aca="false">-MAX(0,M17)*'Global Inputs'!$E$27</f>
        <v>-3.78196984587606</v>
      </c>
      <c r="N18" s="47" t="n">
        <f aca="false">-MAX(0,N17)*'Global Inputs'!$E$27</f>
        <v>-3.7038566929414</v>
      </c>
      <c r="O18" s="47" t="n">
        <f aca="false">-MAX(0,O17)*'Global Inputs'!$E$27</f>
        <v>-3.57440317380656</v>
      </c>
      <c r="P18" s="47" t="n">
        <f aca="false">-MAX(0,P17)*'Global Inputs'!$E$27</f>
        <v>-4.11267366363288</v>
      </c>
      <c r="Q18" s="47" t="n">
        <f aca="false">-MAX(0,Q17)*'Global Inputs'!$E$27</f>
        <v>-5.13458038183028</v>
      </c>
      <c r="R18" s="47" t="n">
        <f aca="false">-MAX(0,R17)*'Global Inputs'!$E$27</f>
        <v>-4.95459782497824</v>
      </c>
      <c r="S18" s="47" t="n">
        <f aca="false">-MAX(0,S17)*'Global Inputs'!$E$27</f>
        <v>-4.89608710149353</v>
      </c>
    </row>
    <row r="19" customFormat="false" ht="15" hidden="false" customHeight="false" outlineLevel="0" collapsed="false">
      <c r="B19" s="69" t="s">
        <v>1105</v>
      </c>
      <c r="C19" s="25" t="s">
        <v>170</v>
      </c>
      <c r="E19" s="70" t="n">
        <f aca="false">SUM(F19:S19)</f>
        <v>159.75751479226</v>
      </c>
      <c r="F19" s="68" t="n">
        <f aca="false">F17+F18</f>
        <v>0</v>
      </c>
      <c r="G19" s="68" t="n">
        <f aca="false">G17+G18</f>
        <v>0</v>
      </c>
      <c r="H19" s="68" t="n">
        <f aca="false">H17+H18</f>
        <v>0</v>
      </c>
      <c r="I19" s="68" t="n">
        <f aca="false">I17+I18</f>
        <v>13.5042609397214</v>
      </c>
      <c r="J19" s="68" t="n">
        <f aca="false">J17+J18</f>
        <v>12.7753010170246</v>
      </c>
      <c r="K19" s="68" t="n">
        <f aca="false">K17+K18</f>
        <v>12.3662176512603</v>
      </c>
      <c r="L19" s="68" t="n">
        <f aca="false">L17+L18</f>
        <v>14.1873189389998</v>
      </c>
      <c r="M19" s="68" t="n">
        <f aca="false">M17+M18</f>
        <v>13.4088021808333</v>
      </c>
      <c r="N19" s="68" t="n">
        <f aca="false">N17+N18</f>
        <v>13.1318555477013</v>
      </c>
      <c r="O19" s="68" t="n">
        <f aca="false">O17+O18</f>
        <v>12.6728839798596</v>
      </c>
      <c r="P19" s="68" t="n">
        <f aca="false">P17+P18</f>
        <v>14.5812975346984</v>
      </c>
      <c r="Q19" s="68" t="n">
        <f aca="false">Q17+Q18</f>
        <v>18.2044213537619</v>
      </c>
      <c r="R19" s="68" t="n">
        <f aca="false">R17+R18</f>
        <v>17.5663013794683</v>
      </c>
      <c r="S19" s="68" t="n">
        <f aca="false">S17+S18</f>
        <v>17.3588542689316</v>
      </c>
    </row>
    <row r="20" customFormat="false" ht="15" hidden="false" customHeight="false" outlineLevel="0" collapsed="false">
      <c r="B20" s="24" t="s">
        <v>402</v>
      </c>
      <c r="C20" s="25" t="s">
        <v>160</v>
      </c>
      <c r="F20" s="49" t="n">
        <f aca="false">IF(F11=0,0,F15/F11)</f>
        <v>0</v>
      </c>
      <c r="G20" s="49" t="n">
        <f aca="false">IF(G11=0,0,G15/G11)</f>
        <v>0</v>
      </c>
      <c r="H20" s="49" t="n">
        <f aca="false">IF(H11=0,0,H15/H11)</f>
        <v>0</v>
      </c>
      <c r="I20" s="49" t="n">
        <f aca="false">IF(I11=0,0,I15/I11)</f>
        <v>0.535360029768758</v>
      </c>
      <c r="J20" s="49" t="n">
        <f aca="false">IF(J11=0,0,J15/J11)</f>
        <v>0.524722316599164</v>
      </c>
      <c r="K20" s="49" t="n">
        <f aca="false">IF(K11=0,0,K15/K11)</f>
        <v>0.513818660600329</v>
      </c>
      <c r="L20" s="49" t="n">
        <f aca="false">IF(L11=0,0,L15/L11)</f>
        <v>0.526073228146928</v>
      </c>
      <c r="M20" s="49" t="n">
        <f aca="false">IF(M11=0,0,M15/M11)</f>
        <v>0.50666161796081</v>
      </c>
      <c r="N20" s="49" t="n">
        <f aca="false">IF(N11=0,0,N15/N11)</f>
        <v>0.499756204521314</v>
      </c>
      <c r="O20" s="49" t="n">
        <f aca="false">IF(O11=0,0,O15/O11)</f>
        <v>0.488312164212615</v>
      </c>
      <c r="P20" s="49" t="n">
        <f aca="false">IF(P11=0,0,P15/P11)</f>
        <v>0.501281173840486</v>
      </c>
      <c r="Q20" s="49" t="n">
        <f aca="false">IF(Q11=0,0,Q15/Q11)</f>
        <v>0.489847136409341</v>
      </c>
      <c r="R20" s="49" t="n">
        <f aca="false">IF(R11=0,0,R15/R11)</f>
        <v>0.470155591286932</v>
      </c>
      <c r="S20" s="49" t="n">
        <f aca="false">IF(S11=0,0,S15/S11)</f>
        <v>0.465317196790772</v>
      </c>
    </row>
    <row r="21" customFormat="false" ht="15" hidden="false" customHeight="false" outlineLevel="0" collapsed="false">
      <c r="B21" s="24" t="s">
        <v>1106</v>
      </c>
      <c r="C21" s="25" t="s">
        <v>160</v>
      </c>
      <c r="F21" s="49" t="n">
        <f aca="false">IF(F11=0,0,F17/F11)</f>
        <v>0</v>
      </c>
      <c r="G21" s="49" t="n">
        <f aca="false">IF(G11=0,0,G17/G11)</f>
        <v>0</v>
      </c>
      <c r="H21" s="49" t="n">
        <f aca="false">IF(H11=0,0,H17/H11)</f>
        <v>0</v>
      </c>
      <c r="I21" s="49" t="n">
        <f aca="false">IF(I11=0,0,I17/I11)</f>
        <v>0.359940853449582</v>
      </c>
      <c r="J21" s="49" t="n">
        <f aca="false">IF(J11=0,0,J17/J11)</f>
        <v>0.340511248388095</v>
      </c>
      <c r="K21" s="49" t="n">
        <f aca="false">IF(K11=0,0,K17/K11)</f>
        <v>0.329607592389261</v>
      </c>
      <c r="L21" s="49" t="n">
        <f aca="false">IF(L11=0,0,L17/L11)</f>
        <v>0.353747946901743</v>
      </c>
      <c r="M21" s="49" t="n">
        <f aca="false">IF(M11=0,0,M17/M11)</f>
        <v>0.334336336715626</v>
      </c>
      <c r="N21" s="49" t="n">
        <f aca="false">IF(N11=0,0,N17/N11)</f>
        <v>0.32743092327613</v>
      </c>
      <c r="O21" s="49" t="n">
        <f aca="false">IF(O11=0,0,O17/O11)</f>
        <v>0.315986882967431</v>
      </c>
      <c r="P21" s="49" t="n">
        <f aca="false">IF(P11=0,0,P17/P11)</f>
        <v>0.340087020524104</v>
      </c>
      <c r="Q21" s="49" t="n">
        <f aca="false">IF(Q11=0,0,Q17/Q11)</f>
        <v>0.42459098059234</v>
      </c>
      <c r="R21" s="49" t="n">
        <f aca="false">IF(R11=0,0,R17/R11)</f>
        <v>0.409707783793289</v>
      </c>
      <c r="S21" s="49" t="n">
        <f aca="false">IF(S11=0,0,S17/S11)</f>
        <v>0.404869389297129</v>
      </c>
    </row>
    <row r="23" customFormat="false" ht="15" hidden="false" customHeight="false" outlineLevel="0" collapsed="false">
      <c r="B23" s="22" t="s">
        <v>1107</v>
      </c>
      <c r="C23" s="23"/>
      <c r="D23" s="23"/>
      <c r="E23" s="23"/>
      <c r="F23" s="23"/>
      <c r="G23" s="23"/>
      <c r="H23" s="23"/>
      <c r="I23" s="23"/>
      <c r="J23" s="23"/>
      <c r="K23" s="23"/>
      <c r="L23" s="23"/>
      <c r="M23" s="23"/>
      <c r="N23" s="23"/>
      <c r="O23" s="23"/>
      <c r="P23" s="23"/>
      <c r="Q23" s="23"/>
      <c r="R23" s="23"/>
      <c r="S23" s="23"/>
    </row>
    <row r="24" customFormat="false" ht="15" hidden="false" customHeight="false" outlineLevel="0" collapsed="false">
      <c r="B24" s="24" t="s">
        <v>456</v>
      </c>
      <c r="C24" s="25" t="s">
        <v>170</v>
      </c>
      <c r="E24" s="47" t="n">
        <f aca="false">SUM(F24:S24)</f>
        <v>159.75751479226</v>
      </c>
      <c r="F24" s="47" t="n">
        <f aca="false">F19</f>
        <v>0</v>
      </c>
      <c r="G24" s="47" t="n">
        <f aca="false">G19</f>
        <v>0</v>
      </c>
      <c r="H24" s="47" t="n">
        <f aca="false">H19</f>
        <v>0</v>
      </c>
      <c r="I24" s="47" t="n">
        <f aca="false">I19</f>
        <v>13.5042609397214</v>
      </c>
      <c r="J24" s="47" t="n">
        <f aca="false">J19</f>
        <v>12.7753010170246</v>
      </c>
      <c r="K24" s="47" t="n">
        <f aca="false">K19</f>
        <v>12.3662176512603</v>
      </c>
      <c r="L24" s="47" t="n">
        <f aca="false">L19</f>
        <v>14.1873189389998</v>
      </c>
      <c r="M24" s="47" t="n">
        <f aca="false">M19</f>
        <v>13.4088021808333</v>
      </c>
      <c r="N24" s="47" t="n">
        <f aca="false">N19</f>
        <v>13.1318555477013</v>
      </c>
      <c r="O24" s="47" t="n">
        <f aca="false">O19</f>
        <v>12.6728839798596</v>
      </c>
      <c r="P24" s="47" t="n">
        <f aca="false">P19</f>
        <v>14.5812975346984</v>
      </c>
      <c r="Q24" s="47" t="n">
        <f aca="false">Q19</f>
        <v>18.2044213537619</v>
      </c>
      <c r="R24" s="47" t="n">
        <f aca="false">R19</f>
        <v>17.5663013794683</v>
      </c>
      <c r="S24" s="47" t="n">
        <f aca="false">S19</f>
        <v>17.3588542689316</v>
      </c>
    </row>
    <row r="25" customFormat="false" ht="15" hidden="false" customHeight="false" outlineLevel="0" collapsed="false">
      <c r="B25" s="24" t="s">
        <v>419</v>
      </c>
      <c r="C25" s="25" t="s">
        <v>170</v>
      </c>
      <c r="E25" s="47" t="n">
        <f aca="false">SUM(F25:S25)</f>
        <v>80.6939567261905</v>
      </c>
      <c r="F25" s="47" t="n">
        <f aca="false">-F16</f>
        <v>0</v>
      </c>
      <c r="G25" s="47" t="n">
        <f aca="false">-G16</f>
        <v>0</v>
      </c>
      <c r="H25" s="47" t="n">
        <f aca="false">-H16</f>
        <v>0</v>
      </c>
      <c r="I25" s="47" t="n">
        <f aca="false">-I16</f>
        <v>8.43766238095238</v>
      </c>
      <c r="J25" s="47" t="n">
        <f aca="false">-J16</f>
        <v>8.86055238095238</v>
      </c>
      <c r="K25" s="47" t="n">
        <f aca="false">-K16</f>
        <v>8.86055238095238</v>
      </c>
      <c r="L25" s="47" t="n">
        <f aca="false">-L16</f>
        <v>8.86055238095238</v>
      </c>
      <c r="M25" s="47" t="n">
        <f aca="false">-M16</f>
        <v>8.86055238095238</v>
      </c>
      <c r="N25" s="47" t="n">
        <f aca="false">-N16</f>
        <v>8.86055238095238</v>
      </c>
      <c r="O25" s="47" t="n">
        <f aca="false">-O16</f>
        <v>8.86055238095238</v>
      </c>
      <c r="P25" s="47" t="n">
        <f aca="false">-P16</f>
        <v>8.86055238095238</v>
      </c>
      <c r="Q25" s="47" t="n">
        <f aca="false">-Q16</f>
        <v>3.58701339285714</v>
      </c>
      <c r="R25" s="47" t="n">
        <f aca="false">-R16</f>
        <v>3.32270714285714</v>
      </c>
      <c r="S25" s="47" t="n">
        <f aca="false">-S16</f>
        <v>3.32270714285714</v>
      </c>
    </row>
    <row r="26" customFormat="false" ht="15" hidden="false" customHeight="false" outlineLevel="0" collapsed="false">
      <c r="B26" s="24" t="s">
        <v>1108</v>
      </c>
      <c r="C26" s="25" t="s">
        <v>170</v>
      </c>
      <c r="E26" s="47" t="n">
        <f aca="false">SUM(F26:S26)</f>
        <v>-110.756904761905</v>
      </c>
      <c r="F26" s="47" t="n">
        <f aca="false">-'P05 Dumai Calc'!F40</f>
        <v>-0</v>
      </c>
      <c r="G26" s="47" t="n">
        <f aca="false">-'P05 Dumai Calc'!G40</f>
        <v>-0</v>
      </c>
      <c r="H26" s="47" t="n">
        <f aca="false">-'P05 Dumai Calc'!H40</f>
        <v>-0</v>
      </c>
      <c r="I26" s="47" t="n">
        <f aca="false">-'P05 Dumai Calc'!I40</f>
        <v>-105.470779761905</v>
      </c>
      <c r="J26" s="47" t="n">
        <f aca="false">-'P05 Dumai Calc'!J40</f>
        <v>-5.286125</v>
      </c>
      <c r="K26" s="47" t="n">
        <f aca="false">-'P05 Dumai Calc'!K40</f>
        <v>-0</v>
      </c>
      <c r="L26" s="47" t="n">
        <f aca="false">-'P05 Dumai Calc'!L40</f>
        <v>-0</v>
      </c>
      <c r="M26" s="47" t="n">
        <f aca="false">-'P05 Dumai Calc'!M40</f>
        <v>-0</v>
      </c>
      <c r="N26" s="47" t="n">
        <f aca="false">-'P05 Dumai Calc'!N40</f>
        <v>-0</v>
      </c>
      <c r="O26" s="47" t="n">
        <f aca="false">-'P05 Dumai Calc'!O40</f>
        <v>-0</v>
      </c>
      <c r="P26" s="47" t="n">
        <f aca="false">-'P05 Dumai Calc'!P40</f>
        <v>-0</v>
      </c>
      <c r="Q26" s="47" t="n">
        <f aca="false">-'P05 Dumai Calc'!Q40</f>
        <v>-0</v>
      </c>
      <c r="R26" s="47" t="n">
        <f aca="false">-'P05 Dumai Calc'!R40</f>
        <v>-0</v>
      </c>
      <c r="S26" s="47" t="n">
        <f aca="false">-'P05 Dumai Calc'!S40</f>
        <v>-0</v>
      </c>
    </row>
    <row r="27" customFormat="false" ht="15" hidden="false" customHeight="false" outlineLevel="0" collapsed="false">
      <c r="B27" s="24" t="s">
        <v>651</v>
      </c>
      <c r="C27" s="25" t="s">
        <v>170</v>
      </c>
      <c r="E27" s="47" t="n">
        <f aca="false">SUM(F27:S27)</f>
        <v>-6.75838518688525</v>
      </c>
      <c r="F27" s="47" t="n">
        <f aca="false">-'P05 Dumai Calc'!F55</f>
        <v>-0</v>
      </c>
      <c r="G27" s="47" t="n">
        <f aca="false">-'P05 Dumai Calc'!G55</f>
        <v>-0</v>
      </c>
      <c r="H27" s="47" t="n">
        <f aca="false">-'P05 Dumai Calc'!H55</f>
        <v>-0</v>
      </c>
      <c r="I27" s="47" t="n">
        <f aca="false">-'P05 Dumai Calc'!I55</f>
        <v>-5.93013698630137</v>
      </c>
      <c r="J27" s="47" t="n">
        <f aca="false">-'P05 Dumai Calc'!J55</f>
        <v>-0</v>
      </c>
      <c r="K27" s="47" t="n">
        <f aca="false">-'P05 Dumai Calc'!K55</f>
        <v>0.0162025600718616</v>
      </c>
      <c r="L27" s="47" t="n">
        <f aca="false">-'P05 Dumai Calc'!L55</f>
        <v>-0.425221738154053</v>
      </c>
      <c r="M27" s="47" t="n">
        <f aca="false">-'P05 Dumai Calc'!M55</f>
        <v>-0</v>
      </c>
      <c r="N27" s="47" t="n">
        <f aca="false">-'P05 Dumai Calc'!N55</f>
        <v>-0</v>
      </c>
      <c r="O27" s="47" t="n">
        <f aca="false">-'P05 Dumai Calc'!O55</f>
        <v>0.0173200988097904</v>
      </c>
      <c r="P27" s="47" t="n">
        <f aca="false">-'P05 Dumai Calc'!P55</f>
        <v>-0.455065245111161</v>
      </c>
      <c r="Q27" s="47" t="n">
        <f aca="false">-'P05 Dumai Calc'!Q55</f>
        <v>-0</v>
      </c>
      <c r="R27" s="47" t="n">
        <f aca="false">-'P05 Dumai Calc'!R55</f>
        <v>-0</v>
      </c>
      <c r="S27" s="47" t="n">
        <f aca="false">-'P05 Dumai Calc'!S55</f>
        <v>0.0185161237996851</v>
      </c>
    </row>
    <row r="28" customFormat="false" ht="15" hidden="false" customHeight="false" outlineLevel="0" collapsed="false">
      <c r="B28" s="69" t="s">
        <v>1109</v>
      </c>
      <c r="C28" s="25" t="s">
        <v>170</v>
      </c>
      <c r="E28" s="70" t="n">
        <f aca="false">SUM(F28:S28)</f>
        <v>122.936181569661</v>
      </c>
      <c r="F28" s="68" t="n">
        <f aca="false">F24+F25+F26+F27</f>
        <v>0</v>
      </c>
      <c r="G28" s="68" t="n">
        <f aca="false">G24+G25+G26+G27</f>
        <v>0</v>
      </c>
      <c r="H28" s="68" t="n">
        <f aca="false">H24+H25+H26+H27</f>
        <v>0</v>
      </c>
      <c r="I28" s="68" t="n">
        <f aca="false">I24+I25+I26+I27</f>
        <v>-89.4589934275323</v>
      </c>
      <c r="J28" s="68" t="n">
        <f aca="false">J24+J25+J26+J27</f>
        <v>16.3497283979769</v>
      </c>
      <c r="K28" s="68" t="n">
        <f aca="false">K24+K25+K26+K27</f>
        <v>21.2429725922845</v>
      </c>
      <c r="L28" s="68" t="n">
        <f aca="false">L24+L25+L26+L27</f>
        <v>22.6226495817981</v>
      </c>
      <c r="M28" s="68" t="n">
        <f aca="false">M24+M25+M26+M27</f>
        <v>22.2693545617857</v>
      </c>
      <c r="N28" s="68" t="n">
        <f aca="false">N24+N25+N26+N27</f>
        <v>21.9924079286537</v>
      </c>
      <c r="O28" s="68" t="n">
        <f aca="false">O24+O25+O26+O27</f>
        <v>21.5507564596218</v>
      </c>
      <c r="P28" s="68" t="n">
        <f aca="false">P24+P25+P26+P27</f>
        <v>22.9867846705396</v>
      </c>
      <c r="Q28" s="68" t="n">
        <f aca="false">Q24+Q25+Q26+Q27</f>
        <v>21.7914347466191</v>
      </c>
      <c r="R28" s="68" t="n">
        <f aca="false">R24+R25+R26+R27</f>
        <v>20.8890085223254</v>
      </c>
      <c r="S28" s="68" t="n">
        <f aca="false">S24+S25+S26+S27</f>
        <v>20.7000775355884</v>
      </c>
    </row>
    <row r="29" customFormat="false" ht="15" hidden="false" customHeight="false" outlineLevel="0" collapsed="false">
      <c r="B29" s="24" t="s">
        <v>354</v>
      </c>
      <c r="C29" s="25" t="s">
        <v>170</v>
      </c>
      <c r="F29" s="47" t="n">
        <f aca="false">SUM($F$28:F28)</f>
        <v>0</v>
      </c>
      <c r="G29" s="47" t="n">
        <f aca="false">SUM($F$28:G28)</f>
        <v>0</v>
      </c>
      <c r="H29" s="47" t="n">
        <f aca="false">SUM($F$28:H28)</f>
        <v>0</v>
      </c>
      <c r="I29" s="47" t="n">
        <f aca="false">SUM($F$28:I28)</f>
        <v>-89.4589934275323</v>
      </c>
      <c r="J29" s="47" t="n">
        <f aca="false">SUM($F$28:J28)</f>
        <v>-73.1092650295554</v>
      </c>
      <c r="K29" s="47" t="n">
        <f aca="false">SUM($F$28:K28)</f>
        <v>-51.8662924372709</v>
      </c>
      <c r="L29" s="47" t="n">
        <f aca="false">SUM($F$28:L28)</f>
        <v>-29.2436428554728</v>
      </c>
      <c r="M29" s="47" t="n">
        <f aca="false">SUM($F$28:M28)</f>
        <v>-6.9742882936871</v>
      </c>
      <c r="N29" s="47" t="n">
        <f aca="false">SUM($F$28:N28)</f>
        <v>15.0181196349666</v>
      </c>
      <c r="O29" s="47" t="n">
        <f aca="false">SUM($F$28:O28)</f>
        <v>36.5688760945884</v>
      </c>
      <c r="P29" s="47" t="n">
        <f aca="false">SUM($F$28:P28)</f>
        <v>59.555660765128</v>
      </c>
      <c r="Q29" s="47" t="n">
        <f aca="false">SUM($F$28:Q28)</f>
        <v>81.3470955117471</v>
      </c>
      <c r="R29" s="47" t="n">
        <f aca="false">SUM($F$28:R28)</f>
        <v>102.236104034073</v>
      </c>
      <c r="S29" s="47" t="n">
        <f aca="false">SUM($F$28:S28)</f>
        <v>122.936181569661</v>
      </c>
    </row>
    <row r="30" customFormat="false" ht="15" hidden="false" customHeight="false" outlineLevel="0" collapsed="false">
      <c r="B30" s="24" t="s">
        <v>1110</v>
      </c>
      <c r="C30" s="25" t="s">
        <v>170</v>
      </c>
      <c r="E30" s="47" t="n">
        <f aca="false">SUM(F30:S30)</f>
        <v>212.395174997193</v>
      </c>
      <c r="F30" s="47" t="n">
        <f aca="false">F28*'Global Inputs'!F16</f>
        <v>0</v>
      </c>
      <c r="G30" s="47" t="n">
        <f aca="false">G28*'Global Inputs'!G16</f>
        <v>0</v>
      </c>
      <c r="H30" s="47" t="n">
        <f aca="false">H28*'Global Inputs'!H16</f>
        <v>0</v>
      </c>
      <c r="I30" s="47" t="n">
        <f aca="false">I28*'Global Inputs'!I16</f>
        <v>-0</v>
      </c>
      <c r="J30" s="47" t="n">
        <f aca="false">J28*'Global Inputs'!J16</f>
        <v>16.3497283979769</v>
      </c>
      <c r="K30" s="47" t="n">
        <f aca="false">K28*'Global Inputs'!K16</f>
        <v>21.2429725922845</v>
      </c>
      <c r="L30" s="47" t="n">
        <f aca="false">L28*'Global Inputs'!L16</f>
        <v>22.6226495817981</v>
      </c>
      <c r="M30" s="47" t="n">
        <f aca="false">M28*'Global Inputs'!M16</f>
        <v>22.2693545617857</v>
      </c>
      <c r="N30" s="47" t="n">
        <f aca="false">N28*'Global Inputs'!N16</f>
        <v>21.9924079286537</v>
      </c>
      <c r="O30" s="47" t="n">
        <f aca="false">O28*'Global Inputs'!O16</f>
        <v>21.5507564596218</v>
      </c>
      <c r="P30" s="47" t="n">
        <f aca="false">P28*'Global Inputs'!P16</f>
        <v>22.9867846705396</v>
      </c>
      <c r="Q30" s="47" t="n">
        <f aca="false">Q28*'Global Inputs'!Q16</f>
        <v>21.7914347466191</v>
      </c>
      <c r="R30" s="47" t="n">
        <f aca="false">R28*'Global Inputs'!R16</f>
        <v>20.8890085223254</v>
      </c>
      <c r="S30" s="47" t="n">
        <f aca="false">S28*'Global Inputs'!S16</f>
        <v>20.7000775355884</v>
      </c>
    </row>
    <row r="31" customFormat="false" ht="15" hidden="false" customHeight="false" outlineLevel="0" collapsed="false">
      <c r="B31" s="24" t="s">
        <v>1111</v>
      </c>
      <c r="C31" s="25" t="s">
        <v>170</v>
      </c>
      <c r="E31" s="47" t="n">
        <f aca="false">SUM(F31:S31)</f>
        <v>89.4589934275323</v>
      </c>
      <c r="F31" s="47" t="n">
        <f aca="false">MAX(0,-F28)</f>
        <v>-0</v>
      </c>
      <c r="G31" s="47" t="n">
        <f aca="false">MAX(0,-G28)</f>
        <v>-0</v>
      </c>
      <c r="H31" s="47" t="n">
        <f aca="false">MAX(0,-H28)</f>
        <v>-0</v>
      </c>
      <c r="I31" s="47" t="n">
        <f aca="false">MAX(0,-I28)</f>
        <v>89.4589934275323</v>
      </c>
      <c r="J31" s="47" t="n">
        <f aca="false">MAX(0,-J28)</f>
        <v>0</v>
      </c>
      <c r="K31" s="47" t="n">
        <f aca="false">MAX(0,-K28)</f>
        <v>0</v>
      </c>
      <c r="L31" s="47" t="n">
        <f aca="false">MAX(0,-L28)</f>
        <v>0</v>
      </c>
      <c r="M31" s="47" t="n">
        <f aca="false">MAX(0,-M28)</f>
        <v>0</v>
      </c>
      <c r="N31" s="47" t="n">
        <f aca="false">MAX(0,-N28)</f>
        <v>0</v>
      </c>
      <c r="O31" s="47" t="n">
        <f aca="false">MAX(0,-O28)</f>
        <v>0</v>
      </c>
      <c r="P31" s="47" t="n">
        <f aca="false">MAX(0,-P28)</f>
        <v>0</v>
      </c>
      <c r="Q31" s="47" t="n">
        <f aca="false">MAX(0,-Q28)</f>
        <v>0</v>
      </c>
      <c r="R31" s="47" t="n">
        <f aca="false">MAX(0,-R28)</f>
        <v>0</v>
      </c>
      <c r="S31" s="47" t="n">
        <f aca="false">MAX(0,-S28)</f>
        <v>0</v>
      </c>
    </row>
    <row r="33" customFormat="false" ht="15" hidden="false" customHeight="false" outlineLevel="0" collapsed="false">
      <c r="B33" s="22" t="s">
        <v>1112</v>
      </c>
      <c r="C33" s="23"/>
      <c r="D33" s="23"/>
      <c r="E33" s="23"/>
      <c r="F33" s="23"/>
      <c r="G33" s="23"/>
      <c r="H33" s="23"/>
      <c r="I33" s="23"/>
      <c r="J33" s="23"/>
      <c r="K33" s="23"/>
      <c r="L33" s="23"/>
      <c r="M33" s="23"/>
      <c r="N33" s="23"/>
      <c r="O33" s="23"/>
      <c r="P33" s="23"/>
      <c r="Q33" s="23"/>
      <c r="R33" s="23"/>
      <c r="S33" s="23"/>
    </row>
    <row r="34" customFormat="false" ht="15" hidden="false" customHeight="false" outlineLevel="0" collapsed="false">
      <c r="B34" s="24" t="s">
        <v>1113</v>
      </c>
      <c r="C34" s="25" t="s">
        <v>240</v>
      </c>
      <c r="E34" s="44" t="n">
        <f aca="false">SUM(F34:S34)</f>
        <v>6.80952380952381</v>
      </c>
      <c r="F34" s="44" t="n">
        <f aca="false">'P05 Dumai Calc'!F38</f>
        <v>0</v>
      </c>
      <c r="G34" s="44" t="n">
        <f aca="false">'P05 Dumai Calc'!G38</f>
        <v>0</v>
      </c>
      <c r="H34" s="44" t="n">
        <f aca="false">'P05 Dumai Calc'!H38</f>
        <v>0</v>
      </c>
      <c r="I34" s="44" t="n">
        <f aca="false">'P05 Dumai Calc'!I38</f>
        <v>6.48452380952381</v>
      </c>
      <c r="J34" s="44" t="n">
        <f aca="false">'P05 Dumai Calc'!J38</f>
        <v>0.325</v>
      </c>
      <c r="K34" s="44" t="n">
        <f aca="false">'P05 Dumai Calc'!K38</f>
        <v>0</v>
      </c>
      <c r="L34" s="44" t="n">
        <f aca="false">'P05 Dumai Calc'!L38</f>
        <v>0</v>
      </c>
      <c r="M34" s="44" t="n">
        <f aca="false">'P05 Dumai Calc'!M38</f>
        <v>0</v>
      </c>
      <c r="N34" s="44" t="n">
        <f aca="false">'P05 Dumai Calc'!N38</f>
        <v>0</v>
      </c>
      <c r="O34" s="44" t="n">
        <f aca="false">'P05 Dumai Calc'!O38</f>
        <v>0</v>
      </c>
      <c r="P34" s="44" t="n">
        <f aca="false">'P05 Dumai Calc'!P38</f>
        <v>0</v>
      </c>
      <c r="Q34" s="44" t="n">
        <f aca="false">'P05 Dumai Calc'!Q38</f>
        <v>0</v>
      </c>
      <c r="R34" s="44" t="n">
        <f aca="false">'P05 Dumai Calc'!R38</f>
        <v>0</v>
      </c>
      <c r="S34" s="44" t="n">
        <f aca="false">'P05 Dumai Calc'!S38</f>
        <v>0</v>
      </c>
    </row>
    <row r="35" customFormat="false" ht="15" hidden="false" customHeight="false" outlineLevel="0" collapsed="false">
      <c r="B35" s="24" t="s">
        <v>1114</v>
      </c>
      <c r="C35" s="25" t="s">
        <v>170</v>
      </c>
      <c r="E35" s="47" t="n">
        <f aca="false">SUM(F35:S35)</f>
        <v>110.756904761905</v>
      </c>
      <c r="F35" s="47" t="n">
        <f aca="false">'P05 Dumai Calc'!F40</f>
        <v>0</v>
      </c>
      <c r="G35" s="47" t="n">
        <f aca="false">'P05 Dumai Calc'!G40</f>
        <v>0</v>
      </c>
      <c r="H35" s="47" t="n">
        <f aca="false">'P05 Dumai Calc'!H40</f>
        <v>0</v>
      </c>
      <c r="I35" s="47" t="n">
        <f aca="false">'P05 Dumai Calc'!I40</f>
        <v>105.470779761905</v>
      </c>
      <c r="J35" s="47" t="n">
        <f aca="false">'P05 Dumai Calc'!J40</f>
        <v>5.286125</v>
      </c>
      <c r="K35" s="47" t="n">
        <f aca="false">'P05 Dumai Calc'!K40</f>
        <v>0</v>
      </c>
      <c r="L35" s="47" t="n">
        <f aca="false">'P05 Dumai Calc'!L40</f>
        <v>0</v>
      </c>
      <c r="M35" s="47" t="n">
        <f aca="false">'P05 Dumai Calc'!M40</f>
        <v>0</v>
      </c>
      <c r="N35" s="47" t="n">
        <f aca="false">'P05 Dumai Calc'!N40</f>
        <v>0</v>
      </c>
      <c r="O35" s="47" t="n">
        <f aca="false">'P05 Dumai Calc'!O40</f>
        <v>0</v>
      </c>
      <c r="P35" s="47" t="n">
        <f aca="false">'P05 Dumai Calc'!P40</f>
        <v>0</v>
      </c>
      <c r="Q35" s="47" t="n">
        <f aca="false">'P05 Dumai Calc'!Q40</f>
        <v>0</v>
      </c>
      <c r="R35" s="47" t="n">
        <f aca="false">'P05 Dumai Calc'!R40</f>
        <v>0</v>
      </c>
      <c r="S35" s="47" t="n">
        <f aca="false">'P05 Dumai Calc'!S40</f>
        <v>0</v>
      </c>
    </row>
    <row r="36" customFormat="false" ht="15" hidden="false" customHeight="false" outlineLevel="0" collapsed="false">
      <c r="B36" s="24" t="s">
        <v>1115</v>
      </c>
      <c r="C36" s="25" t="s">
        <v>170</v>
      </c>
      <c r="F36" s="47" t="n">
        <f aca="false">'P05 Dumai Calc'!F47</f>
        <v>0</v>
      </c>
      <c r="G36" s="47" t="n">
        <f aca="false">'P05 Dumai Calc'!G47</f>
        <v>0</v>
      </c>
      <c r="H36" s="47" t="n">
        <f aca="false">'P05 Dumai Calc'!H47</f>
        <v>0</v>
      </c>
      <c r="I36" s="47" t="n">
        <f aca="false">'P05 Dumai Calc'!I47</f>
        <v>97.0331173809524</v>
      </c>
      <c r="J36" s="47" t="n">
        <f aca="false">'P05 Dumai Calc'!J47</f>
        <v>93.45869</v>
      </c>
      <c r="K36" s="47" t="n">
        <f aca="false">'P05 Dumai Calc'!K47</f>
        <v>84.5981376190476</v>
      </c>
      <c r="L36" s="47" t="n">
        <f aca="false">'P05 Dumai Calc'!L47</f>
        <v>75.7375852380952</v>
      </c>
      <c r="M36" s="47" t="n">
        <f aca="false">'P05 Dumai Calc'!M47</f>
        <v>66.8770328571428</v>
      </c>
      <c r="N36" s="47" t="n">
        <f aca="false">'P05 Dumai Calc'!N47</f>
        <v>58.0164804761905</v>
      </c>
      <c r="O36" s="47" t="n">
        <f aca="false">'P05 Dumai Calc'!O47</f>
        <v>49.1559280952381</v>
      </c>
      <c r="P36" s="47" t="n">
        <f aca="false">'P05 Dumai Calc'!P47</f>
        <v>40.2953757142857</v>
      </c>
      <c r="Q36" s="47" t="n">
        <f aca="false">'P05 Dumai Calc'!Q47</f>
        <v>36.7083623214285</v>
      </c>
      <c r="R36" s="47" t="n">
        <f aca="false">'P05 Dumai Calc'!R47</f>
        <v>33.3856551785714</v>
      </c>
      <c r="S36" s="47" t="n">
        <f aca="false">'P05 Dumai Calc'!S47</f>
        <v>30.0629480357143</v>
      </c>
    </row>
    <row r="37" customFormat="false" ht="15" hidden="false" customHeight="false" outlineLevel="0" collapsed="false">
      <c r="B37" s="24" t="s">
        <v>463</v>
      </c>
      <c r="C37" s="25" t="s">
        <v>170</v>
      </c>
      <c r="F37" s="47" t="n">
        <f aca="false">'P05 Dumai Calc'!F52</f>
        <v>0</v>
      </c>
      <c r="G37" s="47" t="n">
        <f aca="false">'P05 Dumai Calc'!G52</f>
        <v>0</v>
      </c>
      <c r="H37" s="47" t="n">
        <f aca="false">'P05 Dumai Calc'!H52</f>
        <v>0</v>
      </c>
      <c r="I37" s="47" t="n">
        <f aca="false">'P05 Dumai Calc'!I52</f>
        <v>5.93013698630137</v>
      </c>
      <c r="J37" s="47" t="n">
        <f aca="false">'P05 Dumai Calc'!J52</f>
        <v>5.93013698630137</v>
      </c>
      <c r="K37" s="47" t="n">
        <f aca="false">'P05 Dumai Calc'!K52</f>
        <v>5.91393442622951</v>
      </c>
      <c r="L37" s="47" t="n">
        <f aca="false">'P05 Dumai Calc'!L52</f>
        <v>6.33915616438356</v>
      </c>
      <c r="M37" s="47" t="n">
        <f aca="false">'P05 Dumai Calc'!M52</f>
        <v>6.33915616438356</v>
      </c>
      <c r="N37" s="47" t="n">
        <f aca="false">'P05 Dumai Calc'!N52</f>
        <v>6.33915616438356</v>
      </c>
      <c r="O37" s="47" t="n">
        <f aca="false">'P05 Dumai Calc'!O52</f>
        <v>6.32183606557377</v>
      </c>
      <c r="P37" s="47" t="n">
        <f aca="false">'P05 Dumai Calc'!P52</f>
        <v>6.77690131068493</v>
      </c>
      <c r="Q37" s="47" t="n">
        <f aca="false">'P05 Dumai Calc'!Q52</f>
        <v>6.77690131068493</v>
      </c>
      <c r="R37" s="47" t="n">
        <f aca="false">'P05 Dumai Calc'!R52</f>
        <v>6.77690131068493</v>
      </c>
      <c r="S37" s="47" t="n">
        <f aca="false">'P05 Dumai Calc'!S52</f>
        <v>6.75838518688525</v>
      </c>
    </row>
    <row r="38" customFormat="false" ht="15" hidden="false" customHeight="false" outlineLevel="0" collapsed="false">
      <c r="B38" s="24" t="s">
        <v>1116</v>
      </c>
      <c r="C38" s="25" t="s">
        <v>170</v>
      </c>
      <c r="F38" s="47" t="n">
        <f aca="false">-'P05 Dumai Calc'!F53</f>
        <v>-0</v>
      </c>
      <c r="G38" s="47" t="n">
        <f aca="false">-'P05 Dumai Calc'!G53</f>
        <v>-0</v>
      </c>
      <c r="H38" s="47" t="n">
        <f aca="false">-'P05 Dumai Calc'!H53</f>
        <v>-0</v>
      </c>
      <c r="I38" s="47" t="n">
        <f aca="false">-'P05 Dumai Calc'!I53</f>
        <v>-0</v>
      </c>
      <c r="J38" s="47" t="n">
        <f aca="false">-'P05 Dumai Calc'!J53</f>
        <v>-0</v>
      </c>
      <c r="K38" s="47" t="n">
        <f aca="false">-'P05 Dumai Calc'!K53</f>
        <v>-0</v>
      </c>
      <c r="L38" s="47" t="n">
        <f aca="false">-'P05 Dumai Calc'!L53</f>
        <v>-0</v>
      </c>
      <c r="M38" s="47" t="n">
        <f aca="false">-'P05 Dumai Calc'!M53</f>
        <v>-0</v>
      </c>
      <c r="N38" s="47" t="n">
        <f aca="false">-'P05 Dumai Calc'!N53</f>
        <v>-0</v>
      </c>
      <c r="O38" s="47" t="n">
        <f aca="false">-'P05 Dumai Calc'!O53</f>
        <v>-0</v>
      </c>
      <c r="P38" s="47" t="n">
        <f aca="false">-'P05 Dumai Calc'!P53</f>
        <v>-0</v>
      </c>
      <c r="Q38" s="47" t="n">
        <f aca="false">-'P05 Dumai Calc'!Q53</f>
        <v>-0</v>
      </c>
      <c r="R38" s="47" t="n">
        <f aca="false">-'P05 Dumai Calc'!R53</f>
        <v>-0</v>
      </c>
      <c r="S38" s="47" t="n">
        <f aca="false">-'P05 Dumai Calc'!S53</f>
        <v>-0</v>
      </c>
    </row>
    <row r="39" customFormat="false" ht="15" hidden="false" customHeight="false" outlineLevel="0" collapsed="false">
      <c r="B39" s="69" t="s">
        <v>1117</v>
      </c>
      <c r="C39" s="25" t="s">
        <v>170</v>
      </c>
      <c r="F39" s="68" t="n">
        <f aca="false">F36+F37+F38</f>
        <v>0</v>
      </c>
      <c r="G39" s="68" t="n">
        <f aca="false">G36+G37+G38</f>
        <v>0</v>
      </c>
      <c r="H39" s="68" t="n">
        <f aca="false">H36+H37+H38</f>
        <v>0</v>
      </c>
      <c r="I39" s="68" t="n">
        <f aca="false">I36+I37+I38</f>
        <v>102.963254367254</v>
      </c>
      <c r="J39" s="68" t="n">
        <f aca="false">J36+J37+J38</f>
        <v>99.3888269863014</v>
      </c>
      <c r="K39" s="68" t="n">
        <f aca="false">K36+K37+K38</f>
        <v>90.5120720452771</v>
      </c>
      <c r="L39" s="68" t="n">
        <f aca="false">L36+L37+L38</f>
        <v>82.0767414024788</v>
      </c>
      <c r="M39" s="68" t="n">
        <f aca="false">M36+M37+M38</f>
        <v>73.2161890215264</v>
      </c>
      <c r="N39" s="68" t="n">
        <f aca="false">N36+N37+N38</f>
        <v>64.355636640574</v>
      </c>
      <c r="O39" s="68" t="n">
        <f aca="false">O36+O37+O38</f>
        <v>55.4777641608118</v>
      </c>
      <c r="P39" s="68" t="n">
        <f aca="false">P36+P37+P38</f>
        <v>47.0722770249706</v>
      </c>
      <c r="Q39" s="68" t="n">
        <f aca="false">Q36+Q37+Q38</f>
        <v>43.4852636321135</v>
      </c>
      <c r="R39" s="68" t="n">
        <f aca="false">R36+R37+R38</f>
        <v>40.1625564892563</v>
      </c>
      <c r="S39" s="68" t="n">
        <f aca="false">S36+S37+S38</f>
        <v>36.8213332225995</v>
      </c>
    </row>
    <row r="41" customFormat="false" ht="15" hidden="false" customHeight="false" outlineLevel="0" collapsed="false">
      <c r="B41" s="22" t="s">
        <v>1119</v>
      </c>
      <c r="C41" s="23"/>
      <c r="D41" s="23"/>
      <c r="E41" s="23"/>
      <c r="F41" s="23"/>
      <c r="G41" s="23"/>
      <c r="H41" s="23"/>
      <c r="I41" s="23"/>
      <c r="J41" s="23"/>
      <c r="K41" s="23"/>
      <c r="L41" s="23"/>
      <c r="M41" s="23"/>
      <c r="N41" s="23"/>
      <c r="O41" s="23"/>
      <c r="P41" s="23"/>
      <c r="Q41" s="23"/>
      <c r="R41" s="23"/>
      <c r="S41" s="23"/>
    </row>
    <row r="42" customFormat="false" ht="15" hidden="false" customHeight="false" outlineLevel="0" collapsed="false">
      <c r="B42" s="24" t="s">
        <v>1120</v>
      </c>
      <c r="C42" s="25" t="s">
        <v>143</v>
      </c>
      <c r="F42" s="30" t="n">
        <f aca="false">0</f>
        <v>0</v>
      </c>
      <c r="G42" s="30" t="n">
        <f aca="false">MIN(1,F42+F43)</f>
        <v>0</v>
      </c>
      <c r="H42" s="30" t="n">
        <f aca="false">MIN(1,G42+G43)</f>
        <v>0</v>
      </c>
      <c r="I42" s="30" t="n">
        <f aca="false">MIN(1,H42+H43)</f>
        <v>0</v>
      </c>
      <c r="J42" s="30" t="n">
        <f aca="false">MIN(1,I42+I43)</f>
        <v>0</v>
      </c>
      <c r="K42" s="30" t="n">
        <f aca="false">MIN(1,J42+J43)</f>
        <v>0</v>
      </c>
      <c r="L42" s="30" t="n">
        <f aca="false">MIN(1,K42+K43)</f>
        <v>0</v>
      </c>
      <c r="M42" s="30" t="n">
        <f aca="false">MIN(1,L42+L43)</f>
        <v>0</v>
      </c>
      <c r="N42" s="30" t="n">
        <f aca="false">MIN(1,M42+M43)</f>
        <v>0</v>
      </c>
      <c r="O42" s="30" t="n">
        <f aca="false">MIN(1,N42+N43)</f>
        <v>1</v>
      </c>
      <c r="P42" s="30" t="n">
        <f aca="false">MIN(1,O42+O43)</f>
        <v>1</v>
      </c>
      <c r="Q42" s="30" t="n">
        <f aca="false">MIN(1,P42+P43)</f>
        <v>1</v>
      </c>
      <c r="R42" s="30" t="n">
        <f aca="false">MIN(1,Q42+Q43)</f>
        <v>1</v>
      </c>
      <c r="S42" s="30" t="n">
        <f aca="false">MIN(1,R42+R43)</f>
        <v>1</v>
      </c>
    </row>
    <row r="43" customFormat="false" ht="15" hidden="false" customHeight="false" outlineLevel="0" collapsed="false">
      <c r="B43" s="24" t="s">
        <v>1121</v>
      </c>
      <c r="C43" s="25" t="s">
        <v>143</v>
      </c>
      <c r="F43" s="30" t="n">
        <f aca="false">0</f>
        <v>0</v>
      </c>
      <c r="G43" s="30" t="n">
        <f aca="false">IF(AND(G29&gt;=0,F29&lt;0,G42=0),1,0)</f>
        <v>0</v>
      </c>
      <c r="H43" s="30" t="n">
        <f aca="false">IF(AND(H29&gt;=0,G29&lt;0,H42=0),1,0)</f>
        <v>0</v>
      </c>
      <c r="I43" s="30" t="n">
        <f aca="false">IF(AND(I29&gt;=0,H29&lt;0,I42=0),1,0)</f>
        <v>0</v>
      </c>
      <c r="J43" s="30" t="n">
        <f aca="false">IF(AND(J29&gt;=0,I29&lt;0,J42=0),1,0)</f>
        <v>0</v>
      </c>
      <c r="K43" s="30" t="n">
        <f aca="false">IF(AND(K29&gt;=0,J29&lt;0,K42=0),1,0)</f>
        <v>0</v>
      </c>
      <c r="L43" s="30" t="n">
        <f aca="false">IF(AND(L29&gt;=0,K29&lt;0,L42=0),1,0)</f>
        <v>0</v>
      </c>
      <c r="M43" s="30" t="n">
        <f aca="false">IF(AND(M29&gt;=0,L29&lt;0,M42=0),1,0)</f>
        <v>0</v>
      </c>
      <c r="N43" s="30" t="n">
        <f aca="false">IF(AND(N29&gt;=0,M29&lt;0,N42=0),1,0)</f>
        <v>1</v>
      </c>
      <c r="O43" s="30" t="n">
        <f aca="false">IF(AND(O29&gt;=0,N29&lt;0,O42=0),1,0)</f>
        <v>0</v>
      </c>
      <c r="P43" s="30" t="n">
        <f aca="false">IF(AND(P29&gt;=0,O29&lt;0,P42=0),1,0)</f>
        <v>0</v>
      </c>
      <c r="Q43" s="30" t="n">
        <f aca="false">IF(AND(Q29&gt;=0,P29&lt;0,Q42=0),1,0)</f>
        <v>0</v>
      </c>
      <c r="R43" s="30" t="n">
        <f aca="false">IF(AND(R29&gt;=0,Q29&lt;0,R42=0),1,0)</f>
        <v>0</v>
      </c>
      <c r="S43" s="30" t="n">
        <f aca="false">IF(AND(S29&gt;=0,R29&lt;0,S42=0),1,0)</f>
        <v>0</v>
      </c>
    </row>
    <row r="44" customFormat="false" ht="15" hidden="false" customHeight="false" outlineLevel="0" collapsed="false">
      <c r="B44" s="24" t="s">
        <v>1122</v>
      </c>
      <c r="C44" s="25" t="s">
        <v>170</v>
      </c>
      <c r="F44" s="47" t="n">
        <f aca="false">IF(F$5='Global Inputs'!$E$14,F28*(1+'Global Inputs'!$E$54)/('Global Inputs'!$E$53-'Global Inputs'!$E$54),0)</f>
        <v>0</v>
      </c>
      <c r="G44" s="47" t="n">
        <f aca="false">IF(G$5='Global Inputs'!$E$14,G28*(1+'Global Inputs'!$E$54)/('Global Inputs'!$E$53-'Global Inputs'!$E$54),0)</f>
        <v>0</v>
      </c>
      <c r="H44" s="47" t="n">
        <f aca="false">IF(H$5='Global Inputs'!$E$14,H28*(1+'Global Inputs'!$E$54)/('Global Inputs'!$E$53-'Global Inputs'!$E$54),0)</f>
        <v>0</v>
      </c>
      <c r="I44" s="47" t="n">
        <f aca="false">IF(I$5='Global Inputs'!$E$14,I28*(1+'Global Inputs'!$E$54)/('Global Inputs'!$E$53-'Global Inputs'!$E$54),0)</f>
        <v>0</v>
      </c>
      <c r="J44" s="47" t="n">
        <f aca="false">IF(J$5='Global Inputs'!$E$14,J28*(1+'Global Inputs'!$E$54)/('Global Inputs'!$E$53-'Global Inputs'!$E$54),0)</f>
        <v>0</v>
      </c>
      <c r="K44" s="47" t="n">
        <f aca="false">IF(K$5='Global Inputs'!$E$14,K28*(1+'Global Inputs'!$E$54)/('Global Inputs'!$E$53-'Global Inputs'!$E$54),0)</f>
        <v>0</v>
      </c>
      <c r="L44" s="47" t="n">
        <f aca="false">IF(L$5='Global Inputs'!$E$14,L28*(1+'Global Inputs'!$E$54)/('Global Inputs'!$E$53-'Global Inputs'!$E$54),0)</f>
        <v>0</v>
      </c>
      <c r="M44" s="47" t="n">
        <f aca="false">IF(M$5='Global Inputs'!$E$14,M28*(1+'Global Inputs'!$E$54)/('Global Inputs'!$E$53-'Global Inputs'!$E$54),0)</f>
        <v>0</v>
      </c>
      <c r="N44" s="47" t="n">
        <f aca="false">IF(N$5='Global Inputs'!$E$14,N28*(1+'Global Inputs'!$E$54)/('Global Inputs'!$E$53-'Global Inputs'!$E$54),0)</f>
        <v>0</v>
      </c>
      <c r="O44" s="47" t="n">
        <f aca="false">IF(O$5='Global Inputs'!$E$14,O28*(1+'Global Inputs'!$E$54)/('Global Inputs'!$E$53-'Global Inputs'!$E$54),0)</f>
        <v>0</v>
      </c>
      <c r="P44" s="47" t="n">
        <f aca="false">IF(P$5='Global Inputs'!$E$14,P28*(1+'Global Inputs'!$E$54)/('Global Inputs'!$E$53-'Global Inputs'!$E$54),0)</f>
        <v>0</v>
      </c>
      <c r="Q44" s="47" t="n">
        <f aca="false">IF(Q$5='Global Inputs'!$E$14,Q28*(1+'Global Inputs'!$E$54)/('Global Inputs'!$E$53-'Global Inputs'!$E$54),0)</f>
        <v>0</v>
      </c>
      <c r="R44" s="47" t="n">
        <f aca="false">IF(R$5='Global Inputs'!$E$14,R28*(1+'Global Inputs'!$E$54)/('Global Inputs'!$E$53-'Global Inputs'!$E$54),0)</f>
        <v>0</v>
      </c>
      <c r="S44" s="47" t="n">
        <f aca="false">IF(S$5='Global Inputs'!$E$14,S28*(1+'Global Inputs'!$E$54)/('Global Inputs'!$E$53-'Global Inputs'!$E$54),0)</f>
        <v>240.467501331483</v>
      </c>
    </row>
    <row r="45" customFormat="false" ht="15" hidden="false" customHeight="false" outlineLevel="0" collapsed="false">
      <c r="B45" s="24" t="s">
        <v>1123</v>
      </c>
      <c r="C45" s="25" t="s">
        <v>170</v>
      </c>
      <c r="F45" s="47" t="n">
        <f aca="false">F28+F44</f>
        <v>0</v>
      </c>
      <c r="G45" s="47" t="n">
        <f aca="false">G28+G44</f>
        <v>0</v>
      </c>
      <c r="H45" s="47" t="n">
        <f aca="false">H28+H44</f>
        <v>0</v>
      </c>
      <c r="I45" s="47" t="n">
        <f aca="false">I28+I44</f>
        <v>-89.4589934275323</v>
      </c>
      <c r="J45" s="47" t="n">
        <f aca="false">J28+J44</f>
        <v>16.3497283979769</v>
      </c>
      <c r="K45" s="47" t="n">
        <f aca="false">K28+K44</f>
        <v>21.2429725922845</v>
      </c>
      <c r="L45" s="47" t="n">
        <f aca="false">L28+L44</f>
        <v>22.6226495817981</v>
      </c>
      <c r="M45" s="47" t="n">
        <f aca="false">M28+M44</f>
        <v>22.2693545617857</v>
      </c>
      <c r="N45" s="47" t="n">
        <f aca="false">N28+N44</f>
        <v>21.9924079286537</v>
      </c>
      <c r="O45" s="47" t="n">
        <f aca="false">O28+O44</f>
        <v>21.5507564596218</v>
      </c>
      <c r="P45" s="47" t="n">
        <f aca="false">P28+P44</f>
        <v>22.9867846705396</v>
      </c>
      <c r="Q45" s="47" t="n">
        <f aca="false">Q28+Q44</f>
        <v>21.7914347466191</v>
      </c>
      <c r="R45" s="47" t="n">
        <f aca="false">R28+R44</f>
        <v>20.8890085223254</v>
      </c>
      <c r="S45" s="47" t="n">
        <f aca="false">S28+S44</f>
        <v>261.167578867071</v>
      </c>
    </row>
    <row r="46" customFormat="false" ht="15" hidden="false" customHeight="false" outlineLevel="0" collapsed="false">
      <c r="B46" s="24" t="s">
        <v>1124</v>
      </c>
      <c r="C46" s="25" t="s">
        <v>170</v>
      </c>
      <c r="E46" s="47" t="n">
        <f aca="false">SUM(F46:S46)</f>
        <v>197.603970664319</v>
      </c>
      <c r="F46" s="47" t="n">
        <f aca="false">F45*'Global Inputs'!F18</f>
        <v>0</v>
      </c>
      <c r="G46" s="47" t="n">
        <f aca="false">G45*'Global Inputs'!G18</f>
        <v>0</v>
      </c>
      <c r="H46" s="47" t="n">
        <f aca="false">H45*'Global Inputs'!H18</f>
        <v>0</v>
      </c>
      <c r="I46" s="47" t="n">
        <f aca="false">I45*'Global Inputs'!I18</f>
        <v>-0</v>
      </c>
      <c r="J46" s="47" t="n">
        <f aca="false">J45*'Global Inputs'!J18</f>
        <v>14.6153912423558</v>
      </c>
      <c r="K46" s="47" t="n">
        <f aca="false">K45*'Global Inputs'!K18</f>
        <v>16.9752076227863</v>
      </c>
      <c r="L46" s="47" t="n">
        <f aca="false">L45*'Global Inputs'!L18</f>
        <v>16.1600677621969</v>
      </c>
      <c r="M46" s="47" t="n">
        <f aca="false">M45*'Global Inputs'!M18</f>
        <v>14.2202503412717</v>
      </c>
      <c r="N46" s="47" t="n">
        <f aca="false">N45*'Global Inputs'!N18</f>
        <v>12.5537159446637</v>
      </c>
      <c r="O46" s="47" t="n">
        <f aca="false">O45*'Global Inputs'!O18</f>
        <v>10.9966888565391</v>
      </c>
      <c r="P46" s="47" t="n">
        <f aca="false">P45*'Global Inputs'!P18</f>
        <v>10.4852200356588</v>
      </c>
      <c r="Q46" s="47" t="n">
        <f aca="false">Q45*'Global Inputs'!Q18</f>
        <v>8.8855650217845</v>
      </c>
      <c r="R46" s="47" t="n">
        <f aca="false">R45*'Global Inputs'!R18</f>
        <v>7.6140715613647</v>
      </c>
      <c r="S46" s="47" t="n">
        <f aca="false">S45*'Global Inputs'!S18</f>
        <v>85.0977922756976</v>
      </c>
    </row>
    <row r="47" customFormat="false" ht="15" hidden="false" customHeight="false" outlineLevel="0" collapsed="false">
      <c r="B47" s="24" t="s">
        <v>1125</v>
      </c>
      <c r="C47" s="25" t="s">
        <v>170</v>
      </c>
      <c r="E47" s="47" t="n">
        <f aca="false">SUM($F$46:$S$46)</f>
        <v>197.603970664319</v>
      </c>
    </row>
    <row r="48" customFormat="false" ht="15" hidden="false" customHeight="false" outlineLevel="0" collapsed="false">
      <c r="B48" s="24" t="s">
        <v>1126</v>
      </c>
      <c r="C48" s="25" t="s">
        <v>170</v>
      </c>
      <c r="E48" s="47" t="n">
        <f aca="false">SUMPRODUCT($F$28:$S$28,'Global Inputs'!$F$18:$S$18)</f>
        <v>119.251008301491</v>
      </c>
    </row>
    <row r="49" customFormat="false" ht="15" hidden="false" customHeight="false" outlineLevel="0" collapsed="false">
      <c r="B49" s="24" t="s">
        <v>1831</v>
      </c>
      <c r="C49" s="25" t="s">
        <v>160</v>
      </c>
      <c r="E49" s="49" t="n">
        <f aca="false">IFERROR(IRR($F$28:$S$28),"n/a")</f>
        <v>0.192595399550514</v>
      </c>
    </row>
    <row r="50" customFormat="false" ht="15" hidden="false" customHeight="false" outlineLevel="0" collapsed="false">
      <c r="B50" s="24" t="s">
        <v>1832</v>
      </c>
      <c r="C50" s="25" t="s">
        <v>160</v>
      </c>
      <c r="E50" s="49" t="n">
        <f aca="false">IFERROR(IRR($F$45:$S$45),"n/a")</f>
        <v>0.274959407151836</v>
      </c>
    </row>
    <row r="51" customFormat="false" ht="15" hidden="false" customHeight="false" outlineLevel="0" collapsed="false">
      <c r="B51" s="24" t="s">
        <v>1128</v>
      </c>
      <c r="C51" s="25" t="s">
        <v>160</v>
      </c>
      <c r="E51" s="49" t="str">
        <f aca="false">"= project IRR (no project-level debt in v29; corporate LT loan is not project debt)"</f>
        <v>= project IRR (no project-level debt in v29; corporate LT loan is not project debt)</v>
      </c>
    </row>
    <row r="52" customFormat="false" ht="15" hidden="false" customHeight="false" outlineLevel="0" collapsed="false">
      <c r="B52" s="24" t="s">
        <v>1129</v>
      </c>
      <c r="C52" s="25" t="s">
        <v>135</v>
      </c>
      <c r="E52" s="29" t="n">
        <f aca="false">IF(SUM($F$43:$S$43)=0,"not within horizon",SUMPRODUCT($F$43:$S$43,'Global Inputs'!$F$15:$S$15))</f>
        <v>2031</v>
      </c>
    </row>
    <row r="53" customFormat="false" ht="15" hidden="false" customHeight="false" outlineLevel="0" collapsed="false">
      <c r="B53" s="24" t="s">
        <v>1130</v>
      </c>
      <c r="C53" s="25" t="s">
        <v>135</v>
      </c>
      <c r="E53" s="29" t="n">
        <f aca="false">IF(SUM('P05 Dumai Calc'!$F$38:$S$38)=0,"n/a",SUMPRODUCT('P05 Dumai Calc'!$F$48:$S$48,'Global Inputs'!$F$15:$S$15))</f>
        <v>2026</v>
      </c>
    </row>
    <row r="54" customFormat="false" ht="15" hidden="false" customHeight="false" outlineLevel="0" collapsed="false">
      <c r="B54" s="24" t="s">
        <v>1131</v>
      </c>
      <c r="C54" s="25" t="s">
        <v>240</v>
      </c>
      <c r="E54" s="44" t="n">
        <f aca="false">'P05 Dumai Input'!$E$39</f>
        <v>6.80952380952381</v>
      </c>
    </row>
    <row r="55" customFormat="false" ht="15" hidden="false" customHeight="false" outlineLevel="0" collapsed="false">
      <c r="B55" s="24" t="s">
        <v>1132</v>
      </c>
      <c r="C55" s="25" t="s">
        <v>240</v>
      </c>
      <c r="E55" s="44" t="n">
        <f aca="false">'P05 Dumai Input'!$E$45</f>
        <v>0.325</v>
      </c>
    </row>
    <row r="57" customFormat="false" ht="15" hidden="false" customHeight="false" outlineLevel="0" collapsed="false">
      <c r="B57" s="22" t="s">
        <v>1133</v>
      </c>
      <c r="C57" s="23"/>
      <c r="D57" s="23"/>
      <c r="E57" s="23"/>
      <c r="F57" s="23"/>
      <c r="G57" s="23"/>
      <c r="H57" s="23"/>
      <c r="I57" s="23"/>
      <c r="J57" s="23"/>
      <c r="K57" s="23"/>
      <c r="L57" s="23"/>
      <c r="M57" s="23"/>
      <c r="N57" s="23"/>
      <c r="O57" s="23"/>
      <c r="P57" s="23"/>
      <c r="Q57" s="23"/>
      <c r="R57" s="23"/>
      <c r="S57" s="23"/>
    </row>
    <row r="58" customFormat="false" ht="15" hidden="false" customHeight="false" outlineLevel="0" collapsed="false">
      <c r="B58" s="24" t="s">
        <v>1134</v>
      </c>
      <c r="C58" s="25" t="s">
        <v>180</v>
      </c>
      <c r="E58" s="29" t="n">
        <f aca="false">'P05 Dumai Input'!$E$22*IF('P05 Dumai Input'!$E$23=1,1,0)</f>
        <v>1</v>
      </c>
    </row>
    <row r="59" customFormat="false" ht="15" hidden="false" customHeight="false" outlineLevel="0" collapsed="false">
      <c r="B59" s="24" t="s">
        <v>1135</v>
      </c>
      <c r="C59" s="25" t="s">
        <v>180</v>
      </c>
      <c r="E59" s="29" t="n">
        <f aca="false">'P05 Dumai Input'!$E$22</f>
        <v>1</v>
      </c>
    </row>
    <row r="60" customFormat="false" ht="15" hidden="false" customHeight="false" outlineLevel="0" collapsed="false">
      <c r="B60" s="24" t="s">
        <v>897</v>
      </c>
      <c r="C60" s="25" t="s">
        <v>160</v>
      </c>
      <c r="E60" s="49" t="n">
        <f aca="false">'P05 Dumai Input'!$E$24</f>
        <v>1</v>
      </c>
    </row>
  </sheetData>
  <hyperlinks>
    <hyperlink ref="C3" r:id="rId1" location="'P05%20Dumai%20Input'!A1" display="Input"/>
    <hyperlink ref="D3" r:id="rId2" location="'P05%20Dumai%20Calc'!A1" display="Calc"/>
    <hyperlink ref="E3" r:id="rId3" location="'P05%20Dumai%20Output'!A1" display="Output"/>
    <hyperlink ref="F3" r:id="rId4" location="'Navigation'!A1" display="Navigation"/>
    <hyperlink ref="G3" r:id="rId5" location="'Global%20Inputs'!A1" display="Global Inputs"/>
    <hyperlink ref="H3" r:id="rId6" location="'Project%20Summary'!A1" display="Project Summary"/>
    <hyperlink ref="I3" r:id="rId7" location="'Funding%20Requirement'!A1" display="Funding"/>
    <hyperlink ref="J3" r:id="rId8" location="'FSL%20Financials%20—%20Without%20BUMN'!A1" display="FSL w/o BUMN"/>
    <hyperlink ref="K3" r:id="rId9" location="'FSL%20Financials%20—%20With%20BUMN'!A1" display="FSL w/ BUMN"/>
    <hyperlink ref="L3" r:id="rId10" location="'Valuation%20—%20Without%20BUMN'!A1" display="Val w/o BUMN"/>
    <hyperlink ref="M3" r:id="rId11" location="'Valuation%20—%20With%20BUMN'!A1" display="Val w/ BUMN"/>
    <hyperlink ref="N3" r:id="rId12" location="'Checks'!A1" display="Checks"/>
    <hyperlink ref="O3" r:id="rId13" location="'Model%20Flow'!A1" display="Model Flow"/>
  </hyperlink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D966"/>
    <pageSetUpPr fitToPage="true"/>
  </sheetPr>
  <dimension ref="B1:U4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5" ySplit="9" topLeftCell="F10" activePane="bottomRight" state="frozen"/>
      <selection pane="topLeft" activeCell="A1" activeCellId="0" sqref="A1"/>
      <selection pane="topRight" activeCell="F1" activeCellId="0" sqref="F1"/>
      <selection pane="bottomLeft" activeCell="A10" activeCellId="0" sqref="A10"/>
      <selection pane="bottomRigh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66"/>
    <col collapsed="false" customWidth="true" hidden="false" outlineLevel="0" max="3" min="3" style="0" width="11"/>
    <col collapsed="false" customWidth="true" hidden="false" outlineLevel="0" max="4" min="4" style="0" width="12"/>
    <col collapsed="false" customWidth="true" hidden="false" outlineLevel="0" max="5" min="5" style="0" width="13"/>
    <col collapsed="false" customWidth="true" hidden="false" outlineLevel="0" max="19" min="6" style="0" width="11.5"/>
    <col collapsed="false" customWidth="true" hidden="false" outlineLevel="0" max="20" min="20" style="0" width="40"/>
    <col collapsed="false" customWidth="true" hidden="false" outlineLevel="0" max="21" min="21" style="0" width="48"/>
  </cols>
  <sheetData>
    <row r="1" customFormat="false" ht="21.75" hidden="false" customHeight="true" outlineLevel="0" collapsed="false">
      <c r="B1" s="1" t="s">
        <v>2059</v>
      </c>
    </row>
    <row r="2" customFormat="false" ht="15" hidden="false" customHeight="false" outlineLevel="0" collapsed="false">
      <c r="B2" s="2" t="s">
        <v>2060</v>
      </c>
    </row>
    <row r="3" customFormat="false" ht="15" hidden="false" customHeight="false" outlineLevel="0" collapsed="false">
      <c r="B3" s="5" t="s">
        <v>112</v>
      </c>
      <c r="C3" s="17" t="s">
        <v>27</v>
      </c>
      <c r="D3" s="17" t="s">
        <v>28</v>
      </c>
      <c r="E3" s="17" t="s">
        <v>29</v>
      </c>
      <c r="F3" s="17" t="s">
        <v>113</v>
      </c>
      <c r="G3" s="17" t="s">
        <v>5</v>
      </c>
      <c r="H3" s="17" t="s">
        <v>7</v>
      </c>
      <c r="I3" s="17" t="s">
        <v>114</v>
      </c>
      <c r="J3" s="17" t="s">
        <v>115</v>
      </c>
      <c r="K3" s="17" t="s">
        <v>116</v>
      </c>
      <c r="L3" s="17" t="s">
        <v>117</v>
      </c>
      <c r="M3" s="17" t="s">
        <v>118</v>
      </c>
      <c r="N3" s="17" t="s">
        <v>21</v>
      </c>
      <c r="O3" s="17" t="s">
        <v>3</v>
      </c>
    </row>
    <row r="5" customFormat="false" ht="15" hidden="false" customHeight="false" outlineLevel="0" collapsed="false">
      <c r="B5" s="6" t="s">
        <v>119</v>
      </c>
      <c r="C5" s="6" t="s">
        <v>120</v>
      </c>
      <c r="D5" s="6" t="s">
        <v>121</v>
      </c>
      <c r="E5" s="6" t="s">
        <v>122</v>
      </c>
      <c r="F5" s="18" t="n">
        <f aca="false">'Global Inputs'!F$5</f>
        <v>2023</v>
      </c>
      <c r="G5" s="18" t="n">
        <f aca="false">'Global Inputs'!G$5</f>
        <v>2024</v>
      </c>
      <c r="H5" s="18" t="n">
        <f aca="false">'Global Inputs'!H$5</f>
        <v>2025</v>
      </c>
      <c r="I5" s="18" t="n">
        <f aca="false">'Global Inputs'!I$5</f>
        <v>2026</v>
      </c>
      <c r="J5" s="18" t="n">
        <f aca="false">'Global Inputs'!J$5</f>
        <v>2027</v>
      </c>
      <c r="K5" s="18" t="n">
        <f aca="false">'Global Inputs'!K$5</f>
        <v>2028</v>
      </c>
      <c r="L5" s="18" t="n">
        <f aca="false">'Global Inputs'!L$5</f>
        <v>2029</v>
      </c>
      <c r="M5" s="18" t="n">
        <f aca="false">'Global Inputs'!M$5</f>
        <v>2030</v>
      </c>
      <c r="N5" s="18" t="n">
        <f aca="false">'Global Inputs'!N$5</f>
        <v>2031</v>
      </c>
      <c r="O5" s="18" t="n">
        <f aca="false">'Global Inputs'!O$5</f>
        <v>2032</v>
      </c>
      <c r="P5" s="18" t="n">
        <f aca="false">'Global Inputs'!P$5</f>
        <v>2033</v>
      </c>
      <c r="Q5" s="18" t="n">
        <f aca="false">'Global Inputs'!Q$5</f>
        <v>2034</v>
      </c>
      <c r="R5" s="18" t="n">
        <f aca="false">'Global Inputs'!R$5</f>
        <v>2035</v>
      </c>
      <c r="S5" s="18" t="n">
        <f aca="false">'Global Inputs'!S$5</f>
        <v>2036</v>
      </c>
      <c r="T5" s="6" t="s">
        <v>123</v>
      </c>
      <c r="U5" s="6" t="s">
        <v>124</v>
      </c>
    </row>
    <row r="6" customFormat="false" ht="15" hidden="false" customHeight="false" outlineLevel="0" collapsed="false">
      <c r="B6" s="19" t="s">
        <v>125</v>
      </c>
      <c r="F6" s="20" t="n">
        <f aca="false">'Global Inputs'!F$6</f>
        <v>45291</v>
      </c>
      <c r="G6" s="20" t="n">
        <f aca="false">'Global Inputs'!G$6</f>
        <v>45657</v>
      </c>
      <c r="H6" s="20" t="n">
        <f aca="false">'Global Inputs'!H$6</f>
        <v>46022</v>
      </c>
      <c r="I6" s="20" t="n">
        <f aca="false">'Global Inputs'!I$6</f>
        <v>46387</v>
      </c>
      <c r="J6" s="20" t="n">
        <f aca="false">'Global Inputs'!J$6</f>
        <v>46752</v>
      </c>
      <c r="K6" s="20" t="n">
        <f aca="false">'Global Inputs'!K$6</f>
        <v>47118</v>
      </c>
      <c r="L6" s="20" t="n">
        <f aca="false">'Global Inputs'!L$6</f>
        <v>47483</v>
      </c>
      <c r="M6" s="20" t="n">
        <f aca="false">'Global Inputs'!M$6</f>
        <v>47848</v>
      </c>
      <c r="N6" s="20" t="n">
        <f aca="false">'Global Inputs'!N$6</f>
        <v>48213</v>
      </c>
      <c r="O6" s="20" t="n">
        <f aca="false">'Global Inputs'!O$6</f>
        <v>48579</v>
      </c>
      <c r="P6" s="20" t="n">
        <f aca="false">'Global Inputs'!P$6</f>
        <v>48944</v>
      </c>
      <c r="Q6" s="20" t="n">
        <f aca="false">'Global Inputs'!Q$6</f>
        <v>49309</v>
      </c>
      <c r="R6" s="20" t="n">
        <f aca="false">'Global Inputs'!R$6</f>
        <v>49674</v>
      </c>
      <c r="S6" s="20" t="n">
        <f aca="false">'Global Inputs'!S$6</f>
        <v>50040</v>
      </c>
    </row>
    <row r="7" customFormat="false" ht="15" hidden="false" customHeight="false" outlineLevel="0" collapsed="false">
      <c r="B7" s="19" t="s">
        <v>126</v>
      </c>
      <c r="F7" s="21" t="n">
        <f aca="false">'Global Inputs'!F$7</f>
        <v>365</v>
      </c>
      <c r="G7" s="21" t="n">
        <f aca="false">'Global Inputs'!G$7</f>
        <v>366</v>
      </c>
      <c r="H7" s="21" t="n">
        <f aca="false">'Global Inputs'!H$7</f>
        <v>365</v>
      </c>
      <c r="I7" s="21" t="n">
        <f aca="false">'Global Inputs'!I$7</f>
        <v>365</v>
      </c>
      <c r="J7" s="21" t="n">
        <f aca="false">'Global Inputs'!J$7</f>
        <v>365</v>
      </c>
      <c r="K7" s="21" t="n">
        <f aca="false">'Global Inputs'!K$7</f>
        <v>366</v>
      </c>
      <c r="L7" s="21" t="n">
        <f aca="false">'Global Inputs'!L$7</f>
        <v>365</v>
      </c>
      <c r="M7" s="21" t="n">
        <f aca="false">'Global Inputs'!M$7</f>
        <v>365</v>
      </c>
      <c r="N7" s="21" t="n">
        <f aca="false">'Global Inputs'!N$7</f>
        <v>365</v>
      </c>
      <c r="O7" s="21" t="n">
        <f aca="false">'Global Inputs'!O$7</f>
        <v>366</v>
      </c>
      <c r="P7" s="21" t="n">
        <f aca="false">'Global Inputs'!P$7</f>
        <v>365</v>
      </c>
      <c r="Q7" s="21" t="n">
        <f aca="false">'Global Inputs'!Q$7</f>
        <v>365</v>
      </c>
      <c r="R7" s="21" t="n">
        <f aca="false">'Global Inputs'!R$7</f>
        <v>365</v>
      </c>
      <c r="S7" s="21" t="n">
        <f aca="false">'Global Inputs'!S$7</f>
        <v>366</v>
      </c>
    </row>
    <row r="8" customFormat="false" ht="15" hidden="false" customHeight="false" outlineLevel="0" collapsed="false">
      <c r="B8" s="19" t="s">
        <v>127</v>
      </c>
      <c r="F8" s="21" t="n">
        <f aca="false">'Global Inputs'!F$8</f>
        <v>0</v>
      </c>
      <c r="G8" s="21" t="n">
        <f aca="false">'Global Inputs'!G$8</f>
        <v>1</v>
      </c>
      <c r="H8" s="21" t="n">
        <f aca="false">'Global Inputs'!H$8</f>
        <v>1</v>
      </c>
      <c r="I8" s="21" t="n">
        <f aca="false">'Global Inputs'!I$8</f>
        <v>1</v>
      </c>
      <c r="J8" s="21" t="n">
        <f aca="false">'Global Inputs'!J$8</f>
        <v>1</v>
      </c>
      <c r="K8" s="21" t="n">
        <f aca="false">'Global Inputs'!K$8</f>
        <v>1</v>
      </c>
      <c r="L8" s="21" t="n">
        <f aca="false">'Global Inputs'!L$8</f>
        <v>1</v>
      </c>
      <c r="M8" s="21" t="n">
        <f aca="false">'Global Inputs'!M$8</f>
        <v>1</v>
      </c>
      <c r="N8" s="21" t="n">
        <f aca="false">'Global Inputs'!N$8</f>
        <v>1</v>
      </c>
      <c r="O8" s="21" t="n">
        <f aca="false">'Global Inputs'!O$8</f>
        <v>1</v>
      </c>
      <c r="P8" s="21" t="n">
        <f aca="false">'Global Inputs'!P$8</f>
        <v>1</v>
      </c>
      <c r="Q8" s="21" t="n">
        <f aca="false">'Global Inputs'!Q$8</f>
        <v>1</v>
      </c>
      <c r="R8" s="21" t="n">
        <f aca="false">'Global Inputs'!R$8</f>
        <v>1</v>
      </c>
      <c r="S8" s="21" t="n">
        <f aca="false">'Global Inputs'!S$8</f>
        <v>1</v>
      </c>
    </row>
    <row r="10" customFormat="false" ht="15" hidden="false" customHeight="false" outlineLevel="0" collapsed="false">
      <c r="B10" s="22" t="s">
        <v>878</v>
      </c>
      <c r="C10" s="23"/>
      <c r="D10" s="23"/>
      <c r="E10" s="23"/>
      <c r="F10" s="23"/>
      <c r="G10" s="23"/>
      <c r="H10" s="23"/>
      <c r="I10" s="23"/>
      <c r="J10" s="23"/>
      <c r="K10" s="23"/>
      <c r="L10" s="23"/>
      <c r="M10" s="23"/>
      <c r="N10" s="23"/>
      <c r="O10" s="23"/>
      <c r="P10" s="23"/>
      <c r="Q10" s="23"/>
      <c r="R10" s="23"/>
      <c r="S10" s="23"/>
    </row>
    <row r="11" customFormat="false" ht="15" hidden="false" customHeight="false" outlineLevel="0" collapsed="false">
      <c r="B11" s="24" t="s">
        <v>879</v>
      </c>
      <c r="E11" s="24" t="s">
        <v>2061</v>
      </c>
    </row>
    <row r="12" customFormat="false" ht="15" hidden="false" customHeight="false" outlineLevel="0" collapsed="false">
      <c r="B12" s="24" t="s">
        <v>25</v>
      </c>
      <c r="E12" s="24" t="s">
        <v>2062</v>
      </c>
    </row>
    <row r="13" customFormat="false" ht="15" hidden="false" customHeight="false" outlineLevel="0" collapsed="false">
      <c r="B13" s="24" t="s">
        <v>882</v>
      </c>
      <c r="E13" s="24" t="s">
        <v>2063</v>
      </c>
    </row>
    <row r="14" customFormat="false" ht="15" hidden="false" customHeight="false" outlineLevel="0" collapsed="false">
      <c r="B14" s="24" t="s">
        <v>275</v>
      </c>
      <c r="E14" s="24" t="s">
        <v>293</v>
      </c>
    </row>
    <row r="15" customFormat="false" ht="15" hidden="false" customHeight="false" outlineLevel="0" collapsed="false">
      <c r="B15" s="24" t="s">
        <v>386</v>
      </c>
      <c r="E15" s="24" t="s">
        <v>58</v>
      </c>
    </row>
    <row r="16" customFormat="false" ht="15" hidden="false" customHeight="false" outlineLevel="0" collapsed="false">
      <c r="B16" s="24" t="s">
        <v>884</v>
      </c>
      <c r="E16" s="24" t="s">
        <v>2064</v>
      </c>
    </row>
    <row r="17" customFormat="false" ht="15" hidden="false" customHeight="false" outlineLevel="0" collapsed="false">
      <c r="B17" s="24" t="s">
        <v>886</v>
      </c>
      <c r="E17" s="24" t="s">
        <v>2065</v>
      </c>
    </row>
    <row r="18" customFormat="false" ht="15" hidden="false" customHeight="false" outlineLevel="0" collapsed="false">
      <c r="B18" s="24" t="s">
        <v>888</v>
      </c>
      <c r="E18" s="24" t="s">
        <v>2066</v>
      </c>
    </row>
    <row r="19" customFormat="false" ht="15" hidden="false" customHeight="false" outlineLevel="0" collapsed="false">
      <c r="B19" s="24" t="s">
        <v>890</v>
      </c>
      <c r="E19" s="24" t="s">
        <v>2067</v>
      </c>
    </row>
    <row r="21" customFormat="false" ht="15" hidden="false" customHeight="false" outlineLevel="0" collapsed="false">
      <c r="B21" s="22" t="s">
        <v>892</v>
      </c>
      <c r="C21" s="23"/>
      <c r="D21" s="23"/>
      <c r="E21" s="23"/>
      <c r="F21" s="23"/>
      <c r="G21" s="23"/>
      <c r="H21" s="23"/>
      <c r="I21" s="23"/>
      <c r="J21" s="23"/>
      <c r="K21" s="23"/>
      <c r="L21" s="23"/>
      <c r="M21" s="23"/>
      <c r="N21" s="23"/>
      <c r="O21" s="23"/>
      <c r="P21" s="23"/>
      <c r="Q21" s="23"/>
      <c r="R21" s="23"/>
      <c r="S21" s="23"/>
    </row>
    <row r="22" customFormat="false" ht="15" hidden="false" customHeight="false" outlineLevel="0" collapsed="false">
      <c r="B22" s="24" t="s">
        <v>893</v>
      </c>
      <c r="C22" s="25" t="s">
        <v>180</v>
      </c>
      <c r="D22" s="25" t="s">
        <v>894</v>
      </c>
      <c r="E22" s="65" t="n">
        <f aca="false">'Global Inputs'!$E$98</f>
        <v>1</v>
      </c>
      <c r="T22" s="5" t="s">
        <v>895</v>
      </c>
    </row>
    <row r="23" customFormat="false" ht="15" hidden="false" customHeight="false" outlineLevel="0" collapsed="false">
      <c r="B23" s="24" t="s">
        <v>896</v>
      </c>
      <c r="C23" s="25" t="s">
        <v>175</v>
      </c>
      <c r="D23" s="25" t="s">
        <v>894</v>
      </c>
      <c r="E23" s="65" t="n">
        <f aca="false">'Global Inputs'!$F$98</f>
        <v>1</v>
      </c>
      <c r="T23" s="5" t="s">
        <v>895</v>
      </c>
    </row>
    <row r="24" customFormat="false" ht="15" hidden="false" customHeight="false" outlineLevel="0" collapsed="false">
      <c r="B24" s="24" t="s">
        <v>897</v>
      </c>
      <c r="C24" s="25" t="s">
        <v>160</v>
      </c>
      <c r="D24" s="25" t="s">
        <v>894</v>
      </c>
      <c r="E24" s="67" t="n">
        <f aca="false">'Global Inputs'!$G$98</f>
        <v>1</v>
      </c>
      <c r="T24" s="5" t="s">
        <v>895</v>
      </c>
    </row>
    <row r="25" customFormat="false" ht="15" hidden="false" customHeight="false" outlineLevel="0" collapsed="false">
      <c r="B25" s="24" t="s">
        <v>1793</v>
      </c>
      <c r="C25" s="25" t="s">
        <v>135</v>
      </c>
      <c r="D25" s="28" t="s">
        <v>153</v>
      </c>
      <c r="E25" s="36" t="n">
        <v>2028</v>
      </c>
      <c r="T25" s="5" t="s">
        <v>2068</v>
      </c>
      <c r="U25" s="5" t="s">
        <v>2069</v>
      </c>
    </row>
    <row r="27" customFormat="false" ht="15" hidden="false" customHeight="false" outlineLevel="0" collapsed="false">
      <c r="B27" s="22" t="s">
        <v>898</v>
      </c>
      <c r="C27" s="23"/>
      <c r="D27" s="23"/>
      <c r="E27" s="23"/>
      <c r="F27" s="23"/>
      <c r="G27" s="23"/>
      <c r="H27" s="23"/>
      <c r="I27" s="23"/>
      <c r="J27" s="23"/>
      <c r="K27" s="23"/>
      <c r="L27" s="23"/>
      <c r="M27" s="23"/>
      <c r="N27" s="23"/>
      <c r="O27" s="23"/>
      <c r="P27" s="23"/>
      <c r="Q27" s="23"/>
      <c r="R27" s="23"/>
      <c r="S27" s="23"/>
    </row>
    <row r="28" customFormat="false" ht="15" hidden="false" customHeight="false" outlineLevel="0" collapsed="false">
      <c r="B28" s="24" t="s">
        <v>2070</v>
      </c>
      <c r="C28" s="25" t="s">
        <v>900</v>
      </c>
      <c r="D28" s="28" t="s">
        <v>153</v>
      </c>
      <c r="E28" s="101" t="n">
        <v>1600000</v>
      </c>
      <c r="T28" s="5" t="s">
        <v>2071</v>
      </c>
      <c r="U28" s="5" t="s">
        <v>2072</v>
      </c>
    </row>
    <row r="29" customFormat="false" ht="15" hidden="false" customHeight="false" outlineLevel="0" collapsed="false">
      <c r="B29" s="24" t="s">
        <v>1798</v>
      </c>
      <c r="C29" s="25" t="s">
        <v>160</v>
      </c>
      <c r="D29" s="28" t="s">
        <v>153</v>
      </c>
      <c r="G29" s="35" t="n">
        <v>0</v>
      </c>
      <c r="H29" s="35" t="n">
        <v>0</v>
      </c>
      <c r="I29" s="35" t="n">
        <v>0</v>
      </c>
      <c r="J29" s="35" t="n">
        <v>0.1</v>
      </c>
      <c r="K29" s="35" t="n">
        <v>0.1</v>
      </c>
      <c r="L29" s="35" t="n">
        <v>0.1</v>
      </c>
      <c r="M29" s="35" t="n">
        <v>0.1</v>
      </c>
      <c r="N29" s="35" t="n">
        <v>0.1</v>
      </c>
      <c r="O29" s="35" t="n">
        <v>0.06</v>
      </c>
      <c r="P29" s="35" t="n">
        <v>0.06</v>
      </c>
      <c r="Q29" s="35" t="n">
        <v>0.06</v>
      </c>
      <c r="R29" s="35" t="n">
        <v>0.06</v>
      </c>
      <c r="S29" s="35" t="n">
        <v>0.06</v>
      </c>
      <c r="T29" s="5" t="s">
        <v>2073</v>
      </c>
      <c r="U29" s="5" t="s">
        <v>2074</v>
      </c>
    </row>
    <row r="30" customFormat="false" ht="15" hidden="false" customHeight="false" outlineLevel="0" collapsed="false">
      <c r="B30" s="24" t="s">
        <v>2075</v>
      </c>
      <c r="C30" s="25" t="s">
        <v>905</v>
      </c>
      <c r="D30" s="28" t="s">
        <v>153</v>
      </c>
      <c r="G30" s="101" t="n">
        <v>0</v>
      </c>
      <c r="H30" s="101" t="n">
        <v>0</v>
      </c>
      <c r="I30" s="101" t="n">
        <v>0</v>
      </c>
      <c r="J30" s="101" t="n">
        <v>0</v>
      </c>
      <c r="K30" s="101" t="n">
        <v>36411.1497423965</v>
      </c>
      <c r="L30" s="101" t="n">
        <v>43693.3796908759</v>
      </c>
      <c r="M30" s="101" t="n">
        <v>43693.3796908759</v>
      </c>
      <c r="N30" s="101" t="n">
        <v>48062.7176599634</v>
      </c>
      <c r="O30" s="101" t="n">
        <v>48062.7176599634</v>
      </c>
      <c r="P30" s="101" t="n">
        <v>50946.4807195612</v>
      </c>
      <c r="Q30" s="101" t="n">
        <v>50946.4807195612</v>
      </c>
      <c r="R30" s="101" t="n">
        <v>54003.2695627349</v>
      </c>
      <c r="S30" s="101" t="n">
        <v>54003.2695627349</v>
      </c>
      <c r="T30" s="5" t="s">
        <v>2076</v>
      </c>
      <c r="U30" s="5" t="s">
        <v>2077</v>
      </c>
    </row>
    <row r="32" customFormat="false" ht="15" hidden="false" customHeight="false" outlineLevel="0" collapsed="false">
      <c r="B32" s="22" t="s">
        <v>2078</v>
      </c>
      <c r="C32" s="23"/>
      <c r="D32" s="23"/>
      <c r="E32" s="23"/>
      <c r="F32" s="23"/>
      <c r="G32" s="23"/>
      <c r="H32" s="23"/>
      <c r="I32" s="23"/>
      <c r="J32" s="23"/>
      <c r="K32" s="23"/>
      <c r="L32" s="23"/>
      <c r="M32" s="23"/>
      <c r="N32" s="23"/>
      <c r="O32" s="23"/>
      <c r="P32" s="23"/>
      <c r="Q32" s="23"/>
      <c r="R32" s="23"/>
      <c r="S32" s="23"/>
    </row>
    <row r="33" customFormat="false" ht="15" hidden="false" customHeight="false" outlineLevel="0" collapsed="false">
      <c r="B33" s="24" t="s">
        <v>1287</v>
      </c>
      <c r="C33" s="25" t="s">
        <v>240</v>
      </c>
      <c r="D33" s="28" t="s">
        <v>153</v>
      </c>
      <c r="E33" s="37" t="n">
        <v>5.02459268367661</v>
      </c>
      <c r="T33" s="5" t="s">
        <v>2079</v>
      </c>
      <c r="U33" s="5" t="s">
        <v>2080</v>
      </c>
    </row>
    <row r="34" customFormat="false" ht="15" hidden="false" customHeight="false" outlineLevel="0" collapsed="false">
      <c r="B34" s="24" t="s">
        <v>1290</v>
      </c>
      <c r="C34" s="25" t="s">
        <v>160</v>
      </c>
      <c r="D34" s="28" t="s">
        <v>153</v>
      </c>
      <c r="E34" s="85" t="n">
        <f aca="false">SUM(F34:S34)</f>
        <v>1</v>
      </c>
      <c r="F34" s="35" t="n">
        <v>0</v>
      </c>
      <c r="G34" s="35" t="n">
        <v>0</v>
      </c>
      <c r="H34" s="35" t="n">
        <v>0</v>
      </c>
      <c r="I34" s="35" t="n">
        <v>0.5</v>
      </c>
      <c r="J34" s="35" t="n">
        <v>0.5</v>
      </c>
      <c r="K34" s="35" t="n">
        <v>0</v>
      </c>
      <c r="L34" s="35" t="n">
        <v>0</v>
      </c>
      <c r="M34" s="35" t="n">
        <v>0</v>
      </c>
      <c r="N34" s="35" t="n">
        <v>0</v>
      </c>
      <c r="O34" s="35" t="n">
        <v>0</v>
      </c>
      <c r="P34" s="35" t="n">
        <v>0</v>
      </c>
      <c r="Q34" s="35" t="n">
        <v>0</v>
      </c>
      <c r="R34" s="35" t="n">
        <v>0</v>
      </c>
      <c r="S34" s="35" t="n">
        <v>0</v>
      </c>
      <c r="T34" s="5" t="s">
        <v>2081</v>
      </c>
      <c r="U34" s="5" t="s">
        <v>1292</v>
      </c>
    </row>
    <row r="35" customFormat="false" ht="15" hidden="false" customHeight="false" outlineLevel="0" collapsed="false">
      <c r="B35" s="24" t="s">
        <v>1293</v>
      </c>
      <c r="C35" s="25" t="s">
        <v>240</v>
      </c>
      <c r="E35" s="44" t="n">
        <f aca="false">SUM(F35:S35)</f>
        <v>5.02459268367661</v>
      </c>
      <c r="F35" s="44" t="n">
        <f aca="false">$E$33*F34</f>
        <v>0</v>
      </c>
      <c r="G35" s="44" t="n">
        <f aca="false">$E$33*G34</f>
        <v>0</v>
      </c>
      <c r="H35" s="44" t="n">
        <f aca="false">$E$33*H34</f>
        <v>0</v>
      </c>
      <c r="I35" s="44" t="n">
        <f aca="false">$E$33*I34</f>
        <v>2.5122963418383</v>
      </c>
      <c r="J35" s="44" t="n">
        <f aca="false">$E$33*J34</f>
        <v>2.5122963418383</v>
      </c>
      <c r="K35" s="44" t="n">
        <f aca="false">$E$33*K34</f>
        <v>0</v>
      </c>
      <c r="L35" s="44" t="n">
        <f aca="false">$E$33*L34</f>
        <v>0</v>
      </c>
      <c r="M35" s="44" t="n">
        <f aca="false">$E$33*M34</f>
        <v>0</v>
      </c>
      <c r="N35" s="44" t="n">
        <f aca="false">$E$33*N34</f>
        <v>0</v>
      </c>
      <c r="O35" s="44" t="n">
        <f aca="false">$E$33*O34</f>
        <v>0</v>
      </c>
      <c r="P35" s="44" t="n">
        <f aca="false">$E$33*P34</f>
        <v>0</v>
      </c>
      <c r="Q35" s="44" t="n">
        <f aca="false">$E$33*Q34</f>
        <v>0</v>
      </c>
      <c r="R35" s="44" t="n">
        <f aca="false">$E$33*R34</f>
        <v>0</v>
      </c>
      <c r="S35" s="44" t="n">
        <f aca="false">$E$33*S34</f>
        <v>0</v>
      </c>
    </row>
    <row r="36" customFormat="false" ht="15" hidden="false" customHeight="false" outlineLevel="0" collapsed="false">
      <c r="B36" s="24" t="s">
        <v>1294</v>
      </c>
      <c r="C36" s="25" t="s">
        <v>152</v>
      </c>
      <c r="F36" s="107" t="n">
        <f aca="false">'Global Inputs'!F22</f>
        <v>16265</v>
      </c>
      <c r="G36" s="107" t="n">
        <f aca="false">'Global Inputs'!G22</f>
        <v>16265</v>
      </c>
      <c r="H36" s="107" t="n">
        <f aca="false">'Global Inputs'!H22</f>
        <v>16265</v>
      </c>
      <c r="I36" s="107" t="n">
        <f aca="false">'Global Inputs'!I22</f>
        <v>16265</v>
      </c>
      <c r="J36" s="107" t="n">
        <f aca="false">'Global Inputs'!J22</f>
        <v>16265</v>
      </c>
      <c r="K36" s="107" t="n">
        <f aca="false">'Global Inputs'!K22</f>
        <v>16265</v>
      </c>
      <c r="L36" s="107" t="n">
        <f aca="false">'Global Inputs'!L22</f>
        <v>16265</v>
      </c>
      <c r="M36" s="107" t="n">
        <f aca="false">'Global Inputs'!M22</f>
        <v>16265</v>
      </c>
      <c r="N36" s="107" t="n">
        <f aca="false">'Global Inputs'!N22</f>
        <v>16265</v>
      </c>
      <c r="O36" s="107" t="n">
        <f aca="false">'Global Inputs'!O22</f>
        <v>16265</v>
      </c>
      <c r="P36" s="107" t="n">
        <f aca="false">'Global Inputs'!P22</f>
        <v>16265</v>
      </c>
      <c r="Q36" s="107" t="n">
        <f aca="false">'Global Inputs'!Q22</f>
        <v>16265</v>
      </c>
      <c r="R36" s="107" t="n">
        <f aca="false">'Global Inputs'!R22</f>
        <v>16265</v>
      </c>
      <c r="S36" s="107" t="n">
        <f aca="false">'Global Inputs'!S22</f>
        <v>16265</v>
      </c>
    </row>
    <row r="37" customFormat="false" ht="15" hidden="false" customHeight="false" outlineLevel="0" collapsed="false">
      <c r="B37" s="24" t="s">
        <v>1295</v>
      </c>
      <c r="C37" s="25" t="s">
        <v>170</v>
      </c>
      <c r="E37" s="47" t="n">
        <f aca="false">SUM(F37:S37)</f>
        <v>81.725</v>
      </c>
      <c r="F37" s="47" t="n">
        <f aca="false">F35*F36/1000</f>
        <v>0</v>
      </c>
      <c r="G37" s="47" t="n">
        <f aca="false">G35*G36/1000</f>
        <v>0</v>
      </c>
      <c r="H37" s="47" t="n">
        <f aca="false">H35*H36/1000</f>
        <v>0</v>
      </c>
      <c r="I37" s="47" t="n">
        <f aca="false">I35*I36/1000</f>
        <v>40.8625</v>
      </c>
      <c r="J37" s="47" t="n">
        <f aca="false">J35*J36/1000</f>
        <v>40.8625</v>
      </c>
      <c r="K37" s="47" t="n">
        <f aca="false">K35*K36/1000</f>
        <v>0</v>
      </c>
      <c r="L37" s="47" t="n">
        <f aca="false">L35*L36/1000</f>
        <v>0</v>
      </c>
      <c r="M37" s="47" t="n">
        <f aca="false">M35*M36/1000</f>
        <v>0</v>
      </c>
      <c r="N37" s="47" t="n">
        <f aca="false">N35*N36/1000</f>
        <v>0</v>
      </c>
      <c r="O37" s="47" t="n">
        <f aca="false">O35*O36/1000</f>
        <v>0</v>
      </c>
      <c r="P37" s="47" t="n">
        <f aca="false">P35*P36/1000</f>
        <v>0</v>
      </c>
      <c r="Q37" s="47" t="n">
        <f aca="false">Q35*Q36/1000</f>
        <v>0</v>
      </c>
      <c r="R37" s="47" t="n">
        <f aca="false">R35*R36/1000</f>
        <v>0</v>
      </c>
      <c r="S37" s="47" t="n">
        <f aca="false">S35*S36/1000</f>
        <v>0</v>
      </c>
    </row>
    <row r="38" customFormat="false" ht="15" hidden="false" customHeight="false" outlineLevel="0" collapsed="false">
      <c r="B38" s="24" t="s">
        <v>1296</v>
      </c>
      <c r="C38" s="25" t="s">
        <v>240</v>
      </c>
      <c r="E38" s="44" t="n">
        <f aca="false">SUMPRODUCT($F$35:$S$35,--('Global Inputs'!$F$15:$S$15&lt;='Global Inputs'!$E$12))</f>
        <v>2.5122963418383</v>
      </c>
    </row>
    <row r="39" customFormat="false" ht="15" hidden="false" customHeight="false" outlineLevel="0" collapsed="false">
      <c r="B39" s="24" t="s">
        <v>1297</v>
      </c>
      <c r="C39" s="25" t="s">
        <v>240</v>
      </c>
      <c r="E39" s="44" t="n">
        <f aca="false">SUMPRODUCT($F$35:$S$35,--('Global Inputs'!$F$15:$S$15&gt;'Global Inputs'!$E$12))</f>
        <v>2.5122963418383</v>
      </c>
    </row>
    <row r="40" customFormat="false" ht="15" hidden="false" customHeight="false" outlineLevel="0" collapsed="false">
      <c r="B40" s="24" t="s">
        <v>1298</v>
      </c>
      <c r="C40" s="25" t="s">
        <v>240</v>
      </c>
      <c r="E40" s="44" t="n">
        <f aca="false">$E$33-SUM($F$35:$S$35)</f>
        <v>0</v>
      </c>
    </row>
    <row r="41" customFormat="false" ht="15" hidden="false" customHeight="false" outlineLevel="0" collapsed="false">
      <c r="B41" s="24" t="s">
        <v>1299</v>
      </c>
      <c r="C41" s="25" t="s">
        <v>527</v>
      </c>
      <c r="E41" s="108" t="str">
        <f aca="false">IF(ABS(SUM($F$34:$S$34)-1)&lt;0.000001,"PASS","CHECK: % not 100%")</f>
        <v>PASS</v>
      </c>
    </row>
    <row r="42" customFormat="false" ht="15" hidden="false" customHeight="false" outlineLevel="0" collapsed="false">
      <c r="B42" s="24" t="s">
        <v>1811</v>
      </c>
      <c r="C42" s="25" t="s">
        <v>135</v>
      </c>
      <c r="D42" s="25" t="s">
        <v>894</v>
      </c>
      <c r="E42" s="65" t="n">
        <f aca="false">$E$25</f>
        <v>2028</v>
      </c>
      <c r="T42" s="5" t="s">
        <v>1812</v>
      </c>
    </row>
    <row r="43" customFormat="false" ht="15" hidden="false" customHeight="false" outlineLevel="0" collapsed="false">
      <c r="B43" s="24" t="s">
        <v>1302</v>
      </c>
      <c r="C43" s="25" t="s">
        <v>180</v>
      </c>
      <c r="D43" s="26" t="s">
        <v>190</v>
      </c>
      <c r="E43" s="39" t="n">
        <v>0</v>
      </c>
      <c r="T43" s="5" t="s">
        <v>1303</v>
      </c>
      <c r="U43" s="5" t="s">
        <v>1304</v>
      </c>
    </row>
    <row r="44" customFormat="false" ht="15" hidden="false" customHeight="false" outlineLevel="0" collapsed="false">
      <c r="B44" s="24" t="s">
        <v>1305</v>
      </c>
      <c r="C44" s="25" t="s">
        <v>160</v>
      </c>
      <c r="D44" s="28" t="s">
        <v>153</v>
      </c>
      <c r="E44" s="35" t="n">
        <v>0.5</v>
      </c>
      <c r="T44" s="5" t="s">
        <v>2082</v>
      </c>
    </row>
    <row r="45" customFormat="false" ht="15" hidden="false" customHeight="false" outlineLevel="0" collapsed="false">
      <c r="B45" s="24" t="s">
        <v>1307</v>
      </c>
      <c r="C45" s="25" t="s">
        <v>145</v>
      </c>
      <c r="D45" s="28" t="s">
        <v>153</v>
      </c>
      <c r="E45" s="36" t="n">
        <v>20</v>
      </c>
      <c r="T45" s="5" t="s">
        <v>2083</v>
      </c>
    </row>
    <row r="46" customFormat="false" ht="15" hidden="false" customHeight="false" outlineLevel="0" collapsed="false">
      <c r="B46" s="24" t="s">
        <v>1309</v>
      </c>
      <c r="C46" s="25" t="s">
        <v>145</v>
      </c>
      <c r="D46" s="28" t="s">
        <v>153</v>
      </c>
      <c r="E46" s="36" t="n">
        <v>8</v>
      </c>
      <c r="T46" s="5" t="s">
        <v>2083</v>
      </c>
    </row>
  </sheetData>
  <hyperlinks>
    <hyperlink ref="C3" r:id="rId1" location="'P06%20Ciwandan%20Input'!A1" display="Input"/>
    <hyperlink ref="D3" r:id="rId2" location="'P06%20Ciwandan%20Calc'!A1" display="Calc"/>
    <hyperlink ref="E3" r:id="rId3" location="'P06%20Ciwandan%20Output'!A1" display="Output"/>
    <hyperlink ref="F3" r:id="rId4" location="'Navigation'!A1" display="Navigation"/>
    <hyperlink ref="G3" r:id="rId5" location="'Global%20Inputs'!A1" display="Global Inputs"/>
    <hyperlink ref="H3" r:id="rId6" location="'Project%20Summary'!A1" display="Project Summary"/>
    <hyperlink ref="I3" r:id="rId7" location="'Funding%20Requirement'!A1" display="Funding"/>
    <hyperlink ref="J3" r:id="rId8" location="'FSL%20Financials%20—%20Without%20BUMN'!A1" display="FSL w/o BUMN"/>
    <hyperlink ref="K3" r:id="rId9" location="'FSL%20Financials%20—%20With%20BUMN'!A1" display="FSL w/ BUMN"/>
    <hyperlink ref="L3" r:id="rId10" location="'Valuation%20—%20Without%20BUMN'!A1" display="Val w/o BUMN"/>
    <hyperlink ref="M3" r:id="rId11" location="'Valuation%20—%20With%20BUMN'!A1" display="Val w/ BUMN"/>
    <hyperlink ref="N3" r:id="rId12" location="'Checks'!A1" display="Checks"/>
    <hyperlink ref="O3" r:id="rId13" location="'Model%20Flow'!A1" display="Model Flow"/>
  </hyperlink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BFBF"/>
    <pageSetUpPr fitToPage="true"/>
  </sheetPr>
  <dimension ref="B1:U4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5" ySplit="9" topLeftCell="F10" activePane="bottomRight" state="frozen"/>
      <selection pane="topLeft" activeCell="A1" activeCellId="0" sqref="A1"/>
      <selection pane="topRight" activeCell="F1" activeCellId="0" sqref="F1"/>
      <selection pane="bottomLeft" activeCell="A10" activeCellId="0" sqref="A10"/>
      <selection pane="bottomRigh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66"/>
    <col collapsed="false" customWidth="true" hidden="false" outlineLevel="0" max="3" min="3" style="0" width="11"/>
    <col collapsed="false" customWidth="true" hidden="false" outlineLevel="0" max="4" min="4" style="0" width="12"/>
    <col collapsed="false" customWidth="true" hidden="false" outlineLevel="0" max="5" min="5" style="0" width="13"/>
    <col collapsed="false" customWidth="true" hidden="false" outlineLevel="0" max="19" min="6" style="0" width="11.5"/>
    <col collapsed="false" customWidth="true" hidden="false" outlineLevel="0" max="20" min="20" style="0" width="40"/>
    <col collapsed="false" customWidth="true" hidden="false" outlineLevel="0" max="21" min="21" style="0" width="48"/>
  </cols>
  <sheetData>
    <row r="1" customFormat="false" ht="21.75" hidden="false" customHeight="true" outlineLevel="0" collapsed="false">
      <c r="B1" s="1" t="s">
        <v>2084</v>
      </c>
    </row>
    <row r="2" customFormat="false" ht="15" hidden="false" customHeight="false" outlineLevel="0" collapsed="false">
      <c r="B2" s="2" t="s">
        <v>1014</v>
      </c>
    </row>
    <row r="3" customFormat="false" ht="15" hidden="false" customHeight="false" outlineLevel="0" collapsed="false">
      <c r="B3" s="5" t="s">
        <v>112</v>
      </c>
      <c r="C3" s="17" t="s">
        <v>27</v>
      </c>
      <c r="D3" s="17" t="s">
        <v>28</v>
      </c>
      <c r="E3" s="17" t="s">
        <v>29</v>
      </c>
      <c r="F3" s="17" t="s">
        <v>113</v>
      </c>
      <c r="G3" s="17" t="s">
        <v>5</v>
      </c>
      <c r="H3" s="17" t="s">
        <v>7</v>
      </c>
      <c r="I3" s="17" t="s">
        <v>114</v>
      </c>
      <c r="J3" s="17" t="s">
        <v>115</v>
      </c>
      <c r="K3" s="17" t="s">
        <v>116</v>
      </c>
      <c r="L3" s="17" t="s">
        <v>117</v>
      </c>
      <c r="M3" s="17" t="s">
        <v>118</v>
      </c>
      <c r="N3" s="17" t="s">
        <v>21</v>
      </c>
      <c r="O3" s="17" t="s">
        <v>3</v>
      </c>
    </row>
    <row r="5" customFormat="false" ht="15" hidden="false" customHeight="false" outlineLevel="0" collapsed="false">
      <c r="B5" s="6" t="s">
        <v>119</v>
      </c>
      <c r="C5" s="6" t="s">
        <v>120</v>
      </c>
      <c r="D5" s="6" t="s">
        <v>121</v>
      </c>
      <c r="E5" s="6" t="s">
        <v>122</v>
      </c>
      <c r="F5" s="18" t="n">
        <f aca="false">'Global Inputs'!F$5</f>
        <v>2023</v>
      </c>
      <c r="G5" s="18" t="n">
        <f aca="false">'Global Inputs'!G$5</f>
        <v>2024</v>
      </c>
      <c r="H5" s="18" t="n">
        <f aca="false">'Global Inputs'!H$5</f>
        <v>2025</v>
      </c>
      <c r="I5" s="18" t="n">
        <f aca="false">'Global Inputs'!I$5</f>
        <v>2026</v>
      </c>
      <c r="J5" s="18" t="n">
        <f aca="false">'Global Inputs'!J$5</f>
        <v>2027</v>
      </c>
      <c r="K5" s="18" t="n">
        <f aca="false">'Global Inputs'!K$5</f>
        <v>2028</v>
      </c>
      <c r="L5" s="18" t="n">
        <f aca="false">'Global Inputs'!L$5</f>
        <v>2029</v>
      </c>
      <c r="M5" s="18" t="n">
        <f aca="false">'Global Inputs'!M$5</f>
        <v>2030</v>
      </c>
      <c r="N5" s="18" t="n">
        <f aca="false">'Global Inputs'!N$5</f>
        <v>2031</v>
      </c>
      <c r="O5" s="18" t="n">
        <f aca="false">'Global Inputs'!O$5</f>
        <v>2032</v>
      </c>
      <c r="P5" s="18" t="n">
        <f aca="false">'Global Inputs'!P$5</f>
        <v>2033</v>
      </c>
      <c r="Q5" s="18" t="n">
        <f aca="false">'Global Inputs'!Q$5</f>
        <v>2034</v>
      </c>
      <c r="R5" s="18" t="n">
        <f aca="false">'Global Inputs'!R$5</f>
        <v>2035</v>
      </c>
      <c r="S5" s="18" t="n">
        <f aca="false">'Global Inputs'!S$5</f>
        <v>2036</v>
      </c>
      <c r="T5" s="6" t="s">
        <v>123</v>
      </c>
      <c r="U5" s="6" t="s">
        <v>124</v>
      </c>
    </row>
    <row r="6" customFormat="false" ht="15" hidden="false" customHeight="false" outlineLevel="0" collapsed="false">
      <c r="B6" s="19" t="s">
        <v>125</v>
      </c>
      <c r="F6" s="20" t="n">
        <f aca="false">'Global Inputs'!F$6</f>
        <v>45291</v>
      </c>
      <c r="G6" s="20" t="n">
        <f aca="false">'Global Inputs'!G$6</f>
        <v>45657</v>
      </c>
      <c r="H6" s="20" t="n">
        <f aca="false">'Global Inputs'!H$6</f>
        <v>46022</v>
      </c>
      <c r="I6" s="20" t="n">
        <f aca="false">'Global Inputs'!I$6</f>
        <v>46387</v>
      </c>
      <c r="J6" s="20" t="n">
        <f aca="false">'Global Inputs'!J$6</f>
        <v>46752</v>
      </c>
      <c r="K6" s="20" t="n">
        <f aca="false">'Global Inputs'!K$6</f>
        <v>47118</v>
      </c>
      <c r="L6" s="20" t="n">
        <f aca="false">'Global Inputs'!L$6</f>
        <v>47483</v>
      </c>
      <c r="M6" s="20" t="n">
        <f aca="false">'Global Inputs'!M$6</f>
        <v>47848</v>
      </c>
      <c r="N6" s="20" t="n">
        <f aca="false">'Global Inputs'!N$6</f>
        <v>48213</v>
      </c>
      <c r="O6" s="20" t="n">
        <f aca="false">'Global Inputs'!O$6</f>
        <v>48579</v>
      </c>
      <c r="P6" s="20" t="n">
        <f aca="false">'Global Inputs'!P$6</f>
        <v>48944</v>
      </c>
      <c r="Q6" s="20" t="n">
        <f aca="false">'Global Inputs'!Q$6</f>
        <v>49309</v>
      </c>
      <c r="R6" s="20" t="n">
        <f aca="false">'Global Inputs'!R$6</f>
        <v>49674</v>
      </c>
      <c r="S6" s="20" t="n">
        <f aca="false">'Global Inputs'!S$6</f>
        <v>50040</v>
      </c>
    </row>
    <row r="7" customFormat="false" ht="15" hidden="false" customHeight="false" outlineLevel="0" collapsed="false">
      <c r="B7" s="19" t="s">
        <v>126</v>
      </c>
      <c r="F7" s="21" t="n">
        <f aca="false">'Global Inputs'!F$7</f>
        <v>365</v>
      </c>
      <c r="G7" s="21" t="n">
        <f aca="false">'Global Inputs'!G$7</f>
        <v>366</v>
      </c>
      <c r="H7" s="21" t="n">
        <f aca="false">'Global Inputs'!H$7</f>
        <v>365</v>
      </c>
      <c r="I7" s="21" t="n">
        <f aca="false">'Global Inputs'!I$7</f>
        <v>365</v>
      </c>
      <c r="J7" s="21" t="n">
        <f aca="false">'Global Inputs'!J$7</f>
        <v>365</v>
      </c>
      <c r="K7" s="21" t="n">
        <f aca="false">'Global Inputs'!K$7</f>
        <v>366</v>
      </c>
      <c r="L7" s="21" t="n">
        <f aca="false">'Global Inputs'!L$7</f>
        <v>365</v>
      </c>
      <c r="M7" s="21" t="n">
        <f aca="false">'Global Inputs'!M$7</f>
        <v>365</v>
      </c>
      <c r="N7" s="21" t="n">
        <f aca="false">'Global Inputs'!N$7</f>
        <v>365</v>
      </c>
      <c r="O7" s="21" t="n">
        <f aca="false">'Global Inputs'!O$7</f>
        <v>366</v>
      </c>
      <c r="P7" s="21" t="n">
        <f aca="false">'Global Inputs'!P$7</f>
        <v>365</v>
      </c>
      <c r="Q7" s="21" t="n">
        <f aca="false">'Global Inputs'!Q$7</f>
        <v>365</v>
      </c>
      <c r="R7" s="21" t="n">
        <f aca="false">'Global Inputs'!R$7</f>
        <v>365</v>
      </c>
      <c r="S7" s="21" t="n">
        <f aca="false">'Global Inputs'!S$7</f>
        <v>366</v>
      </c>
    </row>
    <row r="8" customFormat="false" ht="15" hidden="false" customHeight="false" outlineLevel="0" collapsed="false">
      <c r="B8" s="19" t="s">
        <v>127</v>
      </c>
      <c r="F8" s="21" t="n">
        <f aca="false">'Global Inputs'!F$8</f>
        <v>0</v>
      </c>
      <c r="G8" s="21" t="n">
        <f aca="false">'Global Inputs'!G$8</f>
        <v>1</v>
      </c>
      <c r="H8" s="21" t="n">
        <f aca="false">'Global Inputs'!H$8</f>
        <v>1</v>
      </c>
      <c r="I8" s="21" t="n">
        <f aca="false">'Global Inputs'!I$8</f>
        <v>1</v>
      </c>
      <c r="J8" s="21" t="n">
        <f aca="false">'Global Inputs'!J$8</f>
        <v>1</v>
      </c>
      <c r="K8" s="21" t="n">
        <f aca="false">'Global Inputs'!K$8</f>
        <v>1</v>
      </c>
      <c r="L8" s="21" t="n">
        <f aca="false">'Global Inputs'!L$8</f>
        <v>1</v>
      </c>
      <c r="M8" s="21" t="n">
        <f aca="false">'Global Inputs'!M$8</f>
        <v>1</v>
      </c>
      <c r="N8" s="21" t="n">
        <f aca="false">'Global Inputs'!N$8</f>
        <v>1</v>
      </c>
      <c r="O8" s="21" t="n">
        <f aca="false">'Global Inputs'!O$8</f>
        <v>1</v>
      </c>
      <c r="P8" s="21" t="n">
        <f aca="false">'Global Inputs'!P$8</f>
        <v>1</v>
      </c>
      <c r="Q8" s="21" t="n">
        <f aca="false">'Global Inputs'!Q$8</f>
        <v>1</v>
      </c>
      <c r="R8" s="21" t="n">
        <f aca="false">'Global Inputs'!R$8</f>
        <v>1</v>
      </c>
      <c r="S8" s="21" t="n">
        <f aca="false">'Global Inputs'!S$8</f>
        <v>1</v>
      </c>
    </row>
    <row r="10" customFormat="false" ht="15" hidden="false" customHeight="false" outlineLevel="0" collapsed="false">
      <c r="B10" s="22" t="s">
        <v>1015</v>
      </c>
      <c r="C10" s="23"/>
      <c r="D10" s="23"/>
      <c r="E10" s="23"/>
      <c r="F10" s="23"/>
      <c r="G10" s="23"/>
      <c r="H10" s="23"/>
      <c r="I10" s="23"/>
      <c r="J10" s="23"/>
      <c r="K10" s="23"/>
      <c r="L10" s="23"/>
      <c r="M10" s="23"/>
      <c r="N10" s="23"/>
      <c r="O10" s="23"/>
      <c r="P10" s="23"/>
      <c r="Q10" s="23"/>
      <c r="R10" s="23"/>
      <c r="S10" s="23"/>
    </row>
    <row r="11" customFormat="false" ht="15" hidden="false" customHeight="false" outlineLevel="0" collapsed="false">
      <c r="B11" s="24" t="s">
        <v>1016</v>
      </c>
      <c r="C11" s="25" t="s">
        <v>143</v>
      </c>
      <c r="F11" s="30" t="n">
        <f aca="false">IF(F$5&gt;='P06 Ciwandan Input'!$E$25,1,0)*F$8</f>
        <v>0</v>
      </c>
      <c r="G11" s="30" t="n">
        <f aca="false">IF(G$5&gt;='P06 Ciwandan Input'!$E$25,1,0)*G$8</f>
        <v>0</v>
      </c>
      <c r="H11" s="30" t="n">
        <f aca="false">IF(H$5&gt;='P06 Ciwandan Input'!$E$25,1,0)*H$8</f>
        <v>0</v>
      </c>
      <c r="I11" s="30" t="n">
        <f aca="false">IF(I$5&gt;='P06 Ciwandan Input'!$E$25,1,0)*I$8</f>
        <v>0</v>
      </c>
      <c r="J11" s="30" t="n">
        <f aca="false">IF(J$5&gt;='P06 Ciwandan Input'!$E$25,1,0)*J$8</f>
        <v>0</v>
      </c>
      <c r="K11" s="30" t="n">
        <f aca="false">IF(K$5&gt;='P06 Ciwandan Input'!$E$25,1,0)*K$8</f>
        <v>1</v>
      </c>
      <c r="L11" s="30" t="n">
        <f aca="false">IF(L$5&gt;='P06 Ciwandan Input'!$E$25,1,0)*L$8</f>
        <v>1</v>
      </c>
      <c r="M11" s="30" t="n">
        <f aca="false">IF(M$5&gt;='P06 Ciwandan Input'!$E$25,1,0)*M$8</f>
        <v>1</v>
      </c>
      <c r="N11" s="30" t="n">
        <f aca="false">IF(N$5&gt;='P06 Ciwandan Input'!$E$25,1,0)*N$8</f>
        <v>1</v>
      </c>
      <c r="O11" s="30" t="n">
        <f aca="false">IF(O$5&gt;='P06 Ciwandan Input'!$E$25,1,0)*O$8</f>
        <v>1</v>
      </c>
      <c r="P11" s="30" t="n">
        <f aca="false">IF(P$5&gt;='P06 Ciwandan Input'!$E$25,1,0)*P$8</f>
        <v>1</v>
      </c>
      <c r="Q11" s="30" t="n">
        <f aca="false">IF(Q$5&gt;='P06 Ciwandan Input'!$E$25,1,0)*Q$8</f>
        <v>1</v>
      </c>
      <c r="R11" s="30" t="n">
        <f aca="false">IF(R$5&gt;='P06 Ciwandan Input'!$E$25,1,0)*R$8</f>
        <v>1</v>
      </c>
      <c r="S11" s="30" t="n">
        <f aca="false">IF(S$5&gt;='P06 Ciwandan Input'!$E$25,1,0)*S$8</f>
        <v>1</v>
      </c>
    </row>
    <row r="13" customFormat="false" ht="15" hidden="false" customHeight="false" outlineLevel="0" collapsed="false">
      <c r="B13" s="22" t="s">
        <v>1017</v>
      </c>
      <c r="C13" s="23"/>
      <c r="D13" s="23"/>
      <c r="E13" s="23"/>
      <c r="F13" s="23"/>
      <c r="G13" s="23"/>
      <c r="H13" s="23"/>
      <c r="I13" s="23"/>
      <c r="J13" s="23"/>
      <c r="K13" s="23"/>
      <c r="L13" s="23"/>
      <c r="M13" s="23"/>
      <c r="N13" s="23"/>
      <c r="O13" s="23"/>
      <c r="P13" s="23"/>
      <c r="Q13" s="23"/>
      <c r="R13" s="23"/>
      <c r="S13" s="23"/>
    </row>
    <row r="14" customFormat="false" ht="15" hidden="false" customHeight="false" outlineLevel="0" collapsed="false">
      <c r="B14" s="24" t="s">
        <v>1816</v>
      </c>
      <c r="C14" s="25" t="s">
        <v>1019</v>
      </c>
      <c r="F14" s="104" t="n">
        <f aca="false">0</f>
        <v>0</v>
      </c>
      <c r="G14" s="104" t="n">
        <f aca="false">IF(G$5&lt;'P06 Ciwandan Input'!$E$25,0,IF(G$5='P06 Ciwandan Input'!$E$25,1,F14*(1+'P06 Ciwandan Input'!G29)))*G$8</f>
        <v>0</v>
      </c>
      <c r="H14" s="104" t="n">
        <f aca="false">IF(H$5&lt;'P06 Ciwandan Input'!$E$25,0,IF(H$5='P06 Ciwandan Input'!$E$25,1,G14*(1+'P06 Ciwandan Input'!H29)))*H$8</f>
        <v>0</v>
      </c>
      <c r="I14" s="104" t="n">
        <f aca="false">IF(I$5&lt;'P06 Ciwandan Input'!$E$25,0,IF(I$5='P06 Ciwandan Input'!$E$25,1,H14*(1+'P06 Ciwandan Input'!I29)))*I$8</f>
        <v>0</v>
      </c>
      <c r="J14" s="104" t="n">
        <f aca="false">IF(J$5&lt;'P06 Ciwandan Input'!$E$25,0,IF(J$5='P06 Ciwandan Input'!$E$25,1,I14*(1+'P06 Ciwandan Input'!J29)))*J$8</f>
        <v>0</v>
      </c>
      <c r="K14" s="104" t="n">
        <f aca="false">IF(K$5&lt;'P06 Ciwandan Input'!$E$25,0,IF(K$5='P06 Ciwandan Input'!$E$25,1,J14*(1+'P06 Ciwandan Input'!K29)))*K$8</f>
        <v>1</v>
      </c>
      <c r="L14" s="104" t="n">
        <f aca="false">IF(L$5&lt;'P06 Ciwandan Input'!$E$25,0,IF(L$5='P06 Ciwandan Input'!$E$25,1,K14*(1+'P06 Ciwandan Input'!L29)))*L$8</f>
        <v>1.1</v>
      </c>
      <c r="M14" s="104" t="n">
        <f aca="false">IF(M$5&lt;'P06 Ciwandan Input'!$E$25,0,IF(M$5='P06 Ciwandan Input'!$E$25,1,L14*(1+'P06 Ciwandan Input'!M29)))*M$8</f>
        <v>1.21</v>
      </c>
      <c r="N14" s="104" t="n">
        <f aca="false">IF(N$5&lt;'P06 Ciwandan Input'!$E$25,0,IF(N$5='P06 Ciwandan Input'!$E$25,1,M14*(1+'P06 Ciwandan Input'!N29)))*N$8</f>
        <v>1.331</v>
      </c>
      <c r="O14" s="104" t="n">
        <f aca="false">IF(O$5&lt;'P06 Ciwandan Input'!$E$25,0,IF(O$5='P06 Ciwandan Input'!$E$25,1,N14*(1+'P06 Ciwandan Input'!O29)))*O$8</f>
        <v>1.41086</v>
      </c>
      <c r="P14" s="104" t="n">
        <f aca="false">IF(P$5&lt;'P06 Ciwandan Input'!$E$25,0,IF(P$5='P06 Ciwandan Input'!$E$25,1,O14*(1+'P06 Ciwandan Input'!P29)))*P$8</f>
        <v>1.4955116</v>
      </c>
      <c r="Q14" s="104" t="n">
        <f aca="false">IF(Q$5&lt;'P06 Ciwandan Input'!$E$25,0,IF(Q$5='P06 Ciwandan Input'!$E$25,1,P14*(1+'P06 Ciwandan Input'!Q29)))*Q$8</f>
        <v>1.585242296</v>
      </c>
      <c r="R14" s="104" t="n">
        <f aca="false">IF(R$5&lt;'P06 Ciwandan Input'!$E$25,0,IF(R$5='P06 Ciwandan Input'!$E$25,1,Q14*(1+'P06 Ciwandan Input'!R29)))*R$8</f>
        <v>1.68035683376</v>
      </c>
      <c r="S14" s="104" t="n">
        <f aca="false">IF(S$5&lt;'P06 Ciwandan Input'!$E$25,0,IF(S$5='P06 Ciwandan Input'!$E$25,1,R14*(1+'P06 Ciwandan Input'!S29)))*S$8</f>
        <v>1.7811782437856</v>
      </c>
      <c r="U14" s="5" t="s">
        <v>2085</v>
      </c>
    </row>
    <row r="15" customFormat="false" ht="15" hidden="false" customHeight="false" outlineLevel="0" collapsed="false">
      <c r="B15" s="24" t="s">
        <v>2086</v>
      </c>
      <c r="C15" s="25" t="s">
        <v>900</v>
      </c>
      <c r="E15" s="31" t="n">
        <f aca="false">SUM(F15:S15)</f>
        <v>20150638.357673</v>
      </c>
      <c r="F15" s="31" t="n">
        <f aca="false">'P06 Ciwandan Input'!$E$28*F14</f>
        <v>0</v>
      </c>
      <c r="G15" s="31" t="n">
        <f aca="false">'P06 Ciwandan Input'!$E$28*G14</f>
        <v>0</v>
      </c>
      <c r="H15" s="31" t="n">
        <f aca="false">'P06 Ciwandan Input'!$E$28*H14</f>
        <v>0</v>
      </c>
      <c r="I15" s="31" t="n">
        <f aca="false">'P06 Ciwandan Input'!$E$28*I14</f>
        <v>0</v>
      </c>
      <c r="J15" s="31" t="n">
        <f aca="false">'P06 Ciwandan Input'!$E$28*J14</f>
        <v>0</v>
      </c>
      <c r="K15" s="31" t="n">
        <f aca="false">'P06 Ciwandan Input'!$E$28*K14</f>
        <v>1600000</v>
      </c>
      <c r="L15" s="31" t="n">
        <f aca="false">'P06 Ciwandan Input'!$E$28*L14</f>
        <v>1760000</v>
      </c>
      <c r="M15" s="31" t="n">
        <f aca="false">'P06 Ciwandan Input'!$E$28*M14</f>
        <v>1936000</v>
      </c>
      <c r="N15" s="31" t="n">
        <f aca="false">'P06 Ciwandan Input'!$E$28*N14</f>
        <v>2129600</v>
      </c>
      <c r="O15" s="31" t="n">
        <f aca="false">'P06 Ciwandan Input'!$E$28*O14</f>
        <v>2257376</v>
      </c>
      <c r="P15" s="31" t="n">
        <f aca="false">'P06 Ciwandan Input'!$E$28*P14</f>
        <v>2392818.56</v>
      </c>
      <c r="Q15" s="31" t="n">
        <f aca="false">'P06 Ciwandan Input'!$E$28*Q14</f>
        <v>2536387.6736</v>
      </c>
      <c r="R15" s="31" t="n">
        <f aca="false">'P06 Ciwandan Input'!$E$28*R14</f>
        <v>2688570.934016</v>
      </c>
      <c r="S15" s="31" t="n">
        <f aca="false">'P06 Ciwandan Input'!$E$28*S14</f>
        <v>2849885.19005696</v>
      </c>
      <c r="U15" s="5" t="s">
        <v>2087</v>
      </c>
    </row>
    <row r="16" customFormat="false" ht="15" hidden="false" customHeight="false" outlineLevel="0" collapsed="false">
      <c r="B16" s="24" t="s">
        <v>2088</v>
      </c>
      <c r="C16" s="25" t="s">
        <v>905</v>
      </c>
      <c r="F16" s="31" t="n">
        <f aca="false">'P06 Ciwandan Input'!F30</f>
        <v>0</v>
      </c>
      <c r="G16" s="31" t="n">
        <f aca="false">'P06 Ciwandan Input'!G30</f>
        <v>0</v>
      </c>
      <c r="H16" s="31" t="n">
        <f aca="false">'P06 Ciwandan Input'!H30</f>
        <v>0</v>
      </c>
      <c r="I16" s="31" t="n">
        <f aca="false">'P06 Ciwandan Input'!I30</f>
        <v>0</v>
      </c>
      <c r="J16" s="31" t="n">
        <f aca="false">'P06 Ciwandan Input'!J30</f>
        <v>0</v>
      </c>
      <c r="K16" s="31" t="n">
        <f aca="false">'P06 Ciwandan Input'!K30</f>
        <v>36411.1497423965</v>
      </c>
      <c r="L16" s="31" t="n">
        <f aca="false">'P06 Ciwandan Input'!L30</f>
        <v>43693.3796908759</v>
      </c>
      <c r="M16" s="31" t="n">
        <f aca="false">'P06 Ciwandan Input'!M30</f>
        <v>43693.3796908759</v>
      </c>
      <c r="N16" s="31" t="n">
        <f aca="false">'P06 Ciwandan Input'!N30</f>
        <v>48062.7176599634</v>
      </c>
      <c r="O16" s="31" t="n">
        <f aca="false">'P06 Ciwandan Input'!O30</f>
        <v>48062.7176599634</v>
      </c>
      <c r="P16" s="31" t="n">
        <f aca="false">'P06 Ciwandan Input'!P30</f>
        <v>50946.4807195612</v>
      </c>
      <c r="Q16" s="31" t="n">
        <f aca="false">'P06 Ciwandan Input'!Q30</f>
        <v>50946.4807195612</v>
      </c>
      <c r="R16" s="31" t="n">
        <f aca="false">'P06 Ciwandan Input'!R30</f>
        <v>54003.2695627349</v>
      </c>
      <c r="S16" s="31" t="n">
        <f aca="false">'P06 Ciwandan Input'!S30</f>
        <v>54003.2695627349</v>
      </c>
      <c r="U16" s="5" t="s">
        <v>2089</v>
      </c>
    </row>
    <row r="17" customFormat="false" ht="15" hidden="false" customHeight="false" outlineLevel="0" collapsed="false">
      <c r="B17" s="69" t="s">
        <v>2090</v>
      </c>
      <c r="C17" s="25" t="s">
        <v>170</v>
      </c>
      <c r="E17" s="70" t="n">
        <f aca="false">SUM(F17:S17)</f>
        <v>980.819009166883</v>
      </c>
      <c r="F17" s="68" t="n">
        <f aca="false">F15*F16/10^9</f>
        <v>0</v>
      </c>
      <c r="G17" s="68" t="n">
        <f aca="false">G15*G16/10^9</f>
        <v>0</v>
      </c>
      <c r="H17" s="68" t="n">
        <f aca="false">H15*H16/10^9</f>
        <v>0</v>
      </c>
      <c r="I17" s="68" t="n">
        <f aca="false">I15*I16/10^9</f>
        <v>0</v>
      </c>
      <c r="J17" s="68" t="n">
        <f aca="false">J15*J16/10^9</f>
        <v>0</v>
      </c>
      <c r="K17" s="68" t="n">
        <f aca="false">K15*K16/10^9</f>
        <v>58.2578395878345</v>
      </c>
      <c r="L17" s="68" t="n">
        <f aca="false">L15*L16/10^9</f>
        <v>76.9003482559415</v>
      </c>
      <c r="M17" s="68" t="n">
        <f aca="false">M15*M16/10^9</f>
        <v>84.5903830815357</v>
      </c>
      <c r="N17" s="68" t="n">
        <f aca="false">N15*N16/10^9</f>
        <v>102.354363528658</v>
      </c>
      <c r="O17" s="68" t="n">
        <f aca="false">O15*O16/10^9</f>
        <v>108.495625340378</v>
      </c>
      <c r="P17" s="68" t="n">
        <f aca="false">P15*P16/10^9</f>
        <v>121.905684632448</v>
      </c>
      <c r="Q17" s="68" t="n">
        <f aca="false">Q15*Q16/10^9</f>
        <v>129.220025710395</v>
      </c>
      <c r="R17" s="68" t="n">
        <f aca="false">R15*R16/10^9</f>
        <v>145.1916208882</v>
      </c>
      <c r="S17" s="68" t="n">
        <f aca="false">S15*S16/10^9</f>
        <v>153.903118141492</v>
      </c>
      <c r="U17" s="5" t="s">
        <v>2091</v>
      </c>
    </row>
    <row r="19" customFormat="false" ht="15" hidden="false" customHeight="false" outlineLevel="0" collapsed="false">
      <c r="B19" s="22" t="s">
        <v>1029</v>
      </c>
      <c r="C19" s="23"/>
      <c r="D19" s="23"/>
      <c r="E19" s="23"/>
      <c r="F19" s="23"/>
      <c r="G19" s="23"/>
      <c r="H19" s="23"/>
      <c r="I19" s="23"/>
      <c r="J19" s="23"/>
      <c r="K19" s="23"/>
      <c r="L19" s="23"/>
      <c r="M19" s="23"/>
      <c r="N19" s="23"/>
      <c r="O19" s="23"/>
      <c r="P19" s="23"/>
      <c r="Q19" s="23"/>
      <c r="R19" s="23"/>
      <c r="S19" s="23"/>
    </row>
    <row r="20" customFormat="false" ht="15" hidden="false" customHeight="false" outlineLevel="0" collapsed="false">
      <c r="B20" s="24" t="s">
        <v>2092</v>
      </c>
      <c r="C20" s="25" t="s">
        <v>170</v>
      </c>
      <c r="F20" s="58" t="n">
        <f aca="false">'E2 CigadingExist Calc'!F17</f>
        <v>0</v>
      </c>
      <c r="G20" s="58" t="n">
        <f aca="false">'E2 CigadingExist Calc'!G17</f>
        <v>38.65796</v>
      </c>
      <c r="H20" s="58" t="n">
        <f aca="false">'E2 CigadingExist Calc'!H17</f>
        <v>46.389552</v>
      </c>
      <c r="I20" s="58" t="n">
        <f aca="false">'E2 CigadingExist Calc'!I17</f>
        <v>47.78123856</v>
      </c>
      <c r="J20" s="58" t="n">
        <f aca="false">'E2 CigadingExist Calc'!J17</f>
        <v>59.05761086016</v>
      </c>
      <c r="K20" s="58" t="n">
        <f aca="false">'E2 CigadingExist Calc'!K17</f>
        <v>60.8293391859648</v>
      </c>
      <c r="L20" s="58" t="n">
        <f aca="false">'E2 CigadingExist Calc'!L17</f>
        <v>68.9196412976981</v>
      </c>
      <c r="M20" s="58" t="n">
        <f aca="false">'E2 CigadingExist Calc'!M17</f>
        <v>70.9872305366291</v>
      </c>
      <c r="N20" s="58" t="n">
        <f aca="false">'E2 CigadingExist Calc'!N17</f>
        <v>77.5038582998916</v>
      </c>
      <c r="O20" s="58" t="n">
        <f aca="false">'E2 CigadingExist Calc'!O17</f>
        <v>79.8289740488884</v>
      </c>
      <c r="P20" s="58" t="n">
        <f aca="false">'E2 CigadingExist Calc'!P17</f>
        <v>87.1572738665763</v>
      </c>
      <c r="Q20" s="58" t="n">
        <f aca="false">'E2 CigadingExist Calc'!Q17</f>
        <v>89.7719920825736</v>
      </c>
      <c r="R20" s="58" t="n">
        <f aca="false">'E2 CigadingExist Calc'!R17</f>
        <v>92.4651518450508</v>
      </c>
      <c r="S20" s="58" t="n">
        <f aca="false">'E2 CigadingExist Calc'!S17</f>
        <v>95.2391064004024</v>
      </c>
      <c r="U20" s="5" t="s">
        <v>2093</v>
      </c>
    </row>
    <row r="21" customFormat="false" ht="15" hidden="false" customHeight="false" outlineLevel="0" collapsed="false">
      <c r="B21" s="24" t="s">
        <v>2094</v>
      </c>
      <c r="C21" s="25" t="s">
        <v>170</v>
      </c>
      <c r="F21" s="58" t="n">
        <f aca="false">'E2 CigadingExist Calc'!F51</f>
        <v>0</v>
      </c>
      <c r="G21" s="58" t="n">
        <f aca="false">'E2 CigadingExist Calc'!G51</f>
        <v>13.4217053445047</v>
      </c>
      <c r="H21" s="58" t="n">
        <f aca="false">'E2 CigadingExist Calc'!H51</f>
        <v>13.9505449429315</v>
      </c>
      <c r="I21" s="58" t="n">
        <f aca="false">'E2 CigadingExist Calc'!I51</f>
        <v>14.5375136097626</v>
      </c>
      <c r="J21" s="58" t="n">
        <f aca="false">'E2 CigadingExist Calc'!J51</f>
        <v>15.1175416690317</v>
      </c>
      <c r="K21" s="58" t="n">
        <f aca="false">'E2 CigadingExist Calc'!K51</f>
        <v>15.7251300285961</v>
      </c>
      <c r="L21" s="58" t="n">
        <f aca="false">'E2 CigadingExist Calc'!L51</f>
        <v>16.3948515285434</v>
      </c>
      <c r="M21" s="58" t="n">
        <f aca="false">'E2 CigadingExist Calc'!M51</f>
        <v>17.0618525121731</v>
      </c>
      <c r="N21" s="58" t="n">
        <f aca="false">'E2 CigadingExist Calc'!N51</f>
        <v>17.760862087737</v>
      </c>
      <c r="O21" s="58" t="n">
        <f aca="false">'E2 CigadingExist Calc'!O51</f>
        <v>18.5266941849183</v>
      </c>
      <c r="P21" s="58" t="n">
        <f aca="false">'E2 CigadingExist Calc'!P51</f>
        <v>19.2947498758668</v>
      </c>
      <c r="Q21" s="58" t="n">
        <f aca="false">'E2 CigadingExist Calc'!Q51</f>
        <v>20.1000274314958</v>
      </c>
      <c r="R21" s="58" t="n">
        <f aca="false">'E2 CigadingExist Calc'!R51</f>
        <v>20.9444577246937</v>
      </c>
      <c r="S21" s="58" t="n">
        <f aca="false">'E2 CigadingExist Calc'!S51</f>
        <v>21.8300774231007</v>
      </c>
      <c r="U21" s="5" t="s">
        <v>2095</v>
      </c>
    </row>
    <row r="22" customFormat="false" ht="15" hidden="false" customHeight="false" outlineLevel="0" collapsed="false">
      <c r="B22" s="24" t="s">
        <v>2096</v>
      </c>
      <c r="C22" s="25" t="s">
        <v>160</v>
      </c>
      <c r="F22" s="49" t="n">
        <f aca="false">IFERROR(F21/F20,0)</f>
        <v>0</v>
      </c>
      <c r="G22" s="49" t="n">
        <f aca="false">IFERROR(G21/G20,0)</f>
        <v>0.347191247145599</v>
      </c>
      <c r="H22" s="49" t="n">
        <f aca="false">IFERROR(H21/H20,0)</f>
        <v>0.300726011385742</v>
      </c>
      <c r="I22" s="49" t="n">
        <f aca="false">IFERROR(I21/I20,0)</f>
        <v>0.304251502218962</v>
      </c>
      <c r="J22" s="49" t="n">
        <f aca="false">IFERROR(J21/J20,0)</f>
        <v>0.255979567220013</v>
      </c>
      <c r="K22" s="49" t="n">
        <f aca="false">IFERROR(K21/K20,0)</f>
        <v>0.258512261336949</v>
      </c>
      <c r="L22" s="49" t="n">
        <f aca="false">IFERROR(L21/L20,0)</f>
        <v>0.237883587607862</v>
      </c>
      <c r="M22" s="49" t="n">
        <f aca="false">IFERROR(M21/M20,0)</f>
        <v>0.240351009374416</v>
      </c>
      <c r="N22" s="49" t="n">
        <f aca="false">IFERROR(N21/N20,0)</f>
        <v>0.229161005365868</v>
      </c>
      <c r="O22" s="49" t="n">
        <f aca="false">IFERROR(O21/O20,0)</f>
        <v>0.232079823217724</v>
      </c>
      <c r="P22" s="49" t="n">
        <f aca="false">IFERROR(P21/P20,0)</f>
        <v>0.221378538128716</v>
      </c>
      <c r="Q22" s="49" t="n">
        <f aca="false">IFERROR(Q21/Q20,0)</f>
        <v>0.223900873370478</v>
      </c>
      <c r="R22" s="49" t="n">
        <f aca="false">IFERROR(R21/R20,0)</f>
        <v>0.226511905369403</v>
      </c>
      <c r="S22" s="49" t="n">
        <f aca="false">IFERROR(S21/S20,0)</f>
        <v>0.229213379337298</v>
      </c>
      <c r="U22" s="5" t="s">
        <v>2097</v>
      </c>
    </row>
    <row r="23" customFormat="false" ht="15" hidden="false" customHeight="false" outlineLevel="0" collapsed="false">
      <c r="B23" s="69" t="s">
        <v>2098</v>
      </c>
      <c r="C23" s="25" t="s">
        <v>170</v>
      </c>
      <c r="E23" s="70" t="n">
        <f aca="false">SUM(F23:S23)</f>
        <v>226.404418297433</v>
      </c>
      <c r="F23" s="68" t="n">
        <f aca="false">F22*F17</f>
        <v>0</v>
      </c>
      <c r="G23" s="68" t="n">
        <f aca="false">G22*G17</f>
        <v>0</v>
      </c>
      <c r="H23" s="68" t="n">
        <f aca="false">H22*H17</f>
        <v>0</v>
      </c>
      <c r="I23" s="68" t="n">
        <f aca="false">I22*I17</f>
        <v>0</v>
      </c>
      <c r="J23" s="68" t="n">
        <f aca="false">J22*J17</f>
        <v>0</v>
      </c>
      <c r="K23" s="68" t="n">
        <f aca="false">K22*K17</f>
        <v>15.0603658524563</v>
      </c>
      <c r="L23" s="68" t="n">
        <f aca="false">L22*L17</f>
        <v>18.2933307314174</v>
      </c>
      <c r="M23" s="68" t="n">
        <f aca="false">M22*M17</f>
        <v>20.3313839570156</v>
      </c>
      <c r="N23" s="68" t="n">
        <f aca="false">N22*N17</f>
        <v>23.4556288498109</v>
      </c>
      <c r="O23" s="68" t="n">
        <f aca="false">O22*O17</f>
        <v>25.1796455488913</v>
      </c>
      <c r="P23" s="68" t="n">
        <f aca="false">P22*P17</f>
        <v>26.9873022535117</v>
      </c>
      <c r="Q23" s="68" t="n">
        <f aca="false">Q22*Q17</f>
        <v>28.9324766135131</v>
      </c>
      <c r="R23" s="68" t="n">
        <f aca="false">R22*R17</f>
        <v>32.8876306910583</v>
      </c>
      <c r="S23" s="68" t="n">
        <f aca="false">S22*S17</f>
        <v>35.2766537997588</v>
      </c>
      <c r="U23" s="5" t="s">
        <v>2099</v>
      </c>
    </row>
    <row r="25" customFormat="false" ht="15" hidden="false" customHeight="false" outlineLevel="0" collapsed="false">
      <c r="B25" s="22" t="s">
        <v>1826</v>
      </c>
      <c r="C25" s="23"/>
      <c r="D25" s="23"/>
      <c r="E25" s="23"/>
      <c r="F25" s="23"/>
      <c r="G25" s="23"/>
      <c r="H25" s="23"/>
      <c r="I25" s="23"/>
      <c r="J25" s="23"/>
      <c r="K25" s="23"/>
      <c r="L25" s="23"/>
      <c r="M25" s="23"/>
      <c r="N25" s="23"/>
      <c r="O25" s="23"/>
      <c r="P25" s="23"/>
      <c r="Q25" s="23"/>
      <c r="R25" s="23"/>
      <c r="S25" s="23"/>
    </row>
    <row r="26" customFormat="false" ht="15" hidden="false" customHeight="false" outlineLevel="0" collapsed="false">
      <c r="B26" s="24" t="s">
        <v>2100</v>
      </c>
      <c r="C26" s="25" t="s">
        <v>170</v>
      </c>
      <c r="F26" s="58" t="n">
        <f aca="false">'E2 CigadingExist Calc'!F74</f>
        <v>0</v>
      </c>
      <c r="G26" s="58" t="n">
        <f aca="false">'E2 CigadingExist Calc'!G74</f>
        <v>9.152664403</v>
      </c>
      <c r="H26" s="58" t="n">
        <f aca="false">'E2 CigadingExist Calc'!H74</f>
        <v>9.44884332667</v>
      </c>
      <c r="I26" s="58" t="n">
        <f aca="false">'E2 CigadingExist Calc'!I74</f>
        <v>9.7546713283192</v>
      </c>
      <c r="J26" s="58" t="n">
        <f aca="false">'E2 CigadingExist Calc'!J74</f>
        <v>10.0704647650577</v>
      </c>
      <c r="K26" s="58" t="n">
        <f aca="false">'E2 CigadingExist Calc'!K74</f>
        <v>10.396550428774</v>
      </c>
      <c r="L26" s="58" t="n">
        <f aca="false">'E2 CigadingExist Calc'!L74</f>
        <v>10.7332658922828</v>
      </c>
      <c r="M26" s="58" t="n">
        <f aca="false">'E2 CigadingExist Calc'!M74</f>
        <v>11.0809598670169</v>
      </c>
      <c r="N26" s="58" t="n">
        <f aca="false">'E2 CigadingExist Calc'!N74</f>
        <v>11.43999257265</v>
      </c>
      <c r="O26" s="58" t="n">
        <f aca="false">'E2 CigadingExist Calc'!O74</f>
        <v>11.8107361190519</v>
      </c>
      <c r="P26" s="58" t="n">
        <f aca="false">'E2 CigadingExist Calc'!P74</f>
        <v>12.1935749009866</v>
      </c>
      <c r="Q26" s="58" t="n">
        <f aca="false">'E2 CigadingExist Calc'!Q74</f>
        <v>12.5889060059847</v>
      </c>
      <c r="R26" s="58" t="n">
        <f aca="false">'E2 CigadingExist Calc'!R74</f>
        <v>12.9971396358273</v>
      </c>
      <c r="S26" s="58" t="n">
        <f aca="false">'E2 CigadingExist Calc'!S74</f>
        <v>13.4186995421024</v>
      </c>
      <c r="U26" s="5" t="s">
        <v>2101</v>
      </c>
    </row>
    <row r="27" customFormat="false" ht="15" hidden="false" customHeight="false" outlineLevel="0" collapsed="false">
      <c r="B27" s="24" t="s">
        <v>2102</v>
      </c>
      <c r="C27" s="25" t="s">
        <v>170</v>
      </c>
      <c r="F27" s="58" t="n">
        <f aca="false">'E2 CigadingExist Calc'!F79</f>
        <v>0</v>
      </c>
      <c r="G27" s="58" t="n">
        <f aca="false">'E2 CigadingExist Calc'!G79</f>
        <v>0.12964914</v>
      </c>
      <c r="H27" s="58" t="n">
        <f aca="false">'E2 CigadingExist Calc'!H79</f>
        <v>0.1322421228</v>
      </c>
      <c r="I27" s="58" t="n">
        <f aca="false">'E2 CigadingExist Calc'!I79</f>
        <v>0.134886965256</v>
      </c>
      <c r="J27" s="58" t="n">
        <f aca="false">'E2 CigadingExist Calc'!J79</f>
        <v>0.13758470456112</v>
      </c>
      <c r="K27" s="58" t="n">
        <f aca="false">'E2 CigadingExist Calc'!K79</f>
        <v>0.140336398652342</v>
      </c>
      <c r="L27" s="58" t="n">
        <f aca="false">'E2 CigadingExist Calc'!L79</f>
        <v>0.143143126625389</v>
      </c>
      <c r="M27" s="58" t="n">
        <f aca="false">'E2 CigadingExist Calc'!M79</f>
        <v>0.146005989157897</v>
      </c>
      <c r="N27" s="58" t="n">
        <f aca="false">'E2 CigadingExist Calc'!N79</f>
        <v>0.148926108941055</v>
      </c>
      <c r="O27" s="58" t="n">
        <f aca="false">'E2 CigadingExist Calc'!O79</f>
        <v>0.151904631119876</v>
      </c>
      <c r="P27" s="58" t="n">
        <f aca="false">'E2 CigadingExist Calc'!P79</f>
        <v>0.154942723742274</v>
      </c>
      <c r="Q27" s="58" t="n">
        <f aca="false">'E2 CigadingExist Calc'!Q79</f>
        <v>0.158041578217119</v>
      </c>
      <c r="R27" s="58" t="n">
        <f aca="false">'E2 CigadingExist Calc'!R79</f>
        <v>0.161202409781461</v>
      </c>
      <c r="S27" s="58" t="n">
        <f aca="false">'E2 CigadingExist Calc'!S79</f>
        <v>0.164426457977091</v>
      </c>
      <c r="U27" s="5" t="s">
        <v>2103</v>
      </c>
    </row>
    <row r="28" customFormat="false" ht="15" hidden="false" customHeight="false" outlineLevel="0" collapsed="false">
      <c r="B28" s="24" t="s">
        <v>2104</v>
      </c>
      <c r="C28" s="25" t="s">
        <v>160</v>
      </c>
      <c r="F28" s="49" t="n">
        <f aca="false">IFERROR((F26+F27)/F20,0)</f>
        <v>0</v>
      </c>
      <c r="G28" s="49" t="n">
        <f aca="false">IFERROR((G26+G27)/G20,0)</f>
        <v>0.240113900035077</v>
      </c>
      <c r="H28" s="49" t="n">
        <f aca="false">IFERROR((H26+H27)/H20,0)</f>
        <v>0.206535416627218</v>
      </c>
      <c r="I28" s="49" t="n">
        <f aca="false">IFERROR((I26+I27)/I20,0)</f>
        <v>0.206975762697249</v>
      </c>
      <c r="J28" s="49" t="n">
        <f aca="false">IFERROR((J26+J27)/J20,0)</f>
        <v>0.172849008297847</v>
      </c>
      <c r="K28" s="49" t="n">
        <f aca="false">IFERROR((K26+K27)/K20,0)</f>
        <v>0.173220471707138</v>
      </c>
      <c r="L28" s="49" t="n">
        <f aca="false">IFERROR((L26+L27)/L20,0)</f>
        <v>0.157812908107394</v>
      </c>
      <c r="M28" s="49" t="n">
        <f aca="false">IFERROR((M26+M27)/M20,0)</f>
        <v>0.15815472404409</v>
      </c>
      <c r="N28" s="49" t="n">
        <f aca="false">IFERROR((N26+N27)/N20,0)</f>
        <v>0.149526990472515</v>
      </c>
      <c r="O28" s="49" t="n">
        <f aca="false">IFERROR((O26+O27)/O20,0)</f>
        <v>0.149853369565362</v>
      </c>
      <c r="P28" s="49" t="n">
        <f aca="false">IFERROR((P26+P27)/P20,0)</f>
        <v>0.141680861239791</v>
      </c>
      <c r="Q28" s="49" t="n">
        <f aca="false">IFERROR((Q26+Q27)/Q20,0)</f>
        <v>0.141992477703702</v>
      </c>
      <c r="R28" s="49" t="n">
        <f aca="false">IFERROR((R26+R27)/R20,0)</f>
        <v>0.142305958331836</v>
      </c>
      <c r="S28" s="49" t="n">
        <f aca="false">IFERROR((S26+S27)/S20,0)</f>
        <v>0.142621308761273</v>
      </c>
      <c r="U28" s="5" t="s">
        <v>2105</v>
      </c>
    </row>
    <row r="29" customFormat="false" ht="15" hidden="false" customHeight="false" outlineLevel="0" collapsed="false">
      <c r="B29" s="69" t="s">
        <v>2106</v>
      </c>
      <c r="C29" s="25" t="s">
        <v>170</v>
      </c>
      <c r="E29" s="70" t="n">
        <f aca="false">SUM(F29:S29)</f>
        <v>145.400332612691</v>
      </c>
      <c r="F29" s="68" t="n">
        <f aca="false">F28*F17</f>
        <v>0</v>
      </c>
      <c r="G29" s="68" t="n">
        <f aca="false">G28*G17</f>
        <v>0</v>
      </c>
      <c r="H29" s="68" t="n">
        <f aca="false">H28*H17</f>
        <v>0</v>
      </c>
      <c r="I29" s="68" t="n">
        <f aca="false">I28*I17</f>
        <v>0</v>
      </c>
      <c r="J29" s="68" t="n">
        <f aca="false">J28*J17</f>
        <v>0</v>
      </c>
      <c r="K29" s="68" t="n">
        <f aca="false">K28*K17</f>
        <v>10.0914504540435</v>
      </c>
      <c r="L29" s="68" t="n">
        <f aca="false">L28*L17</f>
        <v>12.1358675927415</v>
      </c>
      <c r="M29" s="68" t="n">
        <f aca="false">M28*M17</f>
        <v>13.3783686930441</v>
      </c>
      <c r="N29" s="68" t="n">
        <f aca="false">N28*N17</f>
        <v>15.3047399401701</v>
      </c>
      <c r="O29" s="68" t="n">
        <f aca="false">O28*O17</f>
        <v>16.2584350403566</v>
      </c>
      <c r="P29" s="68" t="n">
        <f aca="false">P28*P17</f>
        <v>17.2717023887517</v>
      </c>
      <c r="Q29" s="68" t="n">
        <f aca="false">Q28*Q17</f>
        <v>18.3482716195551</v>
      </c>
      <c r="R29" s="68" t="n">
        <f aca="false">R28*R17</f>
        <v>20.661632752248</v>
      </c>
      <c r="S29" s="68" t="n">
        <f aca="false">S28*S17</f>
        <v>21.9498641317804</v>
      </c>
      <c r="U29" s="5" t="s">
        <v>2107</v>
      </c>
    </row>
    <row r="31" customFormat="false" ht="15" hidden="false" customHeight="false" outlineLevel="0" collapsed="false">
      <c r="B31" s="22" t="s">
        <v>1828</v>
      </c>
      <c r="C31" s="23"/>
      <c r="D31" s="23"/>
      <c r="E31" s="23"/>
      <c r="F31" s="23"/>
      <c r="G31" s="23"/>
      <c r="H31" s="23"/>
      <c r="I31" s="23"/>
      <c r="J31" s="23"/>
      <c r="K31" s="23"/>
      <c r="L31" s="23"/>
      <c r="M31" s="23"/>
      <c r="N31" s="23"/>
      <c r="O31" s="23"/>
      <c r="P31" s="23"/>
      <c r="Q31" s="23"/>
      <c r="R31" s="23"/>
      <c r="S31" s="23"/>
    </row>
    <row r="32" customFormat="false" ht="15" hidden="false" customHeight="false" outlineLevel="0" collapsed="false">
      <c r="B32" s="24" t="s">
        <v>1330</v>
      </c>
      <c r="C32" s="25" t="s">
        <v>240</v>
      </c>
      <c r="E32" s="44" t="n">
        <f aca="false">SUM(F32:S32)</f>
        <v>5.02459268367661</v>
      </c>
      <c r="F32" s="44" t="n">
        <f aca="false">'P06 Ciwandan Input'!F35</f>
        <v>0</v>
      </c>
      <c r="G32" s="44" t="n">
        <f aca="false">'P06 Ciwandan Input'!G35</f>
        <v>0</v>
      </c>
      <c r="H32" s="44" t="n">
        <f aca="false">'P06 Ciwandan Input'!H35</f>
        <v>0</v>
      </c>
      <c r="I32" s="44" t="n">
        <f aca="false">'P06 Ciwandan Input'!I35</f>
        <v>2.5122963418383</v>
      </c>
      <c r="J32" s="44" t="n">
        <f aca="false">'P06 Ciwandan Input'!J35</f>
        <v>2.5122963418383</v>
      </c>
      <c r="K32" s="44" t="n">
        <f aca="false">'P06 Ciwandan Input'!K35</f>
        <v>0</v>
      </c>
      <c r="L32" s="44" t="n">
        <f aca="false">'P06 Ciwandan Input'!L35</f>
        <v>0</v>
      </c>
      <c r="M32" s="44" t="n">
        <f aca="false">'P06 Ciwandan Input'!M35</f>
        <v>0</v>
      </c>
      <c r="N32" s="44" t="n">
        <f aca="false">'P06 Ciwandan Input'!N35</f>
        <v>0</v>
      </c>
      <c r="O32" s="44" t="n">
        <f aca="false">'P06 Ciwandan Input'!O35</f>
        <v>0</v>
      </c>
      <c r="P32" s="44" t="n">
        <f aca="false">'P06 Ciwandan Input'!P35</f>
        <v>0</v>
      </c>
      <c r="Q32" s="44" t="n">
        <f aca="false">'P06 Ciwandan Input'!Q35</f>
        <v>0</v>
      </c>
      <c r="R32" s="44" t="n">
        <f aca="false">'P06 Ciwandan Input'!R35</f>
        <v>0</v>
      </c>
      <c r="S32" s="44" t="n">
        <f aca="false">'P06 Ciwandan Input'!S35</f>
        <v>0</v>
      </c>
    </row>
    <row r="33" customFormat="false" ht="15" hidden="false" customHeight="false" outlineLevel="0" collapsed="false">
      <c r="B33" s="24" t="s">
        <v>1331</v>
      </c>
      <c r="C33" s="25" t="s">
        <v>152</v>
      </c>
      <c r="F33" s="34" t="n">
        <f aca="false">'Global Inputs'!F22</f>
        <v>16265</v>
      </c>
      <c r="G33" s="34" t="n">
        <f aca="false">'Global Inputs'!G22</f>
        <v>16265</v>
      </c>
      <c r="H33" s="34" t="n">
        <f aca="false">'Global Inputs'!H22</f>
        <v>16265</v>
      </c>
      <c r="I33" s="34" t="n">
        <f aca="false">'Global Inputs'!I22</f>
        <v>16265</v>
      </c>
      <c r="J33" s="34" t="n">
        <f aca="false">'Global Inputs'!J22</f>
        <v>16265</v>
      </c>
      <c r="K33" s="34" t="n">
        <f aca="false">'Global Inputs'!K22</f>
        <v>16265</v>
      </c>
      <c r="L33" s="34" t="n">
        <f aca="false">'Global Inputs'!L22</f>
        <v>16265</v>
      </c>
      <c r="M33" s="34" t="n">
        <f aca="false">'Global Inputs'!M22</f>
        <v>16265</v>
      </c>
      <c r="N33" s="34" t="n">
        <f aca="false">'Global Inputs'!N22</f>
        <v>16265</v>
      </c>
      <c r="O33" s="34" t="n">
        <f aca="false">'Global Inputs'!O22</f>
        <v>16265</v>
      </c>
      <c r="P33" s="34" t="n">
        <f aca="false">'Global Inputs'!P22</f>
        <v>16265</v>
      </c>
      <c r="Q33" s="34" t="n">
        <f aca="false">'Global Inputs'!Q22</f>
        <v>16265</v>
      </c>
      <c r="R33" s="34" t="n">
        <f aca="false">'Global Inputs'!R22</f>
        <v>16265</v>
      </c>
      <c r="S33" s="34" t="n">
        <f aca="false">'Global Inputs'!S22</f>
        <v>16265</v>
      </c>
    </row>
    <row r="34" customFormat="false" ht="15" hidden="false" customHeight="false" outlineLevel="0" collapsed="false">
      <c r="B34" s="24" t="s">
        <v>351</v>
      </c>
      <c r="C34" s="25" t="s">
        <v>170</v>
      </c>
      <c r="E34" s="47" t="n">
        <f aca="false">SUM(F34:S34)</f>
        <v>81.725</v>
      </c>
      <c r="F34" s="47" t="n">
        <f aca="false">'P06 Ciwandan Input'!F37</f>
        <v>0</v>
      </c>
      <c r="G34" s="47" t="n">
        <f aca="false">'P06 Ciwandan Input'!G37</f>
        <v>0</v>
      </c>
      <c r="H34" s="47" t="n">
        <f aca="false">'P06 Ciwandan Input'!H37</f>
        <v>0</v>
      </c>
      <c r="I34" s="47" t="n">
        <f aca="false">'P06 Ciwandan Input'!I37</f>
        <v>40.8625</v>
      </c>
      <c r="J34" s="47" t="n">
        <f aca="false">'P06 Ciwandan Input'!J37</f>
        <v>40.8625</v>
      </c>
      <c r="K34" s="47" t="n">
        <f aca="false">'P06 Ciwandan Input'!K37</f>
        <v>0</v>
      </c>
      <c r="L34" s="47" t="n">
        <f aca="false">'P06 Ciwandan Input'!L37</f>
        <v>0</v>
      </c>
      <c r="M34" s="47" t="n">
        <f aca="false">'P06 Ciwandan Input'!M37</f>
        <v>0</v>
      </c>
      <c r="N34" s="47" t="n">
        <f aca="false">'P06 Ciwandan Input'!N37</f>
        <v>0</v>
      </c>
      <c r="O34" s="47" t="n">
        <f aca="false">'P06 Ciwandan Input'!O37</f>
        <v>0</v>
      </c>
      <c r="P34" s="47" t="n">
        <f aca="false">'P06 Ciwandan Input'!P37</f>
        <v>0</v>
      </c>
      <c r="Q34" s="47" t="n">
        <f aca="false">'P06 Ciwandan Input'!Q37</f>
        <v>0</v>
      </c>
      <c r="R34" s="47" t="n">
        <f aca="false">'P06 Ciwandan Input'!R37</f>
        <v>0</v>
      </c>
      <c r="S34" s="47" t="n">
        <f aca="false">'P06 Ciwandan Input'!S37</f>
        <v>0</v>
      </c>
    </row>
    <row r="35" customFormat="false" ht="15" hidden="false" customHeight="false" outlineLevel="0" collapsed="false">
      <c r="B35" s="24" t="s">
        <v>1332</v>
      </c>
      <c r="C35" s="25" t="s">
        <v>170</v>
      </c>
      <c r="F35" s="47" t="n">
        <f aca="false">SUM($F$34:F34)</f>
        <v>0</v>
      </c>
      <c r="G35" s="47" t="n">
        <f aca="false">SUM($F$34:G34)</f>
        <v>0</v>
      </c>
      <c r="H35" s="47" t="n">
        <f aca="false">SUM($F$34:H34)</f>
        <v>0</v>
      </c>
      <c r="I35" s="47" t="n">
        <f aca="false">SUM($F$34:I34)</f>
        <v>40.8625</v>
      </c>
      <c r="J35" s="47" t="n">
        <f aca="false">SUM($F$34:J34)</f>
        <v>81.725</v>
      </c>
      <c r="K35" s="47" t="n">
        <f aca="false">SUM($F$34:K34)</f>
        <v>81.725</v>
      </c>
      <c r="L35" s="47" t="n">
        <f aca="false">SUM($F$34:L34)</f>
        <v>81.725</v>
      </c>
      <c r="M35" s="47" t="n">
        <f aca="false">SUM($F$34:M34)</f>
        <v>81.725</v>
      </c>
      <c r="N35" s="47" t="n">
        <f aca="false">SUM($F$34:N34)</f>
        <v>81.725</v>
      </c>
      <c r="O35" s="47" t="n">
        <f aca="false">SUM($F$34:O34)</f>
        <v>81.725</v>
      </c>
      <c r="P35" s="47" t="n">
        <f aca="false">SUM($F$34:P34)</f>
        <v>81.725</v>
      </c>
      <c r="Q35" s="47" t="n">
        <f aca="false">SUM($F$34:Q34)</f>
        <v>81.725</v>
      </c>
      <c r="R35" s="47" t="n">
        <f aca="false">SUM($F$34:R34)</f>
        <v>81.725</v>
      </c>
      <c r="S35" s="47" t="n">
        <f aca="false">SUM($F$34:S34)</f>
        <v>81.725</v>
      </c>
    </row>
    <row r="36" customFormat="false" ht="15" hidden="false" customHeight="false" outlineLevel="0" collapsed="false">
      <c r="B36" s="24" t="s">
        <v>1333</v>
      </c>
      <c r="C36" s="25" t="s">
        <v>143</v>
      </c>
      <c r="F36" s="30" t="n">
        <f aca="false">IF(F$5&gt;='P06 Ciwandan Input'!$E$42,1,0)*F$8</f>
        <v>0</v>
      </c>
      <c r="G36" s="30" t="n">
        <f aca="false">IF(G$5&gt;='P06 Ciwandan Input'!$E$42,1,0)*G$8</f>
        <v>0</v>
      </c>
      <c r="H36" s="30" t="n">
        <f aca="false">IF(H$5&gt;='P06 Ciwandan Input'!$E$42,1,0)*H$8</f>
        <v>0</v>
      </c>
      <c r="I36" s="30" t="n">
        <f aca="false">IF(I$5&gt;='P06 Ciwandan Input'!$E$42,1,0)*I$8</f>
        <v>0</v>
      </c>
      <c r="J36" s="30" t="n">
        <f aca="false">IF(J$5&gt;='P06 Ciwandan Input'!$E$42,1,0)*J$8</f>
        <v>0</v>
      </c>
      <c r="K36" s="30" t="n">
        <f aca="false">IF(K$5&gt;='P06 Ciwandan Input'!$E$42,1,0)*K$8</f>
        <v>1</v>
      </c>
      <c r="L36" s="30" t="n">
        <f aca="false">IF(L$5&gt;='P06 Ciwandan Input'!$E$42,1,0)*L$8</f>
        <v>1</v>
      </c>
      <c r="M36" s="30" t="n">
        <f aca="false">IF(M$5&gt;='P06 Ciwandan Input'!$E$42,1,0)*M$8</f>
        <v>1</v>
      </c>
      <c r="N36" s="30" t="n">
        <f aca="false">IF(N$5&gt;='P06 Ciwandan Input'!$E$42,1,0)*N$8</f>
        <v>1</v>
      </c>
      <c r="O36" s="30" t="n">
        <f aca="false">IF(O$5&gt;='P06 Ciwandan Input'!$E$42,1,0)*O$8</f>
        <v>1</v>
      </c>
      <c r="P36" s="30" t="n">
        <f aca="false">IF(P$5&gt;='P06 Ciwandan Input'!$E$42,1,0)*P$8</f>
        <v>1</v>
      </c>
      <c r="Q36" s="30" t="n">
        <f aca="false">IF(Q$5&gt;='P06 Ciwandan Input'!$E$42,1,0)*Q$8</f>
        <v>1</v>
      </c>
      <c r="R36" s="30" t="n">
        <f aca="false">IF(R$5&gt;='P06 Ciwandan Input'!$E$42,1,0)*R$8</f>
        <v>1</v>
      </c>
      <c r="S36" s="30" t="n">
        <f aca="false">IF(S$5&gt;='P06 Ciwandan Input'!$E$42,1,0)*S$8</f>
        <v>1</v>
      </c>
    </row>
    <row r="37" customFormat="false" ht="15" hidden="false" customHeight="false" outlineLevel="0" collapsed="false">
      <c r="B37" s="24" t="s">
        <v>1334</v>
      </c>
      <c r="C37" s="25" t="s">
        <v>135</v>
      </c>
      <c r="F37" s="29" t="n">
        <f aca="false">MAX(F$5,'P06 Ciwandan Input'!$E$42)</f>
        <v>2028</v>
      </c>
      <c r="G37" s="29" t="n">
        <f aca="false">MAX(G$5,'P06 Ciwandan Input'!$E$42)</f>
        <v>2028</v>
      </c>
      <c r="H37" s="29" t="n">
        <f aca="false">MAX(H$5,'P06 Ciwandan Input'!$E$42)</f>
        <v>2028</v>
      </c>
      <c r="I37" s="29" t="n">
        <f aca="false">MAX(I$5,'P06 Ciwandan Input'!$E$42)</f>
        <v>2028</v>
      </c>
      <c r="J37" s="29" t="n">
        <f aca="false">MAX(J$5,'P06 Ciwandan Input'!$E$42)</f>
        <v>2028</v>
      </c>
      <c r="K37" s="29" t="n">
        <f aca="false">MAX(K$5,'P06 Ciwandan Input'!$E$42)</f>
        <v>2028</v>
      </c>
      <c r="L37" s="29" t="n">
        <f aca="false">MAX(L$5,'P06 Ciwandan Input'!$E$42)</f>
        <v>2029</v>
      </c>
      <c r="M37" s="29" t="n">
        <f aca="false">MAX(M$5,'P06 Ciwandan Input'!$E$42)</f>
        <v>2030</v>
      </c>
      <c r="N37" s="29" t="n">
        <f aca="false">MAX(N$5,'P06 Ciwandan Input'!$E$42)</f>
        <v>2031</v>
      </c>
      <c r="O37" s="29" t="n">
        <f aca="false">MAX(O$5,'P06 Ciwandan Input'!$E$42)</f>
        <v>2032</v>
      </c>
      <c r="P37" s="29" t="n">
        <f aca="false">MAX(P$5,'P06 Ciwandan Input'!$E$42)</f>
        <v>2033</v>
      </c>
      <c r="Q37" s="29" t="n">
        <f aca="false">MAX(Q$5,'P06 Ciwandan Input'!$E$42)</f>
        <v>2034</v>
      </c>
      <c r="R37" s="29" t="n">
        <f aca="false">MAX(R$5,'P06 Ciwandan Input'!$E$42)</f>
        <v>2035</v>
      </c>
      <c r="S37" s="29" t="n">
        <f aca="false">MAX(S$5,'P06 Ciwandan Input'!$E$42)</f>
        <v>2036</v>
      </c>
    </row>
    <row r="38" customFormat="false" ht="15" hidden="false" customHeight="false" outlineLevel="0" collapsed="false">
      <c r="B38" s="24" t="s">
        <v>1335</v>
      </c>
      <c r="C38" s="25" t="s">
        <v>170</v>
      </c>
      <c r="E38" s="47" t="n">
        <f aca="false">SUM(F38:S38)</f>
        <v>18.388125</v>
      </c>
      <c r="F38" s="47" t="n">
        <f aca="false">IF('Global Inputs'!$E$33=1,SUM($F$34:$S$34)*'P06 Ciwandan Input'!$E$44/'P06 Ciwandan Input'!$E$45*F36,SUMPRODUCT($F$34:$S$34,--($F$37:$S$37&lt;=F$5),--(F$5&lt;$F$37:$S$37+'P06 Ciwandan Input'!$E$45))*'P06 Ciwandan Input'!$E$44/'P06 Ciwandan Input'!$E$45)</f>
        <v>0</v>
      </c>
      <c r="G38" s="47" t="n">
        <f aca="false">IF('Global Inputs'!$E$33=1,SUM($F$34:$S$34)*'P06 Ciwandan Input'!$E$44/'P06 Ciwandan Input'!$E$45*G36,SUMPRODUCT($F$34:$S$34,--($F$37:$S$37&lt;=G$5),--(G$5&lt;$F$37:$S$37+'P06 Ciwandan Input'!$E$45))*'P06 Ciwandan Input'!$E$44/'P06 Ciwandan Input'!$E$45)</f>
        <v>0</v>
      </c>
      <c r="H38" s="47" t="n">
        <f aca="false">IF('Global Inputs'!$E$33=1,SUM($F$34:$S$34)*'P06 Ciwandan Input'!$E$44/'P06 Ciwandan Input'!$E$45*H36,SUMPRODUCT($F$34:$S$34,--($F$37:$S$37&lt;=H$5),--(H$5&lt;$F$37:$S$37+'P06 Ciwandan Input'!$E$45))*'P06 Ciwandan Input'!$E$44/'P06 Ciwandan Input'!$E$45)</f>
        <v>0</v>
      </c>
      <c r="I38" s="47" t="n">
        <f aca="false">IF('Global Inputs'!$E$33=1,SUM($F$34:$S$34)*'P06 Ciwandan Input'!$E$44/'P06 Ciwandan Input'!$E$45*I36,SUMPRODUCT($F$34:$S$34,--($F$37:$S$37&lt;=I$5),--(I$5&lt;$F$37:$S$37+'P06 Ciwandan Input'!$E$45))*'P06 Ciwandan Input'!$E$44/'P06 Ciwandan Input'!$E$45)</f>
        <v>0</v>
      </c>
      <c r="J38" s="47" t="n">
        <f aca="false">IF('Global Inputs'!$E$33=1,SUM($F$34:$S$34)*'P06 Ciwandan Input'!$E$44/'P06 Ciwandan Input'!$E$45*J36,SUMPRODUCT($F$34:$S$34,--($F$37:$S$37&lt;=J$5),--(J$5&lt;$F$37:$S$37+'P06 Ciwandan Input'!$E$45))*'P06 Ciwandan Input'!$E$44/'P06 Ciwandan Input'!$E$45)</f>
        <v>0</v>
      </c>
      <c r="K38" s="47" t="n">
        <f aca="false">IF('Global Inputs'!$E$33=1,SUM($F$34:$S$34)*'P06 Ciwandan Input'!$E$44/'P06 Ciwandan Input'!$E$45*K36,SUMPRODUCT($F$34:$S$34,--($F$37:$S$37&lt;=K$5),--(K$5&lt;$F$37:$S$37+'P06 Ciwandan Input'!$E$45))*'P06 Ciwandan Input'!$E$44/'P06 Ciwandan Input'!$E$45)</f>
        <v>2.043125</v>
      </c>
      <c r="L38" s="47" t="n">
        <f aca="false">IF('Global Inputs'!$E$33=1,SUM($F$34:$S$34)*'P06 Ciwandan Input'!$E$44/'P06 Ciwandan Input'!$E$45*L36,SUMPRODUCT($F$34:$S$34,--($F$37:$S$37&lt;=L$5),--(L$5&lt;$F$37:$S$37+'P06 Ciwandan Input'!$E$45))*'P06 Ciwandan Input'!$E$44/'P06 Ciwandan Input'!$E$45)</f>
        <v>2.043125</v>
      </c>
      <c r="M38" s="47" t="n">
        <f aca="false">IF('Global Inputs'!$E$33=1,SUM($F$34:$S$34)*'P06 Ciwandan Input'!$E$44/'P06 Ciwandan Input'!$E$45*M36,SUMPRODUCT($F$34:$S$34,--($F$37:$S$37&lt;=M$5),--(M$5&lt;$F$37:$S$37+'P06 Ciwandan Input'!$E$45))*'P06 Ciwandan Input'!$E$44/'P06 Ciwandan Input'!$E$45)</f>
        <v>2.043125</v>
      </c>
      <c r="N38" s="47" t="n">
        <f aca="false">IF('Global Inputs'!$E$33=1,SUM($F$34:$S$34)*'P06 Ciwandan Input'!$E$44/'P06 Ciwandan Input'!$E$45*N36,SUMPRODUCT($F$34:$S$34,--($F$37:$S$37&lt;=N$5),--(N$5&lt;$F$37:$S$37+'P06 Ciwandan Input'!$E$45))*'P06 Ciwandan Input'!$E$44/'P06 Ciwandan Input'!$E$45)</f>
        <v>2.043125</v>
      </c>
      <c r="O38" s="47" t="n">
        <f aca="false">IF('Global Inputs'!$E$33=1,SUM($F$34:$S$34)*'P06 Ciwandan Input'!$E$44/'P06 Ciwandan Input'!$E$45*O36,SUMPRODUCT($F$34:$S$34,--($F$37:$S$37&lt;=O$5),--(O$5&lt;$F$37:$S$37+'P06 Ciwandan Input'!$E$45))*'P06 Ciwandan Input'!$E$44/'P06 Ciwandan Input'!$E$45)</f>
        <v>2.043125</v>
      </c>
      <c r="P38" s="47" t="n">
        <f aca="false">IF('Global Inputs'!$E$33=1,SUM($F$34:$S$34)*'P06 Ciwandan Input'!$E$44/'P06 Ciwandan Input'!$E$45*P36,SUMPRODUCT($F$34:$S$34,--($F$37:$S$37&lt;=P$5),--(P$5&lt;$F$37:$S$37+'P06 Ciwandan Input'!$E$45))*'P06 Ciwandan Input'!$E$44/'P06 Ciwandan Input'!$E$45)</f>
        <v>2.043125</v>
      </c>
      <c r="Q38" s="47" t="n">
        <f aca="false">IF('Global Inputs'!$E$33=1,SUM($F$34:$S$34)*'P06 Ciwandan Input'!$E$44/'P06 Ciwandan Input'!$E$45*Q36,SUMPRODUCT($F$34:$S$34,--($F$37:$S$37&lt;=Q$5),--(Q$5&lt;$F$37:$S$37+'P06 Ciwandan Input'!$E$45))*'P06 Ciwandan Input'!$E$44/'P06 Ciwandan Input'!$E$45)</f>
        <v>2.043125</v>
      </c>
      <c r="R38" s="47" t="n">
        <f aca="false">IF('Global Inputs'!$E$33=1,SUM($F$34:$S$34)*'P06 Ciwandan Input'!$E$44/'P06 Ciwandan Input'!$E$45*R36,SUMPRODUCT($F$34:$S$34,--($F$37:$S$37&lt;=R$5),--(R$5&lt;$F$37:$S$37+'P06 Ciwandan Input'!$E$45))*'P06 Ciwandan Input'!$E$44/'P06 Ciwandan Input'!$E$45)</f>
        <v>2.043125</v>
      </c>
      <c r="S38" s="47" t="n">
        <f aca="false">IF('Global Inputs'!$E$33=1,SUM($F$34:$S$34)*'P06 Ciwandan Input'!$E$44/'P06 Ciwandan Input'!$E$45*S36,SUMPRODUCT($F$34:$S$34,--($F$37:$S$37&lt;=S$5),--(S$5&lt;$F$37:$S$37+'P06 Ciwandan Input'!$E$45))*'P06 Ciwandan Input'!$E$44/'P06 Ciwandan Input'!$E$45)</f>
        <v>2.043125</v>
      </c>
      <c r="T38" s="5" t="s">
        <v>1336</v>
      </c>
    </row>
    <row r="39" customFormat="false" ht="15" hidden="false" customHeight="false" outlineLevel="0" collapsed="false">
      <c r="B39" s="24" t="s">
        <v>1337</v>
      </c>
      <c r="C39" s="25" t="s">
        <v>170</v>
      </c>
      <c r="E39" s="47" t="n">
        <f aca="false">SUM(F39:S39)</f>
        <v>40.8625</v>
      </c>
      <c r="F39" s="47" t="n">
        <f aca="false">IF('Global Inputs'!$E$33=1,SUM($F$34:$S$34)*(1-'P06 Ciwandan Input'!$E$44)/'P06 Ciwandan Input'!$E$46*F36,SUMPRODUCT($F$34:$S$34,--($F$37:$S$37&lt;=F$5),--(F$5&lt;$F$37:$S$37+'P06 Ciwandan Input'!$E$46))*(1-'P06 Ciwandan Input'!$E$44)/'P06 Ciwandan Input'!$E$46)</f>
        <v>0</v>
      </c>
      <c r="G39" s="47" t="n">
        <f aca="false">IF('Global Inputs'!$E$33=1,SUM($F$34:$S$34)*(1-'P06 Ciwandan Input'!$E$44)/'P06 Ciwandan Input'!$E$46*G36,SUMPRODUCT($F$34:$S$34,--($F$37:$S$37&lt;=G$5),--(G$5&lt;$F$37:$S$37+'P06 Ciwandan Input'!$E$46))*(1-'P06 Ciwandan Input'!$E$44)/'P06 Ciwandan Input'!$E$46)</f>
        <v>0</v>
      </c>
      <c r="H39" s="47" t="n">
        <f aca="false">IF('Global Inputs'!$E$33=1,SUM($F$34:$S$34)*(1-'P06 Ciwandan Input'!$E$44)/'P06 Ciwandan Input'!$E$46*H36,SUMPRODUCT($F$34:$S$34,--($F$37:$S$37&lt;=H$5),--(H$5&lt;$F$37:$S$37+'P06 Ciwandan Input'!$E$46))*(1-'P06 Ciwandan Input'!$E$44)/'P06 Ciwandan Input'!$E$46)</f>
        <v>0</v>
      </c>
      <c r="I39" s="47" t="n">
        <f aca="false">IF('Global Inputs'!$E$33=1,SUM($F$34:$S$34)*(1-'P06 Ciwandan Input'!$E$44)/'P06 Ciwandan Input'!$E$46*I36,SUMPRODUCT($F$34:$S$34,--($F$37:$S$37&lt;=I$5),--(I$5&lt;$F$37:$S$37+'P06 Ciwandan Input'!$E$46))*(1-'P06 Ciwandan Input'!$E$44)/'P06 Ciwandan Input'!$E$46)</f>
        <v>0</v>
      </c>
      <c r="J39" s="47" t="n">
        <f aca="false">IF('Global Inputs'!$E$33=1,SUM($F$34:$S$34)*(1-'P06 Ciwandan Input'!$E$44)/'P06 Ciwandan Input'!$E$46*J36,SUMPRODUCT($F$34:$S$34,--($F$37:$S$37&lt;=J$5),--(J$5&lt;$F$37:$S$37+'P06 Ciwandan Input'!$E$46))*(1-'P06 Ciwandan Input'!$E$44)/'P06 Ciwandan Input'!$E$46)</f>
        <v>0</v>
      </c>
      <c r="K39" s="47" t="n">
        <f aca="false">IF('Global Inputs'!$E$33=1,SUM($F$34:$S$34)*(1-'P06 Ciwandan Input'!$E$44)/'P06 Ciwandan Input'!$E$46*K36,SUMPRODUCT($F$34:$S$34,--($F$37:$S$37&lt;=K$5),--(K$5&lt;$F$37:$S$37+'P06 Ciwandan Input'!$E$46))*(1-'P06 Ciwandan Input'!$E$44)/'P06 Ciwandan Input'!$E$46)</f>
        <v>5.1078125</v>
      </c>
      <c r="L39" s="47" t="n">
        <f aca="false">IF('Global Inputs'!$E$33=1,SUM($F$34:$S$34)*(1-'P06 Ciwandan Input'!$E$44)/'P06 Ciwandan Input'!$E$46*L36,SUMPRODUCT($F$34:$S$34,--($F$37:$S$37&lt;=L$5),--(L$5&lt;$F$37:$S$37+'P06 Ciwandan Input'!$E$46))*(1-'P06 Ciwandan Input'!$E$44)/'P06 Ciwandan Input'!$E$46)</f>
        <v>5.1078125</v>
      </c>
      <c r="M39" s="47" t="n">
        <f aca="false">IF('Global Inputs'!$E$33=1,SUM($F$34:$S$34)*(1-'P06 Ciwandan Input'!$E$44)/'P06 Ciwandan Input'!$E$46*M36,SUMPRODUCT($F$34:$S$34,--($F$37:$S$37&lt;=M$5),--(M$5&lt;$F$37:$S$37+'P06 Ciwandan Input'!$E$46))*(1-'P06 Ciwandan Input'!$E$44)/'P06 Ciwandan Input'!$E$46)</f>
        <v>5.1078125</v>
      </c>
      <c r="N39" s="47" t="n">
        <f aca="false">IF('Global Inputs'!$E$33=1,SUM($F$34:$S$34)*(1-'P06 Ciwandan Input'!$E$44)/'P06 Ciwandan Input'!$E$46*N36,SUMPRODUCT($F$34:$S$34,--($F$37:$S$37&lt;=N$5),--(N$5&lt;$F$37:$S$37+'P06 Ciwandan Input'!$E$46))*(1-'P06 Ciwandan Input'!$E$44)/'P06 Ciwandan Input'!$E$46)</f>
        <v>5.1078125</v>
      </c>
      <c r="O39" s="47" t="n">
        <f aca="false">IF('Global Inputs'!$E$33=1,SUM($F$34:$S$34)*(1-'P06 Ciwandan Input'!$E$44)/'P06 Ciwandan Input'!$E$46*O36,SUMPRODUCT($F$34:$S$34,--($F$37:$S$37&lt;=O$5),--(O$5&lt;$F$37:$S$37+'P06 Ciwandan Input'!$E$46))*(1-'P06 Ciwandan Input'!$E$44)/'P06 Ciwandan Input'!$E$46)</f>
        <v>5.1078125</v>
      </c>
      <c r="P39" s="47" t="n">
        <f aca="false">IF('Global Inputs'!$E$33=1,SUM($F$34:$S$34)*(1-'P06 Ciwandan Input'!$E$44)/'P06 Ciwandan Input'!$E$46*P36,SUMPRODUCT($F$34:$S$34,--($F$37:$S$37&lt;=P$5),--(P$5&lt;$F$37:$S$37+'P06 Ciwandan Input'!$E$46))*(1-'P06 Ciwandan Input'!$E$44)/'P06 Ciwandan Input'!$E$46)</f>
        <v>5.1078125</v>
      </c>
      <c r="Q39" s="47" t="n">
        <f aca="false">IF('Global Inputs'!$E$33=1,SUM($F$34:$S$34)*(1-'P06 Ciwandan Input'!$E$44)/'P06 Ciwandan Input'!$E$46*Q36,SUMPRODUCT($F$34:$S$34,--($F$37:$S$37&lt;=Q$5),--(Q$5&lt;$F$37:$S$37+'P06 Ciwandan Input'!$E$46))*(1-'P06 Ciwandan Input'!$E$44)/'P06 Ciwandan Input'!$E$46)</f>
        <v>5.1078125</v>
      </c>
      <c r="R39" s="47" t="n">
        <f aca="false">IF('Global Inputs'!$E$33=1,SUM($F$34:$S$34)*(1-'P06 Ciwandan Input'!$E$44)/'P06 Ciwandan Input'!$E$46*R36,SUMPRODUCT($F$34:$S$34,--($F$37:$S$37&lt;=R$5),--(R$5&lt;$F$37:$S$37+'P06 Ciwandan Input'!$E$46))*(1-'P06 Ciwandan Input'!$E$44)/'P06 Ciwandan Input'!$E$46)</f>
        <v>5.1078125</v>
      </c>
      <c r="S39" s="47" t="n">
        <f aca="false">IF('Global Inputs'!$E$33=1,SUM($F$34:$S$34)*(1-'P06 Ciwandan Input'!$E$44)/'P06 Ciwandan Input'!$E$46*S36,SUMPRODUCT($F$34:$S$34,--($F$37:$S$37&lt;=S$5),--(S$5&lt;$F$37:$S$37+'P06 Ciwandan Input'!$E$46))*(1-'P06 Ciwandan Input'!$E$44)/'P06 Ciwandan Input'!$E$46)</f>
        <v>0</v>
      </c>
    </row>
    <row r="40" customFormat="false" ht="15" hidden="false" customHeight="false" outlineLevel="0" collapsed="false">
      <c r="B40" s="24" t="s">
        <v>1338</v>
      </c>
      <c r="C40" s="25" t="s">
        <v>170</v>
      </c>
      <c r="E40" s="47" t="n">
        <f aca="false">SUM(F40:S40)</f>
        <v>59.250625</v>
      </c>
      <c r="F40" s="47" t="n">
        <f aca="false">F38+F39</f>
        <v>0</v>
      </c>
      <c r="G40" s="47" t="n">
        <f aca="false">G38+G39</f>
        <v>0</v>
      </c>
      <c r="H40" s="47" t="n">
        <f aca="false">H38+H39</f>
        <v>0</v>
      </c>
      <c r="I40" s="47" t="n">
        <f aca="false">I38+I39</f>
        <v>0</v>
      </c>
      <c r="J40" s="47" t="n">
        <f aca="false">J38+J39</f>
        <v>0</v>
      </c>
      <c r="K40" s="47" t="n">
        <f aca="false">K38+K39</f>
        <v>7.1509375</v>
      </c>
      <c r="L40" s="47" t="n">
        <f aca="false">L38+L39</f>
        <v>7.1509375</v>
      </c>
      <c r="M40" s="47" t="n">
        <f aca="false">M38+M39</f>
        <v>7.1509375</v>
      </c>
      <c r="N40" s="47" t="n">
        <f aca="false">N38+N39</f>
        <v>7.1509375</v>
      </c>
      <c r="O40" s="47" t="n">
        <f aca="false">O38+O39</f>
        <v>7.1509375</v>
      </c>
      <c r="P40" s="47" t="n">
        <f aca="false">P38+P39</f>
        <v>7.1509375</v>
      </c>
      <c r="Q40" s="47" t="n">
        <f aca="false">Q38+Q39</f>
        <v>7.1509375</v>
      </c>
      <c r="R40" s="47" t="n">
        <f aca="false">R38+R39</f>
        <v>7.1509375</v>
      </c>
      <c r="S40" s="47" t="n">
        <f aca="false">S38+S39</f>
        <v>2.043125</v>
      </c>
    </row>
    <row r="41" customFormat="false" ht="15" hidden="false" customHeight="false" outlineLevel="0" collapsed="false">
      <c r="B41" s="24" t="s">
        <v>1339</v>
      </c>
      <c r="C41" s="25" t="s">
        <v>170</v>
      </c>
      <c r="F41" s="47" t="n">
        <f aca="false">F34</f>
        <v>0</v>
      </c>
      <c r="G41" s="47" t="n">
        <f aca="false">F41+G34-G40</f>
        <v>0</v>
      </c>
      <c r="H41" s="47" t="n">
        <f aca="false">G41+H34-H40</f>
        <v>0</v>
      </c>
      <c r="I41" s="47" t="n">
        <f aca="false">H41+I34-I40</f>
        <v>40.8625</v>
      </c>
      <c r="J41" s="47" t="n">
        <f aca="false">I41+J34-J40</f>
        <v>81.725</v>
      </c>
      <c r="K41" s="47" t="n">
        <f aca="false">J41+K34-K40</f>
        <v>74.5740625</v>
      </c>
      <c r="L41" s="47" t="n">
        <f aca="false">K41+L34-L40</f>
        <v>67.423125</v>
      </c>
      <c r="M41" s="47" t="n">
        <f aca="false">L41+M34-M40</f>
        <v>60.2721875</v>
      </c>
      <c r="N41" s="47" t="n">
        <f aca="false">M41+N34-N40</f>
        <v>53.12125</v>
      </c>
      <c r="O41" s="47" t="n">
        <f aca="false">N41+O34-O40</f>
        <v>45.9703125</v>
      </c>
      <c r="P41" s="47" t="n">
        <f aca="false">O41+P34-P40</f>
        <v>38.819375</v>
      </c>
      <c r="Q41" s="47" t="n">
        <f aca="false">P41+Q34-Q40</f>
        <v>31.6684375</v>
      </c>
      <c r="R41" s="47" t="n">
        <f aca="false">Q41+R34-R40</f>
        <v>24.5175</v>
      </c>
      <c r="S41" s="47" t="n">
        <f aca="false">R41+S34-S40</f>
        <v>22.474375</v>
      </c>
    </row>
    <row r="42" customFormat="false" ht="15" hidden="false" customHeight="false" outlineLevel="0" collapsed="false">
      <c r="B42" s="24" t="s">
        <v>1340</v>
      </c>
      <c r="C42" s="25" t="s">
        <v>143</v>
      </c>
      <c r="F42" s="30" t="n">
        <f aca="false">IF(F34&gt;0,1,0)</f>
        <v>0</v>
      </c>
      <c r="G42" s="30" t="n">
        <f aca="false">IF(AND(G35&gt;0,F35=0),1,0)</f>
        <v>0</v>
      </c>
      <c r="H42" s="30" t="n">
        <f aca="false">IF(AND(H35&gt;0,G35=0),1,0)</f>
        <v>0</v>
      </c>
      <c r="I42" s="30" t="n">
        <f aca="false">IF(AND(I35&gt;0,H35=0),1,0)</f>
        <v>1</v>
      </c>
      <c r="J42" s="30" t="n">
        <f aca="false">IF(AND(J35&gt;0,I35=0),1,0)</f>
        <v>0</v>
      </c>
      <c r="K42" s="30" t="n">
        <f aca="false">IF(AND(K35&gt;0,J35=0),1,0)</f>
        <v>0</v>
      </c>
      <c r="L42" s="30" t="n">
        <f aca="false">IF(AND(L35&gt;0,K35=0),1,0)</f>
        <v>0</v>
      </c>
      <c r="M42" s="30" t="n">
        <f aca="false">IF(AND(M35&gt;0,L35=0),1,0)</f>
        <v>0</v>
      </c>
      <c r="N42" s="30" t="n">
        <f aca="false">IF(AND(N35&gt;0,M35=0),1,0)</f>
        <v>0</v>
      </c>
      <c r="O42" s="30" t="n">
        <f aca="false">IF(AND(O35&gt;0,N35=0),1,0)</f>
        <v>0</v>
      </c>
      <c r="P42" s="30" t="n">
        <f aca="false">IF(AND(P35&gt;0,O35=0),1,0)</f>
        <v>0</v>
      </c>
      <c r="Q42" s="30" t="n">
        <f aca="false">IF(AND(Q35&gt;0,P35=0),1,0)</f>
        <v>0</v>
      </c>
      <c r="R42" s="30" t="n">
        <f aca="false">IF(AND(R35&gt;0,Q35=0),1,0)</f>
        <v>0</v>
      </c>
      <c r="S42" s="30" t="n">
        <f aca="false">IF(AND(S35&gt;0,R35=0),1,0)</f>
        <v>0</v>
      </c>
    </row>
    <row r="43" customFormat="false" ht="15" hidden="false" customHeight="false" outlineLevel="0" collapsed="false">
      <c r="B43" s="69" t="s">
        <v>1094</v>
      </c>
      <c r="C43" s="25" t="s">
        <v>170</v>
      </c>
      <c r="E43" s="70" t="n">
        <f aca="false">SUM(F43:S43)</f>
        <v>59.250625</v>
      </c>
      <c r="F43" s="68" t="n">
        <f aca="false">F40</f>
        <v>0</v>
      </c>
      <c r="G43" s="68" t="n">
        <f aca="false">G40</f>
        <v>0</v>
      </c>
      <c r="H43" s="68" t="n">
        <f aca="false">H40</f>
        <v>0</v>
      </c>
      <c r="I43" s="68" t="n">
        <f aca="false">I40</f>
        <v>0</v>
      </c>
      <c r="J43" s="68" t="n">
        <f aca="false">J40</f>
        <v>0</v>
      </c>
      <c r="K43" s="68" t="n">
        <f aca="false">K40</f>
        <v>7.1509375</v>
      </c>
      <c r="L43" s="68" t="n">
        <f aca="false">L40</f>
        <v>7.1509375</v>
      </c>
      <c r="M43" s="68" t="n">
        <f aca="false">M40</f>
        <v>7.1509375</v>
      </c>
      <c r="N43" s="68" t="n">
        <f aca="false">N40</f>
        <v>7.1509375</v>
      </c>
      <c r="O43" s="68" t="n">
        <f aca="false">O40</f>
        <v>7.1509375</v>
      </c>
      <c r="P43" s="68" t="n">
        <f aca="false">P40</f>
        <v>7.1509375</v>
      </c>
      <c r="Q43" s="68" t="n">
        <f aca="false">Q40</f>
        <v>7.1509375</v>
      </c>
      <c r="R43" s="68" t="n">
        <f aca="false">R40</f>
        <v>7.1509375</v>
      </c>
      <c r="S43" s="68" t="n">
        <f aca="false">S40</f>
        <v>2.043125</v>
      </c>
    </row>
    <row r="45" customFormat="false" ht="15" hidden="false" customHeight="false" outlineLevel="0" collapsed="false">
      <c r="B45" s="22" t="s">
        <v>1829</v>
      </c>
      <c r="C45" s="23"/>
      <c r="D45" s="23"/>
      <c r="E45" s="23"/>
      <c r="F45" s="23"/>
      <c r="G45" s="23"/>
      <c r="H45" s="23"/>
      <c r="I45" s="23"/>
      <c r="J45" s="23"/>
      <c r="K45" s="23"/>
      <c r="L45" s="23"/>
      <c r="M45" s="23"/>
      <c r="N45" s="23"/>
      <c r="O45" s="23"/>
      <c r="P45" s="23"/>
      <c r="Q45" s="23"/>
      <c r="R45" s="23"/>
      <c r="S45" s="23"/>
    </row>
    <row r="46" customFormat="false" ht="15" hidden="false" customHeight="false" outlineLevel="0" collapsed="false">
      <c r="B46" s="24" t="s">
        <v>1096</v>
      </c>
      <c r="C46" s="25" t="s">
        <v>170</v>
      </c>
      <c r="F46" s="47" t="n">
        <f aca="false">0</f>
        <v>0</v>
      </c>
      <c r="G46" s="47" t="n">
        <f aca="false">G17*'Global Inputs'!$E$28/G$7</f>
        <v>0</v>
      </c>
      <c r="H46" s="47" t="n">
        <f aca="false">H17*'Global Inputs'!$E$28/H$7</f>
        <v>0</v>
      </c>
      <c r="I46" s="47" t="n">
        <f aca="false">I17*'Global Inputs'!$E$28/I$7</f>
        <v>0</v>
      </c>
      <c r="J46" s="47" t="n">
        <f aca="false">J17*'Global Inputs'!$E$28/J$7</f>
        <v>0</v>
      </c>
      <c r="K46" s="47" t="n">
        <f aca="false">K17*'Global Inputs'!$E$28/K$7</f>
        <v>7.16284912965178</v>
      </c>
      <c r="L46" s="47" t="n">
        <f aca="false">L17*'Global Inputs'!$E$28/L$7</f>
        <v>9.48086485347224</v>
      </c>
      <c r="M46" s="47" t="n">
        <f aca="false">M17*'Global Inputs'!$E$28/M$7</f>
        <v>10.4289513388195</v>
      </c>
      <c r="N46" s="47" t="n">
        <f aca="false">N17*'Global Inputs'!$E$28/N$7</f>
        <v>12.6190311199716</v>
      </c>
      <c r="O46" s="47" t="n">
        <f aca="false">O17*'Global Inputs'!$E$28/O$7</f>
        <v>13.3396260664399</v>
      </c>
      <c r="P46" s="47" t="n">
        <f aca="false">P17*'Global Inputs'!$E$28/P$7</f>
        <v>15.029467968384</v>
      </c>
      <c r="Q46" s="47" t="n">
        <f aca="false">Q17*'Global Inputs'!$E$28/Q$7</f>
        <v>15.9312360464871</v>
      </c>
      <c r="R46" s="47" t="n">
        <f aca="false">R17*'Global Inputs'!$E$28/R$7</f>
        <v>17.9003368218329</v>
      </c>
      <c r="S46" s="47" t="n">
        <f aca="false">S17*'Global Inputs'!$E$28/S$7</f>
        <v>18.9225145255933</v>
      </c>
    </row>
    <row r="47" customFormat="false" ht="15" hidden="false" customHeight="false" outlineLevel="0" collapsed="false">
      <c r="B47" s="24" t="s">
        <v>1098</v>
      </c>
      <c r="C47" s="25" t="s">
        <v>170</v>
      </c>
      <c r="F47" s="47" t="n">
        <f aca="false">0</f>
        <v>0</v>
      </c>
      <c r="G47" s="47" t="n">
        <f aca="false">G23*'Global Inputs'!$E$29/G$7</f>
        <v>0</v>
      </c>
      <c r="H47" s="47" t="n">
        <f aca="false">H23*'Global Inputs'!$E$29/H$7</f>
        <v>0</v>
      </c>
      <c r="I47" s="47" t="n">
        <f aca="false">I23*'Global Inputs'!$E$29/I$7</f>
        <v>0</v>
      </c>
      <c r="J47" s="47" t="n">
        <f aca="false">J23*'Global Inputs'!$E$29/J$7</f>
        <v>0</v>
      </c>
      <c r="K47" s="47" t="n">
        <f aca="false">K23*'Global Inputs'!$E$29/K$7</f>
        <v>1.23445621741445</v>
      </c>
      <c r="L47" s="47" t="n">
        <f aca="false">L23*'Global Inputs'!$E$29/L$7</f>
        <v>1.50356142997951</v>
      </c>
      <c r="M47" s="47" t="n">
        <f aca="false">M23*'Global Inputs'!$E$29/M$7</f>
        <v>1.67107265400128</v>
      </c>
      <c r="N47" s="47" t="n">
        <f aca="false">N23*'Global Inputs'!$E$29/N$7</f>
        <v>1.92785990546391</v>
      </c>
      <c r="O47" s="47" t="n">
        <f aca="false">O23*'Global Inputs'!$E$29/O$7</f>
        <v>2.06390537285994</v>
      </c>
      <c r="P47" s="47" t="n">
        <f aca="false">P23*'Global Inputs'!$E$29/P$7</f>
        <v>2.21813443179548</v>
      </c>
      <c r="Q47" s="47" t="n">
        <f aca="false">Q23*'Global Inputs'!$E$29/Q$7</f>
        <v>2.37801177645313</v>
      </c>
      <c r="R47" s="47" t="n">
        <f aca="false">R23*'Global Inputs'!$E$29/R$7</f>
        <v>2.70309293351164</v>
      </c>
      <c r="S47" s="47" t="n">
        <f aca="false">S23*'Global Inputs'!$E$29/S$7</f>
        <v>2.89152899998023</v>
      </c>
    </row>
    <row r="48" customFormat="false" ht="15" hidden="false" customHeight="false" outlineLevel="0" collapsed="false">
      <c r="B48" s="24" t="s">
        <v>1099</v>
      </c>
      <c r="C48" s="25" t="s">
        <v>170</v>
      </c>
      <c r="F48" s="47" t="n">
        <f aca="false">F46-F47</f>
        <v>0</v>
      </c>
      <c r="G48" s="47" t="n">
        <f aca="false">G46-G47</f>
        <v>0</v>
      </c>
      <c r="H48" s="47" t="n">
        <f aca="false">H46-H47</f>
        <v>0</v>
      </c>
      <c r="I48" s="47" t="n">
        <f aca="false">I46-I47</f>
        <v>0</v>
      </c>
      <c r="J48" s="47" t="n">
        <f aca="false">J46-J47</f>
        <v>0</v>
      </c>
      <c r="K48" s="47" t="n">
        <f aca="false">K46-K47</f>
        <v>5.92839291223733</v>
      </c>
      <c r="L48" s="47" t="n">
        <f aca="false">L46-L47</f>
        <v>7.97730342349273</v>
      </c>
      <c r="M48" s="47" t="n">
        <f aca="false">M46-M47</f>
        <v>8.75787868481818</v>
      </c>
      <c r="N48" s="47" t="n">
        <f aca="false">N46-N47</f>
        <v>10.6911712145076</v>
      </c>
      <c r="O48" s="47" t="n">
        <f aca="false">O46-O47</f>
        <v>11.2757206935799</v>
      </c>
      <c r="P48" s="47" t="n">
        <f aca="false">P46-P47</f>
        <v>12.8113335365886</v>
      </c>
      <c r="Q48" s="47" t="n">
        <f aca="false">Q46-Q47</f>
        <v>13.553224270034</v>
      </c>
      <c r="R48" s="47" t="n">
        <f aca="false">R46-R47</f>
        <v>15.1972438883213</v>
      </c>
      <c r="S48" s="47" t="n">
        <f aca="false">S46-S47</f>
        <v>16.0309855256131</v>
      </c>
    </row>
    <row r="49" customFormat="false" ht="15" hidden="false" customHeight="false" outlineLevel="0" collapsed="false">
      <c r="B49" s="24" t="s">
        <v>1100</v>
      </c>
      <c r="C49" s="25" t="s">
        <v>170</v>
      </c>
      <c r="E49" s="47" t="n">
        <f aca="false">SUM(F49:S49)</f>
        <v>16.0309855256131</v>
      </c>
      <c r="F49" s="47" t="n">
        <f aca="false">0</f>
        <v>0</v>
      </c>
      <c r="G49" s="47" t="n">
        <f aca="false">G48-F48</f>
        <v>0</v>
      </c>
      <c r="H49" s="47" t="n">
        <f aca="false">H48-G48</f>
        <v>0</v>
      </c>
      <c r="I49" s="47" t="n">
        <f aca="false">I48-H48</f>
        <v>0</v>
      </c>
      <c r="J49" s="47" t="n">
        <f aca="false">J48-I48</f>
        <v>0</v>
      </c>
      <c r="K49" s="47" t="n">
        <f aca="false">K48-J48</f>
        <v>5.92839291223733</v>
      </c>
      <c r="L49" s="47" t="n">
        <f aca="false">L48-K48</f>
        <v>2.0489105112554</v>
      </c>
      <c r="M49" s="47" t="n">
        <f aca="false">M48-L48</f>
        <v>0.780575261325453</v>
      </c>
      <c r="N49" s="47" t="n">
        <f aca="false">N48-M48</f>
        <v>1.93329252968946</v>
      </c>
      <c r="O49" s="47" t="n">
        <f aca="false">O48-N48</f>
        <v>0.584549479072292</v>
      </c>
      <c r="P49" s="47" t="n">
        <f aca="false">P48-O48</f>
        <v>1.53561284300863</v>
      </c>
      <c r="Q49" s="47" t="n">
        <f aca="false">Q48-P48</f>
        <v>0.741890733445395</v>
      </c>
      <c r="R49" s="47" t="n">
        <f aca="false">R48-Q48</f>
        <v>1.6440196182873</v>
      </c>
      <c r="S49" s="47" t="n">
        <f aca="false">S48-R48</f>
        <v>0.833741637291814</v>
      </c>
    </row>
  </sheetData>
  <hyperlinks>
    <hyperlink ref="C3" r:id="rId1" location="'P06%20Ciwandan%20Input'!A1" display="Input"/>
    <hyperlink ref="D3" r:id="rId2" location="'P06%20Ciwandan%20Calc'!A1" display="Calc"/>
    <hyperlink ref="E3" r:id="rId3" location="'P06%20Ciwandan%20Output'!A1" display="Output"/>
    <hyperlink ref="F3" r:id="rId4" location="'Navigation'!A1" display="Navigation"/>
    <hyperlink ref="G3" r:id="rId5" location="'Global%20Inputs'!A1" display="Global Inputs"/>
    <hyperlink ref="H3" r:id="rId6" location="'Project%20Summary'!A1" display="Project Summary"/>
    <hyperlink ref="I3" r:id="rId7" location="'Funding%20Requirement'!A1" display="Funding"/>
    <hyperlink ref="J3" r:id="rId8" location="'FSL%20Financials%20—%20Without%20BUMN'!A1" display="FSL w/o BUMN"/>
    <hyperlink ref="K3" r:id="rId9" location="'FSL%20Financials%20—%20With%20BUMN'!A1" display="FSL w/ BUMN"/>
    <hyperlink ref="L3" r:id="rId10" location="'Valuation%20—%20Without%20BUMN'!A1" display="Val w/o BUMN"/>
    <hyperlink ref="M3" r:id="rId11" location="'Valuation%20—%20With%20BUMN'!A1" display="Val w/ BUMN"/>
    <hyperlink ref="N3" r:id="rId12" location="'Checks'!A1" display="Checks"/>
    <hyperlink ref="O3" r:id="rId13" location="'Model%20Flow'!A1" display="Model Flow"/>
  </hyperlink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9D08E"/>
    <pageSetUpPr fitToPage="true"/>
  </sheetPr>
  <dimension ref="B1:U6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5" ySplit="9" topLeftCell="F10" activePane="bottomRight" state="frozen"/>
      <selection pane="topLeft" activeCell="A1" activeCellId="0" sqref="A1"/>
      <selection pane="topRight" activeCell="F1" activeCellId="0" sqref="F1"/>
      <selection pane="bottomLeft" activeCell="A10" activeCellId="0" sqref="A10"/>
      <selection pane="bottomRigh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66"/>
    <col collapsed="false" customWidth="true" hidden="false" outlineLevel="0" max="3" min="3" style="0" width="11"/>
    <col collapsed="false" customWidth="true" hidden="false" outlineLevel="0" max="4" min="4" style="0" width="12"/>
    <col collapsed="false" customWidth="true" hidden="false" outlineLevel="0" max="5" min="5" style="0" width="13"/>
    <col collapsed="false" customWidth="true" hidden="false" outlineLevel="0" max="19" min="6" style="0" width="11.5"/>
    <col collapsed="false" customWidth="true" hidden="false" outlineLevel="0" max="20" min="20" style="0" width="40"/>
    <col collapsed="false" customWidth="true" hidden="false" outlineLevel="0" max="21" min="21" style="0" width="48"/>
  </cols>
  <sheetData>
    <row r="1" customFormat="false" ht="21.75" hidden="false" customHeight="true" outlineLevel="0" collapsed="false">
      <c r="B1" s="1" t="s">
        <v>2108</v>
      </c>
    </row>
    <row r="2" customFormat="false" ht="15" hidden="false" customHeight="false" outlineLevel="0" collapsed="false">
      <c r="B2" s="2" t="s">
        <v>1102</v>
      </c>
    </row>
    <row r="3" customFormat="false" ht="15" hidden="false" customHeight="false" outlineLevel="0" collapsed="false">
      <c r="B3" s="5" t="s">
        <v>112</v>
      </c>
      <c r="C3" s="17" t="s">
        <v>27</v>
      </c>
      <c r="D3" s="17" t="s">
        <v>28</v>
      </c>
      <c r="E3" s="17" t="s">
        <v>29</v>
      </c>
      <c r="F3" s="17" t="s">
        <v>113</v>
      </c>
      <c r="G3" s="17" t="s">
        <v>5</v>
      </c>
      <c r="H3" s="17" t="s">
        <v>7</v>
      </c>
      <c r="I3" s="17" t="s">
        <v>114</v>
      </c>
      <c r="J3" s="17" t="s">
        <v>115</v>
      </c>
      <c r="K3" s="17" t="s">
        <v>116</v>
      </c>
      <c r="L3" s="17" t="s">
        <v>117</v>
      </c>
      <c r="M3" s="17" t="s">
        <v>118</v>
      </c>
      <c r="N3" s="17" t="s">
        <v>21</v>
      </c>
      <c r="O3" s="17" t="s">
        <v>3</v>
      </c>
    </row>
    <row r="5" customFormat="false" ht="15" hidden="false" customHeight="false" outlineLevel="0" collapsed="false">
      <c r="B5" s="6" t="s">
        <v>119</v>
      </c>
      <c r="C5" s="6" t="s">
        <v>120</v>
      </c>
      <c r="D5" s="6" t="s">
        <v>121</v>
      </c>
      <c r="E5" s="6" t="s">
        <v>122</v>
      </c>
      <c r="F5" s="18" t="n">
        <f aca="false">'Global Inputs'!F$5</f>
        <v>2023</v>
      </c>
      <c r="G5" s="18" t="n">
        <f aca="false">'Global Inputs'!G$5</f>
        <v>2024</v>
      </c>
      <c r="H5" s="18" t="n">
        <f aca="false">'Global Inputs'!H$5</f>
        <v>2025</v>
      </c>
      <c r="I5" s="18" t="n">
        <f aca="false">'Global Inputs'!I$5</f>
        <v>2026</v>
      </c>
      <c r="J5" s="18" t="n">
        <f aca="false">'Global Inputs'!J$5</f>
        <v>2027</v>
      </c>
      <c r="K5" s="18" t="n">
        <f aca="false">'Global Inputs'!K$5</f>
        <v>2028</v>
      </c>
      <c r="L5" s="18" t="n">
        <f aca="false">'Global Inputs'!L$5</f>
        <v>2029</v>
      </c>
      <c r="M5" s="18" t="n">
        <f aca="false">'Global Inputs'!M$5</f>
        <v>2030</v>
      </c>
      <c r="N5" s="18" t="n">
        <f aca="false">'Global Inputs'!N$5</f>
        <v>2031</v>
      </c>
      <c r="O5" s="18" t="n">
        <f aca="false">'Global Inputs'!O$5</f>
        <v>2032</v>
      </c>
      <c r="P5" s="18" t="n">
        <f aca="false">'Global Inputs'!P$5</f>
        <v>2033</v>
      </c>
      <c r="Q5" s="18" t="n">
        <f aca="false">'Global Inputs'!Q$5</f>
        <v>2034</v>
      </c>
      <c r="R5" s="18" t="n">
        <f aca="false">'Global Inputs'!R$5</f>
        <v>2035</v>
      </c>
      <c r="S5" s="18" t="n">
        <f aca="false">'Global Inputs'!S$5</f>
        <v>2036</v>
      </c>
      <c r="T5" s="6" t="s">
        <v>123</v>
      </c>
      <c r="U5" s="6" t="s">
        <v>124</v>
      </c>
    </row>
    <row r="6" customFormat="false" ht="15" hidden="false" customHeight="false" outlineLevel="0" collapsed="false">
      <c r="B6" s="19" t="s">
        <v>125</v>
      </c>
      <c r="F6" s="20" t="n">
        <f aca="false">'Global Inputs'!F$6</f>
        <v>45291</v>
      </c>
      <c r="G6" s="20" t="n">
        <f aca="false">'Global Inputs'!G$6</f>
        <v>45657</v>
      </c>
      <c r="H6" s="20" t="n">
        <f aca="false">'Global Inputs'!H$6</f>
        <v>46022</v>
      </c>
      <c r="I6" s="20" t="n">
        <f aca="false">'Global Inputs'!I$6</f>
        <v>46387</v>
      </c>
      <c r="J6" s="20" t="n">
        <f aca="false">'Global Inputs'!J$6</f>
        <v>46752</v>
      </c>
      <c r="K6" s="20" t="n">
        <f aca="false">'Global Inputs'!K$6</f>
        <v>47118</v>
      </c>
      <c r="L6" s="20" t="n">
        <f aca="false">'Global Inputs'!L$6</f>
        <v>47483</v>
      </c>
      <c r="M6" s="20" t="n">
        <f aca="false">'Global Inputs'!M$6</f>
        <v>47848</v>
      </c>
      <c r="N6" s="20" t="n">
        <f aca="false">'Global Inputs'!N$6</f>
        <v>48213</v>
      </c>
      <c r="O6" s="20" t="n">
        <f aca="false">'Global Inputs'!O$6</f>
        <v>48579</v>
      </c>
      <c r="P6" s="20" t="n">
        <f aca="false">'Global Inputs'!P$6</f>
        <v>48944</v>
      </c>
      <c r="Q6" s="20" t="n">
        <f aca="false">'Global Inputs'!Q$6</f>
        <v>49309</v>
      </c>
      <c r="R6" s="20" t="n">
        <f aca="false">'Global Inputs'!R$6</f>
        <v>49674</v>
      </c>
      <c r="S6" s="20" t="n">
        <f aca="false">'Global Inputs'!S$6</f>
        <v>50040</v>
      </c>
    </row>
    <row r="7" customFormat="false" ht="15" hidden="false" customHeight="false" outlineLevel="0" collapsed="false">
      <c r="B7" s="19" t="s">
        <v>126</v>
      </c>
      <c r="F7" s="21" t="n">
        <f aca="false">'Global Inputs'!F$7</f>
        <v>365</v>
      </c>
      <c r="G7" s="21" t="n">
        <f aca="false">'Global Inputs'!G$7</f>
        <v>366</v>
      </c>
      <c r="H7" s="21" t="n">
        <f aca="false">'Global Inputs'!H$7</f>
        <v>365</v>
      </c>
      <c r="I7" s="21" t="n">
        <f aca="false">'Global Inputs'!I$7</f>
        <v>365</v>
      </c>
      <c r="J7" s="21" t="n">
        <f aca="false">'Global Inputs'!J$7</f>
        <v>365</v>
      </c>
      <c r="K7" s="21" t="n">
        <f aca="false">'Global Inputs'!K$7</f>
        <v>366</v>
      </c>
      <c r="L7" s="21" t="n">
        <f aca="false">'Global Inputs'!L$7</f>
        <v>365</v>
      </c>
      <c r="M7" s="21" t="n">
        <f aca="false">'Global Inputs'!M$7</f>
        <v>365</v>
      </c>
      <c r="N7" s="21" t="n">
        <f aca="false">'Global Inputs'!N$7</f>
        <v>365</v>
      </c>
      <c r="O7" s="21" t="n">
        <f aca="false">'Global Inputs'!O$7</f>
        <v>366</v>
      </c>
      <c r="P7" s="21" t="n">
        <f aca="false">'Global Inputs'!P$7</f>
        <v>365</v>
      </c>
      <c r="Q7" s="21" t="n">
        <f aca="false">'Global Inputs'!Q$7</f>
        <v>365</v>
      </c>
      <c r="R7" s="21" t="n">
        <f aca="false">'Global Inputs'!R$7</f>
        <v>365</v>
      </c>
      <c r="S7" s="21" t="n">
        <f aca="false">'Global Inputs'!S$7</f>
        <v>366</v>
      </c>
    </row>
    <row r="8" customFormat="false" ht="15" hidden="false" customHeight="false" outlineLevel="0" collapsed="false">
      <c r="B8" s="19" t="s">
        <v>127</v>
      </c>
      <c r="F8" s="21" t="n">
        <f aca="false">'Global Inputs'!F$8</f>
        <v>0</v>
      </c>
      <c r="G8" s="21" t="n">
        <f aca="false">'Global Inputs'!G$8</f>
        <v>1</v>
      </c>
      <c r="H8" s="21" t="n">
        <f aca="false">'Global Inputs'!H$8</f>
        <v>1</v>
      </c>
      <c r="I8" s="21" t="n">
        <f aca="false">'Global Inputs'!I$8</f>
        <v>1</v>
      </c>
      <c r="J8" s="21" t="n">
        <f aca="false">'Global Inputs'!J$8</f>
        <v>1</v>
      </c>
      <c r="K8" s="21" t="n">
        <f aca="false">'Global Inputs'!K$8</f>
        <v>1</v>
      </c>
      <c r="L8" s="21" t="n">
        <f aca="false">'Global Inputs'!L$8</f>
        <v>1</v>
      </c>
      <c r="M8" s="21" t="n">
        <f aca="false">'Global Inputs'!M$8</f>
        <v>1</v>
      </c>
      <c r="N8" s="21" t="n">
        <f aca="false">'Global Inputs'!N$8</f>
        <v>1</v>
      </c>
      <c r="O8" s="21" t="n">
        <f aca="false">'Global Inputs'!O$8</f>
        <v>1</v>
      </c>
      <c r="P8" s="21" t="n">
        <f aca="false">'Global Inputs'!P$8</f>
        <v>1</v>
      </c>
      <c r="Q8" s="21" t="n">
        <f aca="false">'Global Inputs'!Q$8</f>
        <v>1</v>
      </c>
      <c r="R8" s="21" t="n">
        <f aca="false">'Global Inputs'!R$8</f>
        <v>1</v>
      </c>
      <c r="S8" s="21" t="n">
        <f aca="false">'Global Inputs'!S$8</f>
        <v>1</v>
      </c>
    </row>
    <row r="10" customFormat="false" ht="15" hidden="false" customHeight="false" outlineLevel="0" collapsed="false">
      <c r="B10" s="22" t="s">
        <v>1103</v>
      </c>
      <c r="C10" s="23"/>
      <c r="D10" s="23"/>
      <c r="E10" s="23"/>
      <c r="F10" s="23"/>
      <c r="G10" s="23"/>
      <c r="H10" s="23"/>
      <c r="I10" s="23"/>
      <c r="J10" s="23"/>
      <c r="K10" s="23"/>
      <c r="L10" s="23"/>
      <c r="M10" s="23"/>
      <c r="N10" s="23"/>
      <c r="O10" s="23"/>
      <c r="P10" s="23"/>
      <c r="Q10" s="23"/>
      <c r="R10" s="23"/>
      <c r="S10" s="23"/>
    </row>
    <row r="11" customFormat="false" ht="15" hidden="false" customHeight="false" outlineLevel="0" collapsed="false">
      <c r="B11" s="24" t="s">
        <v>345</v>
      </c>
      <c r="C11" s="25" t="s">
        <v>170</v>
      </c>
      <c r="E11" s="47" t="n">
        <f aca="false">SUM(F11:S11)</f>
        <v>980.819009166883</v>
      </c>
      <c r="F11" s="47" t="n">
        <f aca="false">'P06 Ciwandan Calc'!F17</f>
        <v>0</v>
      </c>
      <c r="G11" s="47" t="n">
        <f aca="false">'P06 Ciwandan Calc'!G17</f>
        <v>0</v>
      </c>
      <c r="H11" s="47" t="n">
        <f aca="false">'P06 Ciwandan Calc'!H17</f>
        <v>0</v>
      </c>
      <c r="I11" s="47" t="n">
        <f aca="false">'P06 Ciwandan Calc'!I17</f>
        <v>0</v>
      </c>
      <c r="J11" s="47" t="n">
        <f aca="false">'P06 Ciwandan Calc'!J17</f>
        <v>0</v>
      </c>
      <c r="K11" s="47" t="n">
        <f aca="false">'P06 Ciwandan Calc'!K17</f>
        <v>58.2578395878345</v>
      </c>
      <c r="L11" s="47" t="n">
        <f aca="false">'P06 Ciwandan Calc'!L17</f>
        <v>76.9003482559415</v>
      </c>
      <c r="M11" s="47" t="n">
        <f aca="false">'P06 Ciwandan Calc'!M17</f>
        <v>84.5903830815357</v>
      </c>
      <c r="N11" s="47" t="n">
        <f aca="false">'P06 Ciwandan Calc'!N17</f>
        <v>102.354363528658</v>
      </c>
      <c r="O11" s="47" t="n">
        <f aca="false">'P06 Ciwandan Calc'!O17</f>
        <v>108.495625340378</v>
      </c>
      <c r="P11" s="47" t="n">
        <f aca="false">'P06 Ciwandan Calc'!P17</f>
        <v>121.905684632448</v>
      </c>
      <c r="Q11" s="47" t="n">
        <f aca="false">'P06 Ciwandan Calc'!Q17</f>
        <v>129.220025710395</v>
      </c>
      <c r="R11" s="47" t="n">
        <f aca="false">'P06 Ciwandan Calc'!R17</f>
        <v>145.1916208882</v>
      </c>
      <c r="S11" s="47" t="n">
        <f aca="false">'P06 Ciwandan Calc'!S17</f>
        <v>153.903118141492</v>
      </c>
    </row>
    <row r="12" customFormat="false" ht="15" hidden="false" customHeight="false" outlineLevel="0" collapsed="false">
      <c r="B12" s="24" t="s">
        <v>391</v>
      </c>
      <c r="C12" s="25" t="s">
        <v>170</v>
      </c>
      <c r="E12" s="47" t="n">
        <f aca="false">SUM(F12:S12)</f>
        <v>-226.404418297433</v>
      </c>
      <c r="F12" s="47" t="n">
        <f aca="false">-'P06 Ciwandan Calc'!F23</f>
        <v>-0</v>
      </c>
      <c r="G12" s="47" t="n">
        <f aca="false">-'P06 Ciwandan Calc'!G23</f>
        <v>-0</v>
      </c>
      <c r="H12" s="47" t="n">
        <f aca="false">-'P06 Ciwandan Calc'!H23</f>
        <v>-0</v>
      </c>
      <c r="I12" s="47" t="n">
        <f aca="false">-'P06 Ciwandan Calc'!I23</f>
        <v>-0</v>
      </c>
      <c r="J12" s="47" t="n">
        <f aca="false">-'P06 Ciwandan Calc'!J23</f>
        <v>-0</v>
      </c>
      <c r="K12" s="47" t="n">
        <f aca="false">-'P06 Ciwandan Calc'!K23</f>
        <v>-15.0603658524563</v>
      </c>
      <c r="L12" s="47" t="n">
        <f aca="false">-'P06 Ciwandan Calc'!L23</f>
        <v>-18.2933307314174</v>
      </c>
      <c r="M12" s="47" t="n">
        <f aca="false">-'P06 Ciwandan Calc'!M23</f>
        <v>-20.3313839570156</v>
      </c>
      <c r="N12" s="47" t="n">
        <f aca="false">-'P06 Ciwandan Calc'!N23</f>
        <v>-23.4556288498109</v>
      </c>
      <c r="O12" s="47" t="n">
        <f aca="false">-'P06 Ciwandan Calc'!O23</f>
        <v>-25.1796455488913</v>
      </c>
      <c r="P12" s="47" t="n">
        <f aca="false">-'P06 Ciwandan Calc'!P23</f>
        <v>-26.9873022535117</v>
      </c>
      <c r="Q12" s="47" t="n">
        <f aca="false">-'P06 Ciwandan Calc'!Q23</f>
        <v>-28.9324766135131</v>
      </c>
      <c r="R12" s="47" t="n">
        <f aca="false">-'P06 Ciwandan Calc'!R23</f>
        <v>-32.8876306910583</v>
      </c>
      <c r="S12" s="47" t="n">
        <f aca="false">-'P06 Ciwandan Calc'!S23</f>
        <v>-35.2766537997588</v>
      </c>
    </row>
    <row r="13" customFormat="false" ht="15" hidden="false" customHeight="false" outlineLevel="0" collapsed="false">
      <c r="B13" s="69" t="s">
        <v>392</v>
      </c>
      <c r="C13" s="25" t="s">
        <v>170</v>
      </c>
      <c r="E13" s="70" t="n">
        <f aca="false">SUM(F13:S13)</f>
        <v>754.41459086945</v>
      </c>
      <c r="F13" s="68" t="n">
        <f aca="false">F11+F12</f>
        <v>0</v>
      </c>
      <c r="G13" s="68" t="n">
        <f aca="false">G11+G12</f>
        <v>0</v>
      </c>
      <c r="H13" s="68" t="n">
        <f aca="false">H11+H12</f>
        <v>0</v>
      </c>
      <c r="I13" s="68" t="n">
        <f aca="false">I11+I12</f>
        <v>0</v>
      </c>
      <c r="J13" s="68" t="n">
        <f aca="false">J11+J12</f>
        <v>0</v>
      </c>
      <c r="K13" s="68" t="n">
        <f aca="false">K11+K12</f>
        <v>43.1974737353781</v>
      </c>
      <c r="L13" s="68" t="n">
        <f aca="false">L11+L12</f>
        <v>58.6070175245241</v>
      </c>
      <c r="M13" s="68" t="n">
        <f aca="false">M11+M12</f>
        <v>64.2589991245201</v>
      </c>
      <c r="N13" s="68" t="n">
        <f aca="false">N11+N12</f>
        <v>78.8987346788473</v>
      </c>
      <c r="O13" s="68" t="n">
        <f aca="false">O11+O12</f>
        <v>83.3159797914864</v>
      </c>
      <c r="P13" s="68" t="n">
        <f aca="false">P11+P12</f>
        <v>94.9183823789367</v>
      </c>
      <c r="Q13" s="68" t="n">
        <f aca="false">Q11+Q12</f>
        <v>100.287549096882</v>
      </c>
      <c r="R13" s="68" t="n">
        <f aca="false">R11+R12</f>
        <v>112.303990197142</v>
      </c>
      <c r="S13" s="68" t="n">
        <f aca="false">S11+S12</f>
        <v>118.626464341733</v>
      </c>
    </row>
    <row r="14" customFormat="false" ht="15" hidden="false" customHeight="false" outlineLevel="0" collapsed="false">
      <c r="B14" s="24" t="s">
        <v>393</v>
      </c>
      <c r="C14" s="25" t="s">
        <v>170</v>
      </c>
      <c r="E14" s="47" t="n">
        <f aca="false">SUM(F14:S14)</f>
        <v>-145.400332612691</v>
      </c>
      <c r="F14" s="47" t="n">
        <f aca="false">-'P06 Ciwandan Calc'!F29</f>
        <v>-0</v>
      </c>
      <c r="G14" s="47" t="n">
        <f aca="false">-'P06 Ciwandan Calc'!G29</f>
        <v>-0</v>
      </c>
      <c r="H14" s="47" t="n">
        <f aca="false">-'P06 Ciwandan Calc'!H29</f>
        <v>-0</v>
      </c>
      <c r="I14" s="47" t="n">
        <f aca="false">-'P06 Ciwandan Calc'!I29</f>
        <v>-0</v>
      </c>
      <c r="J14" s="47" t="n">
        <f aca="false">-'P06 Ciwandan Calc'!J29</f>
        <v>-0</v>
      </c>
      <c r="K14" s="47" t="n">
        <f aca="false">-'P06 Ciwandan Calc'!K29</f>
        <v>-10.0914504540435</v>
      </c>
      <c r="L14" s="47" t="n">
        <f aca="false">-'P06 Ciwandan Calc'!L29</f>
        <v>-12.1358675927415</v>
      </c>
      <c r="M14" s="47" t="n">
        <f aca="false">-'P06 Ciwandan Calc'!M29</f>
        <v>-13.3783686930441</v>
      </c>
      <c r="N14" s="47" t="n">
        <f aca="false">-'P06 Ciwandan Calc'!N29</f>
        <v>-15.3047399401701</v>
      </c>
      <c r="O14" s="47" t="n">
        <f aca="false">-'P06 Ciwandan Calc'!O29</f>
        <v>-16.2584350403566</v>
      </c>
      <c r="P14" s="47" t="n">
        <f aca="false">-'P06 Ciwandan Calc'!P29</f>
        <v>-17.2717023887517</v>
      </c>
      <c r="Q14" s="47" t="n">
        <f aca="false">-'P06 Ciwandan Calc'!Q29</f>
        <v>-18.3482716195551</v>
      </c>
      <c r="R14" s="47" t="n">
        <f aca="false">-'P06 Ciwandan Calc'!R29</f>
        <v>-20.661632752248</v>
      </c>
      <c r="S14" s="47" t="n">
        <f aca="false">-'P06 Ciwandan Calc'!S29</f>
        <v>-21.9498641317804</v>
      </c>
    </row>
    <row r="15" customFormat="false" ht="15" hidden="false" customHeight="false" outlineLevel="0" collapsed="false">
      <c r="B15" s="69" t="s">
        <v>346</v>
      </c>
      <c r="C15" s="25" t="s">
        <v>170</v>
      </c>
      <c r="E15" s="70" t="n">
        <f aca="false">SUM(F15:S15)</f>
        <v>609.014258256759</v>
      </c>
      <c r="F15" s="68" t="n">
        <f aca="false">F13+F14</f>
        <v>0</v>
      </c>
      <c r="G15" s="68" t="n">
        <f aca="false">G13+G14</f>
        <v>0</v>
      </c>
      <c r="H15" s="68" t="n">
        <f aca="false">H13+H14</f>
        <v>0</v>
      </c>
      <c r="I15" s="68" t="n">
        <f aca="false">I13+I14</f>
        <v>0</v>
      </c>
      <c r="J15" s="68" t="n">
        <f aca="false">J13+J14</f>
        <v>0</v>
      </c>
      <c r="K15" s="68" t="n">
        <f aca="false">K13+K14</f>
        <v>33.1060232813347</v>
      </c>
      <c r="L15" s="68" t="n">
        <f aca="false">L13+L14</f>
        <v>46.4711499317826</v>
      </c>
      <c r="M15" s="68" t="n">
        <f aca="false">M13+M14</f>
        <v>50.880630431476</v>
      </c>
      <c r="N15" s="68" t="n">
        <f aca="false">N13+N14</f>
        <v>63.5939947386772</v>
      </c>
      <c r="O15" s="68" t="n">
        <f aca="false">O13+O14</f>
        <v>67.0575447511298</v>
      </c>
      <c r="P15" s="68" t="n">
        <f aca="false">P13+P14</f>
        <v>77.646679990185</v>
      </c>
      <c r="Q15" s="68" t="n">
        <f aca="false">Q13+Q14</f>
        <v>81.939277477327</v>
      </c>
      <c r="R15" s="68" t="n">
        <f aca="false">R13+R14</f>
        <v>91.6423574448939</v>
      </c>
      <c r="S15" s="68" t="n">
        <f aca="false">S13+S14</f>
        <v>96.676600209953</v>
      </c>
    </row>
    <row r="16" customFormat="false" ht="15" hidden="false" customHeight="false" outlineLevel="0" collapsed="false">
      <c r="B16" s="24" t="s">
        <v>349</v>
      </c>
      <c r="C16" s="25" t="s">
        <v>170</v>
      </c>
      <c r="E16" s="47" t="n">
        <f aca="false">SUM(F16:S16)</f>
        <v>-59.250625</v>
      </c>
      <c r="F16" s="47" t="n">
        <f aca="false">-'P06 Ciwandan Calc'!F43</f>
        <v>-0</v>
      </c>
      <c r="G16" s="47" t="n">
        <f aca="false">-'P06 Ciwandan Calc'!G43</f>
        <v>-0</v>
      </c>
      <c r="H16" s="47" t="n">
        <f aca="false">-'P06 Ciwandan Calc'!H43</f>
        <v>-0</v>
      </c>
      <c r="I16" s="47" t="n">
        <f aca="false">-'P06 Ciwandan Calc'!I43</f>
        <v>-0</v>
      </c>
      <c r="J16" s="47" t="n">
        <f aca="false">-'P06 Ciwandan Calc'!J43</f>
        <v>-0</v>
      </c>
      <c r="K16" s="47" t="n">
        <f aca="false">-'P06 Ciwandan Calc'!K43</f>
        <v>-7.1509375</v>
      </c>
      <c r="L16" s="47" t="n">
        <f aca="false">-'P06 Ciwandan Calc'!L43</f>
        <v>-7.1509375</v>
      </c>
      <c r="M16" s="47" t="n">
        <f aca="false">-'P06 Ciwandan Calc'!M43</f>
        <v>-7.1509375</v>
      </c>
      <c r="N16" s="47" t="n">
        <f aca="false">-'P06 Ciwandan Calc'!N43</f>
        <v>-7.1509375</v>
      </c>
      <c r="O16" s="47" t="n">
        <f aca="false">-'P06 Ciwandan Calc'!O43</f>
        <v>-7.1509375</v>
      </c>
      <c r="P16" s="47" t="n">
        <f aca="false">-'P06 Ciwandan Calc'!P43</f>
        <v>-7.1509375</v>
      </c>
      <c r="Q16" s="47" t="n">
        <f aca="false">-'P06 Ciwandan Calc'!Q43</f>
        <v>-7.1509375</v>
      </c>
      <c r="R16" s="47" t="n">
        <f aca="false">-'P06 Ciwandan Calc'!R43</f>
        <v>-7.1509375</v>
      </c>
      <c r="S16" s="47" t="n">
        <f aca="false">-'P06 Ciwandan Calc'!S43</f>
        <v>-2.043125</v>
      </c>
    </row>
    <row r="17" customFormat="false" ht="15" hidden="false" customHeight="false" outlineLevel="0" collapsed="false">
      <c r="B17" s="69" t="s">
        <v>347</v>
      </c>
      <c r="C17" s="25" t="s">
        <v>170</v>
      </c>
      <c r="E17" s="70" t="n">
        <f aca="false">SUM(F17:S17)</f>
        <v>549.763633256759</v>
      </c>
      <c r="F17" s="68" t="n">
        <f aca="false">F15+F16</f>
        <v>0</v>
      </c>
      <c r="G17" s="68" t="n">
        <f aca="false">G15+G16</f>
        <v>0</v>
      </c>
      <c r="H17" s="68" t="n">
        <f aca="false">H15+H16</f>
        <v>0</v>
      </c>
      <c r="I17" s="68" t="n">
        <f aca="false">I15+I16</f>
        <v>0</v>
      </c>
      <c r="J17" s="68" t="n">
        <f aca="false">J15+J16</f>
        <v>0</v>
      </c>
      <c r="K17" s="68" t="n">
        <f aca="false">K15+K16</f>
        <v>25.9550857813347</v>
      </c>
      <c r="L17" s="68" t="n">
        <f aca="false">L15+L16</f>
        <v>39.3202124317826</v>
      </c>
      <c r="M17" s="68" t="n">
        <f aca="false">M15+M16</f>
        <v>43.729692931476</v>
      </c>
      <c r="N17" s="68" t="n">
        <f aca="false">N15+N16</f>
        <v>56.4430572386772</v>
      </c>
      <c r="O17" s="68" t="n">
        <f aca="false">O15+O16</f>
        <v>59.9066072511298</v>
      </c>
      <c r="P17" s="68" t="n">
        <f aca="false">P15+P16</f>
        <v>70.495742490185</v>
      </c>
      <c r="Q17" s="68" t="n">
        <f aca="false">Q15+Q16</f>
        <v>74.788339977327</v>
      </c>
      <c r="R17" s="68" t="n">
        <f aca="false">R15+R16</f>
        <v>84.4914199448939</v>
      </c>
      <c r="S17" s="68" t="n">
        <f aca="false">S15+S16</f>
        <v>94.633475209953</v>
      </c>
    </row>
    <row r="18" customFormat="false" ht="15" hidden="false" customHeight="false" outlineLevel="0" collapsed="false">
      <c r="B18" s="24" t="s">
        <v>1104</v>
      </c>
      <c r="C18" s="25" t="s">
        <v>170</v>
      </c>
      <c r="E18" s="47" t="n">
        <f aca="false">SUM(F18:S18)</f>
        <v>-120.947999316487</v>
      </c>
      <c r="F18" s="47" t="n">
        <f aca="false">-MAX(0,F17)*'Global Inputs'!$E$27</f>
        <v>-0</v>
      </c>
      <c r="G18" s="47" t="n">
        <f aca="false">-MAX(0,G17)*'Global Inputs'!$E$27</f>
        <v>-0</v>
      </c>
      <c r="H18" s="47" t="n">
        <f aca="false">-MAX(0,H17)*'Global Inputs'!$E$27</f>
        <v>-0</v>
      </c>
      <c r="I18" s="47" t="n">
        <f aca="false">-MAX(0,I17)*'Global Inputs'!$E$27</f>
        <v>-0</v>
      </c>
      <c r="J18" s="47" t="n">
        <f aca="false">-MAX(0,J17)*'Global Inputs'!$E$27</f>
        <v>-0</v>
      </c>
      <c r="K18" s="47" t="n">
        <f aca="false">-MAX(0,K17)*'Global Inputs'!$E$27</f>
        <v>-5.71011887189363</v>
      </c>
      <c r="L18" s="47" t="n">
        <f aca="false">-MAX(0,L17)*'Global Inputs'!$E$27</f>
        <v>-8.65044673499218</v>
      </c>
      <c r="M18" s="47" t="n">
        <f aca="false">-MAX(0,M17)*'Global Inputs'!$E$27</f>
        <v>-9.62053244492471</v>
      </c>
      <c r="N18" s="47" t="n">
        <f aca="false">-MAX(0,N17)*'Global Inputs'!$E$27</f>
        <v>-12.417472592509</v>
      </c>
      <c r="O18" s="47" t="n">
        <f aca="false">-MAX(0,O17)*'Global Inputs'!$E$27</f>
        <v>-13.1794535952486</v>
      </c>
      <c r="P18" s="47" t="n">
        <f aca="false">-MAX(0,P17)*'Global Inputs'!$E$27</f>
        <v>-15.5090633478407</v>
      </c>
      <c r="Q18" s="47" t="n">
        <f aca="false">-MAX(0,Q17)*'Global Inputs'!$E$27</f>
        <v>-16.4534347950119</v>
      </c>
      <c r="R18" s="47" t="n">
        <f aca="false">-MAX(0,R17)*'Global Inputs'!$E$27</f>
        <v>-18.5881123878767</v>
      </c>
      <c r="S18" s="47" t="n">
        <f aca="false">-MAX(0,S17)*'Global Inputs'!$E$27</f>
        <v>-20.8193645461897</v>
      </c>
    </row>
    <row r="19" customFormat="false" ht="15" hidden="false" customHeight="false" outlineLevel="0" collapsed="false">
      <c r="B19" s="69" t="s">
        <v>1105</v>
      </c>
      <c r="C19" s="25" t="s">
        <v>170</v>
      </c>
      <c r="E19" s="70" t="n">
        <f aca="false">SUM(F19:S19)</f>
        <v>428.815633940272</v>
      </c>
      <c r="F19" s="68" t="n">
        <f aca="false">F17+F18</f>
        <v>0</v>
      </c>
      <c r="G19" s="68" t="n">
        <f aca="false">G17+G18</f>
        <v>0</v>
      </c>
      <c r="H19" s="68" t="n">
        <f aca="false">H17+H18</f>
        <v>0</v>
      </c>
      <c r="I19" s="68" t="n">
        <f aca="false">I17+I18</f>
        <v>0</v>
      </c>
      <c r="J19" s="68" t="n">
        <f aca="false">J17+J18</f>
        <v>0</v>
      </c>
      <c r="K19" s="68" t="n">
        <f aca="false">K17+K18</f>
        <v>20.244966909441</v>
      </c>
      <c r="L19" s="68" t="n">
        <f aca="false">L17+L18</f>
        <v>30.6697656967904</v>
      </c>
      <c r="M19" s="68" t="n">
        <f aca="false">M17+M18</f>
        <v>34.1091604865513</v>
      </c>
      <c r="N19" s="68" t="n">
        <f aca="false">N17+N18</f>
        <v>44.0255846461682</v>
      </c>
      <c r="O19" s="68" t="n">
        <f aca="false">O17+O18</f>
        <v>46.7271536558812</v>
      </c>
      <c r="P19" s="68" t="n">
        <f aca="false">P17+P18</f>
        <v>54.9866791423443</v>
      </c>
      <c r="Q19" s="68" t="n">
        <f aca="false">Q17+Q18</f>
        <v>58.3349051823151</v>
      </c>
      <c r="R19" s="68" t="n">
        <f aca="false">R17+R18</f>
        <v>65.9033075570172</v>
      </c>
      <c r="S19" s="68" t="n">
        <f aca="false">S17+S18</f>
        <v>73.8141106637633</v>
      </c>
    </row>
    <row r="20" customFormat="false" ht="15" hidden="false" customHeight="false" outlineLevel="0" collapsed="false">
      <c r="B20" s="24" t="s">
        <v>402</v>
      </c>
      <c r="C20" s="25" t="s">
        <v>160</v>
      </c>
      <c r="F20" s="49" t="n">
        <f aca="false">IF(F11=0,0,F15/F11)</f>
        <v>0</v>
      </c>
      <c r="G20" s="49" t="n">
        <f aca="false">IF(G11=0,0,G15/G11)</f>
        <v>0</v>
      </c>
      <c r="H20" s="49" t="n">
        <f aca="false">IF(H11=0,0,H15/H11)</f>
        <v>0</v>
      </c>
      <c r="I20" s="49" t="n">
        <f aca="false">IF(I11=0,0,I15/I11)</f>
        <v>0</v>
      </c>
      <c r="J20" s="49" t="n">
        <f aca="false">IF(J11=0,0,J15/J11)</f>
        <v>0</v>
      </c>
      <c r="K20" s="49" t="n">
        <f aca="false">IF(K11=0,0,K15/K11)</f>
        <v>0.568267266955913</v>
      </c>
      <c r="L20" s="49" t="n">
        <f aca="false">IF(L11=0,0,L15/L11)</f>
        <v>0.604303504284743</v>
      </c>
      <c r="M20" s="49" t="n">
        <f aca="false">IF(M11=0,0,M15/M11)</f>
        <v>0.601494266581494</v>
      </c>
      <c r="N20" s="49" t="n">
        <f aca="false">IF(N11=0,0,N15/N11)</f>
        <v>0.621312004161616</v>
      </c>
      <c r="O20" s="49" t="n">
        <f aca="false">IF(O11=0,0,O15/O11)</f>
        <v>0.618066807216915</v>
      </c>
      <c r="P20" s="49" t="n">
        <f aca="false">IF(P11=0,0,P15/P11)</f>
        <v>0.636940600631493</v>
      </c>
      <c r="Q20" s="49" t="n">
        <f aca="false">IF(Q11=0,0,Q15/Q11)</f>
        <v>0.63410664892582</v>
      </c>
      <c r="R20" s="49" t="n">
        <f aca="false">IF(R11=0,0,R15/R11)</f>
        <v>0.63118213629876</v>
      </c>
      <c r="S20" s="49" t="n">
        <f aca="false">IF(S11=0,0,S15/S11)</f>
        <v>0.62816531190143</v>
      </c>
    </row>
    <row r="21" customFormat="false" ht="15" hidden="false" customHeight="false" outlineLevel="0" collapsed="false">
      <c r="B21" s="24" t="s">
        <v>1106</v>
      </c>
      <c r="C21" s="25" t="s">
        <v>160</v>
      </c>
      <c r="F21" s="49" t="n">
        <f aca="false">IF(F11=0,0,F17/F11)</f>
        <v>0</v>
      </c>
      <c r="G21" s="49" t="n">
        <f aca="false">IF(G11=0,0,G17/G11)</f>
        <v>0</v>
      </c>
      <c r="H21" s="49" t="n">
        <f aca="false">IF(H11=0,0,H17/H11)</f>
        <v>0</v>
      </c>
      <c r="I21" s="49" t="n">
        <f aca="false">IF(I11=0,0,I17/I11)</f>
        <v>0</v>
      </c>
      <c r="J21" s="49" t="n">
        <f aca="false">IF(J11=0,0,J17/J11)</f>
        <v>0</v>
      </c>
      <c r="K21" s="49" t="n">
        <f aca="false">IF(K11=0,0,K17/K11)</f>
        <v>0.445520911262124</v>
      </c>
      <c r="L21" s="49" t="n">
        <f aca="false">IF(L11=0,0,L17/L11)</f>
        <v>0.511313840880358</v>
      </c>
      <c r="M21" s="49" t="n">
        <f aca="false">IF(M11=0,0,M17/M11)</f>
        <v>0.516958208941144</v>
      </c>
      <c r="N21" s="49" t="n">
        <f aca="false">IF(N11=0,0,N17/N11)</f>
        <v>0.551447493715046</v>
      </c>
      <c r="O21" s="49" t="n">
        <f aca="false">IF(O11=0,0,O17/O11)</f>
        <v>0.552156891701282</v>
      </c>
      <c r="P21" s="49" t="n">
        <f aca="false">IF(P11=0,0,P17/P11)</f>
        <v>0.578281010460941</v>
      </c>
      <c r="Q21" s="49" t="n">
        <f aca="false">IF(Q11=0,0,Q17/Q11)</f>
        <v>0.578767412915865</v>
      </c>
      <c r="R21" s="49" t="n">
        <f aca="false">IF(R11=0,0,R17/R11)</f>
        <v>0.581930413256793</v>
      </c>
      <c r="S21" s="49" t="n">
        <f aca="false">IF(S11=0,0,S17/S11)</f>
        <v>0.614889914855077</v>
      </c>
    </row>
    <row r="23" customFormat="false" ht="15" hidden="false" customHeight="false" outlineLevel="0" collapsed="false">
      <c r="B23" s="22" t="s">
        <v>1107</v>
      </c>
      <c r="C23" s="23"/>
      <c r="D23" s="23"/>
      <c r="E23" s="23"/>
      <c r="F23" s="23"/>
      <c r="G23" s="23"/>
      <c r="H23" s="23"/>
      <c r="I23" s="23"/>
      <c r="J23" s="23"/>
      <c r="K23" s="23"/>
      <c r="L23" s="23"/>
      <c r="M23" s="23"/>
      <c r="N23" s="23"/>
      <c r="O23" s="23"/>
      <c r="P23" s="23"/>
      <c r="Q23" s="23"/>
      <c r="R23" s="23"/>
      <c r="S23" s="23"/>
    </row>
    <row r="24" customFormat="false" ht="15" hidden="false" customHeight="false" outlineLevel="0" collapsed="false">
      <c r="B24" s="24" t="s">
        <v>456</v>
      </c>
      <c r="C24" s="25" t="s">
        <v>170</v>
      </c>
      <c r="E24" s="47" t="n">
        <f aca="false">SUM(F24:S24)</f>
        <v>428.815633940272</v>
      </c>
      <c r="F24" s="47" t="n">
        <f aca="false">F19</f>
        <v>0</v>
      </c>
      <c r="G24" s="47" t="n">
        <f aca="false">G19</f>
        <v>0</v>
      </c>
      <c r="H24" s="47" t="n">
        <f aca="false">H19</f>
        <v>0</v>
      </c>
      <c r="I24" s="47" t="n">
        <f aca="false">I19</f>
        <v>0</v>
      </c>
      <c r="J24" s="47" t="n">
        <f aca="false">J19</f>
        <v>0</v>
      </c>
      <c r="K24" s="47" t="n">
        <f aca="false">K19</f>
        <v>20.244966909441</v>
      </c>
      <c r="L24" s="47" t="n">
        <f aca="false">L19</f>
        <v>30.6697656967904</v>
      </c>
      <c r="M24" s="47" t="n">
        <f aca="false">M19</f>
        <v>34.1091604865513</v>
      </c>
      <c r="N24" s="47" t="n">
        <f aca="false">N19</f>
        <v>44.0255846461682</v>
      </c>
      <c r="O24" s="47" t="n">
        <f aca="false">O19</f>
        <v>46.7271536558812</v>
      </c>
      <c r="P24" s="47" t="n">
        <f aca="false">P19</f>
        <v>54.9866791423443</v>
      </c>
      <c r="Q24" s="47" t="n">
        <f aca="false">Q19</f>
        <v>58.3349051823151</v>
      </c>
      <c r="R24" s="47" t="n">
        <f aca="false">R19</f>
        <v>65.9033075570172</v>
      </c>
      <c r="S24" s="47" t="n">
        <f aca="false">S19</f>
        <v>73.8141106637633</v>
      </c>
    </row>
    <row r="25" customFormat="false" ht="15" hidden="false" customHeight="false" outlineLevel="0" collapsed="false">
      <c r="B25" s="24" t="s">
        <v>419</v>
      </c>
      <c r="C25" s="25" t="s">
        <v>170</v>
      </c>
      <c r="E25" s="47" t="n">
        <f aca="false">SUM(F25:S25)</f>
        <v>59.250625</v>
      </c>
      <c r="F25" s="47" t="n">
        <f aca="false">-F16</f>
        <v>0</v>
      </c>
      <c r="G25" s="47" t="n">
        <f aca="false">-G16</f>
        <v>0</v>
      </c>
      <c r="H25" s="47" t="n">
        <f aca="false">-H16</f>
        <v>0</v>
      </c>
      <c r="I25" s="47" t="n">
        <f aca="false">-I16</f>
        <v>0</v>
      </c>
      <c r="J25" s="47" t="n">
        <f aca="false">-J16</f>
        <v>0</v>
      </c>
      <c r="K25" s="47" t="n">
        <f aca="false">-K16</f>
        <v>7.1509375</v>
      </c>
      <c r="L25" s="47" t="n">
        <f aca="false">-L16</f>
        <v>7.1509375</v>
      </c>
      <c r="M25" s="47" t="n">
        <f aca="false">-M16</f>
        <v>7.1509375</v>
      </c>
      <c r="N25" s="47" t="n">
        <f aca="false">-N16</f>
        <v>7.1509375</v>
      </c>
      <c r="O25" s="47" t="n">
        <f aca="false">-O16</f>
        <v>7.1509375</v>
      </c>
      <c r="P25" s="47" t="n">
        <f aca="false">-P16</f>
        <v>7.1509375</v>
      </c>
      <c r="Q25" s="47" t="n">
        <f aca="false">-Q16</f>
        <v>7.1509375</v>
      </c>
      <c r="R25" s="47" t="n">
        <f aca="false">-R16</f>
        <v>7.1509375</v>
      </c>
      <c r="S25" s="47" t="n">
        <f aca="false">-S16</f>
        <v>2.043125</v>
      </c>
    </row>
    <row r="26" customFormat="false" ht="15" hidden="false" customHeight="false" outlineLevel="0" collapsed="false">
      <c r="B26" s="24" t="s">
        <v>1108</v>
      </c>
      <c r="C26" s="25" t="s">
        <v>170</v>
      </c>
      <c r="E26" s="47" t="n">
        <f aca="false">SUM(F26:S26)</f>
        <v>-81.725</v>
      </c>
      <c r="F26" s="47" t="n">
        <f aca="false">-'P06 Ciwandan Calc'!F34</f>
        <v>-0</v>
      </c>
      <c r="G26" s="47" t="n">
        <f aca="false">-'P06 Ciwandan Calc'!G34</f>
        <v>-0</v>
      </c>
      <c r="H26" s="47" t="n">
        <f aca="false">-'P06 Ciwandan Calc'!H34</f>
        <v>-0</v>
      </c>
      <c r="I26" s="47" t="n">
        <f aca="false">-'P06 Ciwandan Calc'!I34</f>
        <v>-40.8625</v>
      </c>
      <c r="J26" s="47" t="n">
        <f aca="false">-'P06 Ciwandan Calc'!J34</f>
        <v>-40.8625</v>
      </c>
      <c r="K26" s="47" t="n">
        <f aca="false">-'P06 Ciwandan Calc'!K34</f>
        <v>-0</v>
      </c>
      <c r="L26" s="47" t="n">
        <f aca="false">-'P06 Ciwandan Calc'!L34</f>
        <v>-0</v>
      </c>
      <c r="M26" s="47" t="n">
        <f aca="false">-'P06 Ciwandan Calc'!M34</f>
        <v>-0</v>
      </c>
      <c r="N26" s="47" t="n">
        <f aca="false">-'P06 Ciwandan Calc'!N34</f>
        <v>-0</v>
      </c>
      <c r="O26" s="47" t="n">
        <f aca="false">-'P06 Ciwandan Calc'!O34</f>
        <v>-0</v>
      </c>
      <c r="P26" s="47" t="n">
        <f aca="false">-'P06 Ciwandan Calc'!P34</f>
        <v>-0</v>
      </c>
      <c r="Q26" s="47" t="n">
        <f aca="false">-'P06 Ciwandan Calc'!Q34</f>
        <v>-0</v>
      </c>
      <c r="R26" s="47" t="n">
        <f aca="false">-'P06 Ciwandan Calc'!R34</f>
        <v>-0</v>
      </c>
      <c r="S26" s="47" t="n">
        <f aca="false">-'P06 Ciwandan Calc'!S34</f>
        <v>-0</v>
      </c>
    </row>
    <row r="27" customFormat="false" ht="15" hidden="false" customHeight="false" outlineLevel="0" collapsed="false">
      <c r="B27" s="24" t="s">
        <v>651</v>
      </c>
      <c r="C27" s="25" t="s">
        <v>170</v>
      </c>
      <c r="E27" s="47" t="n">
        <f aca="false">SUM(F27:S27)</f>
        <v>-16.0309855256131</v>
      </c>
      <c r="F27" s="47" t="n">
        <f aca="false">-'P06 Ciwandan Calc'!F49</f>
        <v>-0</v>
      </c>
      <c r="G27" s="47" t="n">
        <f aca="false">-'P06 Ciwandan Calc'!G49</f>
        <v>-0</v>
      </c>
      <c r="H27" s="47" t="n">
        <f aca="false">-'P06 Ciwandan Calc'!H49</f>
        <v>-0</v>
      </c>
      <c r="I27" s="47" t="n">
        <f aca="false">-'P06 Ciwandan Calc'!I49</f>
        <v>-0</v>
      </c>
      <c r="J27" s="47" t="n">
        <f aca="false">-'P06 Ciwandan Calc'!J49</f>
        <v>-0</v>
      </c>
      <c r="K27" s="47" t="n">
        <f aca="false">-'P06 Ciwandan Calc'!K49</f>
        <v>-5.92839291223733</v>
      </c>
      <c r="L27" s="47" t="n">
        <f aca="false">-'P06 Ciwandan Calc'!L49</f>
        <v>-2.0489105112554</v>
      </c>
      <c r="M27" s="47" t="n">
        <f aca="false">-'P06 Ciwandan Calc'!M49</f>
        <v>-0.780575261325453</v>
      </c>
      <c r="N27" s="47" t="n">
        <f aca="false">-'P06 Ciwandan Calc'!N49</f>
        <v>-1.93329252968946</v>
      </c>
      <c r="O27" s="47" t="n">
        <f aca="false">-'P06 Ciwandan Calc'!O49</f>
        <v>-0.584549479072292</v>
      </c>
      <c r="P27" s="47" t="n">
        <f aca="false">-'P06 Ciwandan Calc'!P49</f>
        <v>-1.53561284300863</v>
      </c>
      <c r="Q27" s="47" t="n">
        <f aca="false">-'P06 Ciwandan Calc'!Q49</f>
        <v>-0.741890733445395</v>
      </c>
      <c r="R27" s="47" t="n">
        <f aca="false">-'P06 Ciwandan Calc'!R49</f>
        <v>-1.6440196182873</v>
      </c>
      <c r="S27" s="47" t="n">
        <f aca="false">-'P06 Ciwandan Calc'!S49</f>
        <v>-0.833741637291814</v>
      </c>
    </row>
    <row r="28" customFormat="false" ht="15" hidden="false" customHeight="false" outlineLevel="0" collapsed="false">
      <c r="B28" s="69" t="s">
        <v>1109</v>
      </c>
      <c r="C28" s="25" t="s">
        <v>170</v>
      </c>
      <c r="E28" s="70" t="n">
        <f aca="false">SUM(F28:S28)</f>
        <v>390.310273414659</v>
      </c>
      <c r="F28" s="68" t="n">
        <f aca="false">F24+F25+F26+F27</f>
        <v>0</v>
      </c>
      <c r="G28" s="68" t="n">
        <f aca="false">G24+G25+G26+G27</f>
        <v>0</v>
      </c>
      <c r="H28" s="68" t="n">
        <f aca="false">H24+H25+H26+H27</f>
        <v>0</v>
      </c>
      <c r="I28" s="68" t="n">
        <f aca="false">I24+I25+I26+I27</f>
        <v>-40.8625</v>
      </c>
      <c r="J28" s="68" t="n">
        <f aca="false">J24+J25+J26+J27</f>
        <v>-40.8625</v>
      </c>
      <c r="K28" s="68" t="n">
        <f aca="false">K24+K25+K26+K27</f>
        <v>21.4675114972037</v>
      </c>
      <c r="L28" s="68" t="n">
        <f aca="false">L24+L25+L26+L27</f>
        <v>35.771792685535</v>
      </c>
      <c r="M28" s="68" t="n">
        <f aca="false">M24+M25+M26+M27</f>
        <v>40.4795227252258</v>
      </c>
      <c r="N28" s="68" t="n">
        <f aca="false">N24+N25+N26+N27</f>
        <v>49.2432296164788</v>
      </c>
      <c r="O28" s="68" t="n">
        <f aca="false">O24+O25+O26+O27</f>
        <v>53.2935416768089</v>
      </c>
      <c r="P28" s="68" t="n">
        <f aca="false">P24+P25+P26+P27</f>
        <v>60.6020037993356</v>
      </c>
      <c r="Q28" s="68" t="n">
        <f aca="false">Q24+Q25+Q26+Q27</f>
        <v>64.7439519488697</v>
      </c>
      <c r="R28" s="68" t="n">
        <f aca="false">R24+R25+R26+R27</f>
        <v>71.4102254387299</v>
      </c>
      <c r="S28" s="68" t="n">
        <f aca="false">S24+S25+S26+S27</f>
        <v>75.0234940264715</v>
      </c>
    </row>
    <row r="29" customFormat="false" ht="15" hidden="false" customHeight="false" outlineLevel="0" collapsed="false">
      <c r="B29" s="24" t="s">
        <v>354</v>
      </c>
      <c r="C29" s="25" t="s">
        <v>170</v>
      </c>
      <c r="F29" s="47" t="n">
        <f aca="false">SUM($F$28:F28)</f>
        <v>0</v>
      </c>
      <c r="G29" s="47" t="n">
        <f aca="false">SUM($F$28:G28)</f>
        <v>0</v>
      </c>
      <c r="H29" s="47" t="n">
        <f aca="false">SUM($F$28:H28)</f>
        <v>0</v>
      </c>
      <c r="I29" s="47" t="n">
        <f aca="false">SUM($F$28:I28)</f>
        <v>-40.8625</v>
      </c>
      <c r="J29" s="47" t="n">
        <f aca="false">SUM($F$28:J28)</f>
        <v>-81.725</v>
      </c>
      <c r="K29" s="47" t="n">
        <f aca="false">SUM($F$28:K28)</f>
        <v>-60.2574885027963</v>
      </c>
      <c r="L29" s="47" t="n">
        <f aca="false">SUM($F$28:L28)</f>
        <v>-24.4856958172612</v>
      </c>
      <c r="M29" s="47" t="n">
        <f aca="false">SUM($F$28:M28)</f>
        <v>15.9938269079645</v>
      </c>
      <c r="N29" s="47" t="n">
        <f aca="false">SUM($F$28:N28)</f>
        <v>65.2370565244433</v>
      </c>
      <c r="O29" s="47" t="n">
        <f aca="false">SUM($F$28:O28)</f>
        <v>118.530598201252</v>
      </c>
      <c r="P29" s="47" t="n">
        <f aca="false">SUM($F$28:P28)</f>
        <v>179.132602000588</v>
      </c>
      <c r="Q29" s="47" t="n">
        <f aca="false">SUM($F$28:Q28)</f>
        <v>243.876553949458</v>
      </c>
      <c r="R29" s="47" t="n">
        <f aca="false">SUM($F$28:R28)</f>
        <v>315.286779388188</v>
      </c>
      <c r="S29" s="47" t="n">
        <f aca="false">SUM($F$28:S28)</f>
        <v>390.310273414659</v>
      </c>
    </row>
    <row r="30" customFormat="false" ht="15" hidden="false" customHeight="false" outlineLevel="0" collapsed="false">
      <c r="B30" s="24" t="s">
        <v>1110</v>
      </c>
      <c r="C30" s="25" t="s">
        <v>170</v>
      </c>
      <c r="E30" s="47" t="n">
        <f aca="false">SUM(F30:S30)</f>
        <v>431.172773414659</v>
      </c>
      <c r="F30" s="47" t="n">
        <f aca="false">F28*'Global Inputs'!F16</f>
        <v>0</v>
      </c>
      <c r="G30" s="47" t="n">
        <f aca="false">G28*'Global Inputs'!G16</f>
        <v>0</v>
      </c>
      <c r="H30" s="47" t="n">
        <f aca="false">H28*'Global Inputs'!H16</f>
        <v>0</v>
      </c>
      <c r="I30" s="47" t="n">
        <f aca="false">I28*'Global Inputs'!I16</f>
        <v>-0</v>
      </c>
      <c r="J30" s="47" t="n">
        <f aca="false">J28*'Global Inputs'!J16</f>
        <v>-40.8625</v>
      </c>
      <c r="K30" s="47" t="n">
        <f aca="false">K28*'Global Inputs'!K16</f>
        <v>21.4675114972037</v>
      </c>
      <c r="L30" s="47" t="n">
        <f aca="false">L28*'Global Inputs'!L16</f>
        <v>35.771792685535</v>
      </c>
      <c r="M30" s="47" t="n">
        <f aca="false">M28*'Global Inputs'!M16</f>
        <v>40.4795227252258</v>
      </c>
      <c r="N30" s="47" t="n">
        <f aca="false">N28*'Global Inputs'!N16</f>
        <v>49.2432296164788</v>
      </c>
      <c r="O30" s="47" t="n">
        <f aca="false">O28*'Global Inputs'!O16</f>
        <v>53.2935416768089</v>
      </c>
      <c r="P30" s="47" t="n">
        <f aca="false">P28*'Global Inputs'!P16</f>
        <v>60.6020037993356</v>
      </c>
      <c r="Q30" s="47" t="n">
        <f aca="false">Q28*'Global Inputs'!Q16</f>
        <v>64.7439519488697</v>
      </c>
      <c r="R30" s="47" t="n">
        <f aca="false">R28*'Global Inputs'!R16</f>
        <v>71.4102254387299</v>
      </c>
      <c r="S30" s="47" t="n">
        <f aca="false">S28*'Global Inputs'!S16</f>
        <v>75.0234940264715</v>
      </c>
    </row>
    <row r="31" customFormat="false" ht="15" hidden="false" customHeight="false" outlineLevel="0" collapsed="false">
      <c r="B31" s="24" t="s">
        <v>1111</v>
      </c>
      <c r="C31" s="25" t="s">
        <v>170</v>
      </c>
      <c r="E31" s="47" t="n">
        <f aca="false">SUM(F31:S31)</f>
        <v>81.725</v>
      </c>
      <c r="F31" s="47" t="n">
        <f aca="false">MAX(0,-F28)</f>
        <v>-0</v>
      </c>
      <c r="G31" s="47" t="n">
        <f aca="false">MAX(0,-G28)</f>
        <v>-0</v>
      </c>
      <c r="H31" s="47" t="n">
        <f aca="false">MAX(0,-H28)</f>
        <v>-0</v>
      </c>
      <c r="I31" s="47" t="n">
        <f aca="false">MAX(0,-I28)</f>
        <v>40.8625</v>
      </c>
      <c r="J31" s="47" t="n">
        <f aca="false">MAX(0,-J28)</f>
        <v>40.8625</v>
      </c>
      <c r="K31" s="47" t="n">
        <f aca="false">MAX(0,-K28)</f>
        <v>0</v>
      </c>
      <c r="L31" s="47" t="n">
        <f aca="false">MAX(0,-L28)</f>
        <v>0</v>
      </c>
      <c r="M31" s="47" t="n">
        <f aca="false">MAX(0,-M28)</f>
        <v>0</v>
      </c>
      <c r="N31" s="47" t="n">
        <f aca="false">MAX(0,-N28)</f>
        <v>0</v>
      </c>
      <c r="O31" s="47" t="n">
        <f aca="false">MAX(0,-O28)</f>
        <v>0</v>
      </c>
      <c r="P31" s="47" t="n">
        <f aca="false">MAX(0,-P28)</f>
        <v>0</v>
      </c>
      <c r="Q31" s="47" t="n">
        <f aca="false">MAX(0,-Q28)</f>
        <v>0</v>
      </c>
      <c r="R31" s="47" t="n">
        <f aca="false">MAX(0,-R28)</f>
        <v>0</v>
      </c>
      <c r="S31" s="47" t="n">
        <f aca="false">MAX(0,-S28)</f>
        <v>0</v>
      </c>
    </row>
    <row r="33" customFormat="false" ht="15" hidden="false" customHeight="false" outlineLevel="0" collapsed="false">
      <c r="B33" s="22" t="s">
        <v>1112</v>
      </c>
      <c r="C33" s="23"/>
      <c r="D33" s="23"/>
      <c r="E33" s="23"/>
      <c r="F33" s="23"/>
      <c r="G33" s="23"/>
      <c r="H33" s="23"/>
      <c r="I33" s="23"/>
      <c r="J33" s="23"/>
      <c r="K33" s="23"/>
      <c r="L33" s="23"/>
      <c r="M33" s="23"/>
      <c r="N33" s="23"/>
      <c r="O33" s="23"/>
      <c r="P33" s="23"/>
      <c r="Q33" s="23"/>
      <c r="R33" s="23"/>
      <c r="S33" s="23"/>
    </row>
    <row r="34" customFormat="false" ht="15" hidden="false" customHeight="false" outlineLevel="0" collapsed="false">
      <c r="B34" s="24" t="s">
        <v>1113</v>
      </c>
      <c r="C34" s="25" t="s">
        <v>240</v>
      </c>
      <c r="E34" s="44" t="n">
        <f aca="false">SUM(F34:S34)</f>
        <v>5.02459268367661</v>
      </c>
      <c r="F34" s="44" t="n">
        <f aca="false">'P06 Ciwandan Calc'!F32</f>
        <v>0</v>
      </c>
      <c r="G34" s="44" t="n">
        <f aca="false">'P06 Ciwandan Calc'!G32</f>
        <v>0</v>
      </c>
      <c r="H34" s="44" t="n">
        <f aca="false">'P06 Ciwandan Calc'!H32</f>
        <v>0</v>
      </c>
      <c r="I34" s="44" t="n">
        <f aca="false">'P06 Ciwandan Calc'!I32</f>
        <v>2.5122963418383</v>
      </c>
      <c r="J34" s="44" t="n">
        <f aca="false">'P06 Ciwandan Calc'!J32</f>
        <v>2.5122963418383</v>
      </c>
      <c r="K34" s="44" t="n">
        <f aca="false">'P06 Ciwandan Calc'!K32</f>
        <v>0</v>
      </c>
      <c r="L34" s="44" t="n">
        <f aca="false">'P06 Ciwandan Calc'!L32</f>
        <v>0</v>
      </c>
      <c r="M34" s="44" t="n">
        <f aca="false">'P06 Ciwandan Calc'!M32</f>
        <v>0</v>
      </c>
      <c r="N34" s="44" t="n">
        <f aca="false">'P06 Ciwandan Calc'!N32</f>
        <v>0</v>
      </c>
      <c r="O34" s="44" t="n">
        <f aca="false">'P06 Ciwandan Calc'!O32</f>
        <v>0</v>
      </c>
      <c r="P34" s="44" t="n">
        <f aca="false">'P06 Ciwandan Calc'!P32</f>
        <v>0</v>
      </c>
      <c r="Q34" s="44" t="n">
        <f aca="false">'P06 Ciwandan Calc'!Q32</f>
        <v>0</v>
      </c>
      <c r="R34" s="44" t="n">
        <f aca="false">'P06 Ciwandan Calc'!R32</f>
        <v>0</v>
      </c>
      <c r="S34" s="44" t="n">
        <f aca="false">'P06 Ciwandan Calc'!S32</f>
        <v>0</v>
      </c>
    </row>
    <row r="35" customFormat="false" ht="15" hidden="false" customHeight="false" outlineLevel="0" collapsed="false">
      <c r="B35" s="24" t="s">
        <v>1114</v>
      </c>
      <c r="C35" s="25" t="s">
        <v>170</v>
      </c>
      <c r="E35" s="47" t="n">
        <f aca="false">SUM(F35:S35)</f>
        <v>81.725</v>
      </c>
      <c r="F35" s="47" t="n">
        <f aca="false">'P06 Ciwandan Calc'!F34</f>
        <v>0</v>
      </c>
      <c r="G35" s="47" t="n">
        <f aca="false">'P06 Ciwandan Calc'!G34</f>
        <v>0</v>
      </c>
      <c r="H35" s="47" t="n">
        <f aca="false">'P06 Ciwandan Calc'!H34</f>
        <v>0</v>
      </c>
      <c r="I35" s="47" t="n">
        <f aca="false">'P06 Ciwandan Calc'!I34</f>
        <v>40.8625</v>
      </c>
      <c r="J35" s="47" t="n">
        <f aca="false">'P06 Ciwandan Calc'!J34</f>
        <v>40.8625</v>
      </c>
      <c r="K35" s="47" t="n">
        <f aca="false">'P06 Ciwandan Calc'!K34</f>
        <v>0</v>
      </c>
      <c r="L35" s="47" t="n">
        <f aca="false">'P06 Ciwandan Calc'!L34</f>
        <v>0</v>
      </c>
      <c r="M35" s="47" t="n">
        <f aca="false">'P06 Ciwandan Calc'!M34</f>
        <v>0</v>
      </c>
      <c r="N35" s="47" t="n">
        <f aca="false">'P06 Ciwandan Calc'!N34</f>
        <v>0</v>
      </c>
      <c r="O35" s="47" t="n">
        <f aca="false">'P06 Ciwandan Calc'!O34</f>
        <v>0</v>
      </c>
      <c r="P35" s="47" t="n">
        <f aca="false">'P06 Ciwandan Calc'!P34</f>
        <v>0</v>
      </c>
      <c r="Q35" s="47" t="n">
        <f aca="false">'P06 Ciwandan Calc'!Q34</f>
        <v>0</v>
      </c>
      <c r="R35" s="47" t="n">
        <f aca="false">'P06 Ciwandan Calc'!R34</f>
        <v>0</v>
      </c>
      <c r="S35" s="47" t="n">
        <f aca="false">'P06 Ciwandan Calc'!S34</f>
        <v>0</v>
      </c>
    </row>
    <row r="36" customFormat="false" ht="15" hidden="false" customHeight="false" outlineLevel="0" collapsed="false">
      <c r="B36" s="24" t="s">
        <v>1115</v>
      </c>
      <c r="C36" s="25" t="s">
        <v>170</v>
      </c>
      <c r="F36" s="47" t="n">
        <f aca="false">'P06 Ciwandan Calc'!F41</f>
        <v>0</v>
      </c>
      <c r="G36" s="47" t="n">
        <f aca="false">'P06 Ciwandan Calc'!G41</f>
        <v>0</v>
      </c>
      <c r="H36" s="47" t="n">
        <f aca="false">'P06 Ciwandan Calc'!H41</f>
        <v>0</v>
      </c>
      <c r="I36" s="47" t="n">
        <f aca="false">'P06 Ciwandan Calc'!I41</f>
        <v>40.8625</v>
      </c>
      <c r="J36" s="47" t="n">
        <f aca="false">'P06 Ciwandan Calc'!J41</f>
        <v>81.725</v>
      </c>
      <c r="K36" s="47" t="n">
        <f aca="false">'P06 Ciwandan Calc'!K41</f>
        <v>74.5740625</v>
      </c>
      <c r="L36" s="47" t="n">
        <f aca="false">'P06 Ciwandan Calc'!L41</f>
        <v>67.423125</v>
      </c>
      <c r="M36" s="47" t="n">
        <f aca="false">'P06 Ciwandan Calc'!M41</f>
        <v>60.2721875</v>
      </c>
      <c r="N36" s="47" t="n">
        <f aca="false">'P06 Ciwandan Calc'!N41</f>
        <v>53.12125</v>
      </c>
      <c r="O36" s="47" t="n">
        <f aca="false">'P06 Ciwandan Calc'!O41</f>
        <v>45.9703125</v>
      </c>
      <c r="P36" s="47" t="n">
        <f aca="false">'P06 Ciwandan Calc'!P41</f>
        <v>38.819375</v>
      </c>
      <c r="Q36" s="47" t="n">
        <f aca="false">'P06 Ciwandan Calc'!Q41</f>
        <v>31.6684375</v>
      </c>
      <c r="R36" s="47" t="n">
        <f aca="false">'P06 Ciwandan Calc'!R41</f>
        <v>24.5175</v>
      </c>
      <c r="S36" s="47" t="n">
        <f aca="false">'P06 Ciwandan Calc'!S41</f>
        <v>22.474375</v>
      </c>
    </row>
    <row r="37" customFormat="false" ht="15" hidden="false" customHeight="false" outlineLevel="0" collapsed="false">
      <c r="B37" s="24" t="s">
        <v>463</v>
      </c>
      <c r="C37" s="25" t="s">
        <v>170</v>
      </c>
      <c r="F37" s="47" t="n">
        <f aca="false">'P06 Ciwandan Calc'!F46</f>
        <v>0</v>
      </c>
      <c r="G37" s="47" t="n">
        <f aca="false">'P06 Ciwandan Calc'!G46</f>
        <v>0</v>
      </c>
      <c r="H37" s="47" t="n">
        <f aca="false">'P06 Ciwandan Calc'!H46</f>
        <v>0</v>
      </c>
      <c r="I37" s="47" t="n">
        <f aca="false">'P06 Ciwandan Calc'!I46</f>
        <v>0</v>
      </c>
      <c r="J37" s="47" t="n">
        <f aca="false">'P06 Ciwandan Calc'!J46</f>
        <v>0</v>
      </c>
      <c r="K37" s="47" t="n">
        <f aca="false">'P06 Ciwandan Calc'!K46</f>
        <v>7.16284912965178</v>
      </c>
      <c r="L37" s="47" t="n">
        <f aca="false">'P06 Ciwandan Calc'!L46</f>
        <v>9.48086485347224</v>
      </c>
      <c r="M37" s="47" t="n">
        <f aca="false">'P06 Ciwandan Calc'!M46</f>
        <v>10.4289513388195</v>
      </c>
      <c r="N37" s="47" t="n">
        <f aca="false">'P06 Ciwandan Calc'!N46</f>
        <v>12.6190311199716</v>
      </c>
      <c r="O37" s="47" t="n">
        <f aca="false">'P06 Ciwandan Calc'!O46</f>
        <v>13.3396260664399</v>
      </c>
      <c r="P37" s="47" t="n">
        <f aca="false">'P06 Ciwandan Calc'!P46</f>
        <v>15.029467968384</v>
      </c>
      <c r="Q37" s="47" t="n">
        <f aca="false">'P06 Ciwandan Calc'!Q46</f>
        <v>15.9312360464871</v>
      </c>
      <c r="R37" s="47" t="n">
        <f aca="false">'P06 Ciwandan Calc'!R46</f>
        <v>17.9003368218329</v>
      </c>
      <c r="S37" s="47" t="n">
        <f aca="false">'P06 Ciwandan Calc'!S46</f>
        <v>18.9225145255933</v>
      </c>
    </row>
    <row r="38" customFormat="false" ht="15" hidden="false" customHeight="false" outlineLevel="0" collapsed="false">
      <c r="B38" s="24" t="s">
        <v>1116</v>
      </c>
      <c r="C38" s="25" t="s">
        <v>170</v>
      </c>
      <c r="F38" s="47" t="n">
        <f aca="false">-'P06 Ciwandan Calc'!F47</f>
        <v>-0</v>
      </c>
      <c r="G38" s="47" t="n">
        <f aca="false">-'P06 Ciwandan Calc'!G47</f>
        <v>-0</v>
      </c>
      <c r="H38" s="47" t="n">
        <f aca="false">-'P06 Ciwandan Calc'!H47</f>
        <v>-0</v>
      </c>
      <c r="I38" s="47" t="n">
        <f aca="false">-'P06 Ciwandan Calc'!I47</f>
        <v>-0</v>
      </c>
      <c r="J38" s="47" t="n">
        <f aca="false">-'P06 Ciwandan Calc'!J47</f>
        <v>-0</v>
      </c>
      <c r="K38" s="47" t="n">
        <f aca="false">-'P06 Ciwandan Calc'!K47</f>
        <v>-1.23445621741445</v>
      </c>
      <c r="L38" s="47" t="n">
        <f aca="false">-'P06 Ciwandan Calc'!L47</f>
        <v>-1.50356142997951</v>
      </c>
      <c r="M38" s="47" t="n">
        <f aca="false">-'P06 Ciwandan Calc'!M47</f>
        <v>-1.67107265400128</v>
      </c>
      <c r="N38" s="47" t="n">
        <f aca="false">-'P06 Ciwandan Calc'!N47</f>
        <v>-1.92785990546391</v>
      </c>
      <c r="O38" s="47" t="n">
        <f aca="false">-'P06 Ciwandan Calc'!O47</f>
        <v>-2.06390537285994</v>
      </c>
      <c r="P38" s="47" t="n">
        <f aca="false">-'P06 Ciwandan Calc'!P47</f>
        <v>-2.21813443179548</v>
      </c>
      <c r="Q38" s="47" t="n">
        <f aca="false">-'P06 Ciwandan Calc'!Q47</f>
        <v>-2.37801177645313</v>
      </c>
      <c r="R38" s="47" t="n">
        <f aca="false">-'P06 Ciwandan Calc'!R47</f>
        <v>-2.70309293351164</v>
      </c>
      <c r="S38" s="47" t="n">
        <f aca="false">-'P06 Ciwandan Calc'!S47</f>
        <v>-2.89152899998023</v>
      </c>
    </row>
    <row r="39" customFormat="false" ht="15" hidden="false" customHeight="false" outlineLevel="0" collapsed="false">
      <c r="B39" s="69" t="s">
        <v>1117</v>
      </c>
      <c r="C39" s="25" t="s">
        <v>170</v>
      </c>
      <c r="F39" s="68" t="n">
        <f aca="false">F36+F37+F38</f>
        <v>0</v>
      </c>
      <c r="G39" s="68" t="n">
        <f aca="false">G36+G37+G38</f>
        <v>0</v>
      </c>
      <c r="H39" s="68" t="n">
        <f aca="false">H36+H37+H38</f>
        <v>0</v>
      </c>
      <c r="I39" s="68" t="n">
        <f aca="false">I36+I37+I38</f>
        <v>40.8625</v>
      </c>
      <c r="J39" s="68" t="n">
        <f aca="false">J36+J37+J38</f>
        <v>81.725</v>
      </c>
      <c r="K39" s="68" t="n">
        <f aca="false">K36+K37+K38</f>
        <v>80.5024554122373</v>
      </c>
      <c r="L39" s="68" t="n">
        <f aca="false">L36+L37+L38</f>
        <v>75.4004284234927</v>
      </c>
      <c r="M39" s="68" t="n">
        <f aca="false">M36+M37+M38</f>
        <v>69.0300661848182</v>
      </c>
      <c r="N39" s="68" t="n">
        <f aca="false">N36+N37+N38</f>
        <v>63.8124212145077</v>
      </c>
      <c r="O39" s="68" t="n">
        <f aca="false">O36+O37+O38</f>
        <v>57.2460331935799</v>
      </c>
      <c r="P39" s="68" t="n">
        <f aca="false">P36+P37+P38</f>
        <v>51.6307085365886</v>
      </c>
      <c r="Q39" s="68" t="n">
        <f aca="false">Q36+Q37+Q38</f>
        <v>45.221661770034</v>
      </c>
      <c r="R39" s="68" t="n">
        <f aca="false">R36+R37+R38</f>
        <v>39.7147438883213</v>
      </c>
      <c r="S39" s="68" t="n">
        <f aca="false">S36+S37+S38</f>
        <v>38.5053605256131</v>
      </c>
    </row>
    <row r="41" customFormat="false" ht="15" hidden="false" customHeight="false" outlineLevel="0" collapsed="false">
      <c r="B41" s="22" t="s">
        <v>1119</v>
      </c>
      <c r="C41" s="23"/>
      <c r="D41" s="23"/>
      <c r="E41" s="23"/>
      <c r="F41" s="23"/>
      <c r="G41" s="23"/>
      <c r="H41" s="23"/>
      <c r="I41" s="23"/>
      <c r="J41" s="23"/>
      <c r="K41" s="23"/>
      <c r="L41" s="23"/>
      <c r="M41" s="23"/>
      <c r="N41" s="23"/>
      <c r="O41" s="23"/>
      <c r="P41" s="23"/>
      <c r="Q41" s="23"/>
      <c r="R41" s="23"/>
      <c r="S41" s="23"/>
    </row>
    <row r="42" customFormat="false" ht="15" hidden="false" customHeight="false" outlineLevel="0" collapsed="false">
      <c r="B42" s="24" t="s">
        <v>1120</v>
      </c>
      <c r="C42" s="25" t="s">
        <v>143</v>
      </c>
      <c r="F42" s="30" t="n">
        <f aca="false">0</f>
        <v>0</v>
      </c>
      <c r="G42" s="30" t="n">
        <f aca="false">MIN(1,F42+F43)</f>
        <v>0</v>
      </c>
      <c r="H42" s="30" t="n">
        <f aca="false">MIN(1,G42+G43)</f>
        <v>0</v>
      </c>
      <c r="I42" s="30" t="n">
        <f aca="false">MIN(1,H42+H43)</f>
        <v>0</v>
      </c>
      <c r="J42" s="30" t="n">
        <f aca="false">MIN(1,I42+I43)</f>
        <v>0</v>
      </c>
      <c r="K42" s="30" t="n">
        <f aca="false">MIN(1,J42+J43)</f>
        <v>0</v>
      </c>
      <c r="L42" s="30" t="n">
        <f aca="false">MIN(1,K42+K43)</f>
        <v>0</v>
      </c>
      <c r="M42" s="30" t="n">
        <f aca="false">MIN(1,L42+L43)</f>
        <v>0</v>
      </c>
      <c r="N42" s="30" t="n">
        <f aca="false">MIN(1,M42+M43)</f>
        <v>1</v>
      </c>
      <c r="O42" s="30" t="n">
        <f aca="false">MIN(1,N42+N43)</f>
        <v>1</v>
      </c>
      <c r="P42" s="30" t="n">
        <f aca="false">MIN(1,O42+O43)</f>
        <v>1</v>
      </c>
      <c r="Q42" s="30" t="n">
        <f aca="false">MIN(1,P42+P43)</f>
        <v>1</v>
      </c>
      <c r="R42" s="30" t="n">
        <f aca="false">MIN(1,Q42+Q43)</f>
        <v>1</v>
      </c>
      <c r="S42" s="30" t="n">
        <f aca="false">MIN(1,R42+R43)</f>
        <v>1</v>
      </c>
    </row>
    <row r="43" customFormat="false" ht="15" hidden="false" customHeight="false" outlineLevel="0" collapsed="false">
      <c r="B43" s="24" t="s">
        <v>1121</v>
      </c>
      <c r="C43" s="25" t="s">
        <v>143</v>
      </c>
      <c r="F43" s="30" t="n">
        <f aca="false">0</f>
        <v>0</v>
      </c>
      <c r="G43" s="30" t="n">
        <f aca="false">IF(AND(G29&gt;=0,F29&lt;0,G42=0),1,0)</f>
        <v>0</v>
      </c>
      <c r="H43" s="30" t="n">
        <f aca="false">IF(AND(H29&gt;=0,G29&lt;0,H42=0),1,0)</f>
        <v>0</v>
      </c>
      <c r="I43" s="30" t="n">
        <f aca="false">IF(AND(I29&gt;=0,H29&lt;0,I42=0),1,0)</f>
        <v>0</v>
      </c>
      <c r="J43" s="30" t="n">
        <f aca="false">IF(AND(J29&gt;=0,I29&lt;0,J42=0),1,0)</f>
        <v>0</v>
      </c>
      <c r="K43" s="30" t="n">
        <f aca="false">IF(AND(K29&gt;=0,J29&lt;0,K42=0),1,0)</f>
        <v>0</v>
      </c>
      <c r="L43" s="30" t="n">
        <f aca="false">IF(AND(L29&gt;=0,K29&lt;0,L42=0),1,0)</f>
        <v>0</v>
      </c>
      <c r="M43" s="30" t="n">
        <f aca="false">IF(AND(M29&gt;=0,L29&lt;0,M42=0),1,0)</f>
        <v>1</v>
      </c>
      <c r="N43" s="30" t="n">
        <f aca="false">IF(AND(N29&gt;=0,M29&lt;0,N42=0),1,0)</f>
        <v>0</v>
      </c>
      <c r="O43" s="30" t="n">
        <f aca="false">IF(AND(O29&gt;=0,N29&lt;0,O42=0),1,0)</f>
        <v>0</v>
      </c>
      <c r="P43" s="30" t="n">
        <f aca="false">IF(AND(P29&gt;=0,O29&lt;0,P42=0),1,0)</f>
        <v>0</v>
      </c>
      <c r="Q43" s="30" t="n">
        <f aca="false">IF(AND(Q29&gt;=0,P29&lt;0,Q42=0),1,0)</f>
        <v>0</v>
      </c>
      <c r="R43" s="30" t="n">
        <f aca="false">IF(AND(R29&gt;=0,Q29&lt;0,R42=0),1,0)</f>
        <v>0</v>
      </c>
      <c r="S43" s="30" t="n">
        <f aca="false">IF(AND(S29&gt;=0,R29&lt;0,S42=0),1,0)</f>
        <v>0</v>
      </c>
    </row>
    <row r="44" customFormat="false" ht="15" hidden="false" customHeight="false" outlineLevel="0" collapsed="false">
      <c r="B44" s="24" t="s">
        <v>1122</v>
      </c>
      <c r="C44" s="25" t="s">
        <v>170</v>
      </c>
      <c r="F44" s="47" t="n">
        <f aca="false">IF(F$5='Global Inputs'!$E$14,F28*(1+'Global Inputs'!$E$54)/('Global Inputs'!$E$53-'Global Inputs'!$E$54),0)</f>
        <v>0</v>
      </c>
      <c r="G44" s="47" t="n">
        <f aca="false">IF(G$5='Global Inputs'!$E$14,G28*(1+'Global Inputs'!$E$54)/('Global Inputs'!$E$53-'Global Inputs'!$E$54),0)</f>
        <v>0</v>
      </c>
      <c r="H44" s="47" t="n">
        <f aca="false">IF(H$5='Global Inputs'!$E$14,H28*(1+'Global Inputs'!$E$54)/('Global Inputs'!$E$53-'Global Inputs'!$E$54),0)</f>
        <v>0</v>
      </c>
      <c r="I44" s="47" t="n">
        <f aca="false">IF(I$5='Global Inputs'!$E$14,I28*(1+'Global Inputs'!$E$54)/('Global Inputs'!$E$53-'Global Inputs'!$E$54),0)</f>
        <v>0</v>
      </c>
      <c r="J44" s="47" t="n">
        <f aca="false">IF(J$5='Global Inputs'!$E$14,J28*(1+'Global Inputs'!$E$54)/('Global Inputs'!$E$53-'Global Inputs'!$E$54),0)</f>
        <v>0</v>
      </c>
      <c r="K44" s="47" t="n">
        <f aca="false">IF(K$5='Global Inputs'!$E$14,K28*(1+'Global Inputs'!$E$54)/('Global Inputs'!$E$53-'Global Inputs'!$E$54),0)</f>
        <v>0</v>
      </c>
      <c r="L44" s="47" t="n">
        <f aca="false">IF(L$5='Global Inputs'!$E$14,L28*(1+'Global Inputs'!$E$54)/('Global Inputs'!$E$53-'Global Inputs'!$E$54),0)</f>
        <v>0</v>
      </c>
      <c r="M44" s="47" t="n">
        <f aca="false">IF(M$5='Global Inputs'!$E$14,M28*(1+'Global Inputs'!$E$54)/('Global Inputs'!$E$53-'Global Inputs'!$E$54),0)</f>
        <v>0</v>
      </c>
      <c r="N44" s="47" t="n">
        <f aca="false">IF(N$5='Global Inputs'!$E$14,N28*(1+'Global Inputs'!$E$54)/('Global Inputs'!$E$53-'Global Inputs'!$E$54),0)</f>
        <v>0</v>
      </c>
      <c r="O44" s="47" t="n">
        <f aca="false">IF(O$5='Global Inputs'!$E$14,O28*(1+'Global Inputs'!$E$54)/('Global Inputs'!$E$53-'Global Inputs'!$E$54),0)</f>
        <v>0</v>
      </c>
      <c r="P44" s="47" t="n">
        <f aca="false">IF(P$5='Global Inputs'!$E$14,P28*(1+'Global Inputs'!$E$54)/('Global Inputs'!$E$53-'Global Inputs'!$E$54),0)</f>
        <v>0</v>
      </c>
      <c r="Q44" s="47" t="n">
        <f aca="false">IF(Q$5='Global Inputs'!$E$14,Q28*(1+'Global Inputs'!$E$54)/('Global Inputs'!$E$53-'Global Inputs'!$E$54),0)</f>
        <v>0</v>
      </c>
      <c r="R44" s="47" t="n">
        <f aca="false">IF(R$5='Global Inputs'!$E$14,R28*(1+'Global Inputs'!$E$54)/('Global Inputs'!$E$53-'Global Inputs'!$E$54),0)</f>
        <v>0</v>
      </c>
      <c r="S44" s="47" t="n">
        <f aca="false">IF(S$5='Global Inputs'!$E$14,S28*(1+'Global Inputs'!$E$54)/('Global Inputs'!$E$53-'Global Inputs'!$E$54),0)</f>
        <v>871.528723440127</v>
      </c>
    </row>
    <row r="45" customFormat="false" ht="15" hidden="false" customHeight="false" outlineLevel="0" collapsed="false">
      <c r="B45" s="24" t="s">
        <v>1123</v>
      </c>
      <c r="C45" s="25" t="s">
        <v>170</v>
      </c>
      <c r="F45" s="47" t="n">
        <f aca="false">F28+F44</f>
        <v>0</v>
      </c>
      <c r="G45" s="47" t="n">
        <f aca="false">G28+G44</f>
        <v>0</v>
      </c>
      <c r="H45" s="47" t="n">
        <f aca="false">H28+H44</f>
        <v>0</v>
      </c>
      <c r="I45" s="47" t="n">
        <f aca="false">I28+I44</f>
        <v>-40.8625</v>
      </c>
      <c r="J45" s="47" t="n">
        <f aca="false">J28+J44</f>
        <v>-40.8625</v>
      </c>
      <c r="K45" s="47" t="n">
        <f aca="false">K28+K44</f>
        <v>21.4675114972037</v>
      </c>
      <c r="L45" s="47" t="n">
        <f aca="false">L28+L44</f>
        <v>35.771792685535</v>
      </c>
      <c r="M45" s="47" t="n">
        <f aca="false">M28+M44</f>
        <v>40.4795227252258</v>
      </c>
      <c r="N45" s="47" t="n">
        <f aca="false">N28+N44</f>
        <v>49.2432296164788</v>
      </c>
      <c r="O45" s="47" t="n">
        <f aca="false">O28+O44</f>
        <v>53.2935416768089</v>
      </c>
      <c r="P45" s="47" t="n">
        <f aca="false">P28+P44</f>
        <v>60.6020037993356</v>
      </c>
      <c r="Q45" s="47" t="n">
        <f aca="false">Q28+Q44</f>
        <v>64.7439519488697</v>
      </c>
      <c r="R45" s="47" t="n">
        <f aca="false">R28+R44</f>
        <v>71.4102254387299</v>
      </c>
      <c r="S45" s="47" t="n">
        <f aca="false">S28+S44</f>
        <v>946.552217466598</v>
      </c>
    </row>
    <row r="46" customFormat="false" ht="15" hidden="false" customHeight="false" outlineLevel="0" collapsed="false">
      <c r="B46" s="24" t="s">
        <v>1124</v>
      </c>
      <c r="C46" s="25" t="s">
        <v>170</v>
      </c>
      <c r="E46" s="47" t="n">
        <f aca="false">SUM(F46:S46)</f>
        <v>475.823839559765</v>
      </c>
      <c r="F46" s="47" t="n">
        <f aca="false">F45*'Global Inputs'!F18</f>
        <v>0</v>
      </c>
      <c r="G46" s="47" t="n">
        <f aca="false">G45*'Global Inputs'!G18</f>
        <v>0</v>
      </c>
      <c r="H46" s="47" t="n">
        <f aca="false">H45*'Global Inputs'!H18</f>
        <v>0</v>
      </c>
      <c r="I46" s="47" t="n">
        <f aca="false">I45*'Global Inputs'!I18</f>
        <v>-0</v>
      </c>
      <c r="J46" s="47" t="n">
        <f aca="false">J45*'Global Inputs'!J18</f>
        <v>-36.5279110517006</v>
      </c>
      <c r="K46" s="47" t="n">
        <f aca="false">K45*'Global Inputs'!K18</f>
        <v>17.1546361144363</v>
      </c>
      <c r="L46" s="47" t="n">
        <f aca="false">L45*'Global Inputs'!L18</f>
        <v>25.5529128753609</v>
      </c>
      <c r="M46" s="47" t="n">
        <f aca="false">M45*'Global Inputs'!M18</f>
        <v>25.848479139835</v>
      </c>
      <c r="N46" s="47" t="n">
        <f aca="false">N45*'Global Inputs'!N18</f>
        <v>28.1090419388638</v>
      </c>
      <c r="O46" s="47" t="n">
        <f aca="false">O45*'Global Inputs'!O18</f>
        <v>27.1940568295556</v>
      </c>
      <c r="P46" s="47" t="n">
        <f aca="false">P45*'Global Inputs'!P18</f>
        <v>27.643072032264</v>
      </c>
      <c r="Q46" s="47" t="n">
        <f aca="false">Q45*'Global Inputs'!Q18</f>
        <v>26.3996658089816</v>
      </c>
      <c r="R46" s="47" t="n">
        <f aca="false">R45*'Global Inputs'!R18</f>
        <v>26.0291227380449</v>
      </c>
      <c r="S46" s="47" t="n">
        <f aca="false">S45*'Global Inputs'!S18</f>
        <v>308.420763134124</v>
      </c>
    </row>
    <row r="47" customFormat="false" ht="15" hidden="false" customHeight="false" outlineLevel="0" collapsed="false">
      <c r="B47" s="24" t="s">
        <v>1125</v>
      </c>
      <c r="C47" s="25" t="s">
        <v>170</v>
      </c>
      <c r="E47" s="47" t="n">
        <f aca="false">SUM($F$46:$S$46)</f>
        <v>475.823839559765</v>
      </c>
    </row>
    <row r="48" customFormat="false" ht="15" hidden="false" customHeight="false" outlineLevel="0" collapsed="false">
      <c r="B48" s="24" t="s">
        <v>1126</v>
      </c>
      <c r="C48" s="25" t="s">
        <v>170</v>
      </c>
      <c r="E48" s="47" t="n">
        <f aca="false">SUMPRODUCT($F$28:$S$28,'Global Inputs'!$F$18:$S$18)</f>
        <v>191.848429628197</v>
      </c>
    </row>
    <row r="49" customFormat="false" ht="15" hidden="false" customHeight="false" outlineLevel="0" collapsed="false">
      <c r="B49" s="24" t="s">
        <v>1831</v>
      </c>
      <c r="C49" s="25" t="s">
        <v>160</v>
      </c>
      <c r="E49" s="49" t="n">
        <f aca="false">IFERROR(IRR($F$28:$S$28),"n/a")</f>
        <v>0.385800250789068</v>
      </c>
    </row>
    <row r="50" customFormat="false" ht="15" hidden="false" customHeight="false" outlineLevel="0" collapsed="false">
      <c r="B50" s="24" t="s">
        <v>1832</v>
      </c>
      <c r="C50" s="25" t="s">
        <v>160</v>
      </c>
      <c r="E50" s="49" t="n">
        <f aca="false">IFERROR(IRR($F$45:$S$45),"n/a")</f>
        <v>0.481499972778962</v>
      </c>
    </row>
    <row r="51" customFormat="false" ht="15" hidden="false" customHeight="false" outlineLevel="0" collapsed="false">
      <c r="B51" s="24" t="s">
        <v>1128</v>
      </c>
      <c r="C51" s="25" t="s">
        <v>160</v>
      </c>
      <c r="E51" s="49" t="str">
        <f aca="false">"= project IRR (no project-level debt in v29; corporate LT loan is not project debt)"</f>
        <v>= project IRR (no project-level debt in v29; corporate LT loan is not project debt)</v>
      </c>
    </row>
    <row r="52" customFormat="false" ht="15" hidden="false" customHeight="false" outlineLevel="0" collapsed="false">
      <c r="B52" s="24" t="s">
        <v>1129</v>
      </c>
      <c r="C52" s="25" t="s">
        <v>135</v>
      </c>
      <c r="E52" s="29" t="n">
        <f aca="false">IF(SUM($F$43:$S$43)=0,"not within horizon",SUMPRODUCT($F$43:$S$43,'Global Inputs'!$F$15:$S$15))</f>
        <v>2030</v>
      </c>
    </row>
    <row r="53" customFormat="false" ht="15" hidden="false" customHeight="false" outlineLevel="0" collapsed="false">
      <c r="B53" s="24" t="s">
        <v>1130</v>
      </c>
      <c r="C53" s="25" t="s">
        <v>135</v>
      </c>
      <c r="E53" s="29" t="n">
        <f aca="false">IF(SUM('P06 Ciwandan Calc'!$F$32:$S$32)=0,"n/a",SUMPRODUCT('P06 Ciwandan Calc'!$F$42:$S$42,'Global Inputs'!$F$15:$S$15))</f>
        <v>2026</v>
      </c>
    </row>
    <row r="54" customFormat="false" ht="15" hidden="false" customHeight="false" outlineLevel="0" collapsed="false">
      <c r="B54" s="24" t="s">
        <v>1131</v>
      </c>
      <c r="C54" s="25" t="s">
        <v>240</v>
      </c>
      <c r="E54" s="44" t="n">
        <f aca="false">'P06 Ciwandan Input'!$E$33</f>
        <v>5.02459268367661</v>
      </c>
    </row>
    <row r="55" customFormat="false" ht="15" hidden="false" customHeight="false" outlineLevel="0" collapsed="false">
      <c r="B55" s="24" t="s">
        <v>1132</v>
      </c>
      <c r="C55" s="25" t="s">
        <v>240</v>
      </c>
      <c r="E55" s="44" t="n">
        <f aca="false">'P06 Ciwandan Input'!$E$39</f>
        <v>2.5122963418383</v>
      </c>
    </row>
    <row r="57" customFormat="false" ht="15" hidden="false" customHeight="false" outlineLevel="0" collapsed="false">
      <c r="B57" s="22" t="s">
        <v>1133</v>
      </c>
      <c r="C57" s="23"/>
      <c r="D57" s="23"/>
      <c r="E57" s="23"/>
      <c r="F57" s="23"/>
      <c r="G57" s="23"/>
      <c r="H57" s="23"/>
      <c r="I57" s="23"/>
      <c r="J57" s="23"/>
      <c r="K57" s="23"/>
      <c r="L57" s="23"/>
      <c r="M57" s="23"/>
      <c r="N57" s="23"/>
      <c r="O57" s="23"/>
      <c r="P57" s="23"/>
      <c r="Q57" s="23"/>
      <c r="R57" s="23"/>
      <c r="S57" s="23"/>
    </row>
    <row r="58" customFormat="false" ht="15" hidden="false" customHeight="false" outlineLevel="0" collapsed="false">
      <c r="B58" s="24" t="s">
        <v>1134</v>
      </c>
      <c r="C58" s="25" t="s">
        <v>180</v>
      </c>
      <c r="E58" s="29" t="n">
        <f aca="false">'P06 Ciwandan Input'!$E$22*IF('P06 Ciwandan Input'!$E$23=1,1,0)</f>
        <v>1</v>
      </c>
    </row>
    <row r="59" customFormat="false" ht="15" hidden="false" customHeight="false" outlineLevel="0" collapsed="false">
      <c r="B59" s="24" t="s">
        <v>1135</v>
      </c>
      <c r="C59" s="25" t="s">
        <v>180</v>
      </c>
      <c r="E59" s="29" t="n">
        <f aca="false">'P06 Ciwandan Input'!$E$22</f>
        <v>1</v>
      </c>
    </row>
    <row r="60" customFormat="false" ht="15" hidden="false" customHeight="false" outlineLevel="0" collapsed="false">
      <c r="B60" s="24" t="s">
        <v>897</v>
      </c>
      <c r="C60" s="25" t="s">
        <v>160</v>
      </c>
      <c r="E60" s="49" t="n">
        <f aca="false">'P06 Ciwandan Input'!$E$24</f>
        <v>1</v>
      </c>
    </row>
  </sheetData>
  <hyperlinks>
    <hyperlink ref="C3" r:id="rId1" location="'P06%20Ciwandan%20Input'!A1" display="Input"/>
    <hyperlink ref="D3" r:id="rId2" location="'P06%20Ciwandan%20Calc'!A1" display="Calc"/>
    <hyperlink ref="E3" r:id="rId3" location="'P06%20Ciwandan%20Output'!A1" display="Output"/>
    <hyperlink ref="F3" r:id="rId4" location="'Navigation'!A1" display="Navigation"/>
    <hyperlink ref="G3" r:id="rId5" location="'Global%20Inputs'!A1" display="Global Inputs"/>
    <hyperlink ref="H3" r:id="rId6" location="'Project%20Summary'!A1" display="Project Summary"/>
    <hyperlink ref="I3" r:id="rId7" location="'Funding%20Requirement'!A1" display="Funding"/>
    <hyperlink ref="J3" r:id="rId8" location="'FSL%20Financials%20—%20Without%20BUMN'!A1" display="FSL w/o BUMN"/>
    <hyperlink ref="K3" r:id="rId9" location="'FSL%20Financials%20—%20With%20BUMN'!A1" display="FSL w/ BUMN"/>
    <hyperlink ref="L3" r:id="rId10" location="'Valuation%20—%20Without%20BUMN'!A1" display="Val w/o BUMN"/>
    <hyperlink ref="M3" r:id="rId11" location="'Valuation%20—%20With%20BUMN'!A1" display="Val w/ BUMN"/>
    <hyperlink ref="N3" r:id="rId12" location="'Checks'!A1" display="Checks"/>
    <hyperlink ref="O3" r:id="rId13" location="'Model%20Flow'!A1" display="Model Flow"/>
  </hyperlink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D966"/>
    <pageSetUpPr fitToPage="true"/>
  </sheetPr>
  <dimension ref="B1:U5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5" ySplit="9" topLeftCell="F10" activePane="bottomRight" state="frozen"/>
      <selection pane="topLeft" activeCell="A1" activeCellId="0" sqref="A1"/>
      <selection pane="topRight" activeCell="F1" activeCellId="0" sqref="F1"/>
      <selection pane="bottomLeft" activeCell="A10" activeCellId="0" sqref="A10"/>
      <selection pane="bottomRigh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66"/>
    <col collapsed="false" customWidth="true" hidden="false" outlineLevel="0" max="3" min="3" style="0" width="11"/>
    <col collapsed="false" customWidth="true" hidden="false" outlineLevel="0" max="4" min="4" style="0" width="12"/>
    <col collapsed="false" customWidth="true" hidden="false" outlineLevel="0" max="5" min="5" style="0" width="13"/>
    <col collapsed="false" customWidth="true" hidden="false" outlineLevel="0" max="19" min="6" style="0" width="11.5"/>
    <col collapsed="false" customWidth="true" hidden="false" outlineLevel="0" max="20" min="20" style="0" width="40"/>
    <col collapsed="false" customWidth="true" hidden="false" outlineLevel="0" max="21" min="21" style="0" width="48"/>
  </cols>
  <sheetData>
    <row r="1" customFormat="false" ht="21.75" hidden="false" customHeight="true" outlineLevel="0" collapsed="false">
      <c r="B1" s="1" t="s">
        <v>2109</v>
      </c>
    </row>
    <row r="2" customFormat="false" ht="15" hidden="false" customHeight="false" outlineLevel="0" collapsed="false">
      <c r="B2" s="2" t="s">
        <v>2110</v>
      </c>
    </row>
    <row r="3" customFormat="false" ht="15" hidden="false" customHeight="false" outlineLevel="0" collapsed="false">
      <c r="B3" s="5" t="s">
        <v>112</v>
      </c>
      <c r="C3" s="17" t="s">
        <v>27</v>
      </c>
      <c r="D3" s="17" t="s">
        <v>28</v>
      </c>
      <c r="E3" s="17" t="s">
        <v>29</v>
      </c>
      <c r="F3" s="17" t="s">
        <v>113</v>
      </c>
      <c r="G3" s="17" t="s">
        <v>5</v>
      </c>
      <c r="H3" s="17" t="s">
        <v>7</v>
      </c>
      <c r="I3" s="17" t="s">
        <v>114</v>
      </c>
      <c r="J3" s="17" t="s">
        <v>115</v>
      </c>
      <c r="K3" s="17" t="s">
        <v>116</v>
      </c>
      <c r="L3" s="17" t="s">
        <v>117</v>
      </c>
      <c r="M3" s="17" t="s">
        <v>118</v>
      </c>
      <c r="N3" s="17" t="s">
        <v>21</v>
      </c>
      <c r="O3" s="17" t="s">
        <v>3</v>
      </c>
    </row>
    <row r="5" customFormat="false" ht="15" hidden="false" customHeight="false" outlineLevel="0" collapsed="false">
      <c r="B5" s="6" t="s">
        <v>119</v>
      </c>
      <c r="C5" s="6" t="s">
        <v>120</v>
      </c>
      <c r="D5" s="6" t="s">
        <v>121</v>
      </c>
      <c r="E5" s="6" t="s">
        <v>122</v>
      </c>
      <c r="F5" s="18" t="n">
        <f aca="false">'Global Inputs'!F$5</f>
        <v>2023</v>
      </c>
      <c r="G5" s="18" t="n">
        <f aca="false">'Global Inputs'!G$5</f>
        <v>2024</v>
      </c>
      <c r="H5" s="18" t="n">
        <f aca="false">'Global Inputs'!H$5</f>
        <v>2025</v>
      </c>
      <c r="I5" s="18" t="n">
        <f aca="false">'Global Inputs'!I$5</f>
        <v>2026</v>
      </c>
      <c r="J5" s="18" t="n">
        <f aca="false">'Global Inputs'!J$5</f>
        <v>2027</v>
      </c>
      <c r="K5" s="18" t="n">
        <f aca="false">'Global Inputs'!K$5</f>
        <v>2028</v>
      </c>
      <c r="L5" s="18" t="n">
        <f aca="false">'Global Inputs'!L$5</f>
        <v>2029</v>
      </c>
      <c r="M5" s="18" t="n">
        <f aca="false">'Global Inputs'!M$5</f>
        <v>2030</v>
      </c>
      <c r="N5" s="18" t="n">
        <f aca="false">'Global Inputs'!N$5</f>
        <v>2031</v>
      </c>
      <c r="O5" s="18" t="n">
        <f aca="false">'Global Inputs'!O$5</f>
        <v>2032</v>
      </c>
      <c r="P5" s="18" t="n">
        <f aca="false">'Global Inputs'!P$5</f>
        <v>2033</v>
      </c>
      <c r="Q5" s="18" t="n">
        <f aca="false">'Global Inputs'!Q$5</f>
        <v>2034</v>
      </c>
      <c r="R5" s="18" t="n">
        <f aca="false">'Global Inputs'!R$5</f>
        <v>2035</v>
      </c>
      <c r="S5" s="18" t="n">
        <f aca="false">'Global Inputs'!S$5</f>
        <v>2036</v>
      </c>
      <c r="T5" s="6" t="s">
        <v>123</v>
      </c>
      <c r="U5" s="6" t="s">
        <v>124</v>
      </c>
    </row>
    <row r="6" customFormat="false" ht="15" hidden="false" customHeight="false" outlineLevel="0" collapsed="false">
      <c r="B6" s="19" t="s">
        <v>125</v>
      </c>
      <c r="F6" s="20" t="n">
        <f aca="false">'Global Inputs'!F$6</f>
        <v>45291</v>
      </c>
      <c r="G6" s="20" t="n">
        <f aca="false">'Global Inputs'!G$6</f>
        <v>45657</v>
      </c>
      <c r="H6" s="20" t="n">
        <f aca="false">'Global Inputs'!H$6</f>
        <v>46022</v>
      </c>
      <c r="I6" s="20" t="n">
        <f aca="false">'Global Inputs'!I$6</f>
        <v>46387</v>
      </c>
      <c r="J6" s="20" t="n">
        <f aca="false">'Global Inputs'!J$6</f>
        <v>46752</v>
      </c>
      <c r="K6" s="20" t="n">
        <f aca="false">'Global Inputs'!K$6</f>
        <v>47118</v>
      </c>
      <c r="L6" s="20" t="n">
        <f aca="false">'Global Inputs'!L$6</f>
        <v>47483</v>
      </c>
      <c r="M6" s="20" t="n">
        <f aca="false">'Global Inputs'!M$6</f>
        <v>47848</v>
      </c>
      <c r="N6" s="20" t="n">
        <f aca="false">'Global Inputs'!N$6</f>
        <v>48213</v>
      </c>
      <c r="O6" s="20" t="n">
        <f aca="false">'Global Inputs'!O$6</f>
        <v>48579</v>
      </c>
      <c r="P6" s="20" t="n">
        <f aca="false">'Global Inputs'!P$6</f>
        <v>48944</v>
      </c>
      <c r="Q6" s="20" t="n">
        <f aca="false">'Global Inputs'!Q$6</f>
        <v>49309</v>
      </c>
      <c r="R6" s="20" t="n">
        <f aca="false">'Global Inputs'!R$6</f>
        <v>49674</v>
      </c>
      <c r="S6" s="20" t="n">
        <f aca="false">'Global Inputs'!S$6</f>
        <v>50040</v>
      </c>
    </row>
    <row r="7" customFormat="false" ht="15" hidden="false" customHeight="false" outlineLevel="0" collapsed="false">
      <c r="B7" s="19" t="s">
        <v>126</v>
      </c>
      <c r="F7" s="21" t="n">
        <f aca="false">'Global Inputs'!F$7</f>
        <v>365</v>
      </c>
      <c r="G7" s="21" t="n">
        <f aca="false">'Global Inputs'!G$7</f>
        <v>366</v>
      </c>
      <c r="H7" s="21" t="n">
        <f aca="false">'Global Inputs'!H$7</f>
        <v>365</v>
      </c>
      <c r="I7" s="21" t="n">
        <f aca="false">'Global Inputs'!I$7</f>
        <v>365</v>
      </c>
      <c r="J7" s="21" t="n">
        <f aca="false">'Global Inputs'!J$7</f>
        <v>365</v>
      </c>
      <c r="K7" s="21" t="n">
        <f aca="false">'Global Inputs'!K$7</f>
        <v>366</v>
      </c>
      <c r="L7" s="21" t="n">
        <f aca="false">'Global Inputs'!L$7</f>
        <v>365</v>
      </c>
      <c r="M7" s="21" t="n">
        <f aca="false">'Global Inputs'!M$7</f>
        <v>365</v>
      </c>
      <c r="N7" s="21" t="n">
        <f aca="false">'Global Inputs'!N$7</f>
        <v>365</v>
      </c>
      <c r="O7" s="21" t="n">
        <f aca="false">'Global Inputs'!O$7</f>
        <v>366</v>
      </c>
      <c r="P7" s="21" t="n">
        <f aca="false">'Global Inputs'!P$7</f>
        <v>365</v>
      </c>
      <c r="Q7" s="21" t="n">
        <f aca="false">'Global Inputs'!Q$7</f>
        <v>365</v>
      </c>
      <c r="R7" s="21" t="n">
        <f aca="false">'Global Inputs'!R$7</f>
        <v>365</v>
      </c>
      <c r="S7" s="21" t="n">
        <f aca="false">'Global Inputs'!S$7</f>
        <v>366</v>
      </c>
    </row>
    <row r="8" customFormat="false" ht="15" hidden="false" customHeight="false" outlineLevel="0" collapsed="false">
      <c r="B8" s="19" t="s">
        <v>127</v>
      </c>
      <c r="F8" s="21" t="n">
        <f aca="false">'Global Inputs'!F$8</f>
        <v>0</v>
      </c>
      <c r="G8" s="21" t="n">
        <f aca="false">'Global Inputs'!G$8</f>
        <v>1</v>
      </c>
      <c r="H8" s="21" t="n">
        <f aca="false">'Global Inputs'!H$8</f>
        <v>1</v>
      </c>
      <c r="I8" s="21" t="n">
        <f aca="false">'Global Inputs'!I$8</f>
        <v>1</v>
      </c>
      <c r="J8" s="21" t="n">
        <f aca="false">'Global Inputs'!J$8</f>
        <v>1</v>
      </c>
      <c r="K8" s="21" t="n">
        <f aca="false">'Global Inputs'!K$8</f>
        <v>1</v>
      </c>
      <c r="L8" s="21" t="n">
        <f aca="false">'Global Inputs'!L$8</f>
        <v>1</v>
      </c>
      <c r="M8" s="21" t="n">
        <f aca="false">'Global Inputs'!M$8</f>
        <v>1</v>
      </c>
      <c r="N8" s="21" t="n">
        <f aca="false">'Global Inputs'!N$8</f>
        <v>1</v>
      </c>
      <c r="O8" s="21" t="n">
        <f aca="false">'Global Inputs'!O$8</f>
        <v>1</v>
      </c>
      <c r="P8" s="21" t="n">
        <f aca="false">'Global Inputs'!P$8</f>
        <v>1</v>
      </c>
      <c r="Q8" s="21" t="n">
        <f aca="false">'Global Inputs'!Q$8</f>
        <v>1</v>
      </c>
      <c r="R8" s="21" t="n">
        <f aca="false">'Global Inputs'!R$8</f>
        <v>1</v>
      </c>
      <c r="S8" s="21" t="n">
        <f aca="false">'Global Inputs'!S$8</f>
        <v>1</v>
      </c>
    </row>
    <row r="10" customFormat="false" ht="15" hidden="false" customHeight="false" outlineLevel="0" collapsed="false">
      <c r="B10" s="22" t="s">
        <v>878</v>
      </c>
      <c r="C10" s="23"/>
      <c r="D10" s="23"/>
      <c r="E10" s="23"/>
      <c r="F10" s="23"/>
      <c r="G10" s="23"/>
      <c r="H10" s="23"/>
      <c r="I10" s="23"/>
      <c r="J10" s="23"/>
      <c r="K10" s="23"/>
      <c r="L10" s="23"/>
      <c r="M10" s="23"/>
      <c r="N10" s="23"/>
      <c r="O10" s="23"/>
      <c r="P10" s="23"/>
      <c r="Q10" s="23"/>
      <c r="R10" s="23"/>
      <c r="S10" s="23"/>
    </row>
    <row r="11" customFormat="false" ht="15" hidden="false" customHeight="false" outlineLevel="0" collapsed="false">
      <c r="B11" s="24" t="s">
        <v>879</v>
      </c>
      <c r="E11" s="24" t="s">
        <v>2111</v>
      </c>
    </row>
    <row r="12" customFormat="false" ht="15" hidden="false" customHeight="false" outlineLevel="0" collapsed="false">
      <c r="B12" s="24" t="s">
        <v>25</v>
      </c>
      <c r="E12" s="24" t="s">
        <v>2112</v>
      </c>
    </row>
    <row r="13" customFormat="false" ht="15" hidden="false" customHeight="false" outlineLevel="0" collapsed="false">
      <c r="B13" s="24" t="s">
        <v>882</v>
      </c>
      <c r="E13" s="24" t="s">
        <v>2113</v>
      </c>
    </row>
    <row r="14" customFormat="false" ht="15" hidden="false" customHeight="false" outlineLevel="0" collapsed="false">
      <c r="B14" s="24" t="s">
        <v>275</v>
      </c>
      <c r="E14" s="24" t="s">
        <v>293</v>
      </c>
    </row>
    <row r="15" customFormat="false" ht="15" hidden="false" customHeight="false" outlineLevel="0" collapsed="false">
      <c r="B15" s="24" t="s">
        <v>386</v>
      </c>
      <c r="E15" s="24" t="s">
        <v>61</v>
      </c>
    </row>
    <row r="16" customFormat="false" ht="15" hidden="false" customHeight="false" outlineLevel="0" collapsed="false">
      <c r="B16" s="24" t="s">
        <v>884</v>
      </c>
      <c r="E16" s="24" t="s">
        <v>2114</v>
      </c>
    </row>
    <row r="17" customFormat="false" ht="15" hidden="false" customHeight="false" outlineLevel="0" collapsed="false">
      <c r="B17" s="24" t="s">
        <v>886</v>
      </c>
      <c r="E17" s="24" t="s">
        <v>2115</v>
      </c>
    </row>
    <row r="18" customFormat="false" ht="15" hidden="false" customHeight="false" outlineLevel="0" collapsed="false">
      <c r="B18" s="24" t="s">
        <v>888</v>
      </c>
      <c r="E18" s="24" t="s">
        <v>2116</v>
      </c>
    </row>
    <row r="19" customFormat="false" ht="15" hidden="false" customHeight="false" outlineLevel="0" collapsed="false">
      <c r="B19" s="24" t="s">
        <v>890</v>
      </c>
      <c r="E19" s="24" t="s">
        <v>2117</v>
      </c>
    </row>
    <row r="21" customFormat="false" ht="15" hidden="false" customHeight="false" outlineLevel="0" collapsed="false">
      <c r="B21" s="22" t="s">
        <v>892</v>
      </c>
      <c r="C21" s="23"/>
      <c r="D21" s="23"/>
      <c r="E21" s="23"/>
      <c r="F21" s="23"/>
      <c r="G21" s="23"/>
      <c r="H21" s="23"/>
      <c r="I21" s="23"/>
      <c r="J21" s="23"/>
      <c r="K21" s="23"/>
      <c r="L21" s="23"/>
      <c r="M21" s="23"/>
      <c r="N21" s="23"/>
      <c r="O21" s="23"/>
      <c r="P21" s="23"/>
      <c r="Q21" s="23"/>
      <c r="R21" s="23"/>
      <c r="S21" s="23"/>
    </row>
    <row r="22" customFormat="false" ht="15" hidden="false" customHeight="false" outlineLevel="0" collapsed="false">
      <c r="B22" s="24" t="s">
        <v>893</v>
      </c>
      <c r="C22" s="25" t="s">
        <v>180</v>
      </c>
      <c r="D22" s="25" t="s">
        <v>894</v>
      </c>
      <c r="E22" s="65" t="n">
        <f aca="false">'Global Inputs'!$E$99</f>
        <v>1</v>
      </c>
      <c r="T22" s="5" t="s">
        <v>895</v>
      </c>
    </row>
    <row r="23" customFormat="false" ht="15" hidden="false" customHeight="false" outlineLevel="0" collapsed="false">
      <c r="B23" s="24" t="s">
        <v>896</v>
      </c>
      <c r="C23" s="25" t="s">
        <v>175</v>
      </c>
      <c r="D23" s="25" t="s">
        <v>894</v>
      </c>
      <c r="E23" s="65" t="n">
        <f aca="false">'Global Inputs'!$F$99</f>
        <v>1</v>
      </c>
      <c r="T23" s="5" t="s">
        <v>895</v>
      </c>
    </row>
    <row r="24" customFormat="false" ht="15" hidden="false" customHeight="false" outlineLevel="0" collapsed="false">
      <c r="B24" s="24" t="s">
        <v>897</v>
      </c>
      <c r="C24" s="25" t="s">
        <v>160</v>
      </c>
      <c r="D24" s="25" t="s">
        <v>894</v>
      </c>
      <c r="E24" s="67" t="n">
        <f aca="false">'Global Inputs'!$G$99</f>
        <v>1</v>
      </c>
      <c r="T24" s="5" t="s">
        <v>895</v>
      </c>
    </row>
    <row r="25" customFormat="false" ht="15" hidden="false" customHeight="false" outlineLevel="0" collapsed="false">
      <c r="B25" s="24" t="s">
        <v>1793</v>
      </c>
      <c r="C25" s="25" t="s">
        <v>135</v>
      </c>
      <c r="D25" s="28" t="s">
        <v>153</v>
      </c>
      <c r="E25" s="36" t="n">
        <v>2027</v>
      </c>
      <c r="T25" s="5" t="s">
        <v>2118</v>
      </c>
      <c r="U25" s="5" t="s">
        <v>2119</v>
      </c>
    </row>
    <row r="27" customFormat="false" ht="15" hidden="false" customHeight="false" outlineLevel="0" collapsed="false">
      <c r="B27" s="22" t="s">
        <v>2120</v>
      </c>
      <c r="C27" s="23"/>
      <c r="D27" s="23"/>
      <c r="E27" s="23"/>
      <c r="F27" s="23"/>
      <c r="G27" s="23"/>
      <c r="H27" s="23"/>
      <c r="I27" s="23"/>
      <c r="J27" s="23"/>
      <c r="K27" s="23"/>
      <c r="L27" s="23"/>
      <c r="M27" s="23"/>
      <c r="N27" s="23"/>
      <c r="O27" s="23"/>
      <c r="P27" s="23"/>
      <c r="Q27" s="23"/>
      <c r="R27" s="23"/>
      <c r="S27" s="23"/>
    </row>
    <row r="28" customFormat="false" ht="15" hidden="false" customHeight="false" outlineLevel="0" collapsed="false">
      <c r="B28" s="24" t="s">
        <v>2121</v>
      </c>
      <c r="C28" s="25" t="s">
        <v>135</v>
      </c>
      <c r="D28" s="28" t="s">
        <v>153</v>
      </c>
      <c r="E28" s="36" t="n">
        <v>2027</v>
      </c>
      <c r="T28" s="5" t="s">
        <v>2122</v>
      </c>
      <c r="U28" s="5" t="s">
        <v>2123</v>
      </c>
    </row>
    <row r="29" customFormat="false" ht="15" hidden="false" customHeight="false" outlineLevel="0" collapsed="false">
      <c r="B29" s="24" t="s">
        <v>2124</v>
      </c>
      <c r="C29" s="25" t="s">
        <v>135</v>
      </c>
      <c r="D29" s="28" t="s">
        <v>153</v>
      </c>
      <c r="E29" s="36" t="n">
        <v>2027</v>
      </c>
      <c r="T29" s="5" t="s">
        <v>2125</v>
      </c>
      <c r="U29" s="5" t="s">
        <v>2126</v>
      </c>
    </row>
    <row r="30" customFormat="false" ht="15" hidden="false" customHeight="false" outlineLevel="0" collapsed="false">
      <c r="B30" s="24" t="s">
        <v>2127</v>
      </c>
      <c r="C30" s="25" t="s">
        <v>135</v>
      </c>
      <c r="D30" s="28" t="s">
        <v>153</v>
      </c>
      <c r="E30" s="36" t="n">
        <v>2028</v>
      </c>
      <c r="T30" s="5" t="s">
        <v>2128</v>
      </c>
      <c r="U30" s="5" t="s">
        <v>2129</v>
      </c>
    </row>
    <row r="31" customFormat="false" ht="15" hidden="false" customHeight="false" outlineLevel="0" collapsed="false">
      <c r="B31" s="24" t="s">
        <v>2130</v>
      </c>
      <c r="C31" s="25" t="s">
        <v>135</v>
      </c>
      <c r="D31" s="28" t="s">
        <v>153</v>
      </c>
      <c r="E31" s="36" t="n">
        <v>2027</v>
      </c>
      <c r="T31" s="5" t="s">
        <v>2131</v>
      </c>
      <c r="U31" s="5" t="s">
        <v>2132</v>
      </c>
    </row>
    <row r="32" customFormat="false" ht="15" hidden="false" customHeight="false" outlineLevel="0" collapsed="false">
      <c r="B32" s="22" t="s">
        <v>2133</v>
      </c>
      <c r="C32" s="23"/>
      <c r="D32" s="23"/>
      <c r="E32" s="23"/>
      <c r="F32" s="23"/>
      <c r="G32" s="23"/>
      <c r="H32" s="23"/>
      <c r="I32" s="23"/>
      <c r="J32" s="23"/>
      <c r="K32" s="23"/>
      <c r="L32" s="23"/>
      <c r="M32" s="23"/>
      <c r="N32" s="23"/>
      <c r="O32" s="23"/>
      <c r="P32" s="23"/>
      <c r="Q32" s="23"/>
      <c r="R32" s="23"/>
      <c r="S32" s="23"/>
    </row>
    <row r="33" customFormat="false" ht="15" hidden="false" customHeight="false" outlineLevel="0" collapsed="false">
      <c r="B33" s="24" t="s">
        <v>2134</v>
      </c>
      <c r="C33" s="25" t="s">
        <v>900</v>
      </c>
      <c r="D33" s="28" t="s">
        <v>153</v>
      </c>
      <c r="E33" s="101" t="n">
        <v>300000</v>
      </c>
      <c r="T33" s="5" t="s">
        <v>2135</v>
      </c>
      <c r="U33" s="5" t="s">
        <v>2136</v>
      </c>
    </row>
    <row r="34" customFormat="false" ht="15" hidden="false" customHeight="false" outlineLevel="0" collapsed="false">
      <c r="B34" s="24" t="s">
        <v>2137</v>
      </c>
      <c r="C34" s="25" t="s">
        <v>900</v>
      </c>
      <c r="D34" s="28" t="s">
        <v>153</v>
      </c>
      <c r="E34" s="101" t="n">
        <v>1700000</v>
      </c>
      <c r="T34" s="5" t="s">
        <v>2138</v>
      </c>
      <c r="U34" s="5" t="s">
        <v>2139</v>
      </c>
    </row>
    <row r="35" customFormat="false" ht="15" hidden="false" customHeight="false" outlineLevel="0" collapsed="false">
      <c r="B35" s="24" t="s">
        <v>2140</v>
      </c>
      <c r="C35" s="25" t="s">
        <v>160</v>
      </c>
      <c r="D35" s="28" t="s">
        <v>153</v>
      </c>
      <c r="E35" s="103" t="n">
        <v>0.02</v>
      </c>
      <c r="T35" s="5" t="s">
        <v>2141</v>
      </c>
    </row>
    <row r="36" customFormat="false" ht="15" hidden="false" customHeight="false" outlineLevel="0" collapsed="false">
      <c r="B36" s="24" t="s">
        <v>2142</v>
      </c>
      <c r="C36" s="25" t="s">
        <v>905</v>
      </c>
      <c r="D36" s="28" t="s">
        <v>153</v>
      </c>
      <c r="G36" s="101" t="n">
        <v>20000</v>
      </c>
      <c r="H36" s="101" t="n">
        <v>20000</v>
      </c>
      <c r="I36" s="101" t="n">
        <v>20000</v>
      </c>
      <c r="J36" s="101" t="n">
        <v>20000</v>
      </c>
      <c r="K36" s="101" t="n">
        <v>20000</v>
      </c>
      <c r="L36" s="101" t="n">
        <v>20000</v>
      </c>
      <c r="M36" s="101" t="n">
        <v>20000</v>
      </c>
      <c r="N36" s="101" t="n">
        <v>20000</v>
      </c>
      <c r="O36" s="101" t="n">
        <v>20000</v>
      </c>
      <c r="P36" s="101" t="n">
        <v>20000</v>
      </c>
      <c r="Q36" s="101" t="n">
        <v>20000</v>
      </c>
      <c r="R36" s="101" t="n">
        <v>20000</v>
      </c>
      <c r="S36" s="101" t="n">
        <v>20000</v>
      </c>
      <c r="T36" s="5" t="s">
        <v>2143</v>
      </c>
      <c r="U36" s="5" t="s">
        <v>2144</v>
      </c>
    </row>
    <row r="37" customFormat="false" ht="15" hidden="false" customHeight="false" outlineLevel="0" collapsed="false">
      <c r="B37" s="24" t="s">
        <v>2145</v>
      </c>
      <c r="C37" s="25" t="s">
        <v>160</v>
      </c>
      <c r="D37" s="28" t="s">
        <v>153</v>
      </c>
      <c r="E37" s="35" t="n">
        <v>0.5</v>
      </c>
      <c r="T37" s="5" t="s">
        <v>2146</v>
      </c>
    </row>
    <row r="38" customFormat="false" ht="15" hidden="false" customHeight="false" outlineLevel="0" collapsed="false">
      <c r="B38" s="24" t="s">
        <v>2147</v>
      </c>
      <c r="C38" s="25" t="s">
        <v>905</v>
      </c>
      <c r="D38" s="28" t="s">
        <v>153</v>
      </c>
      <c r="G38" s="101" t="n">
        <v>84000</v>
      </c>
      <c r="H38" s="101" t="n">
        <v>84000</v>
      </c>
      <c r="I38" s="101" t="n">
        <v>84000</v>
      </c>
      <c r="J38" s="101" t="n">
        <v>84000</v>
      </c>
      <c r="K38" s="101" t="n">
        <v>84000</v>
      </c>
      <c r="L38" s="101" t="n">
        <v>84000</v>
      </c>
      <c r="M38" s="101" t="n">
        <v>84000</v>
      </c>
      <c r="N38" s="101" t="n">
        <v>84000</v>
      </c>
      <c r="O38" s="101" t="n">
        <v>84000</v>
      </c>
      <c r="P38" s="101" t="n">
        <v>84000</v>
      </c>
      <c r="Q38" s="101" t="n">
        <v>84000</v>
      </c>
      <c r="R38" s="101" t="n">
        <v>84000</v>
      </c>
      <c r="S38" s="101" t="n">
        <v>84000</v>
      </c>
      <c r="T38" s="5" t="s">
        <v>2148</v>
      </c>
      <c r="U38" s="5" t="s">
        <v>2149</v>
      </c>
    </row>
    <row r="39" customFormat="false" ht="15" hidden="false" customHeight="false" outlineLevel="0" collapsed="false">
      <c r="B39" s="24" t="s">
        <v>2150</v>
      </c>
      <c r="C39" s="25" t="s">
        <v>160</v>
      </c>
      <c r="D39" s="28" t="s">
        <v>153</v>
      </c>
      <c r="E39" s="35" t="n">
        <v>0.5</v>
      </c>
      <c r="T39" s="5" t="s">
        <v>2151</v>
      </c>
    </row>
    <row r="40" customFormat="false" ht="15" hidden="false" customHeight="false" outlineLevel="0" collapsed="false">
      <c r="B40" s="24" t="s">
        <v>2152</v>
      </c>
      <c r="C40" s="25" t="s">
        <v>905</v>
      </c>
      <c r="D40" s="28" t="s">
        <v>153</v>
      </c>
      <c r="G40" s="101" t="n">
        <v>29000</v>
      </c>
      <c r="H40" s="101" t="n">
        <v>29000</v>
      </c>
      <c r="I40" s="101" t="n">
        <v>29000</v>
      </c>
      <c r="J40" s="101" t="n">
        <v>29000</v>
      </c>
      <c r="K40" s="101" t="n">
        <v>29000</v>
      </c>
      <c r="L40" s="101" t="n">
        <v>29000</v>
      </c>
      <c r="M40" s="101" t="n">
        <v>29000</v>
      </c>
      <c r="N40" s="101" t="n">
        <v>29000</v>
      </c>
      <c r="O40" s="101" t="n">
        <v>29000</v>
      </c>
      <c r="P40" s="101" t="n">
        <v>29000</v>
      </c>
      <c r="Q40" s="101" t="n">
        <v>29000</v>
      </c>
      <c r="R40" s="101" t="n">
        <v>29000</v>
      </c>
      <c r="S40" s="101" t="n">
        <v>29000</v>
      </c>
      <c r="T40" s="5" t="s">
        <v>2153</v>
      </c>
      <c r="U40" s="5" t="s">
        <v>2154</v>
      </c>
    </row>
    <row r="41" customFormat="false" ht="15" hidden="false" customHeight="false" outlineLevel="0" collapsed="false">
      <c r="B41" s="24" t="s">
        <v>2155</v>
      </c>
      <c r="C41" s="25" t="s">
        <v>160</v>
      </c>
      <c r="D41" s="28" t="s">
        <v>153</v>
      </c>
      <c r="E41" s="35" t="n">
        <v>0.5</v>
      </c>
      <c r="T41" s="5" t="s">
        <v>2156</v>
      </c>
    </row>
    <row r="42" customFormat="false" ht="15" hidden="false" customHeight="false" outlineLevel="0" collapsed="false">
      <c r="B42" s="24" t="s">
        <v>2157</v>
      </c>
      <c r="C42" s="25" t="s">
        <v>905</v>
      </c>
      <c r="D42" s="28" t="s">
        <v>153</v>
      </c>
      <c r="G42" s="101" t="n">
        <v>55000</v>
      </c>
      <c r="H42" s="101" t="n">
        <v>55000</v>
      </c>
      <c r="I42" s="101" t="n">
        <v>55000</v>
      </c>
      <c r="J42" s="101" t="n">
        <v>55000</v>
      </c>
      <c r="K42" s="101" t="n">
        <v>55000</v>
      </c>
      <c r="L42" s="101" t="n">
        <v>55000</v>
      </c>
      <c r="M42" s="101" t="n">
        <v>55000</v>
      </c>
      <c r="N42" s="101" t="n">
        <v>55000</v>
      </c>
      <c r="O42" s="101" t="n">
        <v>55000</v>
      </c>
      <c r="P42" s="101" t="n">
        <v>55000</v>
      </c>
      <c r="Q42" s="101" t="n">
        <v>55000</v>
      </c>
      <c r="R42" s="101" t="n">
        <v>55000</v>
      </c>
      <c r="S42" s="101" t="n">
        <v>55000</v>
      </c>
      <c r="T42" s="5" t="s">
        <v>2158</v>
      </c>
      <c r="U42" s="5" t="s">
        <v>2159</v>
      </c>
    </row>
    <row r="43" customFormat="false" ht="15" hidden="false" customHeight="false" outlineLevel="0" collapsed="false">
      <c r="B43" s="24" t="s">
        <v>2160</v>
      </c>
      <c r="C43" s="25" t="s">
        <v>160</v>
      </c>
      <c r="D43" s="28" t="s">
        <v>153</v>
      </c>
      <c r="E43" s="35" t="n">
        <v>0.5</v>
      </c>
      <c r="T43" s="5" t="s">
        <v>2161</v>
      </c>
    </row>
    <row r="44" customFormat="false" ht="15" hidden="false" customHeight="false" outlineLevel="0" collapsed="false">
      <c r="B44" s="22" t="s">
        <v>1953</v>
      </c>
      <c r="C44" s="23"/>
      <c r="D44" s="23"/>
      <c r="E44" s="23"/>
      <c r="F44" s="23"/>
      <c r="G44" s="23"/>
      <c r="H44" s="23"/>
      <c r="I44" s="23"/>
      <c r="J44" s="23"/>
      <c r="K44" s="23"/>
      <c r="L44" s="23"/>
      <c r="M44" s="23"/>
      <c r="N44" s="23"/>
      <c r="O44" s="23"/>
      <c r="P44" s="23"/>
      <c r="Q44" s="23"/>
      <c r="R44" s="23"/>
      <c r="S44" s="23"/>
    </row>
    <row r="45" customFormat="false" ht="15" hidden="false" customHeight="false" outlineLevel="0" collapsed="false">
      <c r="B45" s="24" t="s">
        <v>2162</v>
      </c>
      <c r="C45" s="25" t="s">
        <v>160</v>
      </c>
      <c r="D45" s="28" t="s">
        <v>153</v>
      </c>
      <c r="E45" s="35" t="n">
        <v>0.2</v>
      </c>
      <c r="T45" s="5" t="s">
        <v>2163</v>
      </c>
      <c r="U45" s="5" t="s">
        <v>2164</v>
      </c>
    </row>
    <row r="46" customFormat="false" ht="15" hidden="false" customHeight="false" outlineLevel="0" collapsed="false">
      <c r="B46" s="22" t="s">
        <v>2165</v>
      </c>
      <c r="C46" s="23"/>
      <c r="D46" s="23"/>
      <c r="E46" s="23"/>
      <c r="F46" s="23"/>
      <c r="G46" s="23"/>
      <c r="H46" s="23"/>
      <c r="I46" s="23"/>
      <c r="J46" s="23"/>
      <c r="K46" s="23"/>
      <c r="L46" s="23"/>
      <c r="M46" s="23"/>
      <c r="N46" s="23"/>
      <c r="O46" s="23"/>
      <c r="P46" s="23"/>
      <c r="Q46" s="23"/>
      <c r="R46" s="23"/>
      <c r="S46" s="23"/>
    </row>
    <row r="47" customFormat="false" ht="15" hidden="false" customHeight="false" outlineLevel="0" collapsed="false">
      <c r="B47" s="24" t="s">
        <v>2166</v>
      </c>
      <c r="C47" s="25" t="s">
        <v>145</v>
      </c>
      <c r="D47" s="28" t="s">
        <v>153</v>
      </c>
      <c r="E47" s="36" t="n">
        <v>5</v>
      </c>
      <c r="T47" s="5" t="s">
        <v>2167</v>
      </c>
      <c r="U47" s="5" t="s">
        <v>2168</v>
      </c>
    </row>
    <row r="48" customFormat="false" ht="15" hidden="false" customHeight="false" outlineLevel="0" collapsed="false">
      <c r="B48" s="24" t="s">
        <v>2169</v>
      </c>
      <c r="C48" s="25" t="s">
        <v>240</v>
      </c>
      <c r="D48" s="28" t="s">
        <v>153</v>
      </c>
      <c r="E48" s="37" t="n">
        <v>0.04</v>
      </c>
      <c r="T48" s="5" t="s">
        <v>2170</v>
      </c>
      <c r="U48" s="5" t="s">
        <v>2171</v>
      </c>
    </row>
    <row r="49" customFormat="false" ht="15" hidden="false" customHeight="false" outlineLevel="0" collapsed="false">
      <c r="B49" s="24" t="s">
        <v>2172</v>
      </c>
      <c r="C49" s="25" t="s">
        <v>240</v>
      </c>
      <c r="D49" s="28" t="s">
        <v>153</v>
      </c>
      <c r="E49" s="37" t="n">
        <v>0.04</v>
      </c>
      <c r="T49" s="5" t="s">
        <v>2173</v>
      </c>
      <c r="U49" s="5" t="s">
        <v>2174</v>
      </c>
    </row>
    <row r="50" customFormat="false" ht="15" hidden="false" customHeight="false" outlineLevel="0" collapsed="false">
      <c r="B50" s="24" t="s">
        <v>2175</v>
      </c>
      <c r="C50" s="25" t="s">
        <v>240</v>
      </c>
      <c r="D50" s="28" t="s">
        <v>153</v>
      </c>
      <c r="E50" s="37" t="n">
        <v>0.03</v>
      </c>
      <c r="T50" s="5" t="s">
        <v>2176</v>
      </c>
      <c r="U50" s="5" t="s">
        <v>2177</v>
      </c>
    </row>
    <row r="51" customFormat="false" ht="15" hidden="false" customHeight="false" outlineLevel="0" collapsed="false">
      <c r="B51" s="24" t="s">
        <v>2178</v>
      </c>
      <c r="C51" s="25" t="s">
        <v>240</v>
      </c>
      <c r="D51" s="28" t="s">
        <v>153</v>
      </c>
      <c r="E51" s="37" t="n">
        <v>0.04</v>
      </c>
      <c r="T51" s="5" t="s">
        <v>2179</v>
      </c>
      <c r="U51" s="5" t="s">
        <v>2180</v>
      </c>
    </row>
  </sheetData>
  <hyperlinks>
    <hyperlink ref="C3" r:id="rId1" location="'P08%20DMSTrucking%20Input'!A1" display="Input"/>
    <hyperlink ref="D3" r:id="rId2" location="'P08%20DMSTrucking%20Calc'!A1" display="Calc"/>
    <hyperlink ref="E3" r:id="rId3" location="'P08%20DMSTrucking%20Output'!A1" display="Output"/>
    <hyperlink ref="F3" r:id="rId4" location="'Navigation'!A1" display="Navigation"/>
    <hyperlink ref="G3" r:id="rId5" location="'Global%20Inputs'!A1" display="Global Inputs"/>
    <hyperlink ref="H3" r:id="rId6" location="'Project%20Summary'!A1" display="Project Summary"/>
    <hyperlink ref="I3" r:id="rId7" location="'Funding%20Requirement'!A1" display="Funding"/>
    <hyperlink ref="J3" r:id="rId8" location="'FSL%20Financials%20—%20Without%20BUMN'!A1" display="FSL w/o BUMN"/>
    <hyperlink ref="K3" r:id="rId9" location="'FSL%20Financials%20—%20With%20BUMN'!A1" display="FSL w/ BUMN"/>
    <hyperlink ref="L3" r:id="rId10" location="'Valuation%20—%20Without%20BUMN'!A1" display="Val w/o BUMN"/>
    <hyperlink ref="M3" r:id="rId11" location="'Valuation%20—%20With%20BUMN'!A1" display="Val w/ BUMN"/>
    <hyperlink ref="N3" r:id="rId12" location="'Checks'!A1" display="Checks"/>
    <hyperlink ref="O3" r:id="rId13" location="'Model%20Flow'!A1" display="Model Flow"/>
  </hyperlink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BFBF"/>
    <pageSetUpPr fitToPage="true"/>
  </sheetPr>
  <dimension ref="B1:U7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5" ySplit="9" topLeftCell="F10" activePane="bottomRight" state="frozen"/>
      <selection pane="topLeft" activeCell="A1" activeCellId="0" sqref="A1"/>
      <selection pane="topRight" activeCell="F1" activeCellId="0" sqref="F1"/>
      <selection pane="bottomLeft" activeCell="A10" activeCellId="0" sqref="A10"/>
      <selection pane="bottomRigh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66"/>
    <col collapsed="false" customWidth="true" hidden="false" outlineLevel="0" max="3" min="3" style="0" width="11"/>
    <col collapsed="false" customWidth="true" hidden="false" outlineLevel="0" max="4" min="4" style="0" width="12"/>
    <col collapsed="false" customWidth="true" hidden="false" outlineLevel="0" max="5" min="5" style="0" width="13"/>
    <col collapsed="false" customWidth="true" hidden="false" outlineLevel="0" max="19" min="6" style="0" width="11.5"/>
    <col collapsed="false" customWidth="true" hidden="false" outlineLevel="0" max="20" min="20" style="0" width="40"/>
    <col collapsed="false" customWidth="true" hidden="false" outlineLevel="0" max="21" min="21" style="0" width="48"/>
  </cols>
  <sheetData>
    <row r="1" customFormat="false" ht="21.75" hidden="false" customHeight="true" outlineLevel="0" collapsed="false">
      <c r="B1" s="1" t="s">
        <v>2181</v>
      </c>
    </row>
    <row r="2" customFormat="false" ht="15" hidden="false" customHeight="false" outlineLevel="0" collapsed="false">
      <c r="B2" s="2" t="s">
        <v>1014</v>
      </c>
    </row>
    <row r="3" customFormat="false" ht="15" hidden="false" customHeight="false" outlineLevel="0" collapsed="false">
      <c r="B3" s="5" t="s">
        <v>112</v>
      </c>
      <c r="C3" s="17" t="s">
        <v>27</v>
      </c>
      <c r="D3" s="17" t="s">
        <v>28</v>
      </c>
      <c r="E3" s="17" t="s">
        <v>29</v>
      </c>
      <c r="F3" s="17" t="s">
        <v>113</v>
      </c>
      <c r="G3" s="17" t="s">
        <v>5</v>
      </c>
      <c r="H3" s="17" t="s">
        <v>7</v>
      </c>
      <c r="I3" s="17" t="s">
        <v>114</v>
      </c>
      <c r="J3" s="17" t="s">
        <v>115</v>
      </c>
      <c r="K3" s="17" t="s">
        <v>116</v>
      </c>
      <c r="L3" s="17" t="s">
        <v>117</v>
      </c>
      <c r="M3" s="17" t="s">
        <v>118</v>
      </c>
      <c r="N3" s="17" t="s">
        <v>21</v>
      </c>
      <c r="O3" s="17" t="s">
        <v>3</v>
      </c>
    </row>
    <row r="5" customFormat="false" ht="15" hidden="false" customHeight="false" outlineLevel="0" collapsed="false">
      <c r="B5" s="6" t="s">
        <v>119</v>
      </c>
      <c r="C5" s="6" t="s">
        <v>120</v>
      </c>
      <c r="D5" s="6" t="s">
        <v>121</v>
      </c>
      <c r="E5" s="6" t="s">
        <v>122</v>
      </c>
      <c r="F5" s="18" t="n">
        <f aca="false">'Global Inputs'!F$5</f>
        <v>2023</v>
      </c>
      <c r="G5" s="18" t="n">
        <f aca="false">'Global Inputs'!G$5</f>
        <v>2024</v>
      </c>
      <c r="H5" s="18" t="n">
        <f aca="false">'Global Inputs'!H$5</f>
        <v>2025</v>
      </c>
      <c r="I5" s="18" t="n">
        <f aca="false">'Global Inputs'!I$5</f>
        <v>2026</v>
      </c>
      <c r="J5" s="18" t="n">
        <f aca="false">'Global Inputs'!J$5</f>
        <v>2027</v>
      </c>
      <c r="K5" s="18" t="n">
        <f aca="false">'Global Inputs'!K$5</f>
        <v>2028</v>
      </c>
      <c r="L5" s="18" t="n">
        <f aca="false">'Global Inputs'!L$5</f>
        <v>2029</v>
      </c>
      <c r="M5" s="18" t="n">
        <f aca="false">'Global Inputs'!M$5</f>
        <v>2030</v>
      </c>
      <c r="N5" s="18" t="n">
        <f aca="false">'Global Inputs'!N$5</f>
        <v>2031</v>
      </c>
      <c r="O5" s="18" t="n">
        <f aca="false">'Global Inputs'!O$5</f>
        <v>2032</v>
      </c>
      <c r="P5" s="18" t="n">
        <f aca="false">'Global Inputs'!P$5</f>
        <v>2033</v>
      </c>
      <c r="Q5" s="18" t="n">
        <f aca="false">'Global Inputs'!Q$5</f>
        <v>2034</v>
      </c>
      <c r="R5" s="18" t="n">
        <f aca="false">'Global Inputs'!R$5</f>
        <v>2035</v>
      </c>
      <c r="S5" s="18" t="n">
        <f aca="false">'Global Inputs'!S$5</f>
        <v>2036</v>
      </c>
      <c r="T5" s="6" t="s">
        <v>123</v>
      </c>
      <c r="U5" s="6" t="s">
        <v>124</v>
      </c>
    </row>
    <row r="6" customFormat="false" ht="15" hidden="false" customHeight="false" outlineLevel="0" collapsed="false">
      <c r="B6" s="19" t="s">
        <v>125</v>
      </c>
      <c r="F6" s="20" t="n">
        <f aca="false">'Global Inputs'!F$6</f>
        <v>45291</v>
      </c>
      <c r="G6" s="20" t="n">
        <f aca="false">'Global Inputs'!G$6</f>
        <v>45657</v>
      </c>
      <c r="H6" s="20" t="n">
        <f aca="false">'Global Inputs'!H$6</f>
        <v>46022</v>
      </c>
      <c r="I6" s="20" t="n">
        <f aca="false">'Global Inputs'!I$6</f>
        <v>46387</v>
      </c>
      <c r="J6" s="20" t="n">
        <f aca="false">'Global Inputs'!J$6</f>
        <v>46752</v>
      </c>
      <c r="K6" s="20" t="n">
        <f aca="false">'Global Inputs'!K$6</f>
        <v>47118</v>
      </c>
      <c r="L6" s="20" t="n">
        <f aca="false">'Global Inputs'!L$6</f>
        <v>47483</v>
      </c>
      <c r="M6" s="20" t="n">
        <f aca="false">'Global Inputs'!M$6</f>
        <v>47848</v>
      </c>
      <c r="N6" s="20" t="n">
        <f aca="false">'Global Inputs'!N$6</f>
        <v>48213</v>
      </c>
      <c r="O6" s="20" t="n">
        <f aca="false">'Global Inputs'!O$6</f>
        <v>48579</v>
      </c>
      <c r="P6" s="20" t="n">
        <f aca="false">'Global Inputs'!P$6</f>
        <v>48944</v>
      </c>
      <c r="Q6" s="20" t="n">
        <f aca="false">'Global Inputs'!Q$6</f>
        <v>49309</v>
      </c>
      <c r="R6" s="20" t="n">
        <f aca="false">'Global Inputs'!R$6</f>
        <v>49674</v>
      </c>
      <c r="S6" s="20" t="n">
        <f aca="false">'Global Inputs'!S$6</f>
        <v>50040</v>
      </c>
    </row>
    <row r="7" customFormat="false" ht="15" hidden="false" customHeight="false" outlineLevel="0" collapsed="false">
      <c r="B7" s="19" t="s">
        <v>126</v>
      </c>
      <c r="F7" s="21" t="n">
        <f aca="false">'Global Inputs'!F$7</f>
        <v>365</v>
      </c>
      <c r="G7" s="21" t="n">
        <f aca="false">'Global Inputs'!G$7</f>
        <v>366</v>
      </c>
      <c r="H7" s="21" t="n">
        <f aca="false">'Global Inputs'!H$7</f>
        <v>365</v>
      </c>
      <c r="I7" s="21" t="n">
        <f aca="false">'Global Inputs'!I$7</f>
        <v>365</v>
      </c>
      <c r="J7" s="21" t="n">
        <f aca="false">'Global Inputs'!J$7</f>
        <v>365</v>
      </c>
      <c r="K7" s="21" t="n">
        <f aca="false">'Global Inputs'!K$7</f>
        <v>366</v>
      </c>
      <c r="L7" s="21" t="n">
        <f aca="false">'Global Inputs'!L$7</f>
        <v>365</v>
      </c>
      <c r="M7" s="21" t="n">
        <f aca="false">'Global Inputs'!M$7</f>
        <v>365</v>
      </c>
      <c r="N7" s="21" t="n">
        <f aca="false">'Global Inputs'!N$7</f>
        <v>365</v>
      </c>
      <c r="O7" s="21" t="n">
        <f aca="false">'Global Inputs'!O$7</f>
        <v>366</v>
      </c>
      <c r="P7" s="21" t="n">
        <f aca="false">'Global Inputs'!P$7</f>
        <v>365</v>
      </c>
      <c r="Q7" s="21" t="n">
        <f aca="false">'Global Inputs'!Q$7</f>
        <v>365</v>
      </c>
      <c r="R7" s="21" t="n">
        <f aca="false">'Global Inputs'!R$7</f>
        <v>365</v>
      </c>
      <c r="S7" s="21" t="n">
        <f aca="false">'Global Inputs'!S$7</f>
        <v>366</v>
      </c>
    </row>
    <row r="8" customFormat="false" ht="15" hidden="false" customHeight="false" outlineLevel="0" collapsed="false">
      <c r="B8" s="19" t="s">
        <v>127</v>
      </c>
      <c r="F8" s="21" t="n">
        <f aca="false">'Global Inputs'!F$8</f>
        <v>0</v>
      </c>
      <c r="G8" s="21" t="n">
        <f aca="false">'Global Inputs'!G$8</f>
        <v>1</v>
      </c>
      <c r="H8" s="21" t="n">
        <f aca="false">'Global Inputs'!H$8</f>
        <v>1</v>
      </c>
      <c r="I8" s="21" t="n">
        <f aca="false">'Global Inputs'!I$8</f>
        <v>1</v>
      </c>
      <c r="J8" s="21" t="n">
        <f aca="false">'Global Inputs'!J$8</f>
        <v>1</v>
      </c>
      <c r="K8" s="21" t="n">
        <f aca="false">'Global Inputs'!K$8</f>
        <v>1</v>
      </c>
      <c r="L8" s="21" t="n">
        <f aca="false">'Global Inputs'!L$8</f>
        <v>1</v>
      </c>
      <c r="M8" s="21" t="n">
        <f aca="false">'Global Inputs'!M$8</f>
        <v>1</v>
      </c>
      <c r="N8" s="21" t="n">
        <f aca="false">'Global Inputs'!N$8</f>
        <v>1</v>
      </c>
      <c r="O8" s="21" t="n">
        <f aca="false">'Global Inputs'!O$8</f>
        <v>1</v>
      </c>
      <c r="P8" s="21" t="n">
        <f aca="false">'Global Inputs'!P$8</f>
        <v>1</v>
      </c>
      <c r="Q8" s="21" t="n">
        <f aca="false">'Global Inputs'!Q$8</f>
        <v>1</v>
      </c>
      <c r="R8" s="21" t="n">
        <f aca="false">'Global Inputs'!R$8</f>
        <v>1</v>
      </c>
      <c r="S8" s="21" t="n">
        <f aca="false">'Global Inputs'!S$8</f>
        <v>1</v>
      </c>
    </row>
    <row r="10" customFormat="false" ht="15" hidden="false" customHeight="false" outlineLevel="0" collapsed="false">
      <c r="B10" s="22" t="s">
        <v>1015</v>
      </c>
      <c r="C10" s="23"/>
      <c r="D10" s="23"/>
      <c r="E10" s="23"/>
      <c r="F10" s="23"/>
      <c r="G10" s="23"/>
      <c r="H10" s="23"/>
      <c r="I10" s="23"/>
      <c r="J10" s="23"/>
      <c r="K10" s="23"/>
      <c r="L10" s="23"/>
      <c r="M10" s="23"/>
      <c r="N10" s="23"/>
      <c r="O10" s="23"/>
      <c r="P10" s="23"/>
      <c r="Q10" s="23"/>
      <c r="R10" s="23"/>
      <c r="S10" s="23"/>
    </row>
    <row r="11" customFormat="false" ht="15" hidden="false" customHeight="false" outlineLevel="0" collapsed="false">
      <c r="B11" s="24" t="s">
        <v>1016</v>
      </c>
      <c r="C11" s="25" t="s">
        <v>143</v>
      </c>
      <c r="F11" s="30" t="n">
        <f aca="false">IF(F$5&gt;='P08 DMSTrucking Input'!$E$25,1,0)*F$8</f>
        <v>0</v>
      </c>
      <c r="G11" s="30" t="n">
        <f aca="false">IF(G$5&gt;='P08 DMSTrucking Input'!$E$25,1,0)*G$8</f>
        <v>0</v>
      </c>
      <c r="H11" s="30" t="n">
        <f aca="false">IF(H$5&gt;='P08 DMSTrucking Input'!$E$25,1,0)*H$8</f>
        <v>0</v>
      </c>
      <c r="I11" s="30" t="n">
        <f aca="false">IF(I$5&gt;='P08 DMSTrucking Input'!$E$25,1,0)*I$8</f>
        <v>0</v>
      </c>
      <c r="J11" s="30" t="n">
        <f aca="false">IF(J$5&gt;='P08 DMSTrucking Input'!$E$25,1,0)*J$8</f>
        <v>1</v>
      </c>
      <c r="K11" s="30" t="n">
        <f aca="false">IF(K$5&gt;='P08 DMSTrucking Input'!$E$25,1,0)*K$8</f>
        <v>1</v>
      </c>
      <c r="L11" s="30" t="n">
        <f aca="false">IF(L$5&gt;='P08 DMSTrucking Input'!$E$25,1,0)*L$8</f>
        <v>1</v>
      </c>
      <c r="M11" s="30" t="n">
        <f aca="false">IF(M$5&gt;='P08 DMSTrucking Input'!$E$25,1,0)*M$8</f>
        <v>1</v>
      </c>
      <c r="N11" s="30" t="n">
        <f aca="false">IF(N$5&gt;='P08 DMSTrucking Input'!$E$25,1,0)*N$8</f>
        <v>1</v>
      </c>
      <c r="O11" s="30" t="n">
        <f aca="false">IF(O$5&gt;='P08 DMSTrucking Input'!$E$25,1,0)*O$8</f>
        <v>1</v>
      </c>
      <c r="P11" s="30" t="n">
        <f aca="false">IF(P$5&gt;='P08 DMSTrucking Input'!$E$25,1,0)*P$8</f>
        <v>1</v>
      </c>
      <c r="Q11" s="30" t="n">
        <f aca="false">IF(Q$5&gt;='P08 DMSTrucking Input'!$E$25,1,0)*Q$8</f>
        <v>1</v>
      </c>
      <c r="R11" s="30" t="n">
        <f aca="false">IF(R$5&gt;='P08 DMSTrucking Input'!$E$25,1,0)*R$8</f>
        <v>1</v>
      </c>
      <c r="S11" s="30" t="n">
        <f aca="false">IF(S$5&gt;='P08 DMSTrucking Input'!$E$25,1,0)*S$8</f>
        <v>1</v>
      </c>
    </row>
    <row r="13" customFormat="false" ht="15" hidden="false" customHeight="false" outlineLevel="0" collapsed="false">
      <c r="B13" s="22" t="s">
        <v>2182</v>
      </c>
      <c r="C13" s="23"/>
      <c r="D13" s="23"/>
      <c r="E13" s="23"/>
      <c r="F13" s="23"/>
      <c r="G13" s="23"/>
      <c r="H13" s="23"/>
      <c r="I13" s="23"/>
      <c r="J13" s="23"/>
      <c r="K13" s="23"/>
      <c r="L13" s="23"/>
      <c r="M13" s="23"/>
      <c r="N13" s="23"/>
      <c r="O13" s="23"/>
      <c r="P13" s="23"/>
      <c r="Q13" s="23"/>
      <c r="R13" s="23"/>
      <c r="S13" s="23"/>
    </row>
    <row r="14" customFormat="false" ht="15" hidden="false" customHeight="false" outlineLevel="0" collapsed="false">
      <c r="B14" s="24" t="s">
        <v>2183</v>
      </c>
      <c r="C14" s="25" t="s">
        <v>143</v>
      </c>
      <c r="F14" s="30" t="n">
        <f aca="false">0</f>
        <v>0</v>
      </c>
      <c r="G14" s="30" t="n">
        <f aca="false">IF(G$5&lt;'P08 DMSTrucking Input'!$E$28,0,1)*G$8</f>
        <v>0</v>
      </c>
      <c r="H14" s="30" t="n">
        <f aca="false">IF(H$5&lt;'P08 DMSTrucking Input'!$E$28,0,1)*H$8</f>
        <v>0</v>
      </c>
      <c r="I14" s="30" t="n">
        <f aca="false">IF(I$5&lt;'P08 DMSTrucking Input'!$E$28,0,1)*I$8</f>
        <v>0</v>
      </c>
      <c r="J14" s="30" t="n">
        <f aca="false">IF(J$5&lt;'P08 DMSTrucking Input'!$E$28,0,1)*J$8</f>
        <v>1</v>
      </c>
      <c r="K14" s="30" t="n">
        <f aca="false">IF(K$5&lt;'P08 DMSTrucking Input'!$E$28,0,1)*K$8</f>
        <v>1</v>
      </c>
      <c r="L14" s="30" t="n">
        <f aca="false">IF(L$5&lt;'P08 DMSTrucking Input'!$E$28,0,1)*L$8</f>
        <v>1</v>
      </c>
      <c r="M14" s="30" t="n">
        <f aca="false">IF(M$5&lt;'P08 DMSTrucking Input'!$E$28,0,1)*M$8</f>
        <v>1</v>
      </c>
      <c r="N14" s="30" t="n">
        <f aca="false">IF(N$5&lt;'P08 DMSTrucking Input'!$E$28,0,1)*N$8</f>
        <v>1</v>
      </c>
      <c r="O14" s="30" t="n">
        <f aca="false">IF(O$5&lt;'P08 DMSTrucking Input'!$E$28,0,1)*O$8</f>
        <v>1</v>
      </c>
      <c r="P14" s="30" t="n">
        <f aca="false">IF(P$5&lt;'P08 DMSTrucking Input'!$E$28,0,1)*P$8</f>
        <v>1</v>
      </c>
      <c r="Q14" s="30" t="n">
        <f aca="false">IF(Q$5&lt;'P08 DMSTrucking Input'!$E$28,0,1)*Q$8</f>
        <v>1</v>
      </c>
      <c r="R14" s="30" t="n">
        <f aca="false">IF(R$5&lt;'P08 DMSTrucking Input'!$E$28,0,1)*R$8</f>
        <v>1</v>
      </c>
      <c r="S14" s="30" t="n">
        <f aca="false">IF(S$5&lt;'P08 DMSTrucking Input'!$E$28,0,1)*S$8</f>
        <v>1</v>
      </c>
    </row>
    <row r="15" customFormat="false" ht="15" hidden="false" customHeight="false" outlineLevel="0" collapsed="false">
      <c r="B15" s="24" t="s">
        <v>2184</v>
      </c>
      <c r="C15" s="25" t="s">
        <v>900</v>
      </c>
      <c r="F15" s="94" t="n">
        <f aca="false">'E1 TelukLamong Calc'!F22</f>
        <v>0</v>
      </c>
      <c r="G15" s="94" t="n">
        <f aca="false">'E1 TelukLamong Calc'!G22</f>
        <v>3666220</v>
      </c>
      <c r="H15" s="94" t="n">
        <f aca="false">'E1 TelukLamong Calc'!H22</f>
        <v>3776206.6</v>
      </c>
      <c r="I15" s="94" t="n">
        <f aca="false">'E1 TelukLamong Calc'!I22</f>
        <v>3889492.798</v>
      </c>
      <c r="J15" s="94" t="n">
        <f aca="false">'E1 TelukLamong Calc'!J22</f>
        <v>4006177.58194</v>
      </c>
      <c r="K15" s="94" t="n">
        <f aca="false">'E1 TelukLamong Calc'!K22</f>
        <v>4126362.9093982</v>
      </c>
      <c r="L15" s="94" t="n">
        <f aca="false">'E1 TelukLamong Calc'!L22</f>
        <v>4250153.79668015</v>
      </c>
      <c r="M15" s="94" t="n">
        <f aca="false">'E1 TelukLamong Calc'!M22</f>
        <v>4377658.41058055</v>
      </c>
      <c r="N15" s="94" t="n">
        <f aca="false">'E1 TelukLamong Calc'!N22</f>
        <v>4508988.16289797</v>
      </c>
      <c r="O15" s="94" t="n">
        <f aca="false">'E1 TelukLamong Calc'!O22</f>
        <v>4644257.80778491</v>
      </c>
      <c r="P15" s="94" t="n">
        <f aca="false">'E1 TelukLamong Calc'!P22</f>
        <v>4783585.54201845</v>
      </c>
      <c r="Q15" s="94" t="n">
        <f aca="false">'E1 TelukLamong Calc'!Q22</f>
        <v>4927093.10827901</v>
      </c>
      <c r="R15" s="94" t="n">
        <f aca="false">'E1 TelukLamong Calc'!R22</f>
        <v>5074905.90152738</v>
      </c>
      <c r="S15" s="94" t="n">
        <f aca="false">'E1 TelukLamong Calc'!S22</f>
        <v>5227153.0785732</v>
      </c>
    </row>
    <row r="16" customFormat="false" ht="15" hidden="false" customHeight="false" outlineLevel="0" collapsed="false">
      <c r="B16" s="24" t="s">
        <v>2185</v>
      </c>
      <c r="C16" s="25" t="s">
        <v>900</v>
      </c>
      <c r="E16" s="31" t="n">
        <f aca="false">SUM(F16:S16)</f>
        <v>42926336.2996798</v>
      </c>
      <c r="F16" s="31" t="n">
        <f aca="false">(F15-'P08 DMSTrucking Input'!$E$33)*F14</f>
        <v>-0</v>
      </c>
      <c r="G16" s="31" t="n">
        <f aca="false">(G15-'P08 DMSTrucking Input'!$E$33)*G14</f>
        <v>0</v>
      </c>
      <c r="H16" s="31" t="n">
        <f aca="false">(H15-'P08 DMSTrucking Input'!$E$33)*H14</f>
        <v>0</v>
      </c>
      <c r="I16" s="31" t="n">
        <f aca="false">(I15-'P08 DMSTrucking Input'!$E$33)*I14</f>
        <v>0</v>
      </c>
      <c r="J16" s="31" t="n">
        <f aca="false">(J15-'P08 DMSTrucking Input'!$E$33)*J14</f>
        <v>3706177.58194</v>
      </c>
      <c r="K16" s="31" t="n">
        <f aca="false">(K15-'P08 DMSTrucking Input'!$E$33)*K14</f>
        <v>3826362.9093982</v>
      </c>
      <c r="L16" s="31" t="n">
        <f aca="false">(L15-'P08 DMSTrucking Input'!$E$33)*L14</f>
        <v>3950153.79668015</v>
      </c>
      <c r="M16" s="31" t="n">
        <f aca="false">(M15-'P08 DMSTrucking Input'!$E$33)*M14</f>
        <v>4077658.41058055</v>
      </c>
      <c r="N16" s="31" t="n">
        <f aca="false">(N15-'P08 DMSTrucking Input'!$E$33)*N14</f>
        <v>4208988.16289797</v>
      </c>
      <c r="O16" s="31" t="n">
        <f aca="false">(O15-'P08 DMSTrucking Input'!$E$33)*O14</f>
        <v>4344257.80778491</v>
      </c>
      <c r="P16" s="31" t="n">
        <f aca="false">(P15-'P08 DMSTrucking Input'!$E$33)*P14</f>
        <v>4483585.54201845</v>
      </c>
      <c r="Q16" s="31" t="n">
        <f aca="false">(Q15-'P08 DMSTrucking Input'!$E$33)*Q14</f>
        <v>4627093.10827901</v>
      </c>
      <c r="R16" s="31" t="n">
        <f aca="false">(R15-'P08 DMSTrucking Input'!$E$33)*R14</f>
        <v>4774905.90152738</v>
      </c>
      <c r="S16" s="31" t="n">
        <f aca="false">(S15-'P08 DMSTrucking Input'!$E$33)*S14</f>
        <v>4927153.0785732</v>
      </c>
    </row>
    <row r="17" customFormat="false" ht="15" hidden="false" customHeight="false" outlineLevel="0" collapsed="false">
      <c r="B17" s="24" t="s">
        <v>2186</v>
      </c>
      <c r="C17" s="25" t="s">
        <v>905</v>
      </c>
      <c r="F17" s="31" t="n">
        <f aca="false">'P08 DMSTrucking Input'!F36*'P08 DMSTrucking Input'!$E$35</f>
        <v>0</v>
      </c>
      <c r="G17" s="31" t="n">
        <f aca="false">'P08 DMSTrucking Input'!G36*'P08 DMSTrucking Input'!$E$35</f>
        <v>400</v>
      </c>
      <c r="H17" s="31" t="n">
        <f aca="false">'P08 DMSTrucking Input'!H36*'P08 DMSTrucking Input'!$E$35</f>
        <v>400</v>
      </c>
      <c r="I17" s="31" t="n">
        <f aca="false">'P08 DMSTrucking Input'!I36*'P08 DMSTrucking Input'!$E$35</f>
        <v>400</v>
      </c>
      <c r="J17" s="31" t="n">
        <f aca="false">'P08 DMSTrucking Input'!J36*'P08 DMSTrucking Input'!$E$35</f>
        <v>400</v>
      </c>
      <c r="K17" s="31" t="n">
        <f aca="false">'P08 DMSTrucking Input'!K36*'P08 DMSTrucking Input'!$E$35</f>
        <v>400</v>
      </c>
      <c r="L17" s="31" t="n">
        <f aca="false">'P08 DMSTrucking Input'!L36*'P08 DMSTrucking Input'!$E$35</f>
        <v>400</v>
      </c>
      <c r="M17" s="31" t="n">
        <f aca="false">'P08 DMSTrucking Input'!M36*'P08 DMSTrucking Input'!$E$35</f>
        <v>400</v>
      </c>
      <c r="N17" s="31" t="n">
        <f aca="false">'P08 DMSTrucking Input'!N36*'P08 DMSTrucking Input'!$E$35</f>
        <v>400</v>
      </c>
      <c r="O17" s="31" t="n">
        <f aca="false">'P08 DMSTrucking Input'!O36*'P08 DMSTrucking Input'!$E$35</f>
        <v>400</v>
      </c>
      <c r="P17" s="31" t="n">
        <f aca="false">'P08 DMSTrucking Input'!P36*'P08 DMSTrucking Input'!$E$35</f>
        <v>400</v>
      </c>
      <c r="Q17" s="31" t="n">
        <f aca="false">'P08 DMSTrucking Input'!Q36*'P08 DMSTrucking Input'!$E$35</f>
        <v>400</v>
      </c>
      <c r="R17" s="31" t="n">
        <f aca="false">'P08 DMSTrucking Input'!R36*'P08 DMSTrucking Input'!$E$35</f>
        <v>400</v>
      </c>
      <c r="S17" s="31" t="n">
        <f aca="false">'P08 DMSTrucking Input'!S36*'P08 DMSTrucking Input'!$E$35</f>
        <v>400</v>
      </c>
    </row>
    <row r="18" customFormat="false" ht="15" hidden="false" customHeight="false" outlineLevel="0" collapsed="false">
      <c r="B18" s="24" t="s">
        <v>2187</v>
      </c>
      <c r="C18" s="25" t="s">
        <v>170</v>
      </c>
      <c r="E18" s="44" t="n">
        <f aca="false">SUM(F18:S18)</f>
        <v>17.1705345198719</v>
      </c>
      <c r="F18" s="44" t="n">
        <f aca="false">F16*F17/10^9</f>
        <v>-0</v>
      </c>
      <c r="G18" s="44" t="n">
        <f aca="false">G16*G17/10^9</f>
        <v>0</v>
      </c>
      <c r="H18" s="44" t="n">
        <f aca="false">H16*H17/10^9</f>
        <v>0</v>
      </c>
      <c r="I18" s="44" t="n">
        <f aca="false">I16*I17/10^9</f>
        <v>0</v>
      </c>
      <c r="J18" s="44" t="n">
        <f aca="false">J16*J17/10^9</f>
        <v>1.482471032776</v>
      </c>
      <c r="K18" s="44" t="n">
        <f aca="false">K16*K17/10^9</f>
        <v>1.53054516375928</v>
      </c>
      <c r="L18" s="44" t="n">
        <f aca="false">L16*L17/10^9</f>
        <v>1.58006151867206</v>
      </c>
      <c r="M18" s="44" t="n">
        <f aca="false">M16*M17/10^9</f>
        <v>1.63106336423222</v>
      </c>
      <c r="N18" s="44" t="n">
        <f aca="false">N16*N17/10^9</f>
        <v>1.68359526515919</v>
      </c>
      <c r="O18" s="44" t="n">
        <f aca="false">O16*O17/10^9</f>
        <v>1.73770312311396</v>
      </c>
      <c r="P18" s="44" t="n">
        <f aca="false">P16*P17/10^9</f>
        <v>1.79343421680738</v>
      </c>
      <c r="Q18" s="44" t="n">
        <f aca="false">Q16*Q17/10^9</f>
        <v>1.8508372433116</v>
      </c>
      <c r="R18" s="44" t="n">
        <f aca="false">R16*R17/10^9</f>
        <v>1.90996236061095</v>
      </c>
      <c r="S18" s="44" t="n">
        <f aca="false">S16*S17/10^9</f>
        <v>1.97086123142928</v>
      </c>
    </row>
    <row r="19" customFormat="false" ht="15" hidden="false" customHeight="false" outlineLevel="0" collapsed="false">
      <c r="B19" s="69" t="s">
        <v>2188</v>
      </c>
      <c r="C19" s="25" t="s">
        <v>170</v>
      </c>
      <c r="E19" s="80" t="n">
        <f aca="false">SUM(F19:S19)</f>
        <v>8.58526725993596</v>
      </c>
      <c r="F19" s="81" t="n">
        <f aca="false">F18*'P08 DMSTrucking Input'!$E$37</f>
        <v>-0</v>
      </c>
      <c r="G19" s="81" t="n">
        <f aca="false">G18*'P08 DMSTrucking Input'!$E$37</f>
        <v>0</v>
      </c>
      <c r="H19" s="81" t="n">
        <f aca="false">H18*'P08 DMSTrucking Input'!$E$37</f>
        <v>0</v>
      </c>
      <c r="I19" s="81" t="n">
        <f aca="false">I18*'P08 DMSTrucking Input'!$E$37</f>
        <v>0</v>
      </c>
      <c r="J19" s="81" t="n">
        <f aca="false">J18*'P08 DMSTrucking Input'!$E$37</f>
        <v>0.741235516388</v>
      </c>
      <c r="K19" s="81" t="n">
        <f aca="false">K18*'P08 DMSTrucking Input'!$E$37</f>
        <v>0.76527258187964</v>
      </c>
      <c r="L19" s="81" t="n">
        <f aca="false">L18*'P08 DMSTrucking Input'!$E$37</f>
        <v>0.790030759336029</v>
      </c>
      <c r="M19" s="81" t="n">
        <f aca="false">M18*'P08 DMSTrucking Input'!$E$37</f>
        <v>0.81553168211611</v>
      </c>
      <c r="N19" s="81" t="n">
        <f aca="false">N18*'P08 DMSTrucking Input'!$E$37</f>
        <v>0.841797632579594</v>
      </c>
      <c r="O19" s="81" t="n">
        <f aca="false">O18*'P08 DMSTrucking Input'!$E$37</f>
        <v>0.868851561556981</v>
      </c>
      <c r="P19" s="81" t="n">
        <f aca="false">P18*'P08 DMSTrucking Input'!$E$37</f>
        <v>0.896717108403691</v>
      </c>
      <c r="Q19" s="81" t="n">
        <f aca="false">Q18*'P08 DMSTrucking Input'!$E$37</f>
        <v>0.925418621655802</v>
      </c>
      <c r="R19" s="81" t="n">
        <f aca="false">R18*'P08 DMSTrucking Input'!$E$37</f>
        <v>0.954981180305476</v>
      </c>
      <c r="S19" s="81" t="n">
        <f aca="false">S18*'P08 DMSTrucking Input'!$E$37</f>
        <v>0.98543061571464</v>
      </c>
    </row>
    <row r="20" customFormat="false" ht="15" hidden="false" customHeight="false" outlineLevel="0" collapsed="false">
      <c r="B20" s="24" t="s">
        <v>2189</v>
      </c>
      <c r="C20" s="25" t="s">
        <v>170</v>
      </c>
      <c r="E20" s="44" t="n">
        <f aca="false">SUM(F20:S20)</f>
        <v>1.71705345198719</v>
      </c>
      <c r="F20" s="44" t="n">
        <f aca="false">F19*'P08 DMSTrucking Input'!$E$45</f>
        <v>-0</v>
      </c>
      <c r="G20" s="44" t="n">
        <f aca="false">G19*'P08 DMSTrucking Input'!$E$45</f>
        <v>0</v>
      </c>
      <c r="H20" s="44" t="n">
        <f aca="false">H19*'P08 DMSTrucking Input'!$E$45</f>
        <v>0</v>
      </c>
      <c r="I20" s="44" t="n">
        <f aca="false">I19*'P08 DMSTrucking Input'!$E$45</f>
        <v>0</v>
      </c>
      <c r="J20" s="44" t="n">
        <f aca="false">J19*'P08 DMSTrucking Input'!$E$45</f>
        <v>0.1482471032776</v>
      </c>
      <c r="K20" s="44" t="n">
        <f aca="false">K19*'P08 DMSTrucking Input'!$E$45</f>
        <v>0.153054516375928</v>
      </c>
      <c r="L20" s="44" t="n">
        <f aca="false">L19*'P08 DMSTrucking Input'!$E$45</f>
        <v>0.158006151867206</v>
      </c>
      <c r="M20" s="44" t="n">
        <f aca="false">M19*'P08 DMSTrucking Input'!$E$45</f>
        <v>0.163106336423222</v>
      </c>
      <c r="N20" s="44" t="n">
        <f aca="false">N19*'P08 DMSTrucking Input'!$E$45</f>
        <v>0.168359526515919</v>
      </c>
      <c r="O20" s="44" t="n">
        <f aca="false">O19*'P08 DMSTrucking Input'!$E$45</f>
        <v>0.173770312311396</v>
      </c>
      <c r="P20" s="44" t="n">
        <f aca="false">P19*'P08 DMSTrucking Input'!$E$45</f>
        <v>0.179343421680738</v>
      </c>
      <c r="Q20" s="44" t="n">
        <f aca="false">Q19*'P08 DMSTrucking Input'!$E$45</f>
        <v>0.18508372433116</v>
      </c>
      <c r="R20" s="44" t="n">
        <f aca="false">R19*'P08 DMSTrucking Input'!$E$45</f>
        <v>0.190996236061095</v>
      </c>
      <c r="S20" s="44" t="n">
        <f aca="false">S19*'P08 DMSTrucking Input'!$E$45</f>
        <v>0.197086123142928</v>
      </c>
    </row>
    <row r="21" customFormat="false" ht="15" hidden="false" customHeight="false" outlineLevel="0" collapsed="false">
      <c r="B21" s="24" t="s">
        <v>2190</v>
      </c>
      <c r="C21" s="25" t="s">
        <v>170</v>
      </c>
      <c r="E21" s="44" t="n">
        <f aca="false">SUM(F21:S21)</f>
        <v>1.3012</v>
      </c>
      <c r="F21" s="44" t="n">
        <f aca="false">'P08 DMSTrucking Input'!$E$48*'Global Inputs'!F22/1000/'P08 DMSTrucking Input'!$E$47*F14</f>
        <v>0</v>
      </c>
      <c r="G21" s="44" t="n">
        <f aca="false">'P08 DMSTrucking Input'!$E$48*'Global Inputs'!G22/1000/'P08 DMSTrucking Input'!$E$47*G14</f>
        <v>0</v>
      </c>
      <c r="H21" s="44" t="n">
        <f aca="false">'P08 DMSTrucking Input'!$E$48*'Global Inputs'!H22/1000/'P08 DMSTrucking Input'!$E$47*H14</f>
        <v>0</v>
      </c>
      <c r="I21" s="44" t="n">
        <f aca="false">'P08 DMSTrucking Input'!$E$48*'Global Inputs'!I22/1000/'P08 DMSTrucking Input'!$E$47*I14</f>
        <v>0</v>
      </c>
      <c r="J21" s="44" t="n">
        <f aca="false">'P08 DMSTrucking Input'!$E$48*'Global Inputs'!J22/1000/'P08 DMSTrucking Input'!$E$47*J14</f>
        <v>0.13012</v>
      </c>
      <c r="K21" s="44" t="n">
        <f aca="false">'P08 DMSTrucking Input'!$E$48*'Global Inputs'!K22/1000/'P08 DMSTrucking Input'!$E$47*K14</f>
        <v>0.13012</v>
      </c>
      <c r="L21" s="44" t="n">
        <f aca="false">'P08 DMSTrucking Input'!$E$48*'Global Inputs'!L22/1000/'P08 DMSTrucking Input'!$E$47*L14</f>
        <v>0.13012</v>
      </c>
      <c r="M21" s="44" t="n">
        <f aca="false">'P08 DMSTrucking Input'!$E$48*'Global Inputs'!M22/1000/'P08 DMSTrucking Input'!$E$47*M14</f>
        <v>0.13012</v>
      </c>
      <c r="N21" s="44" t="n">
        <f aca="false">'P08 DMSTrucking Input'!$E$48*'Global Inputs'!N22/1000/'P08 DMSTrucking Input'!$E$47*N14</f>
        <v>0.13012</v>
      </c>
      <c r="O21" s="44" t="n">
        <f aca="false">'P08 DMSTrucking Input'!$E$48*'Global Inputs'!O22/1000/'P08 DMSTrucking Input'!$E$47*O14</f>
        <v>0.13012</v>
      </c>
      <c r="P21" s="44" t="n">
        <f aca="false">'P08 DMSTrucking Input'!$E$48*'Global Inputs'!P22/1000/'P08 DMSTrucking Input'!$E$47*P14</f>
        <v>0.13012</v>
      </c>
      <c r="Q21" s="44" t="n">
        <f aca="false">'P08 DMSTrucking Input'!$E$48*'Global Inputs'!Q22/1000/'P08 DMSTrucking Input'!$E$47*Q14</f>
        <v>0.13012</v>
      </c>
      <c r="R21" s="44" t="n">
        <f aca="false">'P08 DMSTrucking Input'!$E$48*'Global Inputs'!R22/1000/'P08 DMSTrucking Input'!$E$47*R14</f>
        <v>0.13012</v>
      </c>
      <c r="S21" s="44" t="n">
        <f aca="false">'P08 DMSTrucking Input'!$E$48*'Global Inputs'!S22/1000/'P08 DMSTrucking Input'!$E$47*S14</f>
        <v>0.13012</v>
      </c>
      <c r="U21" s="5" t="s">
        <v>2191</v>
      </c>
    </row>
    <row r="23" customFormat="false" ht="15" hidden="false" customHeight="false" outlineLevel="0" collapsed="false">
      <c r="B23" s="22" t="s">
        <v>2192</v>
      </c>
      <c r="C23" s="23"/>
      <c r="D23" s="23"/>
      <c r="E23" s="23"/>
      <c r="F23" s="23"/>
      <c r="G23" s="23"/>
      <c r="H23" s="23"/>
      <c r="I23" s="23"/>
      <c r="J23" s="23"/>
      <c r="K23" s="23"/>
      <c r="L23" s="23"/>
      <c r="M23" s="23"/>
      <c r="N23" s="23"/>
      <c r="O23" s="23"/>
      <c r="P23" s="23"/>
      <c r="Q23" s="23"/>
      <c r="R23" s="23"/>
      <c r="S23" s="23"/>
    </row>
    <row r="24" customFormat="false" ht="15" hidden="false" customHeight="false" outlineLevel="0" collapsed="false">
      <c r="B24" s="24" t="s">
        <v>2193</v>
      </c>
      <c r="C24" s="25" t="s">
        <v>143</v>
      </c>
      <c r="F24" s="30" t="n">
        <f aca="false">0</f>
        <v>0</v>
      </c>
      <c r="G24" s="30" t="n">
        <f aca="false">IF(G$5&lt;'P08 DMSTrucking Input'!$E$29,0,1)*G$8</f>
        <v>0</v>
      </c>
      <c r="H24" s="30" t="n">
        <f aca="false">IF(H$5&lt;'P08 DMSTrucking Input'!$E$29,0,1)*H$8</f>
        <v>0</v>
      </c>
      <c r="I24" s="30" t="n">
        <f aca="false">IF(I$5&lt;'P08 DMSTrucking Input'!$E$29,0,1)*I$8</f>
        <v>0</v>
      </c>
      <c r="J24" s="30" t="n">
        <f aca="false">IF(J$5&lt;'P08 DMSTrucking Input'!$E$29,0,1)*J$8</f>
        <v>1</v>
      </c>
      <c r="K24" s="30" t="n">
        <f aca="false">IF(K$5&lt;'P08 DMSTrucking Input'!$E$29,0,1)*K$8</f>
        <v>1</v>
      </c>
      <c r="L24" s="30" t="n">
        <f aca="false">IF(L$5&lt;'P08 DMSTrucking Input'!$E$29,0,1)*L$8</f>
        <v>1</v>
      </c>
      <c r="M24" s="30" t="n">
        <f aca="false">IF(M$5&lt;'P08 DMSTrucking Input'!$E$29,0,1)*M$8</f>
        <v>1</v>
      </c>
      <c r="N24" s="30" t="n">
        <f aca="false">IF(N$5&lt;'P08 DMSTrucking Input'!$E$29,0,1)*N$8</f>
        <v>1</v>
      </c>
      <c r="O24" s="30" t="n">
        <f aca="false">IF(O$5&lt;'P08 DMSTrucking Input'!$E$29,0,1)*O$8</f>
        <v>1</v>
      </c>
      <c r="P24" s="30" t="n">
        <f aca="false">IF(P$5&lt;'P08 DMSTrucking Input'!$E$29,0,1)*P$8</f>
        <v>1</v>
      </c>
      <c r="Q24" s="30" t="n">
        <f aca="false">IF(Q$5&lt;'P08 DMSTrucking Input'!$E$29,0,1)*Q$8</f>
        <v>1</v>
      </c>
      <c r="R24" s="30" t="n">
        <f aca="false">IF(R$5&lt;'P08 DMSTrucking Input'!$E$29,0,1)*R$8</f>
        <v>1</v>
      </c>
      <c r="S24" s="30" t="n">
        <f aca="false">IF(S$5&lt;'P08 DMSTrucking Input'!$E$29,0,1)*S$8</f>
        <v>1</v>
      </c>
    </row>
    <row r="25" customFormat="false" ht="15" hidden="false" customHeight="false" outlineLevel="0" collapsed="false">
      <c r="B25" s="24" t="s">
        <v>2194</v>
      </c>
      <c r="C25" s="25" t="s">
        <v>1019</v>
      </c>
      <c r="F25" s="110" t="n">
        <f aca="false">'E2 CigadingExist Calc'!F14</f>
        <v>1</v>
      </c>
      <c r="G25" s="110" t="n">
        <f aca="false">'E2 CigadingExist Calc'!G14</f>
        <v>1</v>
      </c>
      <c r="H25" s="110" t="n">
        <f aca="false">'E2 CigadingExist Calc'!H14</f>
        <v>1.03</v>
      </c>
      <c r="I25" s="110" t="n">
        <f aca="false">'E2 CigadingExist Calc'!I14</f>
        <v>1.0609</v>
      </c>
      <c r="J25" s="110" t="n">
        <f aca="false">'E2 CigadingExist Calc'!J14</f>
        <v>1.092727</v>
      </c>
      <c r="K25" s="110" t="n">
        <f aca="false">'E2 CigadingExist Calc'!K14</f>
        <v>1.12550881</v>
      </c>
      <c r="L25" s="110" t="n">
        <f aca="false">'E2 CigadingExist Calc'!L14</f>
        <v>1.1592740743</v>
      </c>
      <c r="M25" s="110" t="n">
        <f aca="false">'E2 CigadingExist Calc'!M14</f>
        <v>1.194052296529</v>
      </c>
      <c r="N25" s="110" t="n">
        <f aca="false">'E2 CigadingExist Calc'!N14</f>
        <v>1.22987386542487</v>
      </c>
      <c r="O25" s="110" t="n">
        <f aca="false">'E2 CigadingExist Calc'!O14</f>
        <v>1.26677008138762</v>
      </c>
      <c r="P25" s="110" t="n">
        <f aca="false">'E2 CigadingExist Calc'!P14</f>
        <v>1.30477318382925</v>
      </c>
      <c r="Q25" s="110" t="n">
        <f aca="false">'E2 CigadingExist Calc'!Q14</f>
        <v>1.34391637934412</v>
      </c>
      <c r="R25" s="110" t="n">
        <f aca="false">'E2 CigadingExist Calc'!R14</f>
        <v>1.38423387072445</v>
      </c>
      <c r="S25" s="110" t="n">
        <f aca="false">'E2 CigadingExist Calc'!S14</f>
        <v>1.42576088684618</v>
      </c>
    </row>
    <row r="26" customFormat="false" ht="15" hidden="false" customHeight="false" outlineLevel="0" collapsed="false">
      <c r="B26" s="24" t="s">
        <v>2195</v>
      </c>
      <c r="C26" s="25" t="s">
        <v>900</v>
      </c>
      <c r="E26" s="31" t="n">
        <f aca="false">SUM(F26:S26)</f>
        <v>21295713.7622553</v>
      </c>
      <c r="F26" s="31" t="n">
        <f aca="false">'P08 DMSTrucking Input'!$E$34*F25*F24</f>
        <v>0</v>
      </c>
      <c r="G26" s="31" t="n">
        <f aca="false">'P08 DMSTrucking Input'!$E$34*G25*G24</f>
        <v>0</v>
      </c>
      <c r="H26" s="31" t="n">
        <f aca="false">'P08 DMSTrucking Input'!$E$34*H25*H24</f>
        <v>0</v>
      </c>
      <c r="I26" s="31" t="n">
        <f aca="false">'P08 DMSTrucking Input'!$E$34*I25*I24</f>
        <v>0</v>
      </c>
      <c r="J26" s="31" t="n">
        <f aca="false">'P08 DMSTrucking Input'!$E$34*J25*J24</f>
        <v>1857635.9</v>
      </c>
      <c r="K26" s="31" t="n">
        <f aca="false">'P08 DMSTrucking Input'!$E$34*K25*K24</f>
        <v>1913364.977</v>
      </c>
      <c r="L26" s="31" t="n">
        <f aca="false">'P08 DMSTrucking Input'!$E$34*L25*L24</f>
        <v>1970765.92631</v>
      </c>
      <c r="M26" s="31" t="n">
        <f aca="false">'P08 DMSTrucking Input'!$E$34*M25*M24</f>
        <v>2029888.9040993</v>
      </c>
      <c r="N26" s="31" t="n">
        <f aca="false">'P08 DMSTrucking Input'!$E$34*N25*N24</f>
        <v>2090785.57122228</v>
      </c>
      <c r="O26" s="31" t="n">
        <f aca="false">'P08 DMSTrucking Input'!$E$34*O25*O24</f>
        <v>2153509.13835895</v>
      </c>
      <c r="P26" s="31" t="n">
        <f aca="false">'P08 DMSTrucking Input'!$E$34*P25*P24</f>
        <v>2218114.41250972</v>
      </c>
      <c r="Q26" s="31" t="n">
        <f aca="false">'P08 DMSTrucking Input'!$E$34*Q25*Q24</f>
        <v>2284657.84488501</v>
      </c>
      <c r="R26" s="31" t="n">
        <f aca="false">'P08 DMSTrucking Input'!$E$34*R25*R24</f>
        <v>2353197.58023156</v>
      </c>
      <c r="S26" s="31" t="n">
        <f aca="false">'P08 DMSTrucking Input'!$E$34*S25*S24</f>
        <v>2423793.5076385</v>
      </c>
    </row>
    <row r="27" customFormat="false" ht="15" hidden="false" customHeight="false" outlineLevel="0" collapsed="false">
      <c r="B27" s="24" t="s">
        <v>2196</v>
      </c>
      <c r="C27" s="25" t="s">
        <v>905</v>
      </c>
      <c r="F27" s="31" t="n">
        <f aca="false">'P08 DMSTrucking Input'!F38*'P08 DMSTrucking Input'!$E$35</f>
        <v>0</v>
      </c>
      <c r="G27" s="31" t="n">
        <f aca="false">'P08 DMSTrucking Input'!G38*'P08 DMSTrucking Input'!$E$35</f>
        <v>1680</v>
      </c>
      <c r="H27" s="31" t="n">
        <f aca="false">'P08 DMSTrucking Input'!H38*'P08 DMSTrucking Input'!$E$35</f>
        <v>1680</v>
      </c>
      <c r="I27" s="31" t="n">
        <f aca="false">'P08 DMSTrucking Input'!I38*'P08 DMSTrucking Input'!$E$35</f>
        <v>1680</v>
      </c>
      <c r="J27" s="31" t="n">
        <f aca="false">'P08 DMSTrucking Input'!J38*'P08 DMSTrucking Input'!$E$35</f>
        <v>1680</v>
      </c>
      <c r="K27" s="31" t="n">
        <f aca="false">'P08 DMSTrucking Input'!K38*'P08 DMSTrucking Input'!$E$35</f>
        <v>1680</v>
      </c>
      <c r="L27" s="31" t="n">
        <f aca="false">'P08 DMSTrucking Input'!L38*'P08 DMSTrucking Input'!$E$35</f>
        <v>1680</v>
      </c>
      <c r="M27" s="31" t="n">
        <f aca="false">'P08 DMSTrucking Input'!M38*'P08 DMSTrucking Input'!$E$35</f>
        <v>1680</v>
      </c>
      <c r="N27" s="31" t="n">
        <f aca="false">'P08 DMSTrucking Input'!N38*'P08 DMSTrucking Input'!$E$35</f>
        <v>1680</v>
      </c>
      <c r="O27" s="31" t="n">
        <f aca="false">'P08 DMSTrucking Input'!O38*'P08 DMSTrucking Input'!$E$35</f>
        <v>1680</v>
      </c>
      <c r="P27" s="31" t="n">
        <f aca="false">'P08 DMSTrucking Input'!P38*'P08 DMSTrucking Input'!$E$35</f>
        <v>1680</v>
      </c>
      <c r="Q27" s="31" t="n">
        <f aca="false">'P08 DMSTrucking Input'!Q38*'P08 DMSTrucking Input'!$E$35</f>
        <v>1680</v>
      </c>
      <c r="R27" s="31" t="n">
        <f aca="false">'P08 DMSTrucking Input'!R38*'P08 DMSTrucking Input'!$E$35</f>
        <v>1680</v>
      </c>
      <c r="S27" s="31" t="n">
        <f aca="false">'P08 DMSTrucking Input'!S38*'P08 DMSTrucking Input'!$E$35</f>
        <v>1680</v>
      </c>
    </row>
    <row r="28" customFormat="false" ht="15" hidden="false" customHeight="false" outlineLevel="0" collapsed="false">
      <c r="B28" s="24" t="s">
        <v>2197</v>
      </c>
      <c r="C28" s="25" t="s">
        <v>170</v>
      </c>
      <c r="E28" s="44" t="n">
        <f aca="false">SUM(F28:S28)</f>
        <v>35.7767991205889</v>
      </c>
      <c r="F28" s="44" t="n">
        <f aca="false">F26*F27/10^9</f>
        <v>0</v>
      </c>
      <c r="G28" s="44" t="n">
        <f aca="false">G26*G27/10^9</f>
        <v>0</v>
      </c>
      <c r="H28" s="44" t="n">
        <f aca="false">H26*H27/10^9</f>
        <v>0</v>
      </c>
      <c r="I28" s="44" t="n">
        <f aca="false">I26*I27/10^9</f>
        <v>0</v>
      </c>
      <c r="J28" s="44" t="n">
        <f aca="false">J26*J27/10^9</f>
        <v>3.120828312</v>
      </c>
      <c r="K28" s="44" t="n">
        <f aca="false">K26*K27/10^9</f>
        <v>3.21445316136</v>
      </c>
      <c r="L28" s="44" t="n">
        <f aca="false">L26*L27/10^9</f>
        <v>3.3108867562008</v>
      </c>
      <c r="M28" s="44" t="n">
        <f aca="false">M26*M27/10^9</f>
        <v>3.41021335888682</v>
      </c>
      <c r="N28" s="44" t="n">
        <f aca="false">N26*N27/10^9</f>
        <v>3.51251975965343</v>
      </c>
      <c r="O28" s="44" t="n">
        <f aca="false">O26*O27/10^9</f>
        <v>3.61789535244303</v>
      </c>
      <c r="P28" s="44" t="n">
        <f aca="false">P26*P27/10^9</f>
        <v>3.72643221301632</v>
      </c>
      <c r="Q28" s="44" t="n">
        <f aca="false">Q26*Q27/10^9</f>
        <v>3.83822517940681</v>
      </c>
      <c r="R28" s="44" t="n">
        <f aca="false">R26*R27/10^9</f>
        <v>3.95337193478902</v>
      </c>
      <c r="S28" s="44" t="n">
        <f aca="false">S26*S27/10^9</f>
        <v>4.07197309283269</v>
      </c>
    </row>
    <row r="29" customFormat="false" ht="15" hidden="false" customHeight="false" outlineLevel="0" collapsed="false">
      <c r="B29" s="69" t="s">
        <v>2198</v>
      </c>
      <c r="C29" s="25" t="s">
        <v>170</v>
      </c>
      <c r="E29" s="80" t="n">
        <f aca="false">SUM(F29:S29)</f>
        <v>17.8883995602945</v>
      </c>
      <c r="F29" s="81" t="n">
        <f aca="false">F28*'P08 DMSTrucking Input'!$E$39</f>
        <v>0</v>
      </c>
      <c r="G29" s="81" t="n">
        <f aca="false">G28*'P08 DMSTrucking Input'!$E$39</f>
        <v>0</v>
      </c>
      <c r="H29" s="81" t="n">
        <f aca="false">H28*'P08 DMSTrucking Input'!$E$39</f>
        <v>0</v>
      </c>
      <c r="I29" s="81" t="n">
        <f aca="false">I28*'P08 DMSTrucking Input'!$E$39</f>
        <v>0</v>
      </c>
      <c r="J29" s="81" t="n">
        <f aca="false">J28*'P08 DMSTrucking Input'!$E$39</f>
        <v>1.560414156</v>
      </c>
      <c r="K29" s="81" t="n">
        <f aca="false">K28*'P08 DMSTrucking Input'!$E$39</f>
        <v>1.60722658068</v>
      </c>
      <c r="L29" s="81" t="n">
        <f aca="false">L28*'P08 DMSTrucking Input'!$E$39</f>
        <v>1.6554433781004</v>
      </c>
      <c r="M29" s="81" t="n">
        <f aca="false">M28*'P08 DMSTrucking Input'!$E$39</f>
        <v>1.70510667944341</v>
      </c>
      <c r="N29" s="81" t="n">
        <f aca="false">N28*'P08 DMSTrucking Input'!$E$39</f>
        <v>1.75625987982671</v>
      </c>
      <c r="O29" s="81" t="n">
        <f aca="false">O28*'P08 DMSTrucking Input'!$E$39</f>
        <v>1.80894767622152</v>
      </c>
      <c r="P29" s="81" t="n">
        <f aca="false">P28*'P08 DMSTrucking Input'!$E$39</f>
        <v>1.86321610650816</v>
      </c>
      <c r="Q29" s="81" t="n">
        <f aca="false">Q28*'P08 DMSTrucking Input'!$E$39</f>
        <v>1.91911258970341</v>
      </c>
      <c r="R29" s="81" t="n">
        <f aca="false">R28*'P08 DMSTrucking Input'!$E$39</f>
        <v>1.97668596739451</v>
      </c>
      <c r="S29" s="81" t="n">
        <f aca="false">S28*'P08 DMSTrucking Input'!$E$39</f>
        <v>2.03598654641634</v>
      </c>
    </row>
    <row r="30" customFormat="false" ht="15" hidden="false" customHeight="false" outlineLevel="0" collapsed="false">
      <c r="B30" s="24" t="s">
        <v>2199</v>
      </c>
      <c r="C30" s="25" t="s">
        <v>170</v>
      </c>
      <c r="E30" s="44" t="n">
        <f aca="false">SUM(F30:S30)</f>
        <v>3.57767991205889</v>
      </c>
      <c r="F30" s="44" t="n">
        <f aca="false">F29*'P08 DMSTrucking Input'!$E$45</f>
        <v>0</v>
      </c>
      <c r="G30" s="44" t="n">
        <f aca="false">G29*'P08 DMSTrucking Input'!$E$45</f>
        <v>0</v>
      </c>
      <c r="H30" s="44" t="n">
        <f aca="false">H29*'P08 DMSTrucking Input'!$E$45</f>
        <v>0</v>
      </c>
      <c r="I30" s="44" t="n">
        <f aca="false">I29*'P08 DMSTrucking Input'!$E$45</f>
        <v>0</v>
      </c>
      <c r="J30" s="44" t="n">
        <f aca="false">J29*'P08 DMSTrucking Input'!$E$45</f>
        <v>0.3120828312</v>
      </c>
      <c r="K30" s="44" t="n">
        <f aca="false">K29*'P08 DMSTrucking Input'!$E$45</f>
        <v>0.321445316136</v>
      </c>
      <c r="L30" s="44" t="n">
        <f aca="false">L29*'P08 DMSTrucking Input'!$E$45</f>
        <v>0.33108867562008</v>
      </c>
      <c r="M30" s="44" t="n">
        <f aca="false">M29*'P08 DMSTrucking Input'!$E$45</f>
        <v>0.341021335888682</v>
      </c>
      <c r="N30" s="44" t="n">
        <f aca="false">N29*'P08 DMSTrucking Input'!$E$45</f>
        <v>0.351251975965343</v>
      </c>
      <c r="O30" s="44" t="n">
        <f aca="false">O29*'P08 DMSTrucking Input'!$E$45</f>
        <v>0.361789535244303</v>
      </c>
      <c r="P30" s="44" t="n">
        <f aca="false">P29*'P08 DMSTrucking Input'!$E$45</f>
        <v>0.372643221301632</v>
      </c>
      <c r="Q30" s="44" t="n">
        <f aca="false">Q29*'P08 DMSTrucking Input'!$E$45</f>
        <v>0.383822517940681</v>
      </c>
      <c r="R30" s="44" t="n">
        <f aca="false">R29*'P08 DMSTrucking Input'!$E$45</f>
        <v>0.395337193478902</v>
      </c>
      <c r="S30" s="44" t="n">
        <f aca="false">S29*'P08 DMSTrucking Input'!$E$45</f>
        <v>0.407197309283269</v>
      </c>
    </row>
    <row r="31" customFormat="false" ht="15" hidden="false" customHeight="false" outlineLevel="0" collapsed="false">
      <c r="B31" s="24" t="s">
        <v>2200</v>
      </c>
      <c r="C31" s="25" t="s">
        <v>170</v>
      </c>
      <c r="E31" s="44" t="n">
        <f aca="false">SUM(F31:S31)</f>
        <v>1.3012</v>
      </c>
      <c r="F31" s="44" t="n">
        <f aca="false">'P08 DMSTrucking Input'!$E$49*'Global Inputs'!F22/1000/'P08 DMSTrucking Input'!$E$47*F24</f>
        <v>0</v>
      </c>
      <c r="G31" s="44" t="n">
        <f aca="false">'P08 DMSTrucking Input'!$E$49*'Global Inputs'!G22/1000/'P08 DMSTrucking Input'!$E$47*G24</f>
        <v>0</v>
      </c>
      <c r="H31" s="44" t="n">
        <f aca="false">'P08 DMSTrucking Input'!$E$49*'Global Inputs'!H22/1000/'P08 DMSTrucking Input'!$E$47*H24</f>
        <v>0</v>
      </c>
      <c r="I31" s="44" t="n">
        <f aca="false">'P08 DMSTrucking Input'!$E$49*'Global Inputs'!I22/1000/'P08 DMSTrucking Input'!$E$47*I24</f>
        <v>0</v>
      </c>
      <c r="J31" s="44" t="n">
        <f aca="false">'P08 DMSTrucking Input'!$E$49*'Global Inputs'!J22/1000/'P08 DMSTrucking Input'!$E$47*J24</f>
        <v>0.13012</v>
      </c>
      <c r="K31" s="44" t="n">
        <f aca="false">'P08 DMSTrucking Input'!$E$49*'Global Inputs'!K22/1000/'P08 DMSTrucking Input'!$E$47*K24</f>
        <v>0.13012</v>
      </c>
      <c r="L31" s="44" t="n">
        <f aca="false">'P08 DMSTrucking Input'!$E$49*'Global Inputs'!L22/1000/'P08 DMSTrucking Input'!$E$47*L24</f>
        <v>0.13012</v>
      </c>
      <c r="M31" s="44" t="n">
        <f aca="false">'P08 DMSTrucking Input'!$E$49*'Global Inputs'!M22/1000/'P08 DMSTrucking Input'!$E$47*M24</f>
        <v>0.13012</v>
      </c>
      <c r="N31" s="44" t="n">
        <f aca="false">'P08 DMSTrucking Input'!$E$49*'Global Inputs'!N22/1000/'P08 DMSTrucking Input'!$E$47*N24</f>
        <v>0.13012</v>
      </c>
      <c r="O31" s="44" t="n">
        <f aca="false">'P08 DMSTrucking Input'!$E$49*'Global Inputs'!O22/1000/'P08 DMSTrucking Input'!$E$47*O24</f>
        <v>0.13012</v>
      </c>
      <c r="P31" s="44" t="n">
        <f aca="false">'P08 DMSTrucking Input'!$E$49*'Global Inputs'!P22/1000/'P08 DMSTrucking Input'!$E$47*P24</f>
        <v>0.13012</v>
      </c>
      <c r="Q31" s="44" t="n">
        <f aca="false">'P08 DMSTrucking Input'!$E$49*'Global Inputs'!Q22/1000/'P08 DMSTrucking Input'!$E$47*Q24</f>
        <v>0.13012</v>
      </c>
      <c r="R31" s="44" t="n">
        <f aca="false">'P08 DMSTrucking Input'!$E$49*'Global Inputs'!R22/1000/'P08 DMSTrucking Input'!$E$47*R24</f>
        <v>0.13012</v>
      </c>
      <c r="S31" s="44" t="n">
        <f aca="false">'P08 DMSTrucking Input'!$E$49*'Global Inputs'!S22/1000/'P08 DMSTrucking Input'!$E$47*S24</f>
        <v>0.13012</v>
      </c>
      <c r="U31" s="5" t="s">
        <v>2191</v>
      </c>
    </row>
    <row r="33" customFormat="false" ht="15" hidden="false" customHeight="false" outlineLevel="0" collapsed="false">
      <c r="B33" s="22" t="s">
        <v>2201</v>
      </c>
      <c r="C33" s="23"/>
      <c r="D33" s="23"/>
      <c r="E33" s="23"/>
      <c r="F33" s="23"/>
      <c r="G33" s="23"/>
      <c r="H33" s="23"/>
      <c r="I33" s="23"/>
      <c r="J33" s="23"/>
      <c r="K33" s="23"/>
      <c r="L33" s="23"/>
      <c r="M33" s="23"/>
      <c r="N33" s="23"/>
      <c r="O33" s="23"/>
      <c r="P33" s="23"/>
      <c r="Q33" s="23"/>
      <c r="R33" s="23"/>
      <c r="S33" s="23"/>
    </row>
    <row r="34" customFormat="false" ht="15" hidden="false" customHeight="false" outlineLevel="0" collapsed="false">
      <c r="B34" s="24" t="s">
        <v>2202</v>
      </c>
      <c r="C34" s="25" t="s">
        <v>143</v>
      </c>
      <c r="F34" s="30" t="n">
        <f aca="false">0</f>
        <v>0</v>
      </c>
      <c r="G34" s="30" t="n">
        <f aca="false">IF(G$5&lt;'P08 DMSTrucking Input'!$E$30,0,1)*G$8</f>
        <v>0</v>
      </c>
      <c r="H34" s="30" t="n">
        <f aca="false">IF(H$5&lt;'P08 DMSTrucking Input'!$E$30,0,1)*H$8</f>
        <v>0</v>
      </c>
      <c r="I34" s="30" t="n">
        <f aca="false">IF(I$5&lt;'P08 DMSTrucking Input'!$E$30,0,1)*I$8</f>
        <v>0</v>
      </c>
      <c r="J34" s="30" t="n">
        <f aca="false">IF(J$5&lt;'P08 DMSTrucking Input'!$E$30,0,1)*J$8</f>
        <v>0</v>
      </c>
      <c r="K34" s="30" t="n">
        <f aca="false">IF(K$5&lt;'P08 DMSTrucking Input'!$E$30,0,1)*K$8</f>
        <v>1</v>
      </c>
      <c r="L34" s="30" t="n">
        <f aca="false">IF(L$5&lt;'P08 DMSTrucking Input'!$E$30,0,1)*L$8</f>
        <v>1</v>
      </c>
      <c r="M34" s="30" t="n">
        <f aca="false">IF(M$5&lt;'P08 DMSTrucking Input'!$E$30,0,1)*M$8</f>
        <v>1</v>
      </c>
      <c r="N34" s="30" t="n">
        <f aca="false">IF(N$5&lt;'P08 DMSTrucking Input'!$E$30,0,1)*N$8</f>
        <v>1</v>
      </c>
      <c r="O34" s="30" t="n">
        <f aca="false">IF(O$5&lt;'P08 DMSTrucking Input'!$E$30,0,1)*O$8</f>
        <v>1</v>
      </c>
      <c r="P34" s="30" t="n">
        <f aca="false">IF(P$5&lt;'P08 DMSTrucking Input'!$E$30,0,1)*P$8</f>
        <v>1</v>
      </c>
      <c r="Q34" s="30" t="n">
        <f aca="false">IF(Q$5&lt;'P08 DMSTrucking Input'!$E$30,0,1)*Q$8</f>
        <v>1</v>
      </c>
      <c r="R34" s="30" t="n">
        <f aca="false">IF(R$5&lt;'P08 DMSTrucking Input'!$E$30,0,1)*R$8</f>
        <v>1</v>
      </c>
      <c r="S34" s="30" t="n">
        <f aca="false">IF(S$5&lt;'P08 DMSTrucking Input'!$E$30,0,1)*S$8</f>
        <v>1</v>
      </c>
    </row>
    <row r="35" customFormat="false" ht="15" hidden="false" customHeight="false" outlineLevel="0" collapsed="false">
      <c r="B35" s="24" t="s">
        <v>2203</v>
      </c>
      <c r="C35" s="25" t="s">
        <v>900</v>
      </c>
      <c r="F35" s="94" t="n">
        <f aca="false">'P06 Ciwandan Calc'!F15</f>
        <v>0</v>
      </c>
      <c r="G35" s="94" t="n">
        <f aca="false">'P06 Ciwandan Calc'!G15</f>
        <v>0</v>
      </c>
      <c r="H35" s="94" t="n">
        <f aca="false">'P06 Ciwandan Calc'!H15</f>
        <v>0</v>
      </c>
      <c r="I35" s="94" t="n">
        <f aca="false">'P06 Ciwandan Calc'!I15</f>
        <v>0</v>
      </c>
      <c r="J35" s="94" t="n">
        <f aca="false">'P06 Ciwandan Calc'!J15</f>
        <v>0</v>
      </c>
      <c r="K35" s="94" t="n">
        <f aca="false">'P06 Ciwandan Calc'!K15</f>
        <v>1600000</v>
      </c>
      <c r="L35" s="94" t="n">
        <f aca="false">'P06 Ciwandan Calc'!L15</f>
        <v>1760000</v>
      </c>
      <c r="M35" s="94" t="n">
        <f aca="false">'P06 Ciwandan Calc'!M15</f>
        <v>1936000</v>
      </c>
      <c r="N35" s="94" t="n">
        <f aca="false">'P06 Ciwandan Calc'!N15</f>
        <v>2129600</v>
      </c>
      <c r="O35" s="94" t="n">
        <f aca="false">'P06 Ciwandan Calc'!O15</f>
        <v>2257376</v>
      </c>
      <c r="P35" s="94" t="n">
        <f aca="false">'P06 Ciwandan Calc'!P15</f>
        <v>2392818.56</v>
      </c>
      <c r="Q35" s="94" t="n">
        <f aca="false">'P06 Ciwandan Calc'!Q15</f>
        <v>2536387.6736</v>
      </c>
      <c r="R35" s="94" t="n">
        <f aca="false">'P06 Ciwandan Calc'!R15</f>
        <v>2688570.934016</v>
      </c>
      <c r="S35" s="94" t="n">
        <f aca="false">'P06 Ciwandan Calc'!S15</f>
        <v>2849885.19005696</v>
      </c>
    </row>
    <row r="36" customFormat="false" ht="15" hidden="false" customHeight="false" outlineLevel="0" collapsed="false">
      <c r="B36" s="24" t="s">
        <v>2204</v>
      </c>
      <c r="C36" s="25" t="s">
        <v>900</v>
      </c>
      <c r="E36" s="31" t="n">
        <f aca="false">SUM(F36:S36)</f>
        <v>20150638.357673</v>
      </c>
      <c r="F36" s="31" t="n">
        <f aca="false">F35*F34</f>
        <v>0</v>
      </c>
      <c r="G36" s="31" t="n">
        <f aca="false">G35*G34</f>
        <v>0</v>
      </c>
      <c r="H36" s="31" t="n">
        <f aca="false">H35*H34</f>
        <v>0</v>
      </c>
      <c r="I36" s="31" t="n">
        <f aca="false">I35*I34</f>
        <v>0</v>
      </c>
      <c r="J36" s="31" t="n">
        <f aca="false">J35*J34</f>
        <v>0</v>
      </c>
      <c r="K36" s="31" t="n">
        <f aca="false">K35*K34</f>
        <v>1600000</v>
      </c>
      <c r="L36" s="31" t="n">
        <f aca="false">L35*L34</f>
        <v>1760000</v>
      </c>
      <c r="M36" s="31" t="n">
        <f aca="false">M35*M34</f>
        <v>1936000</v>
      </c>
      <c r="N36" s="31" t="n">
        <f aca="false">N35*N34</f>
        <v>2129600</v>
      </c>
      <c r="O36" s="31" t="n">
        <f aca="false">O35*O34</f>
        <v>2257376</v>
      </c>
      <c r="P36" s="31" t="n">
        <f aca="false">P35*P34</f>
        <v>2392818.56</v>
      </c>
      <c r="Q36" s="31" t="n">
        <f aca="false">Q35*Q34</f>
        <v>2536387.6736</v>
      </c>
      <c r="R36" s="31" t="n">
        <f aca="false">R35*R34</f>
        <v>2688570.934016</v>
      </c>
      <c r="S36" s="31" t="n">
        <f aca="false">S35*S34</f>
        <v>2849885.19005696</v>
      </c>
    </row>
    <row r="37" customFormat="false" ht="15" hidden="false" customHeight="false" outlineLevel="0" collapsed="false">
      <c r="B37" s="24" t="s">
        <v>2205</v>
      </c>
      <c r="C37" s="25" t="s">
        <v>905</v>
      </c>
      <c r="F37" s="31" t="n">
        <f aca="false">'P08 DMSTrucking Input'!F40*'P08 DMSTrucking Input'!$E$35</f>
        <v>0</v>
      </c>
      <c r="G37" s="31" t="n">
        <f aca="false">'P08 DMSTrucking Input'!G40*'P08 DMSTrucking Input'!$E$35</f>
        <v>580</v>
      </c>
      <c r="H37" s="31" t="n">
        <f aca="false">'P08 DMSTrucking Input'!H40*'P08 DMSTrucking Input'!$E$35</f>
        <v>580</v>
      </c>
      <c r="I37" s="31" t="n">
        <f aca="false">'P08 DMSTrucking Input'!I40*'P08 DMSTrucking Input'!$E$35</f>
        <v>580</v>
      </c>
      <c r="J37" s="31" t="n">
        <f aca="false">'P08 DMSTrucking Input'!J40*'P08 DMSTrucking Input'!$E$35</f>
        <v>580</v>
      </c>
      <c r="K37" s="31" t="n">
        <f aca="false">'P08 DMSTrucking Input'!K40*'P08 DMSTrucking Input'!$E$35</f>
        <v>580</v>
      </c>
      <c r="L37" s="31" t="n">
        <f aca="false">'P08 DMSTrucking Input'!L40*'P08 DMSTrucking Input'!$E$35</f>
        <v>580</v>
      </c>
      <c r="M37" s="31" t="n">
        <f aca="false">'P08 DMSTrucking Input'!M40*'P08 DMSTrucking Input'!$E$35</f>
        <v>580</v>
      </c>
      <c r="N37" s="31" t="n">
        <f aca="false">'P08 DMSTrucking Input'!N40*'P08 DMSTrucking Input'!$E$35</f>
        <v>580</v>
      </c>
      <c r="O37" s="31" t="n">
        <f aca="false">'P08 DMSTrucking Input'!O40*'P08 DMSTrucking Input'!$E$35</f>
        <v>580</v>
      </c>
      <c r="P37" s="31" t="n">
        <f aca="false">'P08 DMSTrucking Input'!P40*'P08 DMSTrucking Input'!$E$35</f>
        <v>580</v>
      </c>
      <c r="Q37" s="31" t="n">
        <f aca="false">'P08 DMSTrucking Input'!Q40*'P08 DMSTrucking Input'!$E$35</f>
        <v>580</v>
      </c>
      <c r="R37" s="31" t="n">
        <f aca="false">'P08 DMSTrucking Input'!R40*'P08 DMSTrucking Input'!$E$35</f>
        <v>580</v>
      </c>
      <c r="S37" s="31" t="n">
        <f aca="false">'P08 DMSTrucking Input'!S40*'P08 DMSTrucking Input'!$E$35</f>
        <v>580</v>
      </c>
    </row>
    <row r="38" customFormat="false" ht="15" hidden="false" customHeight="false" outlineLevel="0" collapsed="false">
      <c r="B38" s="24" t="s">
        <v>2206</v>
      </c>
      <c r="C38" s="25" t="s">
        <v>170</v>
      </c>
      <c r="E38" s="44" t="n">
        <f aca="false">SUM(F38:S38)</f>
        <v>11.6873702474503</v>
      </c>
      <c r="F38" s="44" t="n">
        <f aca="false">F36*F37/10^9</f>
        <v>0</v>
      </c>
      <c r="G38" s="44" t="n">
        <f aca="false">G36*G37/10^9</f>
        <v>0</v>
      </c>
      <c r="H38" s="44" t="n">
        <f aca="false">H36*H37/10^9</f>
        <v>0</v>
      </c>
      <c r="I38" s="44" t="n">
        <f aca="false">I36*I37/10^9</f>
        <v>0</v>
      </c>
      <c r="J38" s="44" t="n">
        <f aca="false">J36*J37/10^9</f>
        <v>0</v>
      </c>
      <c r="K38" s="44" t="n">
        <f aca="false">K36*K37/10^9</f>
        <v>0.928</v>
      </c>
      <c r="L38" s="44" t="n">
        <f aca="false">L36*L37/10^9</f>
        <v>1.0208</v>
      </c>
      <c r="M38" s="44" t="n">
        <f aca="false">M36*M37/10^9</f>
        <v>1.12288</v>
      </c>
      <c r="N38" s="44" t="n">
        <f aca="false">N36*N37/10^9</f>
        <v>1.235168</v>
      </c>
      <c r="O38" s="44" t="n">
        <f aca="false">O36*O37/10^9</f>
        <v>1.30927808</v>
      </c>
      <c r="P38" s="44" t="n">
        <f aca="false">P36*P37/10^9</f>
        <v>1.3878347648</v>
      </c>
      <c r="Q38" s="44" t="n">
        <f aca="false">Q36*Q37/10^9</f>
        <v>1.471104850688</v>
      </c>
      <c r="R38" s="44" t="n">
        <f aca="false">R36*R37/10^9</f>
        <v>1.55937114172928</v>
      </c>
      <c r="S38" s="44" t="n">
        <f aca="false">S36*S37/10^9</f>
        <v>1.65293341023304</v>
      </c>
    </row>
    <row r="39" customFormat="false" ht="15" hidden="false" customHeight="false" outlineLevel="0" collapsed="false">
      <c r="B39" s="69" t="s">
        <v>2207</v>
      </c>
      <c r="C39" s="25" t="s">
        <v>170</v>
      </c>
      <c r="E39" s="80" t="n">
        <f aca="false">SUM(F39:S39)</f>
        <v>5.84368512372516</v>
      </c>
      <c r="F39" s="81" t="n">
        <f aca="false">F38*'P08 DMSTrucking Input'!$E$41</f>
        <v>0</v>
      </c>
      <c r="G39" s="81" t="n">
        <f aca="false">G38*'P08 DMSTrucking Input'!$E$41</f>
        <v>0</v>
      </c>
      <c r="H39" s="81" t="n">
        <f aca="false">H38*'P08 DMSTrucking Input'!$E$41</f>
        <v>0</v>
      </c>
      <c r="I39" s="81" t="n">
        <f aca="false">I38*'P08 DMSTrucking Input'!$E$41</f>
        <v>0</v>
      </c>
      <c r="J39" s="81" t="n">
        <f aca="false">J38*'P08 DMSTrucking Input'!$E$41</f>
        <v>0</v>
      </c>
      <c r="K39" s="81" t="n">
        <f aca="false">K38*'P08 DMSTrucking Input'!$E$41</f>
        <v>0.464</v>
      </c>
      <c r="L39" s="81" t="n">
        <f aca="false">L38*'P08 DMSTrucking Input'!$E$41</f>
        <v>0.5104</v>
      </c>
      <c r="M39" s="81" t="n">
        <f aca="false">M38*'P08 DMSTrucking Input'!$E$41</f>
        <v>0.56144</v>
      </c>
      <c r="N39" s="81" t="n">
        <f aca="false">N38*'P08 DMSTrucking Input'!$E$41</f>
        <v>0.617584</v>
      </c>
      <c r="O39" s="81" t="n">
        <f aca="false">O38*'P08 DMSTrucking Input'!$E$41</f>
        <v>0.65463904</v>
      </c>
      <c r="P39" s="81" t="n">
        <f aca="false">P38*'P08 DMSTrucking Input'!$E$41</f>
        <v>0.6939173824</v>
      </c>
      <c r="Q39" s="81" t="n">
        <f aca="false">Q38*'P08 DMSTrucking Input'!$E$41</f>
        <v>0.735552425344</v>
      </c>
      <c r="R39" s="81" t="n">
        <f aca="false">R38*'P08 DMSTrucking Input'!$E$41</f>
        <v>0.77968557086464</v>
      </c>
      <c r="S39" s="81" t="n">
        <f aca="false">S38*'P08 DMSTrucking Input'!$E$41</f>
        <v>0.826466705116519</v>
      </c>
    </row>
    <row r="40" customFormat="false" ht="15" hidden="false" customHeight="false" outlineLevel="0" collapsed="false">
      <c r="B40" s="24" t="s">
        <v>2208</v>
      </c>
      <c r="C40" s="25" t="s">
        <v>170</v>
      </c>
      <c r="E40" s="44" t="n">
        <f aca="false">SUM(F40:S40)</f>
        <v>1.16873702474503</v>
      </c>
      <c r="F40" s="44" t="n">
        <f aca="false">F39*'P08 DMSTrucking Input'!$E$45</f>
        <v>0</v>
      </c>
      <c r="G40" s="44" t="n">
        <f aca="false">G39*'P08 DMSTrucking Input'!$E$45</f>
        <v>0</v>
      </c>
      <c r="H40" s="44" t="n">
        <f aca="false">H39*'P08 DMSTrucking Input'!$E$45</f>
        <v>0</v>
      </c>
      <c r="I40" s="44" t="n">
        <f aca="false">I39*'P08 DMSTrucking Input'!$E$45</f>
        <v>0</v>
      </c>
      <c r="J40" s="44" t="n">
        <f aca="false">J39*'P08 DMSTrucking Input'!$E$45</f>
        <v>0</v>
      </c>
      <c r="K40" s="44" t="n">
        <f aca="false">K39*'P08 DMSTrucking Input'!$E$45</f>
        <v>0.0928</v>
      </c>
      <c r="L40" s="44" t="n">
        <f aca="false">L39*'P08 DMSTrucking Input'!$E$45</f>
        <v>0.10208</v>
      </c>
      <c r="M40" s="44" t="n">
        <f aca="false">M39*'P08 DMSTrucking Input'!$E$45</f>
        <v>0.112288</v>
      </c>
      <c r="N40" s="44" t="n">
        <f aca="false">N39*'P08 DMSTrucking Input'!$E$45</f>
        <v>0.1235168</v>
      </c>
      <c r="O40" s="44" t="n">
        <f aca="false">O39*'P08 DMSTrucking Input'!$E$45</f>
        <v>0.130927808</v>
      </c>
      <c r="P40" s="44" t="n">
        <f aca="false">P39*'P08 DMSTrucking Input'!$E$45</f>
        <v>0.13878347648</v>
      </c>
      <c r="Q40" s="44" t="n">
        <f aca="false">Q39*'P08 DMSTrucking Input'!$E$45</f>
        <v>0.1471104850688</v>
      </c>
      <c r="R40" s="44" t="n">
        <f aca="false">R39*'P08 DMSTrucking Input'!$E$45</f>
        <v>0.155937114172928</v>
      </c>
      <c r="S40" s="44" t="n">
        <f aca="false">S39*'P08 DMSTrucking Input'!$E$45</f>
        <v>0.165293341023304</v>
      </c>
    </row>
    <row r="41" customFormat="false" ht="15" hidden="false" customHeight="false" outlineLevel="0" collapsed="false">
      <c r="B41" s="24" t="s">
        <v>2209</v>
      </c>
      <c r="C41" s="25" t="s">
        <v>170</v>
      </c>
      <c r="E41" s="44" t="n">
        <f aca="false">SUM(F41:S41)</f>
        <v>0.87831</v>
      </c>
      <c r="F41" s="44" t="n">
        <f aca="false">'P08 DMSTrucking Input'!$E$50*'Global Inputs'!F22/1000/'P08 DMSTrucking Input'!$E$47*F34</f>
        <v>0</v>
      </c>
      <c r="G41" s="44" t="n">
        <f aca="false">'P08 DMSTrucking Input'!$E$50*'Global Inputs'!G22/1000/'P08 DMSTrucking Input'!$E$47*G34</f>
        <v>0</v>
      </c>
      <c r="H41" s="44" t="n">
        <f aca="false">'P08 DMSTrucking Input'!$E$50*'Global Inputs'!H22/1000/'P08 DMSTrucking Input'!$E$47*H34</f>
        <v>0</v>
      </c>
      <c r="I41" s="44" t="n">
        <f aca="false">'P08 DMSTrucking Input'!$E$50*'Global Inputs'!I22/1000/'P08 DMSTrucking Input'!$E$47*I34</f>
        <v>0</v>
      </c>
      <c r="J41" s="44" t="n">
        <f aca="false">'P08 DMSTrucking Input'!$E$50*'Global Inputs'!J22/1000/'P08 DMSTrucking Input'!$E$47*J34</f>
        <v>0</v>
      </c>
      <c r="K41" s="44" t="n">
        <f aca="false">'P08 DMSTrucking Input'!$E$50*'Global Inputs'!K22/1000/'P08 DMSTrucking Input'!$E$47*K34</f>
        <v>0.09759</v>
      </c>
      <c r="L41" s="44" t="n">
        <f aca="false">'P08 DMSTrucking Input'!$E$50*'Global Inputs'!L22/1000/'P08 DMSTrucking Input'!$E$47*L34</f>
        <v>0.09759</v>
      </c>
      <c r="M41" s="44" t="n">
        <f aca="false">'P08 DMSTrucking Input'!$E$50*'Global Inputs'!M22/1000/'P08 DMSTrucking Input'!$E$47*M34</f>
        <v>0.09759</v>
      </c>
      <c r="N41" s="44" t="n">
        <f aca="false">'P08 DMSTrucking Input'!$E$50*'Global Inputs'!N22/1000/'P08 DMSTrucking Input'!$E$47*N34</f>
        <v>0.09759</v>
      </c>
      <c r="O41" s="44" t="n">
        <f aca="false">'P08 DMSTrucking Input'!$E$50*'Global Inputs'!O22/1000/'P08 DMSTrucking Input'!$E$47*O34</f>
        <v>0.09759</v>
      </c>
      <c r="P41" s="44" t="n">
        <f aca="false">'P08 DMSTrucking Input'!$E$50*'Global Inputs'!P22/1000/'P08 DMSTrucking Input'!$E$47*P34</f>
        <v>0.09759</v>
      </c>
      <c r="Q41" s="44" t="n">
        <f aca="false">'P08 DMSTrucking Input'!$E$50*'Global Inputs'!Q22/1000/'P08 DMSTrucking Input'!$E$47*Q34</f>
        <v>0.09759</v>
      </c>
      <c r="R41" s="44" t="n">
        <f aca="false">'P08 DMSTrucking Input'!$E$50*'Global Inputs'!R22/1000/'P08 DMSTrucking Input'!$E$47*R34</f>
        <v>0.09759</v>
      </c>
      <c r="S41" s="44" t="n">
        <f aca="false">'P08 DMSTrucking Input'!$E$50*'Global Inputs'!S22/1000/'P08 DMSTrucking Input'!$E$47*S34</f>
        <v>0.09759</v>
      </c>
      <c r="U41" s="5" t="s">
        <v>2191</v>
      </c>
    </row>
    <row r="43" customFormat="false" ht="15" hidden="false" customHeight="false" outlineLevel="0" collapsed="false">
      <c r="B43" s="22" t="s">
        <v>2210</v>
      </c>
      <c r="C43" s="23"/>
      <c r="D43" s="23"/>
      <c r="E43" s="23"/>
      <c r="F43" s="23"/>
      <c r="G43" s="23"/>
      <c r="H43" s="23"/>
      <c r="I43" s="23"/>
      <c r="J43" s="23"/>
      <c r="K43" s="23"/>
      <c r="L43" s="23"/>
      <c r="M43" s="23"/>
      <c r="N43" s="23"/>
      <c r="O43" s="23"/>
      <c r="P43" s="23"/>
      <c r="Q43" s="23"/>
      <c r="R43" s="23"/>
      <c r="S43" s="23"/>
    </row>
    <row r="44" customFormat="false" ht="15" hidden="false" customHeight="false" outlineLevel="0" collapsed="false">
      <c r="B44" s="24" t="s">
        <v>2211</v>
      </c>
      <c r="C44" s="25" t="s">
        <v>143</v>
      </c>
      <c r="F44" s="30" t="n">
        <f aca="false">0</f>
        <v>0</v>
      </c>
      <c r="G44" s="30" t="n">
        <f aca="false">IF(G$5&lt;'P08 DMSTrucking Input'!$E$31,0,1)*G$8</f>
        <v>0</v>
      </c>
      <c r="H44" s="30" t="n">
        <f aca="false">IF(H$5&lt;'P08 DMSTrucking Input'!$E$31,0,1)*H$8</f>
        <v>0</v>
      </c>
      <c r="I44" s="30" t="n">
        <f aca="false">IF(I$5&lt;'P08 DMSTrucking Input'!$E$31,0,1)*I$8</f>
        <v>0</v>
      </c>
      <c r="J44" s="30" t="n">
        <f aca="false">IF(J$5&lt;'P08 DMSTrucking Input'!$E$31,0,1)*J$8</f>
        <v>1</v>
      </c>
      <c r="K44" s="30" t="n">
        <f aca="false">IF(K$5&lt;'P08 DMSTrucking Input'!$E$31,0,1)*K$8</f>
        <v>1</v>
      </c>
      <c r="L44" s="30" t="n">
        <f aca="false">IF(L$5&lt;'P08 DMSTrucking Input'!$E$31,0,1)*L$8</f>
        <v>1</v>
      </c>
      <c r="M44" s="30" t="n">
        <f aca="false">IF(M$5&lt;'P08 DMSTrucking Input'!$E$31,0,1)*M$8</f>
        <v>1</v>
      </c>
      <c r="N44" s="30" t="n">
        <f aca="false">IF(N$5&lt;'P08 DMSTrucking Input'!$E$31,0,1)*N$8</f>
        <v>1</v>
      </c>
      <c r="O44" s="30" t="n">
        <f aca="false">IF(O$5&lt;'P08 DMSTrucking Input'!$E$31,0,1)*O$8</f>
        <v>1</v>
      </c>
      <c r="P44" s="30" t="n">
        <f aca="false">IF(P$5&lt;'P08 DMSTrucking Input'!$E$31,0,1)*P$8</f>
        <v>1</v>
      </c>
      <c r="Q44" s="30" t="n">
        <f aca="false">IF(Q$5&lt;'P08 DMSTrucking Input'!$E$31,0,1)*Q$8</f>
        <v>1</v>
      </c>
      <c r="R44" s="30" t="n">
        <f aca="false">IF(R$5&lt;'P08 DMSTrucking Input'!$E$31,0,1)*R$8</f>
        <v>1</v>
      </c>
      <c r="S44" s="30" t="n">
        <f aca="false">IF(S$5&lt;'P08 DMSTrucking Input'!$E$31,0,1)*S$8</f>
        <v>1</v>
      </c>
    </row>
    <row r="45" customFormat="false" ht="15" hidden="false" customHeight="false" outlineLevel="0" collapsed="false">
      <c r="B45" s="24" t="s">
        <v>2212</v>
      </c>
      <c r="C45" s="25" t="s">
        <v>900</v>
      </c>
      <c r="F45" s="94" t="n">
        <f aca="false">'E3 Belawan Calc'!F15</f>
        <v>0</v>
      </c>
      <c r="G45" s="94" t="n">
        <f aca="false">'E3 Belawan Calc'!G15</f>
        <v>750000</v>
      </c>
      <c r="H45" s="94" t="n">
        <f aca="false">'E3 Belawan Calc'!H15</f>
        <v>772500</v>
      </c>
      <c r="I45" s="94" t="n">
        <f aca="false">'E3 Belawan Calc'!I15</f>
        <v>795675</v>
      </c>
      <c r="J45" s="94" t="n">
        <f aca="false">'E3 Belawan Calc'!J15</f>
        <v>819545.25</v>
      </c>
      <c r="K45" s="94" t="n">
        <f aca="false">'E3 Belawan Calc'!K15</f>
        <v>844131.6075</v>
      </c>
      <c r="L45" s="94" t="n">
        <f aca="false">'E3 Belawan Calc'!L15</f>
        <v>869455.555725</v>
      </c>
      <c r="M45" s="94" t="n">
        <f aca="false">'E3 Belawan Calc'!M15</f>
        <v>895539.22239675</v>
      </c>
      <c r="N45" s="94" t="n">
        <f aca="false">'E3 Belawan Calc'!N15</f>
        <v>922405.399068653</v>
      </c>
      <c r="O45" s="94" t="n">
        <f aca="false">'E3 Belawan Calc'!O15</f>
        <v>950077.561040712</v>
      </c>
      <c r="P45" s="94" t="n">
        <f aca="false">'E3 Belawan Calc'!P15</f>
        <v>978579.887871934</v>
      </c>
      <c r="Q45" s="94" t="n">
        <f aca="false">'E3 Belawan Calc'!Q15</f>
        <v>1007937.28450809</v>
      </c>
      <c r="R45" s="94" t="n">
        <f aca="false">'E3 Belawan Calc'!R15</f>
        <v>1038175.40304333</v>
      </c>
      <c r="S45" s="94" t="n">
        <f aca="false">'E3 Belawan Calc'!S15</f>
        <v>1069320.66513463</v>
      </c>
    </row>
    <row r="46" customFormat="false" ht="15" hidden="false" customHeight="false" outlineLevel="0" collapsed="false">
      <c r="B46" s="24" t="s">
        <v>2213</v>
      </c>
      <c r="C46" s="25" t="s">
        <v>900</v>
      </c>
      <c r="E46" s="31" t="n">
        <f aca="false">SUM(F46:S46)</f>
        <v>9395167.83628911</v>
      </c>
      <c r="F46" s="31" t="n">
        <f aca="false">F45*F44</f>
        <v>0</v>
      </c>
      <c r="G46" s="31" t="n">
        <f aca="false">G45*G44</f>
        <v>0</v>
      </c>
      <c r="H46" s="31" t="n">
        <f aca="false">H45*H44</f>
        <v>0</v>
      </c>
      <c r="I46" s="31" t="n">
        <f aca="false">I45*I44</f>
        <v>0</v>
      </c>
      <c r="J46" s="31" t="n">
        <f aca="false">J45*J44</f>
        <v>819545.25</v>
      </c>
      <c r="K46" s="31" t="n">
        <f aca="false">K45*K44</f>
        <v>844131.6075</v>
      </c>
      <c r="L46" s="31" t="n">
        <f aca="false">L45*L44</f>
        <v>869455.555725</v>
      </c>
      <c r="M46" s="31" t="n">
        <f aca="false">M45*M44</f>
        <v>895539.22239675</v>
      </c>
      <c r="N46" s="31" t="n">
        <f aca="false">N45*N44</f>
        <v>922405.399068653</v>
      </c>
      <c r="O46" s="31" t="n">
        <f aca="false">O45*O44</f>
        <v>950077.561040712</v>
      </c>
      <c r="P46" s="31" t="n">
        <f aca="false">P45*P44</f>
        <v>978579.887871934</v>
      </c>
      <c r="Q46" s="31" t="n">
        <f aca="false">Q45*Q44</f>
        <v>1007937.28450809</v>
      </c>
      <c r="R46" s="31" t="n">
        <f aca="false">R45*R44</f>
        <v>1038175.40304333</v>
      </c>
      <c r="S46" s="31" t="n">
        <f aca="false">S45*S44</f>
        <v>1069320.66513463</v>
      </c>
    </row>
    <row r="47" customFormat="false" ht="15" hidden="false" customHeight="false" outlineLevel="0" collapsed="false">
      <c r="B47" s="24" t="s">
        <v>2214</v>
      </c>
      <c r="C47" s="25" t="s">
        <v>905</v>
      </c>
      <c r="F47" s="31" t="n">
        <f aca="false">'P08 DMSTrucking Input'!F42*'P08 DMSTrucking Input'!$E$35</f>
        <v>0</v>
      </c>
      <c r="G47" s="31" t="n">
        <f aca="false">'P08 DMSTrucking Input'!G42*'P08 DMSTrucking Input'!$E$35</f>
        <v>1100</v>
      </c>
      <c r="H47" s="31" t="n">
        <f aca="false">'P08 DMSTrucking Input'!H42*'P08 DMSTrucking Input'!$E$35</f>
        <v>1100</v>
      </c>
      <c r="I47" s="31" t="n">
        <f aca="false">'P08 DMSTrucking Input'!I42*'P08 DMSTrucking Input'!$E$35</f>
        <v>1100</v>
      </c>
      <c r="J47" s="31" t="n">
        <f aca="false">'P08 DMSTrucking Input'!J42*'P08 DMSTrucking Input'!$E$35</f>
        <v>1100</v>
      </c>
      <c r="K47" s="31" t="n">
        <f aca="false">'P08 DMSTrucking Input'!K42*'P08 DMSTrucking Input'!$E$35</f>
        <v>1100</v>
      </c>
      <c r="L47" s="31" t="n">
        <f aca="false">'P08 DMSTrucking Input'!L42*'P08 DMSTrucking Input'!$E$35</f>
        <v>1100</v>
      </c>
      <c r="M47" s="31" t="n">
        <f aca="false">'P08 DMSTrucking Input'!M42*'P08 DMSTrucking Input'!$E$35</f>
        <v>1100</v>
      </c>
      <c r="N47" s="31" t="n">
        <f aca="false">'P08 DMSTrucking Input'!N42*'P08 DMSTrucking Input'!$E$35</f>
        <v>1100</v>
      </c>
      <c r="O47" s="31" t="n">
        <f aca="false">'P08 DMSTrucking Input'!O42*'P08 DMSTrucking Input'!$E$35</f>
        <v>1100</v>
      </c>
      <c r="P47" s="31" t="n">
        <f aca="false">'P08 DMSTrucking Input'!P42*'P08 DMSTrucking Input'!$E$35</f>
        <v>1100</v>
      </c>
      <c r="Q47" s="31" t="n">
        <f aca="false">'P08 DMSTrucking Input'!Q42*'P08 DMSTrucking Input'!$E$35</f>
        <v>1100</v>
      </c>
      <c r="R47" s="31" t="n">
        <f aca="false">'P08 DMSTrucking Input'!R42*'P08 DMSTrucking Input'!$E$35</f>
        <v>1100</v>
      </c>
      <c r="S47" s="31" t="n">
        <f aca="false">'P08 DMSTrucking Input'!S42*'P08 DMSTrucking Input'!$E$35</f>
        <v>1100</v>
      </c>
    </row>
    <row r="48" customFormat="false" ht="15" hidden="false" customHeight="false" outlineLevel="0" collapsed="false">
      <c r="B48" s="24" t="s">
        <v>2215</v>
      </c>
      <c r="C48" s="25" t="s">
        <v>170</v>
      </c>
      <c r="E48" s="44" t="n">
        <f aca="false">SUM(F48:S48)</f>
        <v>10.334684619918</v>
      </c>
      <c r="F48" s="44" t="n">
        <f aca="false">F46*F47/10^9</f>
        <v>0</v>
      </c>
      <c r="G48" s="44" t="n">
        <f aca="false">G46*G47/10^9</f>
        <v>0</v>
      </c>
      <c r="H48" s="44" t="n">
        <f aca="false">H46*H47/10^9</f>
        <v>0</v>
      </c>
      <c r="I48" s="44" t="n">
        <f aca="false">I46*I47/10^9</f>
        <v>0</v>
      </c>
      <c r="J48" s="44" t="n">
        <f aca="false">J46*J47/10^9</f>
        <v>0.901499775</v>
      </c>
      <c r="K48" s="44" t="n">
        <f aca="false">K46*K47/10^9</f>
        <v>0.92854476825</v>
      </c>
      <c r="L48" s="44" t="n">
        <f aca="false">L46*L47/10^9</f>
        <v>0.9564011112975</v>
      </c>
      <c r="M48" s="44" t="n">
        <f aca="false">M46*M47/10^9</f>
        <v>0.985093144636425</v>
      </c>
      <c r="N48" s="44" t="n">
        <f aca="false">N46*N47/10^9</f>
        <v>1.01464593897552</v>
      </c>
      <c r="O48" s="44" t="n">
        <f aca="false">O46*O47/10^9</f>
        <v>1.04508531714478</v>
      </c>
      <c r="P48" s="44" t="n">
        <f aca="false">P46*P47/10^9</f>
        <v>1.07643787665913</v>
      </c>
      <c r="Q48" s="44" t="n">
        <f aca="false">Q46*Q47/10^9</f>
        <v>1.1087310129589</v>
      </c>
      <c r="R48" s="44" t="n">
        <f aca="false">R46*R47/10^9</f>
        <v>1.14199294334767</v>
      </c>
      <c r="S48" s="44" t="n">
        <f aca="false">S46*S47/10^9</f>
        <v>1.1762527316481</v>
      </c>
    </row>
    <row r="49" customFormat="false" ht="15" hidden="false" customHeight="false" outlineLevel="0" collapsed="false">
      <c r="B49" s="69" t="s">
        <v>2216</v>
      </c>
      <c r="C49" s="25" t="s">
        <v>170</v>
      </c>
      <c r="E49" s="80" t="n">
        <f aca="false">SUM(F49:S49)</f>
        <v>5.16734230995901</v>
      </c>
      <c r="F49" s="81" t="n">
        <f aca="false">F48*'P08 DMSTrucking Input'!$E$43</f>
        <v>0</v>
      </c>
      <c r="G49" s="81" t="n">
        <f aca="false">G48*'P08 DMSTrucking Input'!$E$43</f>
        <v>0</v>
      </c>
      <c r="H49" s="81" t="n">
        <f aca="false">H48*'P08 DMSTrucking Input'!$E$43</f>
        <v>0</v>
      </c>
      <c r="I49" s="81" t="n">
        <f aca="false">I48*'P08 DMSTrucking Input'!$E$43</f>
        <v>0</v>
      </c>
      <c r="J49" s="81" t="n">
        <f aca="false">J48*'P08 DMSTrucking Input'!$E$43</f>
        <v>0.4507498875</v>
      </c>
      <c r="K49" s="81" t="n">
        <f aca="false">K48*'P08 DMSTrucking Input'!$E$43</f>
        <v>0.464272384125</v>
      </c>
      <c r="L49" s="81" t="n">
        <f aca="false">L48*'P08 DMSTrucking Input'!$E$43</f>
        <v>0.47820055564875</v>
      </c>
      <c r="M49" s="81" t="n">
        <f aca="false">M48*'P08 DMSTrucking Input'!$E$43</f>
        <v>0.492546572318213</v>
      </c>
      <c r="N49" s="81" t="n">
        <f aca="false">N48*'P08 DMSTrucking Input'!$E$43</f>
        <v>0.507322969487759</v>
      </c>
      <c r="O49" s="81" t="n">
        <f aca="false">O48*'P08 DMSTrucking Input'!$E$43</f>
        <v>0.522542658572392</v>
      </c>
      <c r="P49" s="81" t="n">
        <f aca="false">P48*'P08 DMSTrucking Input'!$E$43</f>
        <v>0.538218938329564</v>
      </c>
      <c r="Q49" s="81" t="n">
        <f aca="false">Q48*'P08 DMSTrucking Input'!$E$43</f>
        <v>0.55436550647945</v>
      </c>
      <c r="R49" s="81" t="n">
        <f aca="false">R48*'P08 DMSTrucking Input'!$E$43</f>
        <v>0.570996471673834</v>
      </c>
      <c r="S49" s="81" t="n">
        <f aca="false">S48*'P08 DMSTrucking Input'!$E$43</f>
        <v>0.588126365824049</v>
      </c>
    </row>
    <row r="50" customFormat="false" ht="15" hidden="false" customHeight="false" outlineLevel="0" collapsed="false">
      <c r="B50" s="24" t="s">
        <v>2217</v>
      </c>
      <c r="C50" s="25" t="s">
        <v>170</v>
      </c>
      <c r="E50" s="44" t="n">
        <f aca="false">SUM(F50:S50)</f>
        <v>1.0334684619918</v>
      </c>
      <c r="F50" s="44" t="n">
        <f aca="false">F49*'P08 DMSTrucking Input'!$E$45</f>
        <v>0</v>
      </c>
      <c r="G50" s="44" t="n">
        <f aca="false">G49*'P08 DMSTrucking Input'!$E$45</f>
        <v>0</v>
      </c>
      <c r="H50" s="44" t="n">
        <f aca="false">H49*'P08 DMSTrucking Input'!$E$45</f>
        <v>0</v>
      </c>
      <c r="I50" s="44" t="n">
        <f aca="false">I49*'P08 DMSTrucking Input'!$E$45</f>
        <v>0</v>
      </c>
      <c r="J50" s="44" t="n">
        <f aca="false">J49*'P08 DMSTrucking Input'!$E$45</f>
        <v>0.0901499775</v>
      </c>
      <c r="K50" s="44" t="n">
        <f aca="false">K49*'P08 DMSTrucking Input'!$E$45</f>
        <v>0.092854476825</v>
      </c>
      <c r="L50" s="44" t="n">
        <f aca="false">L49*'P08 DMSTrucking Input'!$E$45</f>
        <v>0.09564011112975</v>
      </c>
      <c r="M50" s="44" t="n">
        <f aca="false">M49*'P08 DMSTrucking Input'!$E$45</f>
        <v>0.0985093144636425</v>
      </c>
      <c r="N50" s="44" t="n">
        <f aca="false">N49*'P08 DMSTrucking Input'!$E$45</f>
        <v>0.101464593897552</v>
      </c>
      <c r="O50" s="44" t="n">
        <f aca="false">O49*'P08 DMSTrucking Input'!$E$45</f>
        <v>0.104508531714478</v>
      </c>
      <c r="P50" s="44" t="n">
        <f aca="false">P49*'P08 DMSTrucking Input'!$E$45</f>
        <v>0.107643787665913</v>
      </c>
      <c r="Q50" s="44" t="n">
        <f aca="false">Q49*'P08 DMSTrucking Input'!$E$45</f>
        <v>0.11087310129589</v>
      </c>
      <c r="R50" s="44" t="n">
        <f aca="false">R49*'P08 DMSTrucking Input'!$E$45</f>
        <v>0.114199294334767</v>
      </c>
      <c r="S50" s="44" t="n">
        <f aca="false">S49*'P08 DMSTrucking Input'!$E$45</f>
        <v>0.11762527316481</v>
      </c>
    </row>
    <row r="51" customFormat="false" ht="15" hidden="false" customHeight="false" outlineLevel="0" collapsed="false">
      <c r="B51" s="24" t="s">
        <v>2218</v>
      </c>
      <c r="C51" s="25" t="s">
        <v>170</v>
      </c>
      <c r="E51" s="44" t="n">
        <f aca="false">SUM(F51:S51)</f>
        <v>1.3012</v>
      </c>
      <c r="F51" s="44" t="n">
        <f aca="false">'P08 DMSTrucking Input'!$E$51*'Global Inputs'!F22/1000/'P08 DMSTrucking Input'!$E$47*F44</f>
        <v>0</v>
      </c>
      <c r="G51" s="44" t="n">
        <f aca="false">'P08 DMSTrucking Input'!$E$51*'Global Inputs'!G22/1000/'P08 DMSTrucking Input'!$E$47*G44</f>
        <v>0</v>
      </c>
      <c r="H51" s="44" t="n">
        <f aca="false">'P08 DMSTrucking Input'!$E$51*'Global Inputs'!H22/1000/'P08 DMSTrucking Input'!$E$47*H44</f>
        <v>0</v>
      </c>
      <c r="I51" s="44" t="n">
        <f aca="false">'P08 DMSTrucking Input'!$E$51*'Global Inputs'!I22/1000/'P08 DMSTrucking Input'!$E$47*I44</f>
        <v>0</v>
      </c>
      <c r="J51" s="44" t="n">
        <f aca="false">'P08 DMSTrucking Input'!$E$51*'Global Inputs'!J22/1000/'P08 DMSTrucking Input'!$E$47*J44</f>
        <v>0.13012</v>
      </c>
      <c r="K51" s="44" t="n">
        <f aca="false">'P08 DMSTrucking Input'!$E$51*'Global Inputs'!K22/1000/'P08 DMSTrucking Input'!$E$47*K44</f>
        <v>0.13012</v>
      </c>
      <c r="L51" s="44" t="n">
        <f aca="false">'P08 DMSTrucking Input'!$E$51*'Global Inputs'!L22/1000/'P08 DMSTrucking Input'!$E$47*L44</f>
        <v>0.13012</v>
      </c>
      <c r="M51" s="44" t="n">
        <f aca="false">'P08 DMSTrucking Input'!$E$51*'Global Inputs'!M22/1000/'P08 DMSTrucking Input'!$E$47*M44</f>
        <v>0.13012</v>
      </c>
      <c r="N51" s="44" t="n">
        <f aca="false">'P08 DMSTrucking Input'!$E$51*'Global Inputs'!N22/1000/'P08 DMSTrucking Input'!$E$47*N44</f>
        <v>0.13012</v>
      </c>
      <c r="O51" s="44" t="n">
        <f aca="false">'P08 DMSTrucking Input'!$E$51*'Global Inputs'!O22/1000/'P08 DMSTrucking Input'!$E$47*O44</f>
        <v>0.13012</v>
      </c>
      <c r="P51" s="44" t="n">
        <f aca="false">'P08 DMSTrucking Input'!$E$51*'Global Inputs'!P22/1000/'P08 DMSTrucking Input'!$E$47*P44</f>
        <v>0.13012</v>
      </c>
      <c r="Q51" s="44" t="n">
        <f aca="false">'P08 DMSTrucking Input'!$E$51*'Global Inputs'!Q22/1000/'P08 DMSTrucking Input'!$E$47*Q44</f>
        <v>0.13012</v>
      </c>
      <c r="R51" s="44" t="n">
        <f aca="false">'P08 DMSTrucking Input'!$E$51*'Global Inputs'!R22/1000/'P08 DMSTrucking Input'!$E$47*R44</f>
        <v>0.13012</v>
      </c>
      <c r="S51" s="44" t="n">
        <f aca="false">'P08 DMSTrucking Input'!$E$51*'Global Inputs'!S22/1000/'P08 DMSTrucking Input'!$E$47*S44</f>
        <v>0.13012</v>
      </c>
      <c r="U51" s="5" t="s">
        <v>2191</v>
      </c>
    </row>
    <row r="53" customFormat="false" ht="15" hidden="false" customHeight="false" outlineLevel="0" collapsed="false">
      <c r="B53" s="22" t="s">
        <v>2219</v>
      </c>
      <c r="C53" s="23"/>
      <c r="D53" s="23"/>
      <c r="E53" s="23"/>
      <c r="F53" s="23"/>
      <c r="G53" s="23"/>
      <c r="H53" s="23"/>
      <c r="I53" s="23"/>
      <c r="J53" s="23"/>
      <c r="K53" s="23"/>
      <c r="L53" s="23"/>
      <c r="M53" s="23"/>
      <c r="N53" s="23"/>
      <c r="O53" s="23"/>
      <c r="P53" s="23"/>
      <c r="Q53" s="23"/>
      <c r="R53" s="23"/>
      <c r="S53" s="23"/>
    </row>
    <row r="54" customFormat="false" ht="15" hidden="false" customHeight="false" outlineLevel="0" collapsed="false">
      <c r="B54" s="69" t="s">
        <v>2220</v>
      </c>
      <c r="C54" s="25" t="s">
        <v>900</v>
      </c>
      <c r="E54" s="105" t="n">
        <f aca="false">SUM(F54:S54)</f>
        <v>93767856.2558972</v>
      </c>
      <c r="F54" s="106" t="n">
        <f aca="false">F16+F26+F36+F46</f>
        <v>0</v>
      </c>
      <c r="G54" s="106" t="n">
        <f aca="false">G16+G26+G36+G46</f>
        <v>0</v>
      </c>
      <c r="H54" s="106" t="n">
        <f aca="false">H16+H26+H36+H46</f>
        <v>0</v>
      </c>
      <c r="I54" s="106" t="n">
        <f aca="false">I16+I26+I36+I46</f>
        <v>0</v>
      </c>
      <c r="J54" s="106" t="n">
        <f aca="false">J16+J26+J36+J46</f>
        <v>6383358.73194</v>
      </c>
      <c r="K54" s="106" t="n">
        <f aca="false">K16+K26+K36+K46</f>
        <v>8183859.4938982</v>
      </c>
      <c r="L54" s="106" t="n">
        <f aca="false">L16+L26+L36+L46</f>
        <v>8550375.27871515</v>
      </c>
      <c r="M54" s="106" t="n">
        <f aca="false">M16+M26+M36+M46</f>
        <v>8939086.5370766</v>
      </c>
      <c r="N54" s="106" t="n">
        <f aca="false">N16+N26+N36+N46</f>
        <v>9351779.1331889</v>
      </c>
      <c r="O54" s="106" t="n">
        <f aca="false">O16+O26+O36+O46</f>
        <v>9705220.50718457</v>
      </c>
      <c r="P54" s="106" t="n">
        <f aca="false">P16+P26+P36+P46</f>
        <v>10073098.4024001</v>
      </c>
      <c r="Q54" s="106" t="n">
        <f aca="false">Q16+Q26+Q36+Q46</f>
        <v>10456075.9112721</v>
      </c>
      <c r="R54" s="106" t="n">
        <f aca="false">R16+R26+R36+R46</f>
        <v>10854849.8188183</v>
      </c>
      <c r="S54" s="106" t="n">
        <f aca="false">S16+S26+S36+S46</f>
        <v>11270152.4414033</v>
      </c>
    </row>
    <row r="55" customFormat="false" ht="15" hidden="false" customHeight="false" outlineLevel="0" collapsed="false">
      <c r="B55" s="69" t="s">
        <v>2221</v>
      </c>
      <c r="C55" s="25" t="s">
        <v>170</v>
      </c>
      <c r="E55" s="70" t="n">
        <f aca="false">SUM(F55:S55)</f>
        <v>74.9693885078292</v>
      </c>
      <c r="F55" s="68" t="n">
        <f aca="false">F18+F28+F38+F48</f>
        <v>0</v>
      </c>
      <c r="G55" s="68" t="n">
        <f aca="false">G18+G28+G38+G48</f>
        <v>0</v>
      </c>
      <c r="H55" s="68" t="n">
        <f aca="false">H18+H28+H38+H48</f>
        <v>0</v>
      </c>
      <c r="I55" s="68" t="n">
        <f aca="false">I18+I28+I38+I48</f>
        <v>0</v>
      </c>
      <c r="J55" s="68" t="n">
        <f aca="false">J18+J28+J38+J48</f>
        <v>5.504799119776</v>
      </c>
      <c r="K55" s="68" t="n">
        <f aca="false">K18+K28+K38+K48</f>
        <v>6.60154309336928</v>
      </c>
      <c r="L55" s="68" t="n">
        <f aca="false">L18+L28+L38+L48</f>
        <v>6.86814938617036</v>
      </c>
      <c r="M55" s="68" t="n">
        <f aca="false">M18+M28+M38+M48</f>
        <v>7.14924986775547</v>
      </c>
      <c r="N55" s="68" t="n">
        <f aca="false">N18+N28+N38+N48</f>
        <v>7.44592896378813</v>
      </c>
      <c r="O55" s="68" t="n">
        <f aca="false">O18+O28+O38+O48</f>
        <v>7.70996187270178</v>
      </c>
      <c r="P55" s="68" t="n">
        <f aca="false">P18+P28+P38+P48</f>
        <v>7.98413907128283</v>
      </c>
      <c r="Q55" s="68" t="n">
        <f aca="false">Q18+Q28+Q38+Q48</f>
        <v>8.26889828636532</v>
      </c>
      <c r="R55" s="68" t="n">
        <f aca="false">R18+R28+R38+R48</f>
        <v>8.56469838047692</v>
      </c>
      <c r="S55" s="68" t="n">
        <f aca="false">S18+S28+S38+S48</f>
        <v>8.8720204661431</v>
      </c>
    </row>
    <row r="56" customFormat="false" ht="15" hidden="false" customHeight="false" outlineLevel="0" collapsed="false">
      <c r="B56" s="69" t="s">
        <v>2222</v>
      </c>
      <c r="C56" s="25" t="s">
        <v>170</v>
      </c>
      <c r="E56" s="70" t="n">
        <f aca="false">SUM(F56:S56)</f>
        <v>37.4846942539146</v>
      </c>
      <c r="F56" s="68" t="n">
        <f aca="false">F19+F29+F39+F49</f>
        <v>0</v>
      </c>
      <c r="G56" s="68" t="n">
        <f aca="false">G19+G29+G39+G49</f>
        <v>0</v>
      </c>
      <c r="H56" s="68" t="n">
        <f aca="false">H19+H29+H39+H49</f>
        <v>0</v>
      </c>
      <c r="I56" s="68" t="n">
        <f aca="false">I19+I29+I39+I49</f>
        <v>0</v>
      </c>
      <c r="J56" s="68" t="n">
        <f aca="false">J19+J29+J39+J49</f>
        <v>2.752399559888</v>
      </c>
      <c r="K56" s="68" t="n">
        <f aca="false">K19+K29+K39+K49</f>
        <v>3.30077154668464</v>
      </c>
      <c r="L56" s="68" t="n">
        <f aca="false">L19+L29+L39+L49</f>
        <v>3.43407469308518</v>
      </c>
      <c r="M56" s="68" t="n">
        <f aca="false">M19+M29+M39+M49</f>
        <v>3.57462493387774</v>
      </c>
      <c r="N56" s="68" t="n">
        <f aca="false">N19+N29+N39+N49</f>
        <v>3.72296448189407</v>
      </c>
      <c r="O56" s="68" t="n">
        <f aca="false">O19+O29+O39+O49</f>
        <v>3.85498093635089</v>
      </c>
      <c r="P56" s="68" t="n">
        <f aca="false">P19+P29+P39+P49</f>
        <v>3.99206953564142</v>
      </c>
      <c r="Q56" s="68" t="n">
        <f aca="false">Q19+Q29+Q39+Q49</f>
        <v>4.13444914318266</v>
      </c>
      <c r="R56" s="68" t="n">
        <f aca="false">R19+R29+R39+R49</f>
        <v>4.28234919023846</v>
      </c>
      <c r="S56" s="68" t="n">
        <f aca="false">S19+S29+S39+S49</f>
        <v>4.43601023307155</v>
      </c>
    </row>
    <row r="57" customFormat="false" ht="15" hidden="false" customHeight="false" outlineLevel="0" collapsed="false">
      <c r="B57" s="69" t="s">
        <v>1328</v>
      </c>
      <c r="C57" s="25" t="s">
        <v>170</v>
      </c>
      <c r="E57" s="70" t="n">
        <f aca="false">SUM(F57:S57)</f>
        <v>7.49693885078292</v>
      </c>
      <c r="F57" s="68" t="n">
        <f aca="false">F20+F30+F40+F50</f>
        <v>0</v>
      </c>
      <c r="G57" s="68" t="n">
        <f aca="false">G20+G30+G40+G50</f>
        <v>0</v>
      </c>
      <c r="H57" s="68" t="n">
        <f aca="false">H20+H30+H40+H50</f>
        <v>0</v>
      </c>
      <c r="I57" s="68" t="n">
        <f aca="false">I20+I30+I40+I50</f>
        <v>0</v>
      </c>
      <c r="J57" s="68" t="n">
        <f aca="false">J20+J30+J40+J50</f>
        <v>0.5504799119776</v>
      </c>
      <c r="K57" s="68" t="n">
        <f aca="false">K20+K30+K40+K50</f>
        <v>0.660154309336928</v>
      </c>
      <c r="L57" s="68" t="n">
        <f aca="false">L20+L30+L40+L50</f>
        <v>0.686814938617036</v>
      </c>
      <c r="M57" s="68" t="n">
        <f aca="false">M20+M30+M40+M50</f>
        <v>0.714924986775547</v>
      </c>
      <c r="N57" s="68" t="n">
        <f aca="false">N20+N30+N40+N50</f>
        <v>0.744592896378814</v>
      </c>
      <c r="O57" s="68" t="n">
        <f aca="false">O20+O30+O40+O50</f>
        <v>0.770996187270178</v>
      </c>
      <c r="P57" s="68" t="n">
        <f aca="false">P20+P30+P40+P50</f>
        <v>0.798413907128283</v>
      </c>
      <c r="Q57" s="68" t="n">
        <f aca="false">Q20+Q30+Q40+Q50</f>
        <v>0.826889828636532</v>
      </c>
      <c r="R57" s="68" t="n">
        <f aca="false">R20+R30+R40+R50</f>
        <v>0.856469838047692</v>
      </c>
      <c r="S57" s="68" t="n">
        <f aca="false">S20+S30+S40+S50</f>
        <v>0.887202046614311</v>
      </c>
    </row>
    <row r="58" customFormat="false" ht="15" hidden="false" customHeight="false" outlineLevel="0" collapsed="false">
      <c r="B58" s="69" t="s">
        <v>2223</v>
      </c>
      <c r="C58" s="25" t="s">
        <v>170</v>
      </c>
      <c r="E58" s="70" t="n">
        <f aca="false">SUM(F58:S58)</f>
        <v>4.78191</v>
      </c>
      <c r="F58" s="68" t="n">
        <f aca="false">F21+F31+F41+F51</f>
        <v>0</v>
      </c>
      <c r="G58" s="68" t="n">
        <f aca="false">G21+G31+G41+G51</f>
        <v>0</v>
      </c>
      <c r="H58" s="68" t="n">
        <f aca="false">H21+H31+H41+H51</f>
        <v>0</v>
      </c>
      <c r="I58" s="68" t="n">
        <f aca="false">I21+I31+I41+I51</f>
        <v>0</v>
      </c>
      <c r="J58" s="68" t="n">
        <f aca="false">J21+J31+J41+J51</f>
        <v>0.39036</v>
      </c>
      <c r="K58" s="68" t="n">
        <f aca="false">K21+K31+K41+K51</f>
        <v>0.48795</v>
      </c>
      <c r="L58" s="68" t="n">
        <f aca="false">L21+L31+L41+L51</f>
        <v>0.48795</v>
      </c>
      <c r="M58" s="68" t="n">
        <f aca="false">M21+M31+M41+M51</f>
        <v>0.48795</v>
      </c>
      <c r="N58" s="68" t="n">
        <f aca="false">N21+N31+N41+N51</f>
        <v>0.48795</v>
      </c>
      <c r="O58" s="68" t="n">
        <f aca="false">O21+O31+O41+O51</f>
        <v>0.48795</v>
      </c>
      <c r="P58" s="68" t="n">
        <f aca="false">P21+P31+P41+P51</f>
        <v>0.48795</v>
      </c>
      <c r="Q58" s="68" t="n">
        <f aca="false">Q21+Q31+Q41+Q51</f>
        <v>0.48795</v>
      </c>
      <c r="R58" s="68" t="n">
        <f aca="false">R21+R31+R41+R51</f>
        <v>0.48795</v>
      </c>
      <c r="S58" s="68" t="n">
        <f aca="false">S21+S31+S41+S51</f>
        <v>0.48795</v>
      </c>
    </row>
    <row r="60" customFormat="false" ht="15" hidden="false" customHeight="false" outlineLevel="0" collapsed="false">
      <c r="B60" s="22" t="s">
        <v>1989</v>
      </c>
      <c r="C60" s="23"/>
      <c r="D60" s="23"/>
      <c r="E60" s="23"/>
      <c r="F60" s="23"/>
      <c r="G60" s="23"/>
      <c r="H60" s="23"/>
      <c r="I60" s="23"/>
      <c r="J60" s="23"/>
      <c r="K60" s="23"/>
      <c r="L60" s="23"/>
      <c r="M60" s="23"/>
      <c r="N60" s="23"/>
      <c r="O60" s="23"/>
      <c r="P60" s="23"/>
      <c r="Q60" s="23"/>
      <c r="R60" s="23"/>
      <c r="S60" s="23"/>
    </row>
    <row r="61" customFormat="false" ht="15" hidden="false" customHeight="false" outlineLevel="0" collapsed="false">
      <c r="B61" s="24" t="s">
        <v>1090</v>
      </c>
      <c r="C61" s="25" t="s">
        <v>240</v>
      </c>
      <c r="F61" s="44" t="n">
        <f aca="false">0</f>
        <v>0</v>
      </c>
      <c r="G61" s="44" t="n">
        <f aca="false">0</f>
        <v>0</v>
      </c>
      <c r="H61" s="44" t="n">
        <f aca="false">0</f>
        <v>0</v>
      </c>
      <c r="I61" s="44" t="n">
        <f aca="false">0</f>
        <v>0</v>
      </c>
      <c r="J61" s="44" t="n">
        <f aca="false">0</f>
        <v>0</v>
      </c>
      <c r="K61" s="44" t="n">
        <f aca="false">0</f>
        <v>0</v>
      </c>
      <c r="L61" s="44" t="n">
        <f aca="false">0</f>
        <v>0</v>
      </c>
      <c r="M61" s="44" t="n">
        <f aca="false">0</f>
        <v>0</v>
      </c>
      <c r="N61" s="44" t="n">
        <f aca="false">0</f>
        <v>0</v>
      </c>
      <c r="O61" s="44" t="n">
        <f aca="false">0</f>
        <v>0</v>
      </c>
      <c r="P61" s="44" t="n">
        <f aca="false">0</f>
        <v>0</v>
      </c>
      <c r="Q61" s="44" t="n">
        <f aca="false">0</f>
        <v>0</v>
      </c>
      <c r="R61" s="44" t="n">
        <f aca="false">0</f>
        <v>0</v>
      </c>
      <c r="S61" s="44" t="n">
        <f aca="false">0</f>
        <v>0</v>
      </c>
    </row>
    <row r="62" customFormat="false" ht="15" hidden="false" customHeight="false" outlineLevel="0" collapsed="false">
      <c r="B62" s="24" t="s">
        <v>1091</v>
      </c>
      <c r="C62" s="25" t="s">
        <v>170</v>
      </c>
      <c r="F62" s="47" t="n">
        <f aca="false">0</f>
        <v>0</v>
      </c>
      <c r="G62" s="47" t="n">
        <f aca="false">0</f>
        <v>0</v>
      </c>
      <c r="H62" s="47" t="n">
        <f aca="false">0</f>
        <v>0</v>
      </c>
      <c r="I62" s="47" t="n">
        <f aca="false">0</f>
        <v>0</v>
      </c>
      <c r="J62" s="47" t="n">
        <f aca="false">0</f>
        <v>0</v>
      </c>
      <c r="K62" s="47" t="n">
        <f aca="false">0</f>
        <v>0</v>
      </c>
      <c r="L62" s="47" t="n">
        <f aca="false">0</f>
        <v>0</v>
      </c>
      <c r="M62" s="47" t="n">
        <f aca="false">0</f>
        <v>0</v>
      </c>
      <c r="N62" s="47" t="n">
        <f aca="false">0</f>
        <v>0</v>
      </c>
      <c r="O62" s="47" t="n">
        <f aca="false">0</f>
        <v>0</v>
      </c>
      <c r="P62" s="47" t="n">
        <f aca="false">0</f>
        <v>0</v>
      </c>
      <c r="Q62" s="47" t="n">
        <f aca="false">0</f>
        <v>0</v>
      </c>
      <c r="R62" s="47" t="n">
        <f aca="false">0</f>
        <v>0</v>
      </c>
      <c r="S62" s="47" t="n">
        <f aca="false">0</f>
        <v>0</v>
      </c>
    </row>
    <row r="63" customFormat="false" ht="15" hidden="false" customHeight="false" outlineLevel="0" collapsed="false">
      <c r="B63" s="24" t="s">
        <v>1092</v>
      </c>
      <c r="C63" s="25" t="s">
        <v>170</v>
      </c>
      <c r="F63" s="47" t="n">
        <f aca="false">0</f>
        <v>0</v>
      </c>
      <c r="G63" s="47" t="n">
        <f aca="false">0</f>
        <v>0</v>
      </c>
      <c r="H63" s="47" t="n">
        <f aca="false">0</f>
        <v>0</v>
      </c>
      <c r="I63" s="47" t="n">
        <f aca="false">0</f>
        <v>0</v>
      </c>
      <c r="J63" s="47" t="n">
        <f aca="false">0</f>
        <v>0</v>
      </c>
      <c r="K63" s="47" t="n">
        <f aca="false">0</f>
        <v>0</v>
      </c>
      <c r="L63" s="47" t="n">
        <f aca="false">0</f>
        <v>0</v>
      </c>
      <c r="M63" s="47" t="n">
        <f aca="false">0</f>
        <v>0</v>
      </c>
      <c r="N63" s="47" t="n">
        <f aca="false">0</f>
        <v>0</v>
      </c>
      <c r="O63" s="47" t="n">
        <f aca="false">0</f>
        <v>0</v>
      </c>
      <c r="P63" s="47" t="n">
        <f aca="false">0</f>
        <v>0</v>
      </c>
      <c r="Q63" s="47" t="n">
        <f aca="false">0</f>
        <v>0</v>
      </c>
      <c r="R63" s="47" t="n">
        <f aca="false">0</f>
        <v>0</v>
      </c>
      <c r="S63" s="47" t="n">
        <f aca="false">0</f>
        <v>0</v>
      </c>
    </row>
    <row r="64" customFormat="false" ht="15" hidden="false" customHeight="false" outlineLevel="0" collapsed="false">
      <c r="B64" s="24" t="s">
        <v>1093</v>
      </c>
      <c r="C64" s="25" t="s">
        <v>170</v>
      </c>
      <c r="F64" s="47" t="n">
        <f aca="false">0</f>
        <v>0</v>
      </c>
      <c r="G64" s="47" t="n">
        <f aca="false">0</f>
        <v>0</v>
      </c>
      <c r="H64" s="47" t="n">
        <f aca="false">0</f>
        <v>0</v>
      </c>
      <c r="I64" s="47" t="n">
        <f aca="false">0</f>
        <v>0</v>
      </c>
      <c r="J64" s="47" t="n">
        <f aca="false">0</f>
        <v>0</v>
      </c>
      <c r="K64" s="47" t="n">
        <f aca="false">0</f>
        <v>0</v>
      </c>
      <c r="L64" s="47" t="n">
        <f aca="false">0</f>
        <v>0</v>
      </c>
      <c r="M64" s="47" t="n">
        <f aca="false">0</f>
        <v>0</v>
      </c>
      <c r="N64" s="47" t="n">
        <f aca="false">0</f>
        <v>0</v>
      </c>
      <c r="O64" s="47" t="n">
        <f aca="false">0</f>
        <v>0</v>
      </c>
      <c r="P64" s="47" t="n">
        <f aca="false">0</f>
        <v>0</v>
      </c>
      <c r="Q64" s="47" t="n">
        <f aca="false">0</f>
        <v>0</v>
      </c>
      <c r="R64" s="47" t="n">
        <f aca="false">0</f>
        <v>0</v>
      </c>
      <c r="S64" s="47" t="n">
        <f aca="false">0</f>
        <v>0</v>
      </c>
    </row>
    <row r="65" customFormat="false" ht="15" hidden="false" customHeight="false" outlineLevel="0" collapsed="false">
      <c r="B65" s="69" t="s">
        <v>1094</v>
      </c>
      <c r="C65" s="25" t="s">
        <v>170</v>
      </c>
      <c r="E65" s="70" t="n">
        <f aca="false">SUM(F65:S65)</f>
        <v>4.78191</v>
      </c>
      <c r="F65" s="68" t="n">
        <f aca="false">F63+F58</f>
        <v>0</v>
      </c>
      <c r="G65" s="68" t="n">
        <f aca="false">G63+G58</f>
        <v>0</v>
      </c>
      <c r="H65" s="68" t="n">
        <f aca="false">H63+H58</f>
        <v>0</v>
      </c>
      <c r="I65" s="68" t="n">
        <f aca="false">I63+I58</f>
        <v>0</v>
      </c>
      <c r="J65" s="68" t="n">
        <f aca="false">J63+J58</f>
        <v>0.39036</v>
      </c>
      <c r="K65" s="68" t="n">
        <f aca="false">K63+K58</f>
        <v>0.48795</v>
      </c>
      <c r="L65" s="68" t="n">
        <f aca="false">L63+L58</f>
        <v>0.48795</v>
      </c>
      <c r="M65" s="68" t="n">
        <f aca="false">M63+M58</f>
        <v>0.48795</v>
      </c>
      <c r="N65" s="68" t="n">
        <f aca="false">N63+N58</f>
        <v>0.48795</v>
      </c>
      <c r="O65" s="68" t="n">
        <f aca="false">O63+O58</f>
        <v>0.48795</v>
      </c>
      <c r="P65" s="68" t="n">
        <f aca="false">P63+P58</f>
        <v>0.48795</v>
      </c>
      <c r="Q65" s="68" t="n">
        <f aca="false">Q63+Q58</f>
        <v>0.48795</v>
      </c>
      <c r="R65" s="68" t="n">
        <f aca="false">R63+R58</f>
        <v>0.48795</v>
      </c>
      <c r="S65" s="68" t="n">
        <f aca="false">S63+S58</f>
        <v>0.48795</v>
      </c>
    </row>
    <row r="67" customFormat="false" ht="15" hidden="false" customHeight="false" outlineLevel="0" collapsed="false">
      <c r="B67" s="22" t="s">
        <v>1990</v>
      </c>
      <c r="C67" s="23"/>
      <c r="D67" s="23"/>
      <c r="E67" s="23"/>
      <c r="F67" s="23"/>
      <c r="G67" s="23"/>
      <c r="H67" s="23"/>
      <c r="I67" s="23"/>
      <c r="J67" s="23"/>
      <c r="K67" s="23"/>
      <c r="L67" s="23"/>
      <c r="M67" s="23"/>
      <c r="N67" s="23"/>
      <c r="O67" s="23"/>
      <c r="P67" s="23"/>
      <c r="Q67" s="23"/>
      <c r="R67" s="23"/>
      <c r="S67" s="23"/>
    </row>
    <row r="68" customFormat="false" ht="15" hidden="false" customHeight="false" outlineLevel="0" collapsed="false">
      <c r="B68" s="24" t="s">
        <v>1096</v>
      </c>
      <c r="C68" s="25" t="s">
        <v>170</v>
      </c>
      <c r="F68" s="47" t="n">
        <f aca="false">0</f>
        <v>0</v>
      </c>
      <c r="G68" s="47" t="n">
        <f aca="false">G56*'Global Inputs'!$E$28/G$7</f>
        <v>0</v>
      </c>
      <c r="H68" s="47" t="n">
        <f aca="false">H56*'Global Inputs'!$E$28/H$7</f>
        <v>0</v>
      </c>
      <c r="I68" s="47" t="n">
        <f aca="false">I56*'Global Inputs'!$E$28/I$7</f>
        <v>0</v>
      </c>
      <c r="J68" s="47" t="n">
        <f aca="false">J56*'Global Inputs'!$E$28/J$7</f>
        <v>0.339336932040986</v>
      </c>
      <c r="K68" s="47" t="n">
        <f aca="false">K56*'Global Inputs'!$E$28/K$7</f>
        <v>0.405832567215325</v>
      </c>
      <c r="L68" s="47" t="n">
        <f aca="false">L56*'Global Inputs'!$E$28/L$7</f>
        <v>0.423379071750228</v>
      </c>
      <c r="M68" s="47" t="n">
        <f aca="false">M56*'Global Inputs'!$E$28/M$7</f>
        <v>0.440707183628762</v>
      </c>
      <c r="N68" s="47" t="n">
        <f aca="false">N56*'Global Inputs'!$E$28/N$7</f>
        <v>0.458995621055433</v>
      </c>
      <c r="O68" s="47" t="n">
        <f aca="false">O56*'Global Inputs'!$E$28/O$7</f>
        <v>0.473973065944782</v>
      </c>
      <c r="P68" s="47" t="n">
        <f aca="false">P56*'Global Inputs'!$E$28/P$7</f>
        <v>0.492172956448942</v>
      </c>
      <c r="Q68" s="47" t="n">
        <f aca="false">Q56*'Global Inputs'!$E$28/Q$7</f>
        <v>0.509726606693753</v>
      </c>
      <c r="R68" s="47" t="n">
        <f aca="false">R56*'Global Inputs'!$E$28/R$7</f>
        <v>0.527960859070495</v>
      </c>
      <c r="S68" s="47" t="n">
        <f aca="false">S56*'Global Inputs'!$E$28/S$7</f>
        <v>0.545411094230109</v>
      </c>
    </row>
    <row r="69" customFormat="false" ht="15" hidden="false" customHeight="false" outlineLevel="0" collapsed="false">
      <c r="B69" s="24" t="s">
        <v>1098</v>
      </c>
      <c r="C69" s="25" t="s">
        <v>170</v>
      </c>
      <c r="F69" s="47" t="n">
        <f aca="false">0</f>
        <v>0</v>
      </c>
      <c r="G69" s="47" t="n">
        <f aca="false">0</f>
        <v>0</v>
      </c>
      <c r="H69" s="47" t="n">
        <f aca="false">0</f>
        <v>0</v>
      </c>
      <c r="I69" s="47" t="n">
        <f aca="false">0</f>
        <v>0</v>
      </c>
      <c r="J69" s="47" t="n">
        <f aca="false">0</f>
        <v>0</v>
      </c>
      <c r="K69" s="47" t="n">
        <f aca="false">0</f>
        <v>0</v>
      </c>
      <c r="L69" s="47" t="n">
        <f aca="false">0</f>
        <v>0</v>
      </c>
      <c r="M69" s="47" t="n">
        <f aca="false">0</f>
        <v>0</v>
      </c>
      <c r="N69" s="47" t="n">
        <f aca="false">0</f>
        <v>0</v>
      </c>
      <c r="O69" s="47" t="n">
        <f aca="false">0</f>
        <v>0</v>
      </c>
      <c r="P69" s="47" t="n">
        <f aca="false">0</f>
        <v>0</v>
      </c>
      <c r="Q69" s="47" t="n">
        <f aca="false">0</f>
        <v>0</v>
      </c>
      <c r="R69" s="47" t="n">
        <f aca="false">0</f>
        <v>0</v>
      </c>
      <c r="S69" s="47" t="n">
        <f aca="false">0</f>
        <v>0</v>
      </c>
    </row>
    <row r="70" customFormat="false" ht="15" hidden="false" customHeight="false" outlineLevel="0" collapsed="false">
      <c r="B70" s="24" t="s">
        <v>1099</v>
      </c>
      <c r="C70" s="25" t="s">
        <v>170</v>
      </c>
      <c r="F70" s="47" t="n">
        <f aca="false">F68-F69</f>
        <v>0</v>
      </c>
      <c r="G70" s="47" t="n">
        <f aca="false">G68-G69</f>
        <v>0</v>
      </c>
      <c r="H70" s="47" t="n">
        <f aca="false">H68-H69</f>
        <v>0</v>
      </c>
      <c r="I70" s="47" t="n">
        <f aca="false">I68-I69</f>
        <v>0</v>
      </c>
      <c r="J70" s="47" t="n">
        <f aca="false">J68-J69</f>
        <v>0.339336932040986</v>
      </c>
      <c r="K70" s="47" t="n">
        <f aca="false">K68-K69</f>
        <v>0.405832567215325</v>
      </c>
      <c r="L70" s="47" t="n">
        <f aca="false">L68-L69</f>
        <v>0.423379071750228</v>
      </c>
      <c r="M70" s="47" t="n">
        <f aca="false">M68-M69</f>
        <v>0.440707183628762</v>
      </c>
      <c r="N70" s="47" t="n">
        <f aca="false">N68-N69</f>
        <v>0.458995621055433</v>
      </c>
      <c r="O70" s="47" t="n">
        <f aca="false">O68-O69</f>
        <v>0.473973065944782</v>
      </c>
      <c r="P70" s="47" t="n">
        <f aca="false">P68-P69</f>
        <v>0.492172956448942</v>
      </c>
      <c r="Q70" s="47" t="n">
        <f aca="false">Q68-Q69</f>
        <v>0.509726606693753</v>
      </c>
      <c r="R70" s="47" t="n">
        <f aca="false">R68-R69</f>
        <v>0.527960859070495</v>
      </c>
      <c r="S70" s="47" t="n">
        <f aca="false">S68-S69</f>
        <v>0.545411094230109</v>
      </c>
    </row>
    <row r="71" customFormat="false" ht="15" hidden="false" customHeight="false" outlineLevel="0" collapsed="false">
      <c r="B71" s="24" t="s">
        <v>1100</v>
      </c>
      <c r="C71" s="25" t="s">
        <v>170</v>
      </c>
      <c r="E71" s="47" t="n">
        <f aca="false">SUM(F71:S71)</f>
        <v>0.545411094230109</v>
      </c>
      <c r="F71" s="47" t="n">
        <f aca="false">0</f>
        <v>0</v>
      </c>
      <c r="G71" s="47" t="n">
        <f aca="false">G70-F70</f>
        <v>0</v>
      </c>
      <c r="H71" s="47" t="n">
        <f aca="false">H70-G70</f>
        <v>0</v>
      </c>
      <c r="I71" s="47" t="n">
        <f aca="false">I70-H70</f>
        <v>0</v>
      </c>
      <c r="J71" s="47" t="n">
        <f aca="false">J70-I70</f>
        <v>0.339336932040986</v>
      </c>
      <c r="K71" s="47" t="n">
        <f aca="false">K70-J70</f>
        <v>0.0664956351743384</v>
      </c>
      <c r="L71" s="47" t="n">
        <f aca="false">L70-K70</f>
        <v>0.0175465045349029</v>
      </c>
      <c r="M71" s="47" t="n">
        <f aca="false">M70-L70</f>
        <v>0.0173281118785343</v>
      </c>
      <c r="N71" s="47" t="n">
        <f aca="false">N70-M70</f>
        <v>0.0182884374266711</v>
      </c>
      <c r="O71" s="47" t="n">
        <f aca="false">O70-N70</f>
        <v>0.0149774448893486</v>
      </c>
      <c r="P71" s="47" t="n">
        <f aca="false">P70-O70</f>
        <v>0.0181998905041603</v>
      </c>
      <c r="Q71" s="47" t="n">
        <f aca="false">Q70-P70</f>
        <v>0.0175536502448107</v>
      </c>
      <c r="R71" s="47" t="n">
        <f aca="false">R70-Q70</f>
        <v>0.0182342523767426</v>
      </c>
      <c r="S71" s="47" t="n">
        <f aca="false">S70-R70</f>
        <v>0.0174502351596137</v>
      </c>
    </row>
  </sheetData>
  <hyperlinks>
    <hyperlink ref="C3" r:id="rId1" location="'P08%20DMSTrucking%20Input'!A1" display="Input"/>
    <hyperlink ref="D3" r:id="rId2" location="'P08%20DMSTrucking%20Calc'!A1" display="Calc"/>
    <hyperlink ref="E3" r:id="rId3" location="'P08%20DMSTrucking%20Output'!A1" display="Output"/>
    <hyperlink ref="F3" r:id="rId4" location="'Navigation'!A1" display="Navigation"/>
    <hyperlink ref="G3" r:id="rId5" location="'Global%20Inputs'!A1" display="Global Inputs"/>
    <hyperlink ref="H3" r:id="rId6" location="'Project%20Summary'!A1" display="Project Summary"/>
    <hyperlink ref="I3" r:id="rId7" location="'Funding%20Requirement'!A1" display="Funding"/>
    <hyperlink ref="J3" r:id="rId8" location="'FSL%20Financials%20—%20Without%20BUMN'!A1" display="FSL w/o BUMN"/>
    <hyperlink ref="K3" r:id="rId9" location="'FSL%20Financials%20—%20With%20BUMN'!A1" display="FSL w/ BUMN"/>
    <hyperlink ref="L3" r:id="rId10" location="'Valuation%20—%20Without%20BUMN'!A1" display="Val w/o BUMN"/>
    <hyperlink ref="M3" r:id="rId11" location="'Valuation%20—%20With%20BUMN'!A1" display="Val w/ BUMN"/>
    <hyperlink ref="N3" r:id="rId12" location="'Checks'!A1" display="Checks"/>
    <hyperlink ref="O3" r:id="rId13" location="'Model%20Flow'!A1" display="Model Flow"/>
  </hyperlink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9D08E"/>
    <pageSetUpPr fitToPage="true"/>
  </sheetPr>
  <dimension ref="B1:U6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5" ySplit="9" topLeftCell="F10" activePane="bottomRight" state="frozen"/>
      <selection pane="topLeft" activeCell="A1" activeCellId="0" sqref="A1"/>
      <selection pane="topRight" activeCell="F1" activeCellId="0" sqref="F1"/>
      <selection pane="bottomLeft" activeCell="A10" activeCellId="0" sqref="A10"/>
      <selection pane="bottomRigh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66"/>
    <col collapsed="false" customWidth="true" hidden="false" outlineLevel="0" max="3" min="3" style="0" width="11"/>
    <col collapsed="false" customWidth="true" hidden="false" outlineLevel="0" max="4" min="4" style="0" width="12"/>
    <col collapsed="false" customWidth="true" hidden="false" outlineLevel="0" max="5" min="5" style="0" width="13"/>
    <col collapsed="false" customWidth="true" hidden="false" outlineLevel="0" max="19" min="6" style="0" width="11.5"/>
    <col collapsed="false" customWidth="true" hidden="false" outlineLevel="0" max="20" min="20" style="0" width="40"/>
    <col collapsed="false" customWidth="true" hidden="false" outlineLevel="0" max="21" min="21" style="0" width="48"/>
  </cols>
  <sheetData>
    <row r="1" customFormat="false" ht="21.75" hidden="false" customHeight="true" outlineLevel="0" collapsed="false">
      <c r="B1" s="1" t="s">
        <v>2224</v>
      </c>
    </row>
    <row r="2" customFormat="false" ht="15" hidden="false" customHeight="false" outlineLevel="0" collapsed="false">
      <c r="B2" s="2" t="s">
        <v>1102</v>
      </c>
    </row>
    <row r="3" customFormat="false" ht="15" hidden="false" customHeight="false" outlineLevel="0" collapsed="false">
      <c r="B3" s="5" t="s">
        <v>112</v>
      </c>
      <c r="C3" s="17" t="s">
        <v>27</v>
      </c>
      <c r="D3" s="17" t="s">
        <v>28</v>
      </c>
      <c r="E3" s="17" t="s">
        <v>29</v>
      </c>
      <c r="F3" s="17" t="s">
        <v>113</v>
      </c>
      <c r="G3" s="17" t="s">
        <v>5</v>
      </c>
      <c r="H3" s="17" t="s">
        <v>7</v>
      </c>
      <c r="I3" s="17" t="s">
        <v>114</v>
      </c>
      <c r="J3" s="17" t="s">
        <v>115</v>
      </c>
      <c r="K3" s="17" t="s">
        <v>116</v>
      </c>
      <c r="L3" s="17" t="s">
        <v>117</v>
      </c>
      <c r="M3" s="17" t="s">
        <v>118</v>
      </c>
      <c r="N3" s="17" t="s">
        <v>21</v>
      </c>
      <c r="O3" s="17" t="s">
        <v>3</v>
      </c>
    </row>
    <row r="5" customFormat="false" ht="15" hidden="false" customHeight="false" outlineLevel="0" collapsed="false">
      <c r="B5" s="6" t="s">
        <v>119</v>
      </c>
      <c r="C5" s="6" t="s">
        <v>120</v>
      </c>
      <c r="D5" s="6" t="s">
        <v>121</v>
      </c>
      <c r="E5" s="6" t="s">
        <v>122</v>
      </c>
      <c r="F5" s="18" t="n">
        <f aca="false">'Global Inputs'!F$5</f>
        <v>2023</v>
      </c>
      <c r="G5" s="18" t="n">
        <f aca="false">'Global Inputs'!G$5</f>
        <v>2024</v>
      </c>
      <c r="H5" s="18" t="n">
        <f aca="false">'Global Inputs'!H$5</f>
        <v>2025</v>
      </c>
      <c r="I5" s="18" t="n">
        <f aca="false">'Global Inputs'!I$5</f>
        <v>2026</v>
      </c>
      <c r="J5" s="18" t="n">
        <f aca="false">'Global Inputs'!J$5</f>
        <v>2027</v>
      </c>
      <c r="K5" s="18" t="n">
        <f aca="false">'Global Inputs'!K$5</f>
        <v>2028</v>
      </c>
      <c r="L5" s="18" t="n">
        <f aca="false">'Global Inputs'!L$5</f>
        <v>2029</v>
      </c>
      <c r="M5" s="18" t="n">
        <f aca="false">'Global Inputs'!M$5</f>
        <v>2030</v>
      </c>
      <c r="N5" s="18" t="n">
        <f aca="false">'Global Inputs'!N$5</f>
        <v>2031</v>
      </c>
      <c r="O5" s="18" t="n">
        <f aca="false">'Global Inputs'!O$5</f>
        <v>2032</v>
      </c>
      <c r="P5" s="18" t="n">
        <f aca="false">'Global Inputs'!P$5</f>
        <v>2033</v>
      </c>
      <c r="Q5" s="18" t="n">
        <f aca="false">'Global Inputs'!Q$5</f>
        <v>2034</v>
      </c>
      <c r="R5" s="18" t="n">
        <f aca="false">'Global Inputs'!R$5</f>
        <v>2035</v>
      </c>
      <c r="S5" s="18" t="n">
        <f aca="false">'Global Inputs'!S$5</f>
        <v>2036</v>
      </c>
      <c r="T5" s="6" t="s">
        <v>123</v>
      </c>
      <c r="U5" s="6" t="s">
        <v>124</v>
      </c>
    </row>
    <row r="6" customFormat="false" ht="15" hidden="false" customHeight="false" outlineLevel="0" collapsed="false">
      <c r="B6" s="19" t="s">
        <v>125</v>
      </c>
      <c r="F6" s="20" t="n">
        <f aca="false">'Global Inputs'!F$6</f>
        <v>45291</v>
      </c>
      <c r="G6" s="20" t="n">
        <f aca="false">'Global Inputs'!G$6</f>
        <v>45657</v>
      </c>
      <c r="H6" s="20" t="n">
        <f aca="false">'Global Inputs'!H$6</f>
        <v>46022</v>
      </c>
      <c r="I6" s="20" t="n">
        <f aca="false">'Global Inputs'!I$6</f>
        <v>46387</v>
      </c>
      <c r="J6" s="20" t="n">
        <f aca="false">'Global Inputs'!J$6</f>
        <v>46752</v>
      </c>
      <c r="K6" s="20" t="n">
        <f aca="false">'Global Inputs'!K$6</f>
        <v>47118</v>
      </c>
      <c r="L6" s="20" t="n">
        <f aca="false">'Global Inputs'!L$6</f>
        <v>47483</v>
      </c>
      <c r="M6" s="20" t="n">
        <f aca="false">'Global Inputs'!M$6</f>
        <v>47848</v>
      </c>
      <c r="N6" s="20" t="n">
        <f aca="false">'Global Inputs'!N$6</f>
        <v>48213</v>
      </c>
      <c r="O6" s="20" t="n">
        <f aca="false">'Global Inputs'!O$6</f>
        <v>48579</v>
      </c>
      <c r="P6" s="20" t="n">
        <f aca="false">'Global Inputs'!P$6</f>
        <v>48944</v>
      </c>
      <c r="Q6" s="20" t="n">
        <f aca="false">'Global Inputs'!Q$6</f>
        <v>49309</v>
      </c>
      <c r="R6" s="20" t="n">
        <f aca="false">'Global Inputs'!R$6</f>
        <v>49674</v>
      </c>
      <c r="S6" s="20" t="n">
        <f aca="false">'Global Inputs'!S$6</f>
        <v>50040</v>
      </c>
    </row>
    <row r="7" customFormat="false" ht="15" hidden="false" customHeight="false" outlineLevel="0" collapsed="false">
      <c r="B7" s="19" t="s">
        <v>126</v>
      </c>
      <c r="F7" s="21" t="n">
        <f aca="false">'Global Inputs'!F$7</f>
        <v>365</v>
      </c>
      <c r="G7" s="21" t="n">
        <f aca="false">'Global Inputs'!G$7</f>
        <v>366</v>
      </c>
      <c r="H7" s="21" t="n">
        <f aca="false">'Global Inputs'!H$7</f>
        <v>365</v>
      </c>
      <c r="I7" s="21" t="n">
        <f aca="false">'Global Inputs'!I$7</f>
        <v>365</v>
      </c>
      <c r="J7" s="21" t="n">
        <f aca="false">'Global Inputs'!J$7</f>
        <v>365</v>
      </c>
      <c r="K7" s="21" t="n">
        <f aca="false">'Global Inputs'!K$7</f>
        <v>366</v>
      </c>
      <c r="L7" s="21" t="n">
        <f aca="false">'Global Inputs'!L$7</f>
        <v>365</v>
      </c>
      <c r="M7" s="21" t="n">
        <f aca="false">'Global Inputs'!M$7</f>
        <v>365</v>
      </c>
      <c r="N7" s="21" t="n">
        <f aca="false">'Global Inputs'!N$7</f>
        <v>365</v>
      </c>
      <c r="O7" s="21" t="n">
        <f aca="false">'Global Inputs'!O$7</f>
        <v>366</v>
      </c>
      <c r="P7" s="21" t="n">
        <f aca="false">'Global Inputs'!P$7</f>
        <v>365</v>
      </c>
      <c r="Q7" s="21" t="n">
        <f aca="false">'Global Inputs'!Q$7</f>
        <v>365</v>
      </c>
      <c r="R7" s="21" t="n">
        <f aca="false">'Global Inputs'!R$7</f>
        <v>365</v>
      </c>
      <c r="S7" s="21" t="n">
        <f aca="false">'Global Inputs'!S$7</f>
        <v>366</v>
      </c>
    </row>
    <row r="8" customFormat="false" ht="15" hidden="false" customHeight="false" outlineLevel="0" collapsed="false">
      <c r="B8" s="19" t="s">
        <v>127</v>
      </c>
      <c r="F8" s="21" t="n">
        <f aca="false">'Global Inputs'!F$8</f>
        <v>0</v>
      </c>
      <c r="G8" s="21" t="n">
        <f aca="false">'Global Inputs'!G$8</f>
        <v>1</v>
      </c>
      <c r="H8" s="21" t="n">
        <f aca="false">'Global Inputs'!H$8</f>
        <v>1</v>
      </c>
      <c r="I8" s="21" t="n">
        <f aca="false">'Global Inputs'!I$8</f>
        <v>1</v>
      </c>
      <c r="J8" s="21" t="n">
        <f aca="false">'Global Inputs'!J$8</f>
        <v>1</v>
      </c>
      <c r="K8" s="21" t="n">
        <f aca="false">'Global Inputs'!K$8</f>
        <v>1</v>
      </c>
      <c r="L8" s="21" t="n">
        <f aca="false">'Global Inputs'!L$8</f>
        <v>1</v>
      </c>
      <c r="M8" s="21" t="n">
        <f aca="false">'Global Inputs'!M$8</f>
        <v>1</v>
      </c>
      <c r="N8" s="21" t="n">
        <f aca="false">'Global Inputs'!N$8</f>
        <v>1</v>
      </c>
      <c r="O8" s="21" t="n">
        <f aca="false">'Global Inputs'!O$8</f>
        <v>1</v>
      </c>
      <c r="P8" s="21" t="n">
        <f aca="false">'Global Inputs'!P$8</f>
        <v>1</v>
      </c>
      <c r="Q8" s="21" t="n">
        <f aca="false">'Global Inputs'!Q$8</f>
        <v>1</v>
      </c>
      <c r="R8" s="21" t="n">
        <f aca="false">'Global Inputs'!R$8</f>
        <v>1</v>
      </c>
      <c r="S8" s="21" t="n">
        <f aca="false">'Global Inputs'!S$8</f>
        <v>1</v>
      </c>
    </row>
    <row r="10" customFormat="false" ht="15" hidden="false" customHeight="false" outlineLevel="0" collapsed="false">
      <c r="B10" s="22" t="s">
        <v>1103</v>
      </c>
      <c r="C10" s="23"/>
      <c r="D10" s="23"/>
      <c r="E10" s="23"/>
      <c r="F10" s="23"/>
      <c r="G10" s="23"/>
      <c r="H10" s="23"/>
      <c r="I10" s="23"/>
      <c r="J10" s="23"/>
      <c r="K10" s="23"/>
      <c r="L10" s="23"/>
      <c r="M10" s="23"/>
      <c r="N10" s="23"/>
      <c r="O10" s="23"/>
      <c r="P10" s="23"/>
      <c r="Q10" s="23"/>
      <c r="R10" s="23"/>
      <c r="S10" s="23"/>
    </row>
    <row r="11" customFormat="false" ht="15" hidden="false" customHeight="false" outlineLevel="0" collapsed="false">
      <c r="B11" s="24" t="s">
        <v>345</v>
      </c>
      <c r="C11" s="25" t="s">
        <v>170</v>
      </c>
      <c r="E11" s="47" t="n">
        <f aca="false">SUM(F11:S11)</f>
        <v>37.4846942539146</v>
      </c>
      <c r="F11" s="47" t="n">
        <f aca="false">'P08 DMSTrucking Calc'!F56</f>
        <v>0</v>
      </c>
      <c r="G11" s="47" t="n">
        <f aca="false">'P08 DMSTrucking Calc'!G56</f>
        <v>0</v>
      </c>
      <c r="H11" s="47" t="n">
        <f aca="false">'P08 DMSTrucking Calc'!H56</f>
        <v>0</v>
      </c>
      <c r="I11" s="47" t="n">
        <f aca="false">'P08 DMSTrucking Calc'!I56</f>
        <v>0</v>
      </c>
      <c r="J11" s="47" t="n">
        <f aca="false">'P08 DMSTrucking Calc'!J56</f>
        <v>2.752399559888</v>
      </c>
      <c r="K11" s="47" t="n">
        <f aca="false">'P08 DMSTrucking Calc'!K56</f>
        <v>3.30077154668464</v>
      </c>
      <c r="L11" s="47" t="n">
        <f aca="false">'P08 DMSTrucking Calc'!L56</f>
        <v>3.43407469308518</v>
      </c>
      <c r="M11" s="47" t="n">
        <f aca="false">'P08 DMSTrucking Calc'!M56</f>
        <v>3.57462493387774</v>
      </c>
      <c r="N11" s="47" t="n">
        <f aca="false">'P08 DMSTrucking Calc'!N56</f>
        <v>3.72296448189407</v>
      </c>
      <c r="O11" s="47" t="n">
        <f aca="false">'P08 DMSTrucking Calc'!O56</f>
        <v>3.85498093635089</v>
      </c>
      <c r="P11" s="47" t="n">
        <f aca="false">'P08 DMSTrucking Calc'!P56</f>
        <v>3.99206953564142</v>
      </c>
      <c r="Q11" s="47" t="n">
        <f aca="false">'P08 DMSTrucking Calc'!Q56</f>
        <v>4.13444914318266</v>
      </c>
      <c r="R11" s="47" t="n">
        <f aca="false">'P08 DMSTrucking Calc'!R56</f>
        <v>4.28234919023846</v>
      </c>
      <c r="S11" s="47" t="n">
        <f aca="false">'P08 DMSTrucking Calc'!S56</f>
        <v>4.43601023307155</v>
      </c>
    </row>
    <row r="12" customFormat="false" ht="15" hidden="false" customHeight="false" outlineLevel="0" collapsed="false">
      <c r="B12" s="24" t="s">
        <v>391</v>
      </c>
      <c r="C12" s="25" t="s">
        <v>170</v>
      </c>
      <c r="E12" s="47" t="n">
        <f aca="false">SUM(F12:S12)</f>
        <v>0</v>
      </c>
      <c r="F12" s="47" t="n">
        <f aca="false">0</f>
        <v>0</v>
      </c>
      <c r="G12" s="47" t="n">
        <f aca="false">0</f>
        <v>0</v>
      </c>
      <c r="H12" s="47" t="n">
        <f aca="false">0</f>
        <v>0</v>
      </c>
      <c r="I12" s="47" t="n">
        <f aca="false">0</f>
        <v>0</v>
      </c>
      <c r="J12" s="47" t="n">
        <f aca="false">0</f>
        <v>0</v>
      </c>
      <c r="K12" s="47" t="n">
        <f aca="false">0</f>
        <v>0</v>
      </c>
      <c r="L12" s="47" t="n">
        <f aca="false">0</f>
        <v>0</v>
      </c>
      <c r="M12" s="47" t="n">
        <f aca="false">0</f>
        <v>0</v>
      </c>
      <c r="N12" s="47" t="n">
        <f aca="false">0</f>
        <v>0</v>
      </c>
      <c r="O12" s="47" t="n">
        <f aca="false">0</f>
        <v>0</v>
      </c>
      <c r="P12" s="47" t="n">
        <f aca="false">0</f>
        <v>0</v>
      </c>
      <c r="Q12" s="47" t="n">
        <f aca="false">0</f>
        <v>0</v>
      </c>
      <c r="R12" s="47" t="n">
        <f aca="false">0</f>
        <v>0</v>
      </c>
      <c r="S12" s="47" t="n">
        <f aca="false">0</f>
        <v>0</v>
      </c>
    </row>
    <row r="13" customFormat="false" ht="15" hidden="false" customHeight="false" outlineLevel="0" collapsed="false">
      <c r="B13" s="69" t="s">
        <v>392</v>
      </c>
      <c r="C13" s="25" t="s">
        <v>170</v>
      </c>
      <c r="E13" s="70" t="n">
        <f aca="false">SUM(F13:S13)</f>
        <v>37.4846942539146</v>
      </c>
      <c r="F13" s="68" t="n">
        <f aca="false">F11+F12</f>
        <v>0</v>
      </c>
      <c r="G13" s="68" t="n">
        <f aca="false">G11+G12</f>
        <v>0</v>
      </c>
      <c r="H13" s="68" t="n">
        <f aca="false">H11+H12</f>
        <v>0</v>
      </c>
      <c r="I13" s="68" t="n">
        <f aca="false">I11+I12</f>
        <v>0</v>
      </c>
      <c r="J13" s="68" t="n">
        <f aca="false">J11+J12</f>
        <v>2.752399559888</v>
      </c>
      <c r="K13" s="68" t="n">
        <f aca="false">K11+K12</f>
        <v>3.30077154668464</v>
      </c>
      <c r="L13" s="68" t="n">
        <f aca="false">L11+L12</f>
        <v>3.43407469308518</v>
      </c>
      <c r="M13" s="68" t="n">
        <f aca="false">M11+M12</f>
        <v>3.57462493387774</v>
      </c>
      <c r="N13" s="68" t="n">
        <f aca="false">N11+N12</f>
        <v>3.72296448189407</v>
      </c>
      <c r="O13" s="68" t="n">
        <f aca="false">O11+O12</f>
        <v>3.85498093635089</v>
      </c>
      <c r="P13" s="68" t="n">
        <f aca="false">P11+P12</f>
        <v>3.99206953564142</v>
      </c>
      <c r="Q13" s="68" t="n">
        <f aca="false">Q11+Q12</f>
        <v>4.13444914318266</v>
      </c>
      <c r="R13" s="68" t="n">
        <f aca="false">R11+R12</f>
        <v>4.28234919023846</v>
      </c>
      <c r="S13" s="68" t="n">
        <f aca="false">S11+S12</f>
        <v>4.43601023307155</v>
      </c>
    </row>
    <row r="14" customFormat="false" ht="15" hidden="false" customHeight="false" outlineLevel="0" collapsed="false">
      <c r="B14" s="24" t="s">
        <v>393</v>
      </c>
      <c r="C14" s="25" t="s">
        <v>170</v>
      </c>
      <c r="E14" s="47" t="n">
        <f aca="false">SUM(F14:S14)</f>
        <v>-7.49693885078292</v>
      </c>
      <c r="F14" s="47" t="n">
        <f aca="false">-'P08 DMSTrucking Calc'!F57</f>
        <v>-0</v>
      </c>
      <c r="G14" s="47" t="n">
        <f aca="false">-'P08 DMSTrucking Calc'!G57</f>
        <v>-0</v>
      </c>
      <c r="H14" s="47" t="n">
        <f aca="false">-'P08 DMSTrucking Calc'!H57</f>
        <v>-0</v>
      </c>
      <c r="I14" s="47" t="n">
        <f aca="false">-'P08 DMSTrucking Calc'!I57</f>
        <v>-0</v>
      </c>
      <c r="J14" s="47" t="n">
        <f aca="false">-'P08 DMSTrucking Calc'!J57</f>
        <v>-0.5504799119776</v>
      </c>
      <c r="K14" s="47" t="n">
        <f aca="false">-'P08 DMSTrucking Calc'!K57</f>
        <v>-0.660154309336928</v>
      </c>
      <c r="L14" s="47" t="n">
        <f aca="false">-'P08 DMSTrucking Calc'!L57</f>
        <v>-0.686814938617036</v>
      </c>
      <c r="M14" s="47" t="n">
        <f aca="false">-'P08 DMSTrucking Calc'!M57</f>
        <v>-0.714924986775547</v>
      </c>
      <c r="N14" s="47" t="n">
        <f aca="false">-'P08 DMSTrucking Calc'!N57</f>
        <v>-0.744592896378814</v>
      </c>
      <c r="O14" s="47" t="n">
        <f aca="false">-'P08 DMSTrucking Calc'!O57</f>
        <v>-0.770996187270178</v>
      </c>
      <c r="P14" s="47" t="n">
        <f aca="false">-'P08 DMSTrucking Calc'!P57</f>
        <v>-0.798413907128283</v>
      </c>
      <c r="Q14" s="47" t="n">
        <f aca="false">-'P08 DMSTrucking Calc'!Q57</f>
        <v>-0.826889828636532</v>
      </c>
      <c r="R14" s="47" t="n">
        <f aca="false">-'P08 DMSTrucking Calc'!R57</f>
        <v>-0.856469838047692</v>
      </c>
      <c r="S14" s="47" t="n">
        <f aca="false">-'P08 DMSTrucking Calc'!S57</f>
        <v>-0.887202046614311</v>
      </c>
    </row>
    <row r="15" customFormat="false" ht="15" hidden="false" customHeight="false" outlineLevel="0" collapsed="false">
      <c r="B15" s="69" t="s">
        <v>346</v>
      </c>
      <c r="C15" s="25" t="s">
        <v>170</v>
      </c>
      <c r="E15" s="70" t="n">
        <f aca="false">SUM(F15:S15)</f>
        <v>29.9877554031317</v>
      </c>
      <c r="F15" s="68" t="n">
        <f aca="false">F13+F14</f>
        <v>0</v>
      </c>
      <c r="G15" s="68" t="n">
        <f aca="false">G13+G14</f>
        <v>0</v>
      </c>
      <c r="H15" s="68" t="n">
        <f aca="false">H13+H14</f>
        <v>0</v>
      </c>
      <c r="I15" s="68" t="n">
        <f aca="false">I13+I14</f>
        <v>0</v>
      </c>
      <c r="J15" s="68" t="n">
        <f aca="false">J13+J14</f>
        <v>2.2019196479104</v>
      </c>
      <c r="K15" s="68" t="n">
        <f aca="false">K13+K14</f>
        <v>2.64061723734771</v>
      </c>
      <c r="L15" s="68" t="n">
        <f aca="false">L13+L14</f>
        <v>2.74725975446814</v>
      </c>
      <c r="M15" s="68" t="n">
        <f aca="false">M13+M14</f>
        <v>2.85969994710219</v>
      </c>
      <c r="N15" s="68" t="n">
        <f aca="false">N13+N14</f>
        <v>2.97837158551525</v>
      </c>
      <c r="O15" s="68" t="n">
        <f aca="false">O13+O14</f>
        <v>3.08398474908071</v>
      </c>
      <c r="P15" s="68" t="n">
        <f aca="false">P13+P14</f>
        <v>3.19365562851313</v>
      </c>
      <c r="Q15" s="68" t="n">
        <f aca="false">Q13+Q14</f>
        <v>3.30755931454613</v>
      </c>
      <c r="R15" s="68" t="n">
        <f aca="false">R13+R14</f>
        <v>3.42587935219077</v>
      </c>
      <c r="S15" s="68" t="n">
        <f aca="false">S13+S14</f>
        <v>3.54880818645724</v>
      </c>
    </row>
    <row r="16" customFormat="false" ht="15" hidden="false" customHeight="false" outlineLevel="0" collapsed="false">
      <c r="B16" s="24" t="s">
        <v>349</v>
      </c>
      <c r="C16" s="25" t="s">
        <v>170</v>
      </c>
      <c r="E16" s="47" t="n">
        <f aca="false">SUM(F16:S16)</f>
        <v>-4.78191</v>
      </c>
      <c r="F16" s="47" t="n">
        <f aca="false">-'P08 DMSTrucking Calc'!F65</f>
        <v>-0</v>
      </c>
      <c r="G16" s="47" t="n">
        <f aca="false">-'P08 DMSTrucking Calc'!G65</f>
        <v>-0</v>
      </c>
      <c r="H16" s="47" t="n">
        <f aca="false">-'P08 DMSTrucking Calc'!H65</f>
        <v>-0</v>
      </c>
      <c r="I16" s="47" t="n">
        <f aca="false">-'P08 DMSTrucking Calc'!I65</f>
        <v>-0</v>
      </c>
      <c r="J16" s="47" t="n">
        <f aca="false">-'P08 DMSTrucking Calc'!J65</f>
        <v>-0.39036</v>
      </c>
      <c r="K16" s="47" t="n">
        <f aca="false">-'P08 DMSTrucking Calc'!K65</f>
        <v>-0.48795</v>
      </c>
      <c r="L16" s="47" t="n">
        <f aca="false">-'P08 DMSTrucking Calc'!L65</f>
        <v>-0.48795</v>
      </c>
      <c r="M16" s="47" t="n">
        <f aca="false">-'P08 DMSTrucking Calc'!M65</f>
        <v>-0.48795</v>
      </c>
      <c r="N16" s="47" t="n">
        <f aca="false">-'P08 DMSTrucking Calc'!N65</f>
        <v>-0.48795</v>
      </c>
      <c r="O16" s="47" t="n">
        <f aca="false">-'P08 DMSTrucking Calc'!O65</f>
        <v>-0.48795</v>
      </c>
      <c r="P16" s="47" t="n">
        <f aca="false">-'P08 DMSTrucking Calc'!P65</f>
        <v>-0.48795</v>
      </c>
      <c r="Q16" s="47" t="n">
        <f aca="false">-'P08 DMSTrucking Calc'!Q65</f>
        <v>-0.48795</v>
      </c>
      <c r="R16" s="47" t="n">
        <f aca="false">-'P08 DMSTrucking Calc'!R65</f>
        <v>-0.48795</v>
      </c>
      <c r="S16" s="47" t="n">
        <f aca="false">-'P08 DMSTrucking Calc'!S65</f>
        <v>-0.48795</v>
      </c>
    </row>
    <row r="17" customFormat="false" ht="15" hidden="false" customHeight="false" outlineLevel="0" collapsed="false">
      <c r="B17" s="69" t="s">
        <v>347</v>
      </c>
      <c r="C17" s="25" t="s">
        <v>170</v>
      </c>
      <c r="E17" s="70" t="n">
        <f aca="false">SUM(F17:S17)</f>
        <v>25.2058454031317</v>
      </c>
      <c r="F17" s="68" t="n">
        <f aca="false">F15+F16</f>
        <v>0</v>
      </c>
      <c r="G17" s="68" t="n">
        <f aca="false">G15+G16</f>
        <v>0</v>
      </c>
      <c r="H17" s="68" t="n">
        <f aca="false">H15+H16</f>
        <v>0</v>
      </c>
      <c r="I17" s="68" t="n">
        <f aca="false">I15+I16</f>
        <v>0</v>
      </c>
      <c r="J17" s="68" t="n">
        <f aca="false">J15+J16</f>
        <v>1.8115596479104</v>
      </c>
      <c r="K17" s="68" t="n">
        <f aca="false">K15+K16</f>
        <v>2.15266723734771</v>
      </c>
      <c r="L17" s="68" t="n">
        <f aca="false">L15+L16</f>
        <v>2.25930975446814</v>
      </c>
      <c r="M17" s="68" t="n">
        <f aca="false">M15+M16</f>
        <v>2.37174994710219</v>
      </c>
      <c r="N17" s="68" t="n">
        <f aca="false">N15+N16</f>
        <v>2.49042158551525</v>
      </c>
      <c r="O17" s="68" t="n">
        <f aca="false">O15+O16</f>
        <v>2.59603474908071</v>
      </c>
      <c r="P17" s="68" t="n">
        <f aca="false">P15+P16</f>
        <v>2.70570562851313</v>
      </c>
      <c r="Q17" s="68" t="n">
        <f aca="false">Q15+Q16</f>
        <v>2.81960931454613</v>
      </c>
      <c r="R17" s="68" t="n">
        <f aca="false">R15+R16</f>
        <v>2.93792935219077</v>
      </c>
      <c r="S17" s="68" t="n">
        <f aca="false">S15+S16</f>
        <v>3.06085818645724</v>
      </c>
    </row>
    <row r="18" customFormat="false" ht="15" hidden="false" customHeight="false" outlineLevel="0" collapsed="false">
      <c r="B18" s="24" t="s">
        <v>1104</v>
      </c>
      <c r="C18" s="25" t="s">
        <v>170</v>
      </c>
      <c r="E18" s="47" t="n">
        <f aca="false">SUM(F18:S18)</f>
        <v>-5.54528598868897</v>
      </c>
      <c r="F18" s="47" t="n">
        <f aca="false">-MAX(0,F17)*'Global Inputs'!$E$27</f>
        <v>-0</v>
      </c>
      <c r="G18" s="47" t="n">
        <f aca="false">-MAX(0,G17)*'Global Inputs'!$E$27</f>
        <v>-0</v>
      </c>
      <c r="H18" s="47" t="n">
        <f aca="false">-MAX(0,H17)*'Global Inputs'!$E$27</f>
        <v>-0</v>
      </c>
      <c r="I18" s="47" t="n">
        <f aca="false">-MAX(0,I17)*'Global Inputs'!$E$27</f>
        <v>-0</v>
      </c>
      <c r="J18" s="47" t="n">
        <f aca="false">-MAX(0,J17)*'Global Inputs'!$E$27</f>
        <v>-0.398543122540288</v>
      </c>
      <c r="K18" s="47" t="n">
        <f aca="false">-MAX(0,K17)*'Global Inputs'!$E$27</f>
        <v>-0.473586792216497</v>
      </c>
      <c r="L18" s="47" t="n">
        <f aca="false">-MAX(0,L17)*'Global Inputs'!$E$27</f>
        <v>-0.497048145982992</v>
      </c>
      <c r="M18" s="47" t="n">
        <f aca="false">-MAX(0,M17)*'Global Inputs'!$E$27</f>
        <v>-0.521784988362481</v>
      </c>
      <c r="N18" s="47" t="n">
        <f aca="false">-MAX(0,N17)*'Global Inputs'!$E$27</f>
        <v>-0.547892748813356</v>
      </c>
      <c r="O18" s="47" t="n">
        <f aca="false">-MAX(0,O17)*'Global Inputs'!$E$27</f>
        <v>-0.571127644797757</v>
      </c>
      <c r="P18" s="47" t="n">
        <f aca="false">-MAX(0,P17)*'Global Inputs'!$E$27</f>
        <v>-0.595255238272889</v>
      </c>
      <c r="Q18" s="47" t="n">
        <f aca="false">-MAX(0,Q17)*'Global Inputs'!$E$27</f>
        <v>-0.620314049200148</v>
      </c>
      <c r="R18" s="47" t="n">
        <f aca="false">-MAX(0,R17)*'Global Inputs'!$E$27</f>
        <v>-0.646344457481969</v>
      </c>
      <c r="S18" s="47" t="n">
        <f aca="false">-MAX(0,S17)*'Global Inputs'!$E$27</f>
        <v>-0.673388801020593</v>
      </c>
    </row>
    <row r="19" customFormat="false" ht="15" hidden="false" customHeight="false" outlineLevel="0" collapsed="false">
      <c r="B19" s="69" t="s">
        <v>1105</v>
      </c>
      <c r="C19" s="25" t="s">
        <v>170</v>
      </c>
      <c r="E19" s="70" t="n">
        <f aca="false">SUM(F19:S19)</f>
        <v>19.6605594144427</v>
      </c>
      <c r="F19" s="68" t="n">
        <f aca="false">F17+F18</f>
        <v>0</v>
      </c>
      <c r="G19" s="68" t="n">
        <f aca="false">G17+G18</f>
        <v>0</v>
      </c>
      <c r="H19" s="68" t="n">
        <f aca="false">H17+H18</f>
        <v>0</v>
      </c>
      <c r="I19" s="68" t="n">
        <f aca="false">I17+I18</f>
        <v>0</v>
      </c>
      <c r="J19" s="68" t="n">
        <f aca="false">J17+J18</f>
        <v>1.41301652537011</v>
      </c>
      <c r="K19" s="68" t="n">
        <f aca="false">K17+K18</f>
        <v>1.67908044513122</v>
      </c>
      <c r="L19" s="68" t="n">
        <f aca="false">L17+L18</f>
        <v>1.76226160848515</v>
      </c>
      <c r="M19" s="68" t="n">
        <f aca="false">M17+M18</f>
        <v>1.84996495873971</v>
      </c>
      <c r="N19" s="68" t="n">
        <f aca="false">N17+N18</f>
        <v>1.9425288367019</v>
      </c>
      <c r="O19" s="68" t="n">
        <f aca="false">O17+O18</f>
        <v>2.02490710428296</v>
      </c>
      <c r="P19" s="68" t="n">
        <f aca="false">P17+P18</f>
        <v>2.11045039024024</v>
      </c>
      <c r="Q19" s="68" t="n">
        <f aca="false">Q17+Q18</f>
        <v>2.19929526534598</v>
      </c>
      <c r="R19" s="68" t="n">
        <f aca="false">R17+R18</f>
        <v>2.2915848947088</v>
      </c>
      <c r="S19" s="68" t="n">
        <f aca="false">S17+S18</f>
        <v>2.38746938543665</v>
      </c>
    </row>
    <row r="20" customFormat="false" ht="15" hidden="false" customHeight="false" outlineLevel="0" collapsed="false">
      <c r="B20" s="24" t="s">
        <v>402</v>
      </c>
      <c r="C20" s="25" t="s">
        <v>160</v>
      </c>
      <c r="F20" s="49" t="n">
        <f aca="false">IF(F11=0,0,F15/F11)</f>
        <v>0</v>
      </c>
      <c r="G20" s="49" t="n">
        <f aca="false">IF(G11=0,0,G15/G11)</f>
        <v>0</v>
      </c>
      <c r="H20" s="49" t="n">
        <f aca="false">IF(H11=0,0,H15/H11)</f>
        <v>0</v>
      </c>
      <c r="I20" s="49" t="n">
        <f aca="false">IF(I11=0,0,I15/I11)</f>
        <v>0</v>
      </c>
      <c r="J20" s="49" t="n">
        <f aca="false">IF(J11=0,0,J15/J11)</f>
        <v>0.8</v>
      </c>
      <c r="K20" s="49" t="n">
        <f aca="false">IF(K11=0,0,K15/K11)</f>
        <v>0.8</v>
      </c>
      <c r="L20" s="49" t="n">
        <f aca="false">IF(L11=0,0,L15/L11)</f>
        <v>0.8</v>
      </c>
      <c r="M20" s="49" t="n">
        <f aca="false">IF(M11=0,0,M15/M11)</f>
        <v>0.8</v>
      </c>
      <c r="N20" s="49" t="n">
        <f aca="false">IF(N11=0,0,N15/N11)</f>
        <v>0.8</v>
      </c>
      <c r="O20" s="49" t="n">
        <f aca="false">IF(O11=0,0,O15/O11)</f>
        <v>0.8</v>
      </c>
      <c r="P20" s="49" t="n">
        <f aca="false">IF(P11=0,0,P15/P11)</f>
        <v>0.8</v>
      </c>
      <c r="Q20" s="49" t="n">
        <f aca="false">IF(Q11=0,0,Q15/Q11)</f>
        <v>0.8</v>
      </c>
      <c r="R20" s="49" t="n">
        <f aca="false">IF(R11=0,0,R15/R11)</f>
        <v>0.8</v>
      </c>
      <c r="S20" s="49" t="n">
        <f aca="false">IF(S11=0,0,S15/S11)</f>
        <v>0.8</v>
      </c>
    </row>
    <row r="21" customFormat="false" ht="15" hidden="false" customHeight="false" outlineLevel="0" collapsed="false">
      <c r="B21" s="24" t="s">
        <v>1106</v>
      </c>
      <c r="C21" s="25" t="s">
        <v>160</v>
      </c>
      <c r="F21" s="49" t="n">
        <f aca="false">IF(F11=0,0,F17/F11)</f>
        <v>0</v>
      </c>
      <c r="G21" s="49" t="n">
        <f aca="false">IF(G11=0,0,G17/G11)</f>
        <v>0</v>
      </c>
      <c r="H21" s="49" t="n">
        <f aca="false">IF(H11=0,0,H17/H11)</f>
        <v>0</v>
      </c>
      <c r="I21" s="49" t="n">
        <f aca="false">IF(I11=0,0,I17/I11)</f>
        <v>0</v>
      </c>
      <c r="J21" s="49" t="n">
        <f aca="false">IF(J11=0,0,J17/J11)</f>
        <v>0.658174661234183</v>
      </c>
      <c r="K21" s="49" t="n">
        <f aca="false">IF(K11=0,0,K17/K11)</f>
        <v>0.652170926373227</v>
      </c>
      <c r="L21" s="49" t="n">
        <f aca="false">IF(L11=0,0,L17/L11)</f>
        <v>0.657909322420234</v>
      </c>
      <c r="M21" s="49" t="n">
        <f aca="false">IF(M11=0,0,M17/M11)</f>
        <v>0.663496168402016</v>
      </c>
      <c r="N21" s="49" t="n">
        <f aca="false">IF(N11=0,0,N17/N11)</f>
        <v>0.668935091276575</v>
      </c>
      <c r="O21" s="49" t="n">
        <f aca="false">IF(O11=0,0,O17/O11)</f>
        <v>0.673423498570685</v>
      </c>
      <c r="P21" s="49" t="n">
        <f aca="false">IF(P11=0,0,P17/P11)</f>
        <v>0.677770165162817</v>
      </c>
      <c r="Q21" s="49" t="n">
        <f aca="false">IF(Q11=0,0,Q17/Q11)</f>
        <v>0.681979440766713</v>
      </c>
      <c r="R21" s="49" t="n">
        <f aca="false">IF(R11=0,0,R17/R11)</f>
        <v>0.686055532063505</v>
      </c>
      <c r="S21" s="49" t="n">
        <f aca="false">IF(S11=0,0,S17/S11)</f>
        <v>0.690002508028</v>
      </c>
    </row>
    <row r="23" customFormat="false" ht="15" hidden="false" customHeight="false" outlineLevel="0" collapsed="false">
      <c r="B23" s="22" t="s">
        <v>1107</v>
      </c>
      <c r="C23" s="23"/>
      <c r="D23" s="23"/>
      <c r="E23" s="23"/>
      <c r="F23" s="23"/>
      <c r="G23" s="23"/>
      <c r="H23" s="23"/>
      <c r="I23" s="23"/>
      <c r="J23" s="23"/>
      <c r="K23" s="23"/>
      <c r="L23" s="23"/>
      <c r="M23" s="23"/>
      <c r="N23" s="23"/>
      <c r="O23" s="23"/>
      <c r="P23" s="23"/>
      <c r="Q23" s="23"/>
      <c r="R23" s="23"/>
      <c r="S23" s="23"/>
    </row>
    <row r="24" customFormat="false" ht="15" hidden="false" customHeight="false" outlineLevel="0" collapsed="false">
      <c r="B24" s="24" t="s">
        <v>456</v>
      </c>
      <c r="C24" s="25" t="s">
        <v>170</v>
      </c>
      <c r="E24" s="47" t="n">
        <f aca="false">SUM(F24:S24)</f>
        <v>19.6605594144427</v>
      </c>
      <c r="F24" s="47" t="n">
        <f aca="false">F19</f>
        <v>0</v>
      </c>
      <c r="G24" s="47" t="n">
        <f aca="false">G19</f>
        <v>0</v>
      </c>
      <c r="H24" s="47" t="n">
        <f aca="false">H19</f>
        <v>0</v>
      </c>
      <c r="I24" s="47" t="n">
        <f aca="false">I19</f>
        <v>0</v>
      </c>
      <c r="J24" s="47" t="n">
        <f aca="false">J19</f>
        <v>1.41301652537011</v>
      </c>
      <c r="K24" s="47" t="n">
        <f aca="false">K19</f>
        <v>1.67908044513122</v>
      </c>
      <c r="L24" s="47" t="n">
        <f aca="false">L19</f>
        <v>1.76226160848515</v>
      </c>
      <c r="M24" s="47" t="n">
        <f aca="false">M19</f>
        <v>1.84996495873971</v>
      </c>
      <c r="N24" s="47" t="n">
        <f aca="false">N19</f>
        <v>1.9425288367019</v>
      </c>
      <c r="O24" s="47" t="n">
        <f aca="false">O19</f>
        <v>2.02490710428296</v>
      </c>
      <c r="P24" s="47" t="n">
        <f aca="false">P19</f>
        <v>2.11045039024024</v>
      </c>
      <c r="Q24" s="47" t="n">
        <f aca="false">Q19</f>
        <v>2.19929526534598</v>
      </c>
      <c r="R24" s="47" t="n">
        <f aca="false">R19</f>
        <v>2.2915848947088</v>
      </c>
      <c r="S24" s="47" t="n">
        <f aca="false">S19</f>
        <v>2.38746938543665</v>
      </c>
    </row>
    <row r="25" customFormat="false" ht="15" hidden="false" customHeight="false" outlineLevel="0" collapsed="false">
      <c r="B25" s="24" t="s">
        <v>419</v>
      </c>
      <c r="C25" s="25" t="s">
        <v>170</v>
      </c>
      <c r="E25" s="47" t="n">
        <f aca="false">SUM(F25:S25)</f>
        <v>4.78191</v>
      </c>
      <c r="F25" s="47" t="n">
        <f aca="false">-F16</f>
        <v>0</v>
      </c>
      <c r="G25" s="47" t="n">
        <f aca="false">-G16</f>
        <v>0</v>
      </c>
      <c r="H25" s="47" t="n">
        <f aca="false">-H16</f>
        <v>0</v>
      </c>
      <c r="I25" s="47" t="n">
        <f aca="false">-I16</f>
        <v>0</v>
      </c>
      <c r="J25" s="47" t="n">
        <f aca="false">-J16</f>
        <v>0.39036</v>
      </c>
      <c r="K25" s="47" t="n">
        <f aca="false">-K16</f>
        <v>0.48795</v>
      </c>
      <c r="L25" s="47" t="n">
        <f aca="false">-L16</f>
        <v>0.48795</v>
      </c>
      <c r="M25" s="47" t="n">
        <f aca="false">-M16</f>
        <v>0.48795</v>
      </c>
      <c r="N25" s="47" t="n">
        <f aca="false">-N16</f>
        <v>0.48795</v>
      </c>
      <c r="O25" s="47" t="n">
        <f aca="false">-O16</f>
        <v>0.48795</v>
      </c>
      <c r="P25" s="47" t="n">
        <f aca="false">-P16</f>
        <v>0.48795</v>
      </c>
      <c r="Q25" s="47" t="n">
        <f aca="false">-Q16</f>
        <v>0.48795</v>
      </c>
      <c r="R25" s="47" t="n">
        <f aca="false">-R16</f>
        <v>0.48795</v>
      </c>
      <c r="S25" s="47" t="n">
        <f aca="false">-S16</f>
        <v>0.48795</v>
      </c>
    </row>
    <row r="26" customFormat="false" ht="15" hidden="false" customHeight="false" outlineLevel="0" collapsed="false">
      <c r="B26" s="24" t="s">
        <v>1108</v>
      </c>
      <c r="C26" s="25" t="s">
        <v>170</v>
      </c>
      <c r="E26" s="47" t="n">
        <f aca="false">SUM(F26:S26)</f>
        <v>0</v>
      </c>
      <c r="F26" s="47" t="n">
        <f aca="false">-'P08 DMSTrucking Calc'!F62</f>
        <v>-0</v>
      </c>
      <c r="G26" s="47" t="n">
        <f aca="false">-'P08 DMSTrucking Calc'!G62</f>
        <v>-0</v>
      </c>
      <c r="H26" s="47" t="n">
        <f aca="false">-'P08 DMSTrucking Calc'!H62</f>
        <v>-0</v>
      </c>
      <c r="I26" s="47" t="n">
        <f aca="false">-'P08 DMSTrucking Calc'!I62</f>
        <v>-0</v>
      </c>
      <c r="J26" s="47" t="n">
        <f aca="false">-'P08 DMSTrucking Calc'!J62</f>
        <v>-0</v>
      </c>
      <c r="K26" s="47" t="n">
        <f aca="false">-'P08 DMSTrucking Calc'!K62</f>
        <v>-0</v>
      </c>
      <c r="L26" s="47" t="n">
        <f aca="false">-'P08 DMSTrucking Calc'!L62</f>
        <v>-0</v>
      </c>
      <c r="M26" s="47" t="n">
        <f aca="false">-'P08 DMSTrucking Calc'!M62</f>
        <v>-0</v>
      </c>
      <c r="N26" s="47" t="n">
        <f aca="false">-'P08 DMSTrucking Calc'!N62</f>
        <v>-0</v>
      </c>
      <c r="O26" s="47" t="n">
        <f aca="false">-'P08 DMSTrucking Calc'!O62</f>
        <v>-0</v>
      </c>
      <c r="P26" s="47" t="n">
        <f aca="false">-'P08 DMSTrucking Calc'!P62</f>
        <v>-0</v>
      </c>
      <c r="Q26" s="47" t="n">
        <f aca="false">-'P08 DMSTrucking Calc'!Q62</f>
        <v>-0</v>
      </c>
      <c r="R26" s="47" t="n">
        <f aca="false">-'P08 DMSTrucking Calc'!R62</f>
        <v>-0</v>
      </c>
      <c r="S26" s="47" t="n">
        <f aca="false">-'P08 DMSTrucking Calc'!S62</f>
        <v>-0</v>
      </c>
    </row>
    <row r="27" customFormat="false" ht="15" hidden="false" customHeight="false" outlineLevel="0" collapsed="false">
      <c r="B27" s="24" t="s">
        <v>651</v>
      </c>
      <c r="C27" s="25" t="s">
        <v>170</v>
      </c>
      <c r="E27" s="47" t="n">
        <f aca="false">SUM(F27:S27)</f>
        <v>-0.545411094230109</v>
      </c>
      <c r="F27" s="47" t="n">
        <f aca="false">-'P08 DMSTrucking Calc'!F71</f>
        <v>-0</v>
      </c>
      <c r="G27" s="47" t="n">
        <f aca="false">-'P08 DMSTrucking Calc'!G71</f>
        <v>-0</v>
      </c>
      <c r="H27" s="47" t="n">
        <f aca="false">-'P08 DMSTrucking Calc'!H71</f>
        <v>-0</v>
      </c>
      <c r="I27" s="47" t="n">
        <f aca="false">-'P08 DMSTrucking Calc'!I71</f>
        <v>-0</v>
      </c>
      <c r="J27" s="47" t="n">
        <f aca="false">-'P08 DMSTrucking Calc'!J71</f>
        <v>-0.339336932040986</v>
      </c>
      <c r="K27" s="47" t="n">
        <f aca="false">-'P08 DMSTrucking Calc'!K71</f>
        <v>-0.0664956351743384</v>
      </c>
      <c r="L27" s="47" t="n">
        <f aca="false">-'P08 DMSTrucking Calc'!L71</f>
        <v>-0.0175465045349029</v>
      </c>
      <c r="M27" s="47" t="n">
        <f aca="false">-'P08 DMSTrucking Calc'!M71</f>
        <v>-0.0173281118785343</v>
      </c>
      <c r="N27" s="47" t="n">
        <f aca="false">-'P08 DMSTrucking Calc'!N71</f>
        <v>-0.0182884374266711</v>
      </c>
      <c r="O27" s="47" t="n">
        <f aca="false">-'P08 DMSTrucking Calc'!O71</f>
        <v>-0.0149774448893486</v>
      </c>
      <c r="P27" s="47" t="n">
        <f aca="false">-'P08 DMSTrucking Calc'!P71</f>
        <v>-0.0181998905041603</v>
      </c>
      <c r="Q27" s="47" t="n">
        <f aca="false">-'P08 DMSTrucking Calc'!Q71</f>
        <v>-0.0175536502448107</v>
      </c>
      <c r="R27" s="47" t="n">
        <f aca="false">-'P08 DMSTrucking Calc'!R71</f>
        <v>-0.0182342523767426</v>
      </c>
      <c r="S27" s="47" t="n">
        <f aca="false">-'P08 DMSTrucking Calc'!S71</f>
        <v>-0.0174502351596137</v>
      </c>
    </row>
    <row r="28" customFormat="false" ht="15" hidden="false" customHeight="false" outlineLevel="0" collapsed="false">
      <c r="B28" s="69" t="s">
        <v>1109</v>
      </c>
      <c r="C28" s="25" t="s">
        <v>170</v>
      </c>
      <c r="E28" s="70" t="n">
        <f aca="false">SUM(F28:S28)</f>
        <v>23.8970583202126</v>
      </c>
      <c r="F28" s="68" t="n">
        <f aca="false">F24+F25+F26+F27</f>
        <v>0</v>
      </c>
      <c r="G28" s="68" t="n">
        <f aca="false">G24+G25+G26+G27</f>
        <v>0</v>
      </c>
      <c r="H28" s="68" t="n">
        <f aca="false">H24+H25+H26+H27</f>
        <v>0</v>
      </c>
      <c r="I28" s="68" t="n">
        <f aca="false">I24+I25+I26+I27</f>
        <v>0</v>
      </c>
      <c r="J28" s="68" t="n">
        <f aca="false">J24+J25+J26+J27</f>
        <v>1.46403959332913</v>
      </c>
      <c r="K28" s="68" t="n">
        <f aca="false">K24+K25+K26+K27</f>
        <v>2.10053480995688</v>
      </c>
      <c r="L28" s="68" t="n">
        <f aca="false">L24+L25+L26+L27</f>
        <v>2.23266510395025</v>
      </c>
      <c r="M28" s="68" t="n">
        <f aca="false">M24+M25+M26+M27</f>
        <v>2.32058684686117</v>
      </c>
      <c r="N28" s="68" t="n">
        <f aca="false">N24+N25+N26+N27</f>
        <v>2.41219039927523</v>
      </c>
      <c r="O28" s="68" t="n">
        <f aca="false">O24+O25+O26+O27</f>
        <v>2.49787965939361</v>
      </c>
      <c r="P28" s="68" t="n">
        <f aca="false">P24+P25+P26+P27</f>
        <v>2.58020049973608</v>
      </c>
      <c r="Q28" s="68" t="n">
        <f aca="false">Q24+Q25+Q26+Q27</f>
        <v>2.66969161510117</v>
      </c>
      <c r="R28" s="68" t="n">
        <f aca="false">R24+R25+R26+R27</f>
        <v>2.76130064233206</v>
      </c>
      <c r="S28" s="68" t="n">
        <f aca="false">S24+S25+S26+S27</f>
        <v>2.85796915027703</v>
      </c>
    </row>
    <row r="29" customFormat="false" ht="15" hidden="false" customHeight="false" outlineLevel="0" collapsed="false">
      <c r="B29" s="24" t="s">
        <v>354</v>
      </c>
      <c r="C29" s="25" t="s">
        <v>170</v>
      </c>
      <c r="F29" s="47" t="n">
        <f aca="false">SUM($F$28:F28)</f>
        <v>0</v>
      </c>
      <c r="G29" s="47" t="n">
        <f aca="false">SUM($F$28:G28)</f>
        <v>0</v>
      </c>
      <c r="H29" s="47" t="n">
        <f aca="false">SUM($F$28:H28)</f>
        <v>0</v>
      </c>
      <c r="I29" s="47" t="n">
        <f aca="false">SUM($F$28:I28)</f>
        <v>0</v>
      </c>
      <c r="J29" s="47" t="n">
        <f aca="false">SUM($F$28:J28)</f>
        <v>1.46403959332913</v>
      </c>
      <c r="K29" s="47" t="n">
        <f aca="false">SUM($F$28:K28)</f>
        <v>3.564574403286</v>
      </c>
      <c r="L29" s="47" t="n">
        <f aca="false">SUM($F$28:L28)</f>
        <v>5.79723950723625</v>
      </c>
      <c r="M29" s="47" t="n">
        <f aca="false">SUM($F$28:M28)</f>
        <v>8.11782635409742</v>
      </c>
      <c r="N29" s="47" t="n">
        <f aca="false">SUM($F$28:N28)</f>
        <v>10.5300167533727</v>
      </c>
      <c r="O29" s="47" t="n">
        <f aca="false">SUM($F$28:O28)</f>
        <v>13.0278964127663</v>
      </c>
      <c r="P29" s="47" t="n">
        <f aca="false">SUM($F$28:P28)</f>
        <v>15.6080969125023</v>
      </c>
      <c r="Q29" s="47" t="n">
        <f aca="false">SUM($F$28:Q28)</f>
        <v>18.2777885276035</v>
      </c>
      <c r="R29" s="47" t="n">
        <f aca="false">SUM($F$28:R28)</f>
        <v>21.0390891699356</v>
      </c>
      <c r="S29" s="47" t="n">
        <f aca="false">SUM($F$28:S28)</f>
        <v>23.8970583202126</v>
      </c>
    </row>
    <row r="30" customFormat="false" ht="15" hidden="false" customHeight="false" outlineLevel="0" collapsed="false">
      <c r="B30" s="24" t="s">
        <v>1110</v>
      </c>
      <c r="C30" s="25" t="s">
        <v>170</v>
      </c>
      <c r="E30" s="47" t="n">
        <f aca="false">SUM(F30:S30)</f>
        <v>23.8970583202126</v>
      </c>
      <c r="F30" s="47" t="n">
        <f aca="false">F28*'Global Inputs'!F16</f>
        <v>0</v>
      </c>
      <c r="G30" s="47" t="n">
        <f aca="false">G28*'Global Inputs'!G16</f>
        <v>0</v>
      </c>
      <c r="H30" s="47" t="n">
        <f aca="false">H28*'Global Inputs'!H16</f>
        <v>0</v>
      </c>
      <c r="I30" s="47" t="n">
        <f aca="false">I28*'Global Inputs'!I16</f>
        <v>0</v>
      </c>
      <c r="J30" s="47" t="n">
        <f aca="false">J28*'Global Inputs'!J16</f>
        <v>1.46403959332913</v>
      </c>
      <c r="K30" s="47" t="n">
        <f aca="false">K28*'Global Inputs'!K16</f>
        <v>2.10053480995688</v>
      </c>
      <c r="L30" s="47" t="n">
        <f aca="false">L28*'Global Inputs'!L16</f>
        <v>2.23266510395025</v>
      </c>
      <c r="M30" s="47" t="n">
        <f aca="false">M28*'Global Inputs'!M16</f>
        <v>2.32058684686117</v>
      </c>
      <c r="N30" s="47" t="n">
        <f aca="false">N28*'Global Inputs'!N16</f>
        <v>2.41219039927523</v>
      </c>
      <c r="O30" s="47" t="n">
        <f aca="false">O28*'Global Inputs'!O16</f>
        <v>2.49787965939361</v>
      </c>
      <c r="P30" s="47" t="n">
        <f aca="false">P28*'Global Inputs'!P16</f>
        <v>2.58020049973608</v>
      </c>
      <c r="Q30" s="47" t="n">
        <f aca="false">Q28*'Global Inputs'!Q16</f>
        <v>2.66969161510117</v>
      </c>
      <c r="R30" s="47" t="n">
        <f aca="false">R28*'Global Inputs'!R16</f>
        <v>2.76130064233206</v>
      </c>
      <c r="S30" s="47" t="n">
        <f aca="false">S28*'Global Inputs'!S16</f>
        <v>2.85796915027703</v>
      </c>
    </row>
    <row r="31" customFormat="false" ht="15" hidden="false" customHeight="false" outlineLevel="0" collapsed="false">
      <c r="B31" s="24" t="s">
        <v>1111</v>
      </c>
      <c r="C31" s="25" t="s">
        <v>170</v>
      </c>
      <c r="E31" s="47" t="n">
        <f aca="false">SUM(F31:S31)</f>
        <v>0</v>
      </c>
      <c r="F31" s="47" t="n">
        <f aca="false">MAX(0,-F28)</f>
        <v>-0</v>
      </c>
      <c r="G31" s="47" t="n">
        <f aca="false">MAX(0,-G28)</f>
        <v>-0</v>
      </c>
      <c r="H31" s="47" t="n">
        <f aca="false">MAX(0,-H28)</f>
        <v>-0</v>
      </c>
      <c r="I31" s="47" t="n">
        <f aca="false">MAX(0,-I28)</f>
        <v>-0</v>
      </c>
      <c r="J31" s="47" t="n">
        <f aca="false">MAX(0,-J28)</f>
        <v>0</v>
      </c>
      <c r="K31" s="47" t="n">
        <f aca="false">MAX(0,-K28)</f>
        <v>0</v>
      </c>
      <c r="L31" s="47" t="n">
        <f aca="false">MAX(0,-L28)</f>
        <v>0</v>
      </c>
      <c r="M31" s="47" t="n">
        <f aca="false">MAX(0,-M28)</f>
        <v>0</v>
      </c>
      <c r="N31" s="47" t="n">
        <f aca="false">MAX(0,-N28)</f>
        <v>0</v>
      </c>
      <c r="O31" s="47" t="n">
        <f aca="false">MAX(0,-O28)</f>
        <v>0</v>
      </c>
      <c r="P31" s="47" t="n">
        <f aca="false">MAX(0,-P28)</f>
        <v>0</v>
      </c>
      <c r="Q31" s="47" t="n">
        <f aca="false">MAX(0,-Q28)</f>
        <v>0</v>
      </c>
      <c r="R31" s="47" t="n">
        <f aca="false">MAX(0,-R28)</f>
        <v>0</v>
      </c>
      <c r="S31" s="47" t="n">
        <f aca="false">MAX(0,-S28)</f>
        <v>0</v>
      </c>
    </row>
    <row r="33" customFormat="false" ht="15" hidden="false" customHeight="false" outlineLevel="0" collapsed="false">
      <c r="B33" s="22" t="s">
        <v>1112</v>
      </c>
      <c r="C33" s="23"/>
      <c r="D33" s="23"/>
      <c r="E33" s="23"/>
      <c r="F33" s="23"/>
      <c r="G33" s="23"/>
      <c r="H33" s="23"/>
      <c r="I33" s="23"/>
      <c r="J33" s="23"/>
      <c r="K33" s="23"/>
      <c r="L33" s="23"/>
      <c r="M33" s="23"/>
      <c r="N33" s="23"/>
      <c r="O33" s="23"/>
      <c r="P33" s="23"/>
      <c r="Q33" s="23"/>
      <c r="R33" s="23"/>
      <c r="S33" s="23"/>
    </row>
    <row r="34" customFormat="false" ht="15" hidden="false" customHeight="false" outlineLevel="0" collapsed="false">
      <c r="B34" s="24" t="s">
        <v>1113</v>
      </c>
      <c r="C34" s="25" t="s">
        <v>240</v>
      </c>
      <c r="E34" s="44" t="n">
        <f aca="false">SUM(F34:S34)</f>
        <v>0</v>
      </c>
      <c r="F34" s="44" t="n">
        <f aca="false">'P08 DMSTrucking Calc'!F61</f>
        <v>0</v>
      </c>
      <c r="G34" s="44" t="n">
        <f aca="false">'P08 DMSTrucking Calc'!G61</f>
        <v>0</v>
      </c>
      <c r="H34" s="44" t="n">
        <f aca="false">'P08 DMSTrucking Calc'!H61</f>
        <v>0</v>
      </c>
      <c r="I34" s="44" t="n">
        <f aca="false">'P08 DMSTrucking Calc'!I61</f>
        <v>0</v>
      </c>
      <c r="J34" s="44" t="n">
        <f aca="false">'P08 DMSTrucking Calc'!J61</f>
        <v>0</v>
      </c>
      <c r="K34" s="44" t="n">
        <f aca="false">'P08 DMSTrucking Calc'!K61</f>
        <v>0</v>
      </c>
      <c r="L34" s="44" t="n">
        <f aca="false">'P08 DMSTrucking Calc'!L61</f>
        <v>0</v>
      </c>
      <c r="M34" s="44" t="n">
        <f aca="false">'P08 DMSTrucking Calc'!M61</f>
        <v>0</v>
      </c>
      <c r="N34" s="44" t="n">
        <f aca="false">'P08 DMSTrucking Calc'!N61</f>
        <v>0</v>
      </c>
      <c r="O34" s="44" t="n">
        <f aca="false">'P08 DMSTrucking Calc'!O61</f>
        <v>0</v>
      </c>
      <c r="P34" s="44" t="n">
        <f aca="false">'P08 DMSTrucking Calc'!P61</f>
        <v>0</v>
      </c>
      <c r="Q34" s="44" t="n">
        <f aca="false">'P08 DMSTrucking Calc'!Q61</f>
        <v>0</v>
      </c>
      <c r="R34" s="44" t="n">
        <f aca="false">'P08 DMSTrucking Calc'!R61</f>
        <v>0</v>
      </c>
      <c r="S34" s="44" t="n">
        <f aca="false">'P08 DMSTrucking Calc'!S61</f>
        <v>0</v>
      </c>
    </row>
    <row r="35" customFormat="false" ht="15" hidden="false" customHeight="false" outlineLevel="0" collapsed="false">
      <c r="B35" s="24" t="s">
        <v>1114</v>
      </c>
      <c r="C35" s="25" t="s">
        <v>170</v>
      </c>
      <c r="E35" s="47" t="n">
        <f aca="false">SUM(F35:S35)</f>
        <v>0</v>
      </c>
      <c r="F35" s="47" t="n">
        <f aca="false">'P08 DMSTrucking Calc'!F62</f>
        <v>0</v>
      </c>
      <c r="G35" s="47" t="n">
        <f aca="false">'P08 DMSTrucking Calc'!G62</f>
        <v>0</v>
      </c>
      <c r="H35" s="47" t="n">
        <f aca="false">'P08 DMSTrucking Calc'!H62</f>
        <v>0</v>
      </c>
      <c r="I35" s="47" t="n">
        <f aca="false">'P08 DMSTrucking Calc'!I62</f>
        <v>0</v>
      </c>
      <c r="J35" s="47" t="n">
        <f aca="false">'P08 DMSTrucking Calc'!J62</f>
        <v>0</v>
      </c>
      <c r="K35" s="47" t="n">
        <f aca="false">'P08 DMSTrucking Calc'!K62</f>
        <v>0</v>
      </c>
      <c r="L35" s="47" t="n">
        <f aca="false">'P08 DMSTrucking Calc'!L62</f>
        <v>0</v>
      </c>
      <c r="M35" s="47" t="n">
        <f aca="false">'P08 DMSTrucking Calc'!M62</f>
        <v>0</v>
      </c>
      <c r="N35" s="47" t="n">
        <f aca="false">'P08 DMSTrucking Calc'!N62</f>
        <v>0</v>
      </c>
      <c r="O35" s="47" t="n">
        <f aca="false">'P08 DMSTrucking Calc'!O62</f>
        <v>0</v>
      </c>
      <c r="P35" s="47" t="n">
        <f aca="false">'P08 DMSTrucking Calc'!P62</f>
        <v>0</v>
      </c>
      <c r="Q35" s="47" t="n">
        <f aca="false">'P08 DMSTrucking Calc'!Q62</f>
        <v>0</v>
      </c>
      <c r="R35" s="47" t="n">
        <f aca="false">'P08 DMSTrucking Calc'!R62</f>
        <v>0</v>
      </c>
      <c r="S35" s="47" t="n">
        <f aca="false">'P08 DMSTrucking Calc'!S62</f>
        <v>0</v>
      </c>
    </row>
    <row r="36" customFormat="false" ht="15" hidden="false" customHeight="false" outlineLevel="0" collapsed="false">
      <c r="B36" s="24" t="s">
        <v>1115</v>
      </c>
      <c r="C36" s="25" t="s">
        <v>170</v>
      </c>
      <c r="F36" s="47" t="n">
        <f aca="false">'P08 DMSTrucking Calc'!F64</f>
        <v>0</v>
      </c>
      <c r="G36" s="47" t="n">
        <f aca="false">'P08 DMSTrucking Calc'!G64</f>
        <v>0</v>
      </c>
      <c r="H36" s="47" t="n">
        <f aca="false">'P08 DMSTrucking Calc'!H64</f>
        <v>0</v>
      </c>
      <c r="I36" s="47" t="n">
        <f aca="false">'P08 DMSTrucking Calc'!I64</f>
        <v>0</v>
      </c>
      <c r="J36" s="47" t="n">
        <f aca="false">'P08 DMSTrucking Calc'!J64</f>
        <v>0</v>
      </c>
      <c r="K36" s="47" t="n">
        <f aca="false">'P08 DMSTrucking Calc'!K64</f>
        <v>0</v>
      </c>
      <c r="L36" s="47" t="n">
        <f aca="false">'P08 DMSTrucking Calc'!L64</f>
        <v>0</v>
      </c>
      <c r="M36" s="47" t="n">
        <f aca="false">'P08 DMSTrucking Calc'!M64</f>
        <v>0</v>
      </c>
      <c r="N36" s="47" t="n">
        <f aca="false">'P08 DMSTrucking Calc'!N64</f>
        <v>0</v>
      </c>
      <c r="O36" s="47" t="n">
        <f aca="false">'P08 DMSTrucking Calc'!O64</f>
        <v>0</v>
      </c>
      <c r="P36" s="47" t="n">
        <f aca="false">'P08 DMSTrucking Calc'!P64</f>
        <v>0</v>
      </c>
      <c r="Q36" s="47" t="n">
        <f aca="false">'P08 DMSTrucking Calc'!Q64</f>
        <v>0</v>
      </c>
      <c r="R36" s="47" t="n">
        <f aca="false">'P08 DMSTrucking Calc'!R64</f>
        <v>0</v>
      </c>
      <c r="S36" s="47" t="n">
        <f aca="false">'P08 DMSTrucking Calc'!S64</f>
        <v>0</v>
      </c>
    </row>
    <row r="37" customFormat="false" ht="15" hidden="false" customHeight="false" outlineLevel="0" collapsed="false">
      <c r="B37" s="24" t="s">
        <v>463</v>
      </c>
      <c r="C37" s="25" t="s">
        <v>170</v>
      </c>
      <c r="F37" s="47" t="n">
        <f aca="false">'P08 DMSTrucking Calc'!F68</f>
        <v>0</v>
      </c>
      <c r="G37" s="47" t="n">
        <f aca="false">'P08 DMSTrucking Calc'!G68</f>
        <v>0</v>
      </c>
      <c r="H37" s="47" t="n">
        <f aca="false">'P08 DMSTrucking Calc'!H68</f>
        <v>0</v>
      </c>
      <c r="I37" s="47" t="n">
        <f aca="false">'P08 DMSTrucking Calc'!I68</f>
        <v>0</v>
      </c>
      <c r="J37" s="47" t="n">
        <f aca="false">'P08 DMSTrucking Calc'!J68</f>
        <v>0.339336932040986</v>
      </c>
      <c r="K37" s="47" t="n">
        <f aca="false">'P08 DMSTrucking Calc'!K68</f>
        <v>0.405832567215325</v>
      </c>
      <c r="L37" s="47" t="n">
        <f aca="false">'P08 DMSTrucking Calc'!L68</f>
        <v>0.423379071750228</v>
      </c>
      <c r="M37" s="47" t="n">
        <f aca="false">'P08 DMSTrucking Calc'!M68</f>
        <v>0.440707183628762</v>
      </c>
      <c r="N37" s="47" t="n">
        <f aca="false">'P08 DMSTrucking Calc'!N68</f>
        <v>0.458995621055433</v>
      </c>
      <c r="O37" s="47" t="n">
        <f aca="false">'P08 DMSTrucking Calc'!O68</f>
        <v>0.473973065944782</v>
      </c>
      <c r="P37" s="47" t="n">
        <f aca="false">'P08 DMSTrucking Calc'!P68</f>
        <v>0.492172956448942</v>
      </c>
      <c r="Q37" s="47" t="n">
        <f aca="false">'P08 DMSTrucking Calc'!Q68</f>
        <v>0.509726606693753</v>
      </c>
      <c r="R37" s="47" t="n">
        <f aca="false">'P08 DMSTrucking Calc'!R68</f>
        <v>0.527960859070495</v>
      </c>
      <c r="S37" s="47" t="n">
        <f aca="false">'P08 DMSTrucking Calc'!S68</f>
        <v>0.545411094230109</v>
      </c>
    </row>
    <row r="38" customFormat="false" ht="15" hidden="false" customHeight="false" outlineLevel="0" collapsed="false">
      <c r="B38" s="24" t="s">
        <v>1116</v>
      </c>
      <c r="C38" s="25" t="s">
        <v>170</v>
      </c>
      <c r="F38" s="47" t="n">
        <f aca="false">-'P08 DMSTrucking Calc'!F69</f>
        <v>-0</v>
      </c>
      <c r="G38" s="47" t="n">
        <f aca="false">-'P08 DMSTrucking Calc'!G69</f>
        <v>-0</v>
      </c>
      <c r="H38" s="47" t="n">
        <f aca="false">-'P08 DMSTrucking Calc'!H69</f>
        <v>-0</v>
      </c>
      <c r="I38" s="47" t="n">
        <f aca="false">-'P08 DMSTrucking Calc'!I69</f>
        <v>-0</v>
      </c>
      <c r="J38" s="47" t="n">
        <f aca="false">-'P08 DMSTrucking Calc'!J69</f>
        <v>-0</v>
      </c>
      <c r="K38" s="47" t="n">
        <f aca="false">-'P08 DMSTrucking Calc'!K69</f>
        <v>-0</v>
      </c>
      <c r="L38" s="47" t="n">
        <f aca="false">-'P08 DMSTrucking Calc'!L69</f>
        <v>-0</v>
      </c>
      <c r="M38" s="47" t="n">
        <f aca="false">-'P08 DMSTrucking Calc'!M69</f>
        <v>-0</v>
      </c>
      <c r="N38" s="47" t="n">
        <f aca="false">-'P08 DMSTrucking Calc'!N69</f>
        <v>-0</v>
      </c>
      <c r="O38" s="47" t="n">
        <f aca="false">-'P08 DMSTrucking Calc'!O69</f>
        <v>-0</v>
      </c>
      <c r="P38" s="47" t="n">
        <f aca="false">-'P08 DMSTrucking Calc'!P69</f>
        <v>-0</v>
      </c>
      <c r="Q38" s="47" t="n">
        <f aca="false">-'P08 DMSTrucking Calc'!Q69</f>
        <v>-0</v>
      </c>
      <c r="R38" s="47" t="n">
        <f aca="false">-'P08 DMSTrucking Calc'!R69</f>
        <v>-0</v>
      </c>
      <c r="S38" s="47" t="n">
        <f aca="false">-'P08 DMSTrucking Calc'!S69</f>
        <v>-0</v>
      </c>
    </row>
    <row r="39" customFormat="false" ht="15" hidden="false" customHeight="false" outlineLevel="0" collapsed="false">
      <c r="B39" s="69" t="s">
        <v>1117</v>
      </c>
      <c r="C39" s="25" t="s">
        <v>170</v>
      </c>
      <c r="F39" s="68" t="n">
        <f aca="false">F36+F37+F38</f>
        <v>0</v>
      </c>
      <c r="G39" s="68" t="n">
        <f aca="false">G36+G37+G38</f>
        <v>0</v>
      </c>
      <c r="H39" s="68" t="n">
        <f aca="false">H36+H37+H38</f>
        <v>0</v>
      </c>
      <c r="I39" s="68" t="n">
        <f aca="false">I36+I37+I38</f>
        <v>0</v>
      </c>
      <c r="J39" s="68" t="n">
        <f aca="false">J36+J37+J38</f>
        <v>0.339336932040986</v>
      </c>
      <c r="K39" s="68" t="n">
        <f aca="false">K36+K37+K38</f>
        <v>0.405832567215325</v>
      </c>
      <c r="L39" s="68" t="n">
        <f aca="false">L36+L37+L38</f>
        <v>0.423379071750228</v>
      </c>
      <c r="M39" s="68" t="n">
        <f aca="false">M36+M37+M38</f>
        <v>0.440707183628762</v>
      </c>
      <c r="N39" s="68" t="n">
        <f aca="false">N36+N37+N38</f>
        <v>0.458995621055433</v>
      </c>
      <c r="O39" s="68" t="n">
        <f aca="false">O36+O37+O38</f>
        <v>0.473973065944782</v>
      </c>
      <c r="P39" s="68" t="n">
        <f aca="false">P36+P37+P38</f>
        <v>0.492172956448942</v>
      </c>
      <c r="Q39" s="68" t="n">
        <f aca="false">Q36+Q37+Q38</f>
        <v>0.509726606693753</v>
      </c>
      <c r="R39" s="68" t="n">
        <f aca="false">R36+R37+R38</f>
        <v>0.527960859070495</v>
      </c>
      <c r="S39" s="68" t="n">
        <f aca="false">S36+S37+S38</f>
        <v>0.545411094230109</v>
      </c>
    </row>
    <row r="41" customFormat="false" ht="15" hidden="false" customHeight="false" outlineLevel="0" collapsed="false">
      <c r="B41" s="22" t="s">
        <v>1119</v>
      </c>
      <c r="C41" s="23"/>
      <c r="D41" s="23"/>
      <c r="E41" s="23"/>
      <c r="F41" s="23"/>
      <c r="G41" s="23"/>
      <c r="H41" s="23"/>
      <c r="I41" s="23"/>
      <c r="J41" s="23"/>
      <c r="K41" s="23"/>
      <c r="L41" s="23"/>
      <c r="M41" s="23"/>
      <c r="N41" s="23"/>
      <c r="O41" s="23"/>
      <c r="P41" s="23"/>
      <c r="Q41" s="23"/>
      <c r="R41" s="23"/>
      <c r="S41" s="23"/>
    </row>
    <row r="42" customFormat="false" ht="15" hidden="false" customHeight="false" outlineLevel="0" collapsed="false">
      <c r="B42" s="24" t="s">
        <v>1120</v>
      </c>
      <c r="C42" s="25" t="s">
        <v>143</v>
      </c>
      <c r="F42" s="30" t="n">
        <f aca="false">0</f>
        <v>0</v>
      </c>
      <c r="G42" s="30" t="n">
        <f aca="false">MIN(1,F42+F43)</f>
        <v>0</v>
      </c>
      <c r="H42" s="30" t="n">
        <f aca="false">MIN(1,G42+G43)</f>
        <v>0</v>
      </c>
      <c r="I42" s="30" t="n">
        <f aca="false">MIN(1,H42+H43)</f>
        <v>0</v>
      </c>
      <c r="J42" s="30" t="n">
        <f aca="false">MIN(1,I42+I43)</f>
        <v>0</v>
      </c>
      <c r="K42" s="30" t="n">
        <f aca="false">MIN(1,J42+J43)</f>
        <v>0</v>
      </c>
      <c r="L42" s="30" t="n">
        <f aca="false">MIN(1,K42+K43)</f>
        <v>0</v>
      </c>
      <c r="M42" s="30" t="n">
        <f aca="false">MIN(1,L42+L43)</f>
        <v>0</v>
      </c>
      <c r="N42" s="30" t="n">
        <f aca="false">MIN(1,M42+M43)</f>
        <v>0</v>
      </c>
      <c r="O42" s="30" t="n">
        <f aca="false">MIN(1,N42+N43)</f>
        <v>0</v>
      </c>
      <c r="P42" s="30" t="n">
        <f aca="false">MIN(1,O42+O43)</f>
        <v>0</v>
      </c>
      <c r="Q42" s="30" t="n">
        <f aca="false">MIN(1,P42+P43)</f>
        <v>0</v>
      </c>
      <c r="R42" s="30" t="n">
        <f aca="false">MIN(1,Q42+Q43)</f>
        <v>0</v>
      </c>
      <c r="S42" s="30" t="n">
        <f aca="false">MIN(1,R42+R43)</f>
        <v>0</v>
      </c>
    </row>
    <row r="43" customFormat="false" ht="15" hidden="false" customHeight="false" outlineLevel="0" collapsed="false">
      <c r="B43" s="24" t="s">
        <v>1121</v>
      </c>
      <c r="C43" s="25" t="s">
        <v>143</v>
      </c>
      <c r="F43" s="30" t="n">
        <f aca="false">0</f>
        <v>0</v>
      </c>
      <c r="G43" s="30" t="n">
        <f aca="false">IF(AND(G29&gt;=0,F29&lt;0,G42=0),1,0)</f>
        <v>0</v>
      </c>
      <c r="H43" s="30" t="n">
        <f aca="false">IF(AND(H29&gt;=0,G29&lt;0,H42=0),1,0)</f>
        <v>0</v>
      </c>
      <c r="I43" s="30" t="n">
        <f aca="false">IF(AND(I29&gt;=0,H29&lt;0,I42=0),1,0)</f>
        <v>0</v>
      </c>
      <c r="J43" s="30" t="n">
        <f aca="false">IF(AND(J29&gt;=0,I29&lt;0,J42=0),1,0)</f>
        <v>0</v>
      </c>
      <c r="K43" s="30" t="n">
        <f aca="false">IF(AND(K29&gt;=0,J29&lt;0,K42=0),1,0)</f>
        <v>0</v>
      </c>
      <c r="L43" s="30" t="n">
        <f aca="false">IF(AND(L29&gt;=0,K29&lt;0,L42=0),1,0)</f>
        <v>0</v>
      </c>
      <c r="M43" s="30" t="n">
        <f aca="false">IF(AND(M29&gt;=0,L29&lt;0,M42=0),1,0)</f>
        <v>0</v>
      </c>
      <c r="N43" s="30" t="n">
        <f aca="false">IF(AND(N29&gt;=0,M29&lt;0,N42=0),1,0)</f>
        <v>0</v>
      </c>
      <c r="O43" s="30" t="n">
        <f aca="false">IF(AND(O29&gt;=0,N29&lt;0,O42=0),1,0)</f>
        <v>0</v>
      </c>
      <c r="P43" s="30" t="n">
        <f aca="false">IF(AND(P29&gt;=0,O29&lt;0,P42=0),1,0)</f>
        <v>0</v>
      </c>
      <c r="Q43" s="30" t="n">
        <f aca="false">IF(AND(Q29&gt;=0,P29&lt;0,Q42=0),1,0)</f>
        <v>0</v>
      </c>
      <c r="R43" s="30" t="n">
        <f aca="false">IF(AND(R29&gt;=0,Q29&lt;0,R42=0),1,0)</f>
        <v>0</v>
      </c>
      <c r="S43" s="30" t="n">
        <f aca="false">IF(AND(S29&gt;=0,R29&lt;0,S42=0),1,0)</f>
        <v>0</v>
      </c>
    </row>
    <row r="44" customFormat="false" ht="15" hidden="false" customHeight="false" outlineLevel="0" collapsed="false">
      <c r="B44" s="24" t="s">
        <v>1122</v>
      </c>
      <c r="C44" s="25" t="s">
        <v>170</v>
      </c>
      <c r="F44" s="47" t="n">
        <f aca="false">IF(F$5='Global Inputs'!$E$14,F28*(1+'Global Inputs'!$E$54)/('Global Inputs'!$E$53-'Global Inputs'!$E$54),0)</f>
        <v>0</v>
      </c>
      <c r="G44" s="47" t="n">
        <f aca="false">IF(G$5='Global Inputs'!$E$14,G28*(1+'Global Inputs'!$E$54)/('Global Inputs'!$E$53-'Global Inputs'!$E$54),0)</f>
        <v>0</v>
      </c>
      <c r="H44" s="47" t="n">
        <f aca="false">IF(H$5='Global Inputs'!$E$14,H28*(1+'Global Inputs'!$E$54)/('Global Inputs'!$E$53-'Global Inputs'!$E$54),0)</f>
        <v>0</v>
      </c>
      <c r="I44" s="47" t="n">
        <f aca="false">IF(I$5='Global Inputs'!$E$14,I28*(1+'Global Inputs'!$E$54)/('Global Inputs'!$E$53-'Global Inputs'!$E$54),0)</f>
        <v>0</v>
      </c>
      <c r="J44" s="47" t="n">
        <f aca="false">IF(J$5='Global Inputs'!$E$14,J28*(1+'Global Inputs'!$E$54)/('Global Inputs'!$E$53-'Global Inputs'!$E$54),0)</f>
        <v>0</v>
      </c>
      <c r="K44" s="47" t="n">
        <f aca="false">IF(K$5='Global Inputs'!$E$14,K28*(1+'Global Inputs'!$E$54)/('Global Inputs'!$E$53-'Global Inputs'!$E$54),0)</f>
        <v>0</v>
      </c>
      <c r="L44" s="47" t="n">
        <f aca="false">IF(L$5='Global Inputs'!$E$14,L28*(1+'Global Inputs'!$E$54)/('Global Inputs'!$E$53-'Global Inputs'!$E$54),0)</f>
        <v>0</v>
      </c>
      <c r="M44" s="47" t="n">
        <f aca="false">IF(M$5='Global Inputs'!$E$14,M28*(1+'Global Inputs'!$E$54)/('Global Inputs'!$E$53-'Global Inputs'!$E$54),0)</f>
        <v>0</v>
      </c>
      <c r="N44" s="47" t="n">
        <f aca="false">IF(N$5='Global Inputs'!$E$14,N28*(1+'Global Inputs'!$E$54)/('Global Inputs'!$E$53-'Global Inputs'!$E$54),0)</f>
        <v>0</v>
      </c>
      <c r="O44" s="47" t="n">
        <f aca="false">IF(O$5='Global Inputs'!$E$14,O28*(1+'Global Inputs'!$E$54)/('Global Inputs'!$E$53-'Global Inputs'!$E$54),0)</f>
        <v>0</v>
      </c>
      <c r="P44" s="47" t="n">
        <f aca="false">IF(P$5='Global Inputs'!$E$14,P28*(1+'Global Inputs'!$E$54)/('Global Inputs'!$E$53-'Global Inputs'!$E$54),0)</f>
        <v>0</v>
      </c>
      <c r="Q44" s="47" t="n">
        <f aca="false">IF(Q$5='Global Inputs'!$E$14,Q28*(1+'Global Inputs'!$E$54)/('Global Inputs'!$E$53-'Global Inputs'!$E$54),0)</f>
        <v>0</v>
      </c>
      <c r="R44" s="47" t="n">
        <f aca="false">IF(R$5='Global Inputs'!$E$14,R28*(1+'Global Inputs'!$E$54)/('Global Inputs'!$E$53-'Global Inputs'!$E$54),0)</f>
        <v>0</v>
      </c>
      <c r="S44" s="47" t="n">
        <f aca="false">IF(S$5='Global Inputs'!$E$14,S28*(1+'Global Inputs'!$E$54)/('Global Inputs'!$E$53-'Global Inputs'!$E$54),0)</f>
        <v>33.2002959538694</v>
      </c>
    </row>
    <row r="45" customFormat="false" ht="15" hidden="false" customHeight="false" outlineLevel="0" collapsed="false">
      <c r="B45" s="24" t="s">
        <v>1123</v>
      </c>
      <c r="C45" s="25" t="s">
        <v>170</v>
      </c>
      <c r="F45" s="47" t="n">
        <f aca="false">F28+F44</f>
        <v>0</v>
      </c>
      <c r="G45" s="47" t="n">
        <f aca="false">G28+G44</f>
        <v>0</v>
      </c>
      <c r="H45" s="47" t="n">
        <f aca="false">H28+H44</f>
        <v>0</v>
      </c>
      <c r="I45" s="47" t="n">
        <f aca="false">I28+I44</f>
        <v>0</v>
      </c>
      <c r="J45" s="47" t="n">
        <f aca="false">J28+J44</f>
        <v>1.46403959332913</v>
      </c>
      <c r="K45" s="47" t="n">
        <f aca="false">K28+K44</f>
        <v>2.10053480995688</v>
      </c>
      <c r="L45" s="47" t="n">
        <f aca="false">L28+L44</f>
        <v>2.23266510395025</v>
      </c>
      <c r="M45" s="47" t="n">
        <f aca="false">M28+M44</f>
        <v>2.32058684686117</v>
      </c>
      <c r="N45" s="47" t="n">
        <f aca="false">N28+N44</f>
        <v>2.41219039927523</v>
      </c>
      <c r="O45" s="47" t="n">
        <f aca="false">O28+O44</f>
        <v>2.49787965939361</v>
      </c>
      <c r="P45" s="47" t="n">
        <f aca="false">P28+P44</f>
        <v>2.58020049973608</v>
      </c>
      <c r="Q45" s="47" t="n">
        <f aca="false">Q28+Q44</f>
        <v>2.66969161510117</v>
      </c>
      <c r="R45" s="47" t="n">
        <f aca="false">R28+R44</f>
        <v>2.76130064233206</v>
      </c>
      <c r="S45" s="47" t="n">
        <f aca="false">S28+S44</f>
        <v>36.0582651041464</v>
      </c>
    </row>
    <row r="46" customFormat="false" ht="15" hidden="false" customHeight="false" outlineLevel="0" collapsed="false">
      <c r="B46" s="24" t="s">
        <v>1124</v>
      </c>
      <c r="C46" s="25" t="s">
        <v>170</v>
      </c>
      <c r="E46" s="47" t="n">
        <f aca="false">SUM(F46:S46)</f>
        <v>23.7365719787679</v>
      </c>
      <c r="F46" s="47" t="n">
        <f aca="false">F45*'Global Inputs'!F18</f>
        <v>0</v>
      </c>
      <c r="G46" s="47" t="n">
        <f aca="false">G45*'Global Inputs'!G18</f>
        <v>0</v>
      </c>
      <c r="H46" s="47" t="n">
        <f aca="false">H45*'Global Inputs'!H18</f>
        <v>0</v>
      </c>
      <c r="I46" s="47" t="n">
        <f aca="false">I45*'Global Inputs'!I18</f>
        <v>0</v>
      </c>
      <c r="J46" s="47" t="n">
        <f aca="false">J45*'Global Inputs'!J18</f>
        <v>1.30873803710723</v>
      </c>
      <c r="K46" s="47" t="n">
        <f aca="false">K45*'Global Inputs'!K18</f>
        <v>1.67853224698217</v>
      </c>
      <c r="L46" s="47" t="n">
        <f aca="false">L45*'Global Inputs'!L18</f>
        <v>1.59486267245893</v>
      </c>
      <c r="M46" s="47" t="n">
        <f aca="false">M45*'Global Inputs'!M18</f>
        <v>1.48182677721856</v>
      </c>
      <c r="N46" s="47" t="n">
        <f aca="false">N45*'Global Inputs'!N18</f>
        <v>1.37692758224497</v>
      </c>
      <c r="O46" s="47" t="n">
        <f aca="false">O45*'Global Inputs'!O18</f>
        <v>1.2745912407713</v>
      </c>
      <c r="P46" s="47" t="n">
        <f aca="false">P45*'Global Inputs'!P18</f>
        <v>1.17693580740427</v>
      </c>
      <c r="Q46" s="47" t="n">
        <f aca="false">Q45*'Global Inputs'!Q18</f>
        <v>1.08857992646743</v>
      </c>
      <c r="R46" s="47" t="n">
        <f aca="false">R45*'Global Inputs'!R18</f>
        <v>1.00649777947518</v>
      </c>
      <c r="S46" s="47" t="n">
        <f aca="false">S45*'Global Inputs'!S18</f>
        <v>11.7490799086378</v>
      </c>
    </row>
    <row r="47" customFormat="false" ht="15" hidden="false" customHeight="false" outlineLevel="0" collapsed="false">
      <c r="B47" s="24" t="s">
        <v>1125</v>
      </c>
      <c r="C47" s="25" t="s">
        <v>170</v>
      </c>
      <c r="E47" s="47" t="n">
        <f aca="false">SUM($F$46:$S$46)</f>
        <v>23.7365719787679</v>
      </c>
    </row>
    <row r="48" customFormat="false" ht="15" hidden="false" customHeight="false" outlineLevel="0" collapsed="false">
      <c r="B48" s="24" t="s">
        <v>1126</v>
      </c>
      <c r="C48" s="25" t="s">
        <v>170</v>
      </c>
      <c r="E48" s="47" t="n">
        <f aca="false">SUMPRODUCT($F$28:$S$28,'Global Inputs'!$F$18:$S$18)</f>
        <v>12.9187212301033</v>
      </c>
    </row>
    <row r="49" customFormat="false" ht="15" hidden="false" customHeight="false" outlineLevel="0" collapsed="false">
      <c r="B49" s="24" t="s">
        <v>1831</v>
      </c>
      <c r="C49" s="25" t="s">
        <v>160</v>
      </c>
      <c r="E49" s="49" t="str">
        <f aca="false">IFERROR(IRR($F$28:$S$28),"n/a")</f>
        <v>n/a</v>
      </c>
    </row>
    <row r="50" customFormat="false" ht="15" hidden="false" customHeight="false" outlineLevel="0" collapsed="false">
      <c r="B50" s="24" t="s">
        <v>1832</v>
      </c>
      <c r="C50" s="25" t="s">
        <v>160</v>
      </c>
      <c r="E50" s="49" t="str">
        <f aca="false">IFERROR(IRR($F$45:$S$45),"n/a")</f>
        <v>n/a</v>
      </c>
    </row>
    <row r="51" customFormat="false" ht="15" hidden="false" customHeight="false" outlineLevel="0" collapsed="false">
      <c r="B51" s="24" t="s">
        <v>1128</v>
      </c>
      <c r="C51" s="25" t="s">
        <v>160</v>
      </c>
      <c r="E51" s="49" t="str">
        <f aca="false">"= project IRR (no project-level debt in v29; corporate LT loan is not project debt)"</f>
        <v>= project IRR (no project-level debt in v29; corporate LT loan is not project debt)</v>
      </c>
    </row>
    <row r="52" customFormat="false" ht="15" hidden="false" customHeight="false" outlineLevel="0" collapsed="false">
      <c r="B52" s="24" t="s">
        <v>1129</v>
      </c>
      <c r="C52" s="25" t="s">
        <v>135</v>
      </c>
      <c r="E52" s="29" t="str">
        <f aca="false">IF(SUM($F$43:$S$43)=0,"not within horizon",SUMPRODUCT($F$43:$S$43,'Global Inputs'!$F$15:$S$15))</f>
        <v>not within horizon</v>
      </c>
    </row>
    <row r="53" customFormat="false" ht="15" hidden="false" customHeight="false" outlineLevel="0" collapsed="false">
      <c r="B53" s="24" t="s">
        <v>1130</v>
      </c>
      <c r="C53" s="25" t="s">
        <v>135</v>
      </c>
      <c r="E53" s="29" t="str">
        <f aca="false">"n/a"</f>
        <v>n/a</v>
      </c>
    </row>
    <row r="54" customFormat="false" ht="15" hidden="false" customHeight="false" outlineLevel="0" collapsed="false">
      <c r="B54" s="24" t="s">
        <v>1131</v>
      </c>
      <c r="C54" s="25" t="s">
        <v>240</v>
      </c>
      <c r="E54" s="44" t="n">
        <f aca="false">0</f>
        <v>0</v>
      </c>
    </row>
    <row r="55" customFormat="false" ht="15" hidden="false" customHeight="false" outlineLevel="0" collapsed="false">
      <c r="B55" s="24" t="s">
        <v>1132</v>
      </c>
      <c r="C55" s="25" t="s">
        <v>240</v>
      </c>
      <c r="E55" s="44" t="n">
        <f aca="false">0</f>
        <v>0</v>
      </c>
    </row>
    <row r="57" customFormat="false" ht="15" hidden="false" customHeight="false" outlineLevel="0" collapsed="false">
      <c r="B57" s="22" t="s">
        <v>1133</v>
      </c>
      <c r="C57" s="23"/>
      <c r="D57" s="23"/>
      <c r="E57" s="23"/>
      <c r="F57" s="23"/>
      <c r="G57" s="23"/>
      <c r="H57" s="23"/>
      <c r="I57" s="23"/>
      <c r="J57" s="23"/>
      <c r="K57" s="23"/>
      <c r="L57" s="23"/>
      <c r="M57" s="23"/>
      <c r="N57" s="23"/>
      <c r="O57" s="23"/>
      <c r="P57" s="23"/>
      <c r="Q57" s="23"/>
      <c r="R57" s="23"/>
      <c r="S57" s="23"/>
    </row>
    <row r="58" customFormat="false" ht="15" hidden="false" customHeight="false" outlineLevel="0" collapsed="false">
      <c r="B58" s="24" t="s">
        <v>1134</v>
      </c>
      <c r="C58" s="25" t="s">
        <v>180</v>
      </c>
      <c r="E58" s="29" t="n">
        <f aca="false">'P08 DMSTrucking Input'!$E$22*IF('P08 DMSTrucking Input'!$E$23=1,1,0)</f>
        <v>1</v>
      </c>
    </row>
    <row r="59" customFormat="false" ht="15" hidden="false" customHeight="false" outlineLevel="0" collapsed="false">
      <c r="B59" s="24" t="s">
        <v>1135</v>
      </c>
      <c r="C59" s="25" t="s">
        <v>180</v>
      </c>
      <c r="E59" s="29" t="n">
        <f aca="false">'P08 DMSTrucking Input'!$E$22</f>
        <v>1</v>
      </c>
    </row>
    <row r="60" customFormat="false" ht="15" hidden="false" customHeight="false" outlineLevel="0" collapsed="false">
      <c r="B60" s="24" t="s">
        <v>897</v>
      </c>
      <c r="C60" s="25" t="s">
        <v>160</v>
      </c>
      <c r="E60" s="49" t="n">
        <f aca="false">'P08 DMSTrucking Input'!$E$24</f>
        <v>1</v>
      </c>
    </row>
  </sheetData>
  <hyperlinks>
    <hyperlink ref="C3" r:id="rId1" location="'P08%20DMSTrucking%20Input'!A1" display="Input"/>
    <hyperlink ref="D3" r:id="rId2" location="'P08%20DMSTrucking%20Calc'!A1" display="Calc"/>
    <hyperlink ref="E3" r:id="rId3" location="'P08%20DMSTrucking%20Output'!A1" display="Output"/>
    <hyperlink ref="F3" r:id="rId4" location="'Navigation'!A1" display="Navigation"/>
    <hyperlink ref="G3" r:id="rId5" location="'Global%20Inputs'!A1" display="Global Inputs"/>
    <hyperlink ref="H3" r:id="rId6" location="'Project%20Summary'!A1" display="Project Summary"/>
    <hyperlink ref="I3" r:id="rId7" location="'Funding%20Requirement'!A1" display="Funding"/>
    <hyperlink ref="J3" r:id="rId8" location="'FSL%20Financials%20—%20Without%20BUMN'!A1" display="FSL w/o BUMN"/>
    <hyperlink ref="K3" r:id="rId9" location="'FSL%20Financials%20—%20With%20BUMN'!A1" display="FSL w/ BUMN"/>
    <hyperlink ref="L3" r:id="rId10" location="'Valuation%20—%20Without%20BUMN'!A1" display="Val w/o BUMN"/>
    <hyperlink ref="M3" r:id="rId11" location="'Valuation%20—%20With%20BUMN'!A1" display="Val w/ BUMN"/>
    <hyperlink ref="N3" r:id="rId12" location="'Checks'!A1" display="Checks"/>
    <hyperlink ref="O3" r:id="rId13" location="'Model%20Flow'!A1" display="Model Flow"/>
  </hyperlink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D966"/>
    <pageSetUpPr fitToPage="true"/>
  </sheetPr>
  <dimension ref="B1:U7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5" ySplit="9" topLeftCell="F10" activePane="bottomRight" state="frozen"/>
      <selection pane="topLeft" activeCell="A1" activeCellId="0" sqref="A1"/>
      <selection pane="topRight" activeCell="F1" activeCellId="0" sqref="F1"/>
      <selection pane="bottomLeft" activeCell="A10" activeCellId="0" sqref="A10"/>
      <selection pane="bottomRigh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66"/>
    <col collapsed="false" customWidth="true" hidden="false" outlineLevel="0" max="3" min="3" style="0" width="11"/>
    <col collapsed="false" customWidth="true" hidden="false" outlineLevel="0" max="4" min="4" style="0" width="12"/>
    <col collapsed="false" customWidth="true" hidden="false" outlineLevel="0" max="5" min="5" style="0" width="13"/>
    <col collapsed="false" customWidth="true" hidden="false" outlineLevel="0" max="19" min="6" style="0" width="11.5"/>
    <col collapsed="false" customWidth="true" hidden="false" outlineLevel="0" max="20" min="20" style="0" width="40"/>
    <col collapsed="false" customWidth="true" hidden="false" outlineLevel="0" max="21" min="21" style="0" width="48"/>
  </cols>
  <sheetData>
    <row r="1" customFormat="false" ht="21.75" hidden="false" customHeight="true" outlineLevel="0" collapsed="false">
      <c r="B1" s="1" t="s">
        <v>2225</v>
      </c>
    </row>
    <row r="2" customFormat="false" ht="15" hidden="false" customHeight="false" outlineLevel="0" collapsed="false">
      <c r="B2" s="2" t="s">
        <v>2226</v>
      </c>
    </row>
    <row r="3" customFormat="false" ht="15" hidden="false" customHeight="false" outlineLevel="0" collapsed="false">
      <c r="B3" s="5" t="s">
        <v>112</v>
      </c>
      <c r="C3" s="17" t="s">
        <v>27</v>
      </c>
      <c r="D3" s="17" t="s">
        <v>28</v>
      </c>
      <c r="E3" s="17" t="s">
        <v>29</v>
      </c>
      <c r="F3" s="17" t="s">
        <v>113</v>
      </c>
      <c r="G3" s="17" t="s">
        <v>5</v>
      </c>
      <c r="H3" s="17" t="s">
        <v>7</v>
      </c>
      <c r="I3" s="17" t="s">
        <v>114</v>
      </c>
      <c r="J3" s="17" t="s">
        <v>115</v>
      </c>
      <c r="K3" s="17" t="s">
        <v>116</v>
      </c>
      <c r="L3" s="17" t="s">
        <v>117</v>
      </c>
      <c r="M3" s="17" t="s">
        <v>118</v>
      </c>
      <c r="N3" s="17" t="s">
        <v>21</v>
      </c>
      <c r="O3" s="17" t="s">
        <v>3</v>
      </c>
    </row>
    <row r="5" customFormat="false" ht="15" hidden="false" customHeight="false" outlineLevel="0" collapsed="false">
      <c r="B5" s="6" t="s">
        <v>119</v>
      </c>
      <c r="C5" s="6" t="s">
        <v>120</v>
      </c>
      <c r="D5" s="6" t="s">
        <v>121</v>
      </c>
      <c r="E5" s="6" t="s">
        <v>122</v>
      </c>
      <c r="F5" s="18" t="n">
        <f aca="false">'Global Inputs'!F$5</f>
        <v>2023</v>
      </c>
      <c r="G5" s="18" t="n">
        <f aca="false">'Global Inputs'!G$5</f>
        <v>2024</v>
      </c>
      <c r="H5" s="18" t="n">
        <f aca="false">'Global Inputs'!H$5</f>
        <v>2025</v>
      </c>
      <c r="I5" s="18" t="n">
        <f aca="false">'Global Inputs'!I$5</f>
        <v>2026</v>
      </c>
      <c r="J5" s="18" t="n">
        <f aca="false">'Global Inputs'!J$5</f>
        <v>2027</v>
      </c>
      <c r="K5" s="18" t="n">
        <f aca="false">'Global Inputs'!K$5</f>
        <v>2028</v>
      </c>
      <c r="L5" s="18" t="n">
        <f aca="false">'Global Inputs'!L$5</f>
        <v>2029</v>
      </c>
      <c r="M5" s="18" t="n">
        <f aca="false">'Global Inputs'!M$5</f>
        <v>2030</v>
      </c>
      <c r="N5" s="18" t="n">
        <f aca="false">'Global Inputs'!N$5</f>
        <v>2031</v>
      </c>
      <c r="O5" s="18" t="n">
        <f aca="false">'Global Inputs'!O$5</f>
        <v>2032</v>
      </c>
      <c r="P5" s="18" t="n">
        <f aca="false">'Global Inputs'!P$5</f>
        <v>2033</v>
      </c>
      <c r="Q5" s="18" t="n">
        <f aca="false">'Global Inputs'!Q$5</f>
        <v>2034</v>
      </c>
      <c r="R5" s="18" t="n">
        <f aca="false">'Global Inputs'!R$5</f>
        <v>2035</v>
      </c>
      <c r="S5" s="18" t="n">
        <f aca="false">'Global Inputs'!S$5</f>
        <v>2036</v>
      </c>
      <c r="T5" s="6" t="s">
        <v>123</v>
      </c>
      <c r="U5" s="6" t="s">
        <v>124</v>
      </c>
    </row>
    <row r="6" customFormat="false" ht="15" hidden="false" customHeight="false" outlineLevel="0" collapsed="false">
      <c r="B6" s="19" t="s">
        <v>125</v>
      </c>
      <c r="F6" s="20" t="n">
        <f aca="false">'Global Inputs'!F$6</f>
        <v>45291</v>
      </c>
      <c r="G6" s="20" t="n">
        <f aca="false">'Global Inputs'!G$6</f>
        <v>45657</v>
      </c>
      <c r="H6" s="20" t="n">
        <f aca="false">'Global Inputs'!H$6</f>
        <v>46022</v>
      </c>
      <c r="I6" s="20" t="n">
        <f aca="false">'Global Inputs'!I$6</f>
        <v>46387</v>
      </c>
      <c r="J6" s="20" t="n">
        <f aca="false">'Global Inputs'!J$6</f>
        <v>46752</v>
      </c>
      <c r="K6" s="20" t="n">
        <f aca="false">'Global Inputs'!K$6</f>
        <v>47118</v>
      </c>
      <c r="L6" s="20" t="n">
        <f aca="false">'Global Inputs'!L$6</f>
        <v>47483</v>
      </c>
      <c r="M6" s="20" t="n">
        <f aca="false">'Global Inputs'!M$6</f>
        <v>47848</v>
      </c>
      <c r="N6" s="20" t="n">
        <f aca="false">'Global Inputs'!N$6</f>
        <v>48213</v>
      </c>
      <c r="O6" s="20" t="n">
        <f aca="false">'Global Inputs'!O$6</f>
        <v>48579</v>
      </c>
      <c r="P6" s="20" t="n">
        <f aca="false">'Global Inputs'!P$6</f>
        <v>48944</v>
      </c>
      <c r="Q6" s="20" t="n">
        <f aca="false">'Global Inputs'!Q$6</f>
        <v>49309</v>
      </c>
      <c r="R6" s="20" t="n">
        <f aca="false">'Global Inputs'!R$6</f>
        <v>49674</v>
      </c>
      <c r="S6" s="20" t="n">
        <f aca="false">'Global Inputs'!S$6</f>
        <v>50040</v>
      </c>
    </row>
    <row r="7" customFormat="false" ht="15" hidden="false" customHeight="false" outlineLevel="0" collapsed="false">
      <c r="B7" s="19" t="s">
        <v>126</v>
      </c>
      <c r="F7" s="21" t="n">
        <f aca="false">'Global Inputs'!F$7</f>
        <v>365</v>
      </c>
      <c r="G7" s="21" t="n">
        <f aca="false">'Global Inputs'!G$7</f>
        <v>366</v>
      </c>
      <c r="H7" s="21" t="n">
        <f aca="false">'Global Inputs'!H$7</f>
        <v>365</v>
      </c>
      <c r="I7" s="21" t="n">
        <f aca="false">'Global Inputs'!I$7</f>
        <v>365</v>
      </c>
      <c r="J7" s="21" t="n">
        <f aca="false">'Global Inputs'!J$7</f>
        <v>365</v>
      </c>
      <c r="K7" s="21" t="n">
        <f aca="false">'Global Inputs'!K$7</f>
        <v>366</v>
      </c>
      <c r="L7" s="21" t="n">
        <f aca="false">'Global Inputs'!L$7</f>
        <v>365</v>
      </c>
      <c r="M7" s="21" t="n">
        <f aca="false">'Global Inputs'!M$7</f>
        <v>365</v>
      </c>
      <c r="N7" s="21" t="n">
        <f aca="false">'Global Inputs'!N$7</f>
        <v>365</v>
      </c>
      <c r="O7" s="21" t="n">
        <f aca="false">'Global Inputs'!O$7</f>
        <v>366</v>
      </c>
      <c r="P7" s="21" t="n">
        <f aca="false">'Global Inputs'!P$7</f>
        <v>365</v>
      </c>
      <c r="Q7" s="21" t="n">
        <f aca="false">'Global Inputs'!Q$7</f>
        <v>365</v>
      </c>
      <c r="R7" s="21" t="n">
        <f aca="false">'Global Inputs'!R$7</f>
        <v>365</v>
      </c>
      <c r="S7" s="21" t="n">
        <f aca="false">'Global Inputs'!S$7</f>
        <v>366</v>
      </c>
    </row>
    <row r="8" customFormat="false" ht="15" hidden="false" customHeight="false" outlineLevel="0" collapsed="false">
      <c r="B8" s="19" t="s">
        <v>127</v>
      </c>
      <c r="F8" s="21" t="n">
        <f aca="false">'Global Inputs'!F$8</f>
        <v>0</v>
      </c>
      <c r="G8" s="21" t="n">
        <f aca="false">'Global Inputs'!G$8</f>
        <v>1</v>
      </c>
      <c r="H8" s="21" t="n">
        <f aca="false">'Global Inputs'!H$8</f>
        <v>1</v>
      </c>
      <c r="I8" s="21" t="n">
        <f aca="false">'Global Inputs'!I$8</f>
        <v>1</v>
      </c>
      <c r="J8" s="21" t="n">
        <f aca="false">'Global Inputs'!J$8</f>
        <v>1</v>
      </c>
      <c r="K8" s="21" t="n">
        <f aca="false">'Global Inputs'!K$8</f>
        <v>1</v>
      </c>
      <c r="L8" s="21" t="n">
        <f aca="false">'Global Inputs'!L$8</f>
        <v>1</v>
      </c>
      <c r="M8" s="21" t="n">
        <f aca="false">'Global Inputs'!M$8</f>
        <v>1</v>
      </c>
      <c r="N8" s="21" t="n">
        <f aca="false">'Global Inputs'!N$8</f>
        <v>1</v>
      </c>
      <c r="O8" s="21" t="n">
        <f aca="false">'Global Inputs'!O$8</f>
        <v>1</v>
      </c>
      <c r="P8" s="21" t="n">
        <f aca="false">'Global Inputs'!P$8</f>
        <v>1</v>
      </c>
      <c r="Q8" s="21" t="n">
        <f aca="false">'Global Inputs'!Q$8</f>
        <v>1</v>
      </c>
      <c r="R8" s="21" t="n">
        <f aca="false">'Global Inputs'!R$8</f>
        <v>1</v>
      </c>
      <c r="S8" s="21" t="n">
        <f aca="false">'Global Inputs'!S$8</f>
        <v>1</v>
      </c>
    </row>
    <row r="10" customFormat="false" ht="15" hidden="false" customHeight="false" outlineLevel="0" collapsed="false">
      <c r="B10" s="22" t="s">
        <v>878</v>
      </c>
      <c r="C10" s="23"/>
      <c r="D10" s="23"/>
      <c r="E10" s="23"/>
      <c r="F10" s="23"/>
      <c r="G10" s="23"/>
      <c r="H10" s="23"/>
      <c r="I10" s="23"/>
      <c r="J10" s="23"/>
      <c r="K10" s="23"/>
      <c r="L10" s="23"/>
      <c r="M10" s="23"/>
      <c r="N10" s="23"/>
      <c r="O10" s="23"/>
      <c r="P10" s="23"/>
      <c r="Q10" s="23"/>
      <c r="R10" s="23"/>
      <c r="S10" s="23"/>
    </row>
    <row r="11" customFormat="false" ht="15" hidden="false" customHeight="false" outlineLevel="0" collapsed="false">
      <c r="B11" s="24" t="s">
        <v>879</v>
      </c>
      <c r="E11" s="24" t="s">
        <v>2227</v>
      </c>
    </row>
    <row r="12" customFormat="false" ht="15" hidden="false" customHeight="false" outlineLevel="0" collapsed="false">
      <c r="B12" s="24" t="s">
        <v>25</v>
      </c>
      <c r="E12" s="24" t="s">
        <v>2228</v>
      </c>
    </row>
    <row r="13" customFormat="false" ht="15" hidden="false" customHeight="false" outlineLevel="0" collapsed="false">
      <c r="B13" s="24" t="s">
        <v>882</v>
      </c>
      <c r="E13" s="24" t="s">
        <v>2229</v>
      </c>
    </row>
    <row r="14" customFormat="false" ht="15" hidden="false" customHeight="false" outlineLevel="0" collapsed="false">
      <c r="B14" s="24" t="s">
        <v>275</v>
      </c>
      <c r="E14" s="24" t="s">
        <v>298</v>
      </c>
    </row>
    <row r="15" customFormat="false" ht="15" hidden="false" customHeight="false" outlineLevel="0" collapsed="false">
      <c r="B15" s="24" t="s">
        <v>386</v>
      </c>
      <c r="E15" s="24" t="s">
        <v>64</v>
      </c>
    </row>
    <row r="16" customFormat="false" ht="15" hidden="false" customHeight="false" outlineLevel="0" collapsed="false">
      <c r="B16" s="24" t="s">
        <v>884</v>
      </c>
      <c r="E16" s="24" t="s">
        <v>2230</v>
      </c>
    </row>
    <row r="17" customFormat="false" ht="15" hidden="false" customHeight="false" outlineLevel="0" collapsed="false">
      <c r="B17" s="24" t="s">
        <v>886</v>
      </c>
      <c r="E17" s="24" t="s">
        <v>2231</v>
      </c>
    </row>
    <row r="18" customFormat="false" ht="15" hidden="false" customHeight="false" outlineLevel="0" collapsed="false">
      <c r="B18" s="24" t="s">
        <v>888</v>
      </c>
      <c r="E18" s="24" t="s">
        <v>2232</v>
      </c>
    </row>
    <row r="19" customFormat="false" ht="15" hidden="false" customHeight="false" outlineLevel="0" collapsed="false">
      <c r="B19" s="24" t="s">
        <v>890</v>
      </c>
      <c r="E19" s="24" t="s">
        <v>2233</v>
      </c>
    </row>
    <row r="21" customFormat="false" ht="15" hidden="false" customHeight="false" outlineLevel="0" collapsed="false">
      <c r="B21" s="22" t="s">
        <v>892</v>
      </c>
      <c r="C21" s="23"/>
      <c r="D21" s="23"/>
      <c r="E21" s="23"/>
      <c r="F21" s="23"/>
      <c r="G21" s="23"/>
      <c r="H21" s="23"/>
      <c r="I21" s="23"/>
      <c r="J21" s="23"/>
      <c r="K21" s="23"/>
      <c r="L21" s="23"/>
      <c r="M21" s="23"/>
      <c r="N21" s="23"/>
      <c r="O21" s="23"/>
      <c r="P21" s="23"/>
      <c r="Q21" s="23"/>
      <c r="R21" s="23"/>
      <c r="S21" s="23"/>
    </row>
    <row r="22" customFormat="false" ht="15" hidden="false" customHeight="false" outlineLevel="0" collapsed="false">
      <c r="B22" s="24" t="s">
        <v>893</v>
      </c>
      <c r="C22" s="25" t="s">
        <v>180</v>
      </c>
      <c r="D22" s="25" t="s">
        <v>894</v>
      </c>
      <c r="E22" s="65" t="n">
        <f aca="false">'Global Inputs'!$E$100</f>
        <v>1</v>
      </c>
      <c r="T22" s="5" t="s">
        <v>895</v>
      </c>
    </row>
    <row r="23" customFormat="false" ht="15" hidden="false" customHeight="false" outlineLevel="0" collapsed="false">
      <c r="B23" s="24" t="s">
        <v>896</v>
      </c>
      <c r="C23" s="25" t="s">
        <v>175</v>
      </c>
      <c r="D23" s="25" t="s">
        <v>894</v>
      </c>
      <c r="E23" s="65" t="n">
        <f aca="false">'Global Inputs'!$F$100</f>
        <v>2</v>
      </c>
      <c r="T23" s="5" t="s">
        <v>895</v>
      </c>
    </row>
    <row r="24" customFormat="false" ht="15" hidden="false" customHeight="false" outlineLevel="0" collapsed="false">
      <c r="B24" s="24" t="s">
        <v>897</v>
      </c>
      <c r="C24" s="25" t="s">
        <v>160</v>
      </c>
      <c r="D24" s="25" t="s">
        <v>894</v>
      </c>
      <c r="E24" s="67" t="n">
        <f aca="false">'Global Inputs'!$G$100</f>
        <v>1</v>
      </c>
      <c r="T24" s="5" t="s">
        <v>895</v>
      </c>
    </row>
    <row r="25" customFormat="false" ht="15" hidden="false" customHeight="false" outlineLevel="0" collapsed="false">
      <c r="B25" s="24" t="s">
        <v>1793</v>
      </c>
      <c r="C25" s="25" t="s">
        <v>135</v>
      </c>
      <c r="D25" s="28" t="s">
        <v>153</v>
      </c>
      <c r="E25" s="36" t="n">
        <v>2026</v>
      </c>
      <c r="T25" s="5" t="s">
        <v>2234</v>
      </c>
      <c r="U25" s="5" t="s">
        <v>2235</v>
      </c>
    </row>
    <row r="27" customFormat="false" ht="15" hidden="false" customHeight="false" outlineLevel="0" collapsed="false">
      <c r="B27" s="22" t="s">
        <v>2236</v>
      </c>
      <c r="C27" s="23"/>
      <c r="D27" s="23"/>
      <c r="E27" s="23"/>
      <c r="F27" s="23"/>
      <c r="G27" s="23"/>
      <c r="H27" s="23"/>
      <c r="I27" s="23"/>
      <c r="J27" s="23"/>
      <c r="K27" s="23"/>
      <c r="L27" s="23"/>
      <c r="M27" s="23"/>
      <c r="N27" s="23"/>
      <c r="O27" s="23"/>
      <c r="P27" s="23"/>
      <c r="Q27" s="23"/>
      <c r="R27" s="23"/>
      <c r="S27" s="23"/>
    </row>
    <row r="28" customFormat="false" ht="15" hidden="false" customHeight="false" outlineLevel="0" collapsed="false">
      <c r="B28" s="24" t="s">
        <v>2237</v>
      </c>
      <c r="C28" s="25" t="s">
        <v>160</v>
      </c>
      <c r="D28" s="28" t="s">
        <v>153</v>
      </c>
      <c r="E28" s="35" t="n">
        <v>0.5</v>
      </c>
      <c r="T28" s="5" t="s">
        <v>2238</v>
      </c>
      <c r="U28" s="5" t="s">
        <v>2239</v>
      </c>
    </row>
    <row r="29" customFormat="false" ht="15" hidden="false" customHeight="false" outlineLevel="0" collapsed="false">
      <c r="B29" s="22" t="s">
        <v>2240</v>
      </c>
      <c r="C29" s="23"/>
      <c r="D29" s="23"/>
      <c r="E29" s="23"/>
      <c r="F29" s="23"/>
      <c r="G29" s="23"/>
      <c r="H29" s="23"/>
      <c r="I29" s="23"/>
      <c r="J29" s="23"/>
      <c r="K29" s="23"/>
      <c r="L29" s="23"/>
      <c r="M29" s="23"/>
      <c r="N29" s="23"/>
      <c r="O29" s="23"/>
      <c r="P29" s="23"/>
      <c r="Q29" s="23"/>
      <c r="R29" s="23"/>
      <c r="S29" s="23"/>
    </row>
    <row r="30" customFormat="false" ht="15" hidden="false" customHeight="false" outlineLevel="0" collapsed="false">
      <c r="B30" s="24" t="s">
        <v>2241</v>
      </c>
      <c r="C30" s="25" t="s">
        <v>905</v>
      </c>
      <c r="D30" s="28" t="s">
        <v>153</v>
      </c>
      <c r="E30" s="101" t="n">
        <v>2526</v>
      </c>
      <c r="T30" s="5" t="s">
        <v>2242</v>
      </c>
    </row>
    <row r="31" customFormat="false" ht="15" hidden="false" customHeight="false" outlineLevel="0" collapsed="false">
      <c r="B31" s="24" t="s">
        <v>2243</v>
      </c>
      <c r="C31" s="25" t="s">
        <v>905</v>
      </c>
      <c r="D31" s="28" t="s">
        <v>153</v>
      </c>
      <c r="E31" s="101" t="n">
        <v>36303</v>
      </c>
      <c r="T31" s="5" t="s">
        <v>2244</v>
      </c>
    </row>
    <row r="32" customFormat="false" ht="15" hidden="false" customHeight="false" outlineLevel="0" collapsed="false">
      <c r="B32" s="24" t="s">
        <v>2245</v>
      </c>
      <c r="C32" s="25" t="s">
        <v>905</v>
      </c>
      <c r="D32" s="28" t="s">
        <v>153</v>
      </c>
      <c r="E32" s="101" t="n">
        <v>23777</v>
      </c>
      <c r="T32" s="5" t="s">
        <v>2246</v>
      </c>
    </row>
    <row r="33" customFormat="false" ht="15" hidden="false" customHeight="false" outlineLevel="0" collapsed="false">
      <c r="B33" s="24" t="s">
        <v>2247</v>
      </c>
      <c r="C33" s="25" t="s">
        <v>905</v>
      </c>
      <c r="D33" s="28" t="s">
        <v>153</v>
      </c>
      <c r="E33" s="101" t="n">
        <v>8421</v>
      </c>
      <c r="T33" s="5" t="s">
        <v>2248</v>
      </c>
    </row>
    <row r="34" customFormat="false" ht="15" hidden="false" customHeight="false" outlineLevel="0" collapsed="false">
      <c r="B34" s="24" t="s">
        <v>2249</v>
      </c>
      <c r="C34" s="25" t="s">
        <v>905</v>
      </c>
      <c r="D34" s="28" t="s">
        <v>153</v>
      </c>
      <c r="E34" s="101" t="n">
        <v>6935</v>
      </c>
      <c r="T34" s="5" t="s">
        <v>2250</v>
      </c>
    </row>
    <row r="35" customFormat="false" ht="15" hidden="false" customHeight="false" outlineLevel="0" collapsed="false">
      <c r="B35" s="24" t="s">
        <v>2251</v>
      </c>
      <c r="C35" s="25" t="s">
        <v>905</v>
      </c>
      <c r="D35" s="28" t="s">
        <v>153</v>
      </c>
      <c r="E35" s="101" t="n">
        <v>297</v>
      </c>
      <c r="T35" s="5" t="s">
        <v>2252</v>
      </c>
    </row>
    <row r="36" customFormat="false" ht="15" hidden="false" customHeight="false" outlineLevel="0" collapsed="false">
      <c r="B36" s="24" t="s">
        <v>2253</v>
      </c>
      <c r="C36" s="25" t="s">
        <v>905</v>
      </c>
      <c r="D36" s="28" t="s">
        <v>153</v>
      </c>
      <c r="E36" s="101" t="n">
        <v>3175.80717203884</v>
      </c>
      <c r="T36" s="5" t="s">
        <v>2254</v>
      </c>
    </row>
    <row r="37" customFormat="false" ht="15" hidden="false" customHeight="false" outlineLevel="0" collapsed="false">
      <c r="B37" s="24" t="s">
        <v>2255</v>
      </c>
      <c r="C37" s="25" t="s">
        <v>905</v>
      </c>
      <c r="D37" s="28" t="s">
        <v>153</v>
      </c>
      <c r="E37" s="101" t="n">
        <v>3091.01</v>
      </c>
      <c r="T37" s="5" t="s">
        <v>2256</v>
      </c>
    </row>
    <row r="38" customFormat="false" ht="15" hidden="false" customHeight="false" outlineLevel="0" collapsed="false">
      <c r="B38" s="24" t="s">
        <v>2257</v>
      </c>
      <c r="C38" s="25" t="s">
        <v>905</v>
      </c>
      <c r="D38" s="28" t="s">
        <v>153</v>
      </c>
      <c r="E38" s="101" t="n">
        <v>3572.78306854369</v>
      </c>
      <c r="T38" s="5" t="s">
        <v>2258</v>
      </c>
    </row>
    <row r="39" customFormat="false" ht="15" hidden="false" customHeight="false" outlineLevel="0" collapsed="false">
      <c r="B39" s="24" t="s">
        <v>2259</v>
      </c>
      <c r="C39" s="25" t="s">
        <v>905</v>
      </c>
      <c r="D39" s="28" t="s">
        <v>153</v>
      </c>
      <c r="E39" s="101" t="n">
        <v>1094.73</v>
      </c>
      <c r="T39" s="5" t="s">
        <v>2260</v>
      </c>
    </row>
    <row r="40" customFormat="false" ht="15" hidden="false" customHeight="false" outlineLevel="0" collapsed="false">
      <c r="B40" s="24" t="s">
        <v>2261</v>
      </c>
      <c r="C40" s="25" t="s">
        <v>160</v>
      </c>
      <c r="D40" s="28" t="s">
        <v>153</v>
      </c>
      <c r="E40" s="35" t="n">
        <v>0.27</v>
      </c>
      <c r="T40" s="5" t="s">
        <v>2262</v>
      </c>
    </row>
    <row r="41" customFormat="false" ht="15" hidden="false" customHeight="false" outlineLevel="0" collapsed="false">
      <c r="B41" s="24" t="s">
        <v>2263</v>
      </c>
      <c r="C41" s="25" t="s">
        <v>905</v>
      </c>
      <c r="D41" s="28" t="s">
        <v>153</v>
      </c>
      <c r="E41" s="101" t="n">
        <v>17219.4654238596</v>
      </c>
      <c r="T41" s="5" t="s">
        <v>2264</v>
      </c>
      <c r="U41" s="5" t="s">
        <v>2265</v>
      </c>
    </row>
    <row r="42" customFormat="false" ht="15" hidden="false" customHeight="false" outlineLevel="0" collapsed="false">
      <c r="B42" s="24" t="s">
        <v>2266</v>
      </c>
      <c r="C42" s="25" t="s">
        <v>905</v>
      </c>
      <c r="D42" s="28" t="s">
        <v>153</v>
      </c>
      <c r="E42" s="101" t="n">
        <v>3705</v>
      </c>
      <c r="T42" s="5" t="s">
        <v>2267</v>
      </c>
    </row>
    <row r="43" customFormat="false" ht="15" hidden="false" customHeight="false" outlineLevel="0" collapsed="false">
      <c r="B43" s="24" t="s">
        <v>2268</v>
      </c>
      <c r="C43" s="25" t="s">
        <v>905</v>
      </c>
      <c r="D43" s="28" t="s">
        <v>153</v>
      </c>
      <c r="E43" s="101" t="n">
        <v>42588</v>
      </c>
      <c r="T43" s="5" t="s">
        <v>2269</v>
      </c>
    </row>
    <row r="44" customFormat="false" ht="15" hidden="false" customHeight="false" outlineLevel="0" collapsed="false">
      <c r="B44" s="24" t="s">
        <v>2270</v>
      </c>
      <c r="C44" s="25" t="s">
        <v>905</v>
      </c>
      <c r="D44" s="28" t="s">
        <v>153</v>
      </c>
      <c r="E44" s="101" t="n">
        <v>23245</v>
      </c>
      <c r="T44" s="5" t="s">
        <v>2271</v>
      </c>
    </row>
    <row r="45" customFormat="false" ht="15" hidden="false" customHeight="false" outlineLevel="0" collapsed="false">
      <c r="B45" s="24" t="s">
        <v>2272</v>
      </c>
      <c r="C45" s="25" t="s">
        <v>905</v>
      </c>
      <c r="D45" s="28" t="s">
        <v>153</v>
      </c>
      <c r="E45" s="101" t="n">
        <v>8232</v>
      </c>
      <c r="T45" s="5" t="s">
        <v>2273</v>
      </c>
    </row>
    <row r="46" customFormat="false" ht="15" hidden="false" customHeight="false" outlineLevel="0" collapsed="false">
      <c r="B46" s="24" t="s">
        <v>2274</v>
      </c>
      <c r="C46" s="25" t="s">
        <v>905</v>
      </c>
      <c r="D46" s="28" t="s">
        <v>153</v>
      </c>
      <c r="E46" s="101" t="n">
        <v>6780</v>
      </c>
      <c r="T46" s="5" t="s">
        <v>2275</v>
      </c>
    </row>
    <row r="47" customFormat="false" ht="15" hidden="false" customHeight="false" outlineLevel="0" collapsed="false">
      <c r="B47" s="24" t="s">
        <v>2276</v>
      </c>
      <c r="C47" s="25" t="s">
        <v>905</v>
      </c>
      <c r="D47" s="28" t="s">
        <v>153</v>
      </c>
      <c r="E47" s="101" t="n">
        <v>291</v>
      </c>
      <c r="T47" s="5" t="s">
        <v>2277</v>
      </c>
    </row>
    <row r="48" customFormat="false" ht="15" hidden="false" customHeight="false" outlineLevel="0" collapsed="false">
      <c r="B48" s="24" t="s">
        <v>2278</v>
      </c>
      <c r="C48" s="25" t="s">
        <v>905</v>
      </c>
      <c r="D48" s="28" t="s">
        <v>153</v>
      </c>
      <c r="E48" s="101" t="n">
        <v>4339.10564784449</v>
      </c>
      <c r="T48" s="5" t="s">
        <v>2279</v>
      </c>
    </row>
    <row r="49" customFormat="false" ht="15" hidden="false" customHeight="false" outlineLevel="0" collapsed="false">
      <c r="B49" s="24" t="s">
        <v>2280</v>
      </c>
      <c r="C49" s="25" t="s">
        <v>905</v>
      </c>
      <c r="D49" s="28" t="s">
        <v>153</v>
      </c>
      <c r="E49" s="101" t="n">
        <v>3021.85</v>
      </c>
      <c r="T49" s="5" t="s">
        <v>2281</v>
      </c>
    </row>
    <row r="50" customFormat="false" ht="15" hidden="false" customHeight="false" outlineLevel="0" collapsed="false">
      <c r="B50" s="24" t="s">
        <v>2282</v>
      </c>
      <c r="C50" s="25" t="s">
        <v>905</v>
      </c>
      <c r="D50" s="28" t="s">
        <v>153</v>
      </c>
      <c r="E50" s="101" t="n">
        <v>4881.49385382505</v>
      </c>
      <c r="T50" s="5" t="s">
        <v>2283</v>
      </c>
    </row>
    <row r="51" customFormat="false" ht="15" hidden="false" customHeight="false" outlineLevel="0" collapsed="false">
      <c r="B51" s="24" t="s">
        <v>2284</v>
      </c>
      <c r="C51" s="25" t="s">
        <v>905</v>
      </c>
      <c r="D51" s="28" t="s">
        <v>153</v>
      </c>
      <c r="E51" s="101" t="n">
        <v>1070.16</v>
      </c>
      <c r="T51" s="5" t="s">
        <v>2285</v>
      </c>
    </row>
    <row r="52" customFormat="false" ht="15" hidden="false" customHeight="false" outlineLevel="0" collapsed="false">
      <c r="B52" s="24" t="s">
        <v>2286</v>
      </c>
      <c r="C52" s="25" t="s">
        <v>905</v>
      </c>
      <c r="D52" s="28" t="s">
        <v>153</v>
      </c>
      <c r="E52" s="101" t="n">
        <v>13240.5486278499</v>
      </c>
      <c r="T52" s="5" t="s">
        <v>2287</v>
      </c>
      <c r="U52" s="5" t="s">
        <v>2265</v>
      </c>
    </row>
    <row r="53" customFormat="false" ht="15" hidden="false" customHeight="false" outlineLevel="0" collapsed="false">
      <c r="B53" s="22" t="s">
        <v>2288</v>
      </c>
      <c r="C53" s="23"/>
      <c r="D53" s="23"/>
      <c r="E53" s="23"/>
      <c r="F53" s="23"/>
      <c r="G53" s="23"/>
      <c r="H53" s="23"/>
      <c r="I53" s="23"/>
      <c r="J53" s="23"/>
      <c r="K53" s="23"/>
      <c r="L53" s="23"/>
      <c r="M53" s="23"/>
      <c r="N53" s="23"/>
      <c r="O53" s="23"/>
      <c r="P53" s="23"/>
      <c r="Q53" s="23"/>
      <c r="R53" s="23"/>
      <c r="S53" s="23"/>
    </row>
    <row r="54" customFormat="false" ht="15" hidden="false" customHeight="false" outlineLevel="0" collapsed="false">
      <c r="B54" s="24" t="s">
        <v>2289</v>
      </c>
      <c r="C54" s="25" t="s">
        <v>905</v>
      </c>
      <c r="D54" s="28" t="s">
        <v>153</v>
      </c>
      <c r="E54" s="101" t="n">
        <v>34880</v>
      </c>
      <c r="T54" s="5" t="s">
        <v>2290</v>
      </c>
    </row>
    <row r="55" customFormat="false" ht="15" hidden="false" customHeight="false" outlineLevel="0" collapsed="false">
      <c r="B55" s="24" t="s">
        <v>2291</v>
      </c>
      <c r="C55" s="25" t="s">
        <v>160</v>
      </c>
      <c r="D55" s="28" t="s">
        <v>153</v>
      </c>
      <c r="E55" s="35" t="n">
        <v>0.7</v>
      </c>
      <c r="T55" s="5" t="s">
        <v>2292</v>
      </c>
    </row>
    <row r="56" customFormat="false" ht="15" hidden="false" customHeight="false" outlineLevel="0" collapsed="false">
      <c r="B56" s="24" t="s">
        <v>2293</v>
      </c>
      <c r="C56" s="25" t="s">
        <v>905</v>
      </c>
      <c r="D56" s="28" t="s">
        <v>153</v>
      </c>
      <c r="E56" s="101" t="n">
        <v>2377.45698361021</v>
      </c>
      <c r="T56" s="5" t="s">
        <v>2294</v>
      </c>
    </row>
    <row r="57" customFormat="false" ht="15" hidden="false" customHeight="false" outlineLevel="0" collapsed="false">
      <c r="B57" s="24" t="s">
        <v>2295</v>
      </c>
      <c r="C57" s="25" t="s">
        <v>905</v>
      </c>
      <c r="D57" s="28" t="s">
        <v>153</v>
      </c>
      <c r="E57" s="101" t="n">
        <v>3174.08</v>
      </c>
      <c r="T57" s="5" t="s">
        <v>2296</v>
      </c>
    </row>
    <row r="58" customFormat="false" ht="15" hidden="false" customHeight="false" outlineLevel="0" collapsed="false">
      <c r="B58" s="24" t="s">
        <v>2297</v>
      </c>
      <c r="C58" s="25" t="s">
        <v>148</v>
      </c>
      <c r="D58" s="28" t="s">
        <v>153</v>
      </c>
      <c r="E58" s="37" t="n">
        <v>1.2</v>
      </c>
      <c r="T58" s="5" t="s">
        <v>2298</v>
      </c>
    </row>
    <row r="59" customFormat="false" ht="15" hidden="false" customHeight="false" outlineLevel="0" collapsed="false">
      <c r="B59" s="24" t="s">
        <v>2299</v>
      </c>
      <c r="C59" s="25" t="s">
        <v>905</v>
      </c>
      <c r="D59" s="28" t="s">
        <v>153</v>
      </c>
      <c r="E59" s="101" t="n">
        <v>15290.1857803668</v>
      </c>
      <c r="T59" s="5" t="s">
        <v>2300</v>
      </c>
      <c r="U59" s="5" t="s">
        <v>2265</v>
      </c>
    </row>
    <row r="60" customFormat="false" ht="15" hidden="false" customHeight="false" outlineLevel="0" collapsed="false">
      <c r="B60" s="22" t="s">
        <v>2301</v>
      </c>
      <c r="C60" s="23"/>
      <c r="D60" s="23"/>
      <c r="E60" s="23"/>
      <c r="F60" s="23"/>
      <c r="G60" s="23"/>
      <c r="H60" s="23"/>
      <c r="I60" s="23"/>
      <c r="J60" s="23"/>
      <c r="K60" s="23"/>
      <c r="L60" s="23"/>
      <c r="M60" s="23"/>
      <c r="N60" s="23"/>
      <c r="O60" s="23"/>
      <c r="P60" s="23"/>
      <c r="Q60" s="23"/>
      <c r="R60" s="23"/>
      <c r="S60" s="23"/>
    </row>
    <row r="61" customFormat="false" ht="15" hidden="false" customHeight="false" outlineLevel="0" collapsed="false">
      <c r="B61" s="24" t="s">
        <v>2302</v>
      </c>
      <c r="C61" s="25" t="s">
        <v>905</v>
      </c>
      <c r="D61" s="28" t="s">
        <v>153</v>
      </c>
      <c r="E61" s="101" t="n">
        <v>55000</v>
      </c>
      <c r="T61" s="5" t="s">
        <v>2303</v>
      </c>
    </row>
    <row r="62" customFormat="false" ht="15" hidden="false" customHeight="false" outlineLevel="0" collapsed="false">
      <c r="B62" s="24" t="s">
        <v>2304</v>
      </c>
      <c r="C62" s="25" t="s">
        <v>905</v>
      </c>
      <c r="D62" s="28" t="s">
        <v>153</v>
      </c>
      <c r="E62" s="101" t="n">
        <v>29000</v>
      </c>
      <c r="T62" s="5" t="s">
        <v>2305</v>
      </c>
    </row>
    <row r="63" customFormat="false" ht="15" hidden="false" customHeight="false" outlineLevel="0" collapsed="false">
      <c r="B63" s="24" t="s">
        <v>2306</v>
      </c>
      <c r="C63" s="25" t="s">
        <v>905</v>
      </c>
      <c r="D63" s="28" t="s">
        <v>153</v>
      </c>
      <c r="E63" s="101" t="n">
        <v>12910.7356485744</v>
      </c>
      <c r="T63" s="5" t="s">
        <v>2307</v>
      </c>
      <c r="U63" s="5" t="s">
        <v>2308</v>
      </c>
    </row>
    <row r="64" customFormat="false" ht="15" hidden="false" customHeight="false" outlineLevel="0" collapsed="false">
      <c r="B64" s="24" t="s">
        <v>2309</v>
      </c>
      <c r="C64" s="25" t="s">
        <v>905</v>
      </c>
      <c r="D64" s="28" t="s">
        <v>153</v>
      </c>
      <c r="E64" s="101" t="n">
        <v>16089.2643514256</v>
      </c>
      <c r="T64" s="5" t="s">
        <v>2310</v>
      </c>
      <c r="U64" s="5" t="s">
        <v>2265</v>
      </c>
    </row>
    <row r="65" customFormat="false" ht="15" hidden="false" customHeight="false" outlineLevel="0" collapsed="false">
      <c r="B65" s="22" t="s">
        <v>2311</v>
      </c>
      <c r="C65" s="23"/>
      <c r="D65" s="23"/>
      <c r="E65" s="23"/>
      <c r="F65" s="23"/>
      <c r="G65" s="23"/>
      <c r="H65" s="23"/>
      <c r="I65" s="23"/>
      <c r="J65" s="23"/>
      <c r="K65" s="23"/>
      <c r="L65" s="23"/>
      <c r="M65" s="23"/>
      <c r="N65" s="23"/>
      <c r="O65" s="23"/>
      <c r="P65" s="23"/>
      <c r="Q65" s="23"/>
      <c r="R65" s="23"/>
      <c r="S65" s="23"/>
    </row>
    <row r="66" customFormat="false" ht="15" hidden="false" customHeight="false" outlineLevel="0" collapsed="false">
      <c r="B66" s="24" t="s">
        <v>2312</v>
      </c>
      <c r="C66" s="25" t="s">
        <v>160</v>
      </c>
      <c r="D66" s="28" t="s">
        <v>153</v>
      </c>
      <c r="E66" s="35" t="n">
        <v>0.49</v>
      </c>
      <c r="T66" s="5" t="s">
        <v>2313</v>
      </c>
    </row>
    <row r="67" customFormat="false" ht="15" hidden="false" customHeight="false" outlineLevel="0" collapsed="false">
      <c r="B67" s="24" t="s">
        <v>2314</v>
      </c>
      <c r="C67" s="25" t="s">
        <v>160</v>
      </c>
      <c r="D67" s="28" t="s">
        <v>153</v>
      </c>
      <c r="E67" s="35" t="n">
        <v>0.43</v>
      </c>
      <c r="T67" s="5" t="s">
        <v>2315</v>
      </c>
    </row>
    <row r="68" customFormat="false" ht="15" hidden="false" customHeight="false" outlineLevel="0" collapsed="false">
      <c r="B68" s="24" t="s">
        <v>2316</v>
      </c>
      <c r="C68" s="25" t="s">
        <v>160</v>
      </c>
      <c r="D68" s="28" t="s">
        <v>153</v>
      </c>
      <c r="E68" s="35" t="n">
        <v>0.43</v>
      </c>
      <c r="T68" s="5" t="s">
        <v>2317</v>
      </c>
    </row>
    <row r="69" customFormat="false" ht="15" hidden="false" customHeight="false" outlineLevel="0" collapsed="false">
      <c r="B69" s="22" t="s">
        <v>2318</v>
      </c>
      <c r="C69" s="23"/>
      <c r="D69" s="23"/>
      <c r="E69" s="23"/>
      <c r="F69" s="23"/>
      <c r="G69" s="23"/>
      <c r="H69" s="23"/>
      <c r="I69" s="23"/>
      <c r="J69" s="23"/>
      <c r="K69" s="23"/>
      <c r="L69" s="23"/>
      <c r="M69" s="23"/>
      <c r="N69" s="23"/>
      <c r="O69" s="23"/>
      <c r="P69" s="23"/>
      <c r="Q69" s="23"/>
      <c r="R69" s="23"/>
      <c r="S69" s="23"/>
    </row>
    <row r="70" customFormat="false" ht="15" hidden="false" customHeight="false" outlineLevel="0" collapsed="false">
      <c r="B70" s="24" t="s">
        <v>2319</v>
      </c>
      <c r="C70" s="25" t="s">
        <v>900</v>
      </c>
      <c r="D70" s="28" t="s">
        <v>153</v>
      </c>
      <c r="G70" s="101" t="n">
        <v>0</v>
      </c>
      <c r="H70" s="101" t="n">
        <v>0</v>
      </c>
      <c r="I70" s="101" t="n">
        <v>0</v>
      </c>
      <c r="J70" s="101" t="n">
        <v>0</v>
      </c>
      <c r="K70" s="101" t="n">
        <v>0</v>
      </c>
      <c r="L70" s="101" t="n">
        <v>0</v>
      </c>
      <c r="M70" s="101" t="n">
        <v>0</v>
      </c>
      <c r="N70" s="101" t="n">
        <v>0</v>
      </c>
      <c r="O70" s="101" t="n">
        <v>0</v>
      </c>
      <c r="P70" s="101" t="n">
        <v>0</v>
      </c>
      <c r="Q70" s="101" t="n">
        <v>0</v>
      </c>
      <c r="R70" s="101" t="n">
        <v>0</v>
      </c>
      <c r="S70" s="101" t="n">
        <v>0</v>
      </c>
      <c r="T70" s="5" t="s">
        <v>2320</v>
      </c>
      <c r="U70" s="5" t="s">
        <v>2321</v>
      </c>
    </row>
    <row r="71" customFormat="false" ht="15" hidden="false" customHeight="false" outlineLevel="0" collapsed="false">
      <c r="B71" s="24" t="s">
        <v>2322</v>
      </c>
      <c r="C71" s="25" t="s">
        <v>900</v>
      </c>
      <c r="D71" s="28" t="s">
        <v>153</v>
      </c>
      <c r="G71" s="101" t="n">
        <v>0</v>
      </c>
      <c r="H71" s="101" t="n">
        <v>0</v>
      </c>
      <c r="I71" s="101" t="n">
        <v>0</v>
      </c>
      <c r="J71" s="101" t="n">
        <v>0</v>
      </c>
      <c r="K71" s="101" t="n">
        <v>0</v>
      </c>
      <c r="L71" s="101" t="n">
        <v>0</v>
      </c>
      <c r="M71" s="101" t="n">
        <v>0</v>
      </c>
      <c r="N71" s="101" t="n">
        <v>0</v>
      </c>
      <c r="O71" s="101" t="n">
        <v>0</v>
      </c>
      <c r="P71" s="101" t="n">
        <v>0</v>
      </c>
      <c r="Q71" s="101" t="n">
        <v>0</v>
      </c>
      <c r="R71" s="101" t="n">
        <v>0</v>
      </c>
      <c r="S71" s="101" t="n">
        <v>0</v>
      </c>
      <c r="T71" s="5" t="s">
        <v>2323</v>
      </c>
      <c r="U71" s="5" t="s">
        <v>2324</v>
      </c>
    </row>
  </sheetData>
  <hyperlinks>
    <hyperlink ref="C3" r:id="rId1" location="'P12%20BUMNOps%20Input'!A1" display="Input"/>
    <hyperlink ref="D3" r:id="rId2" location="'P12%20BUMNOps%20Calc'!A1" display="Calc"/>
    <hyperlink ref="E3" r:id="rId3" location="'P12%20BUMNOps%20Output'!A1" display="Output"/>
    <hyperlink ref="F3" r:id="rId4" location="'Navigation'!A1" display="Navigation"/>
    <hyperlink ref="G3" r:id="rId5" location="'Global%20Inputs'!A1" display="Global Inputs"/>
    <hyperlink ref="H3" r:id="rId6" location="'Project%20Summary'!A1" display="Project Summary"/>
    <hyperlink ref="I3" r:id="rId7" location="'Funding%20Requirement'!A1" display="Funding"/>
    <hyperlink ref="J3" r:id="rId8" location="'FSL%20Financials%20—%20Without%20BUMN'!A1" display="FSL w/o BUMN"/>
    <hyperlink ref="K3" r:id="rId9" location="'FSL%20Financials%20—%20With%20BUMN'!A1" display="FSL w/ BUMN"/>
    <hyperlink ref="L3" r:id="rId10" location="'Valuation%20—%20Without%20BUMN'!A1" display="Val w/o BUMN"/>
    <hyperlink ref="M3" r:id="rId11" location="'Valuation%20—%20With%20BUMN'!A1" display="Val w/ BUMN"/>
    <hyperlink ref="N3" r:id="rId12" location="'Checks'!A1" display="Checks"/>
    <hyperlink ref="O3" r:id="rId13" location="'Model%20Flow'!A1" display="Model Flow"/>
  </hyperlink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BFBF"/>
    <pageSetUpPr fitToPage="true"/>
  </sheetPr>
  <dimension ref="B1:U7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5" ySplit="9" topLeftCell="F10" activePane="bottomRight" state="frozen"/>
      <selection pane="topLeft" activeCell="A1" activeCellId="0" sqref="A1"/>
      <selection pane="topRight" activeCell="F1" activeCellId="0" sqref="F1"/>
      <selection pane="bottomLeft" activeCell="A10" activeCellId="0" sqref="A10"/>
      <selection pane="bottomRigh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66"/>
    <col collapsed="false" customWidth="true" hidden="false" outlineLevel="0" max="3" min="3" style="0" width="11"/>
    <col collapsed="false" customWidth="true" hidden="false" outlineLevel="0" max="4" min="4" style="0" width="12"/>
    <col collapsed="false" customWidth="true" hidden="false" outlineLevel="0" max="5" min="5" style="0" width="13"/>
    <col collapsed="false" customWidth="true" hidden="false" outlineLevel="0" max="19" min="6" style="0" width="11.5"/>
    <col collapsed="false" customWidth="true" hidden="false" outlineLevel="0" max="20" min="20" style="0" width="40"/>
    <col collapsed="false" customWidth="true" hidden="false" outlineLevel="0" max="21" min="21" style="0" width="48"/>
  </cols>
  <sheetData>
    <row r="1" customFormat="false" ht="21.75" hidden="false" customHeight="true" outlineLevel="0" collapsed="false">
      <c r="B1" s="1" t="s">
        <v>2325</v>
      </c>
    </row>
    <row r="2" customFormat="false" ht="15" hidden="false" customHeight="false" outlineLevel="0" collapsed="false">
      <c r="B2" s="2" t="s">
        <v>1014</v>
      </c>
    </row>
    <row r="3" customFormat="false" ht="15" hidden="false" customHeight="false" outlineLevel="0" collapsed="false">
      <c r="B3" s="5" t="s">
        <v>112</v>
      </c>
      <c r="C3" s="17" t="s">
        <v>27</v>
      </c>
      <c r="D3" s="17" t="s">
        <v>28</v>
      </c>
      <c r="E3" s="17" t="s">
        <v>29</v>
      </c>
      <c r="F3" s="17" t="s">
        <v>113</v>
      </c>
      <c r="G3" s="17" t="s">
        <v>5</v>
      </c>
      <c r="H3" s="17" t="s">
        <v>7</v>
      </c>
      <c r="I3" s="17" t="s">
        <v>114</v>
      </c>
      <c r="J3" s="17" t="s">
        <v>115</v>
      </c>
      <c r="K3" s="17" t="s">
        <v>116</v>
      </c>
      <c r="L3" s="17" t="s">
        <v>117</v>
      </c>
      <c r="M3" s="17" t="s">
        <v>118</v>
      </c>
      <c r="N3" s="17" t="s">
        <v>21</v>
      </c>
      <c r="O3" s="17" t="s">
        <v>3</v>
      </c>
    </row>
    <row r="5" customFormat="false" ht="15" hidden="false" customHeight="false" outlineLevel="0" collapsed="false">
      <c r="B5" s="6" t="s">
        <v>119</v>
      </c>
      <c r="C5" s="6" t="s">
        <v>120</v>
      </c>
      <c r="D5" s="6" t="s">
        <v>121</v>
      </c>
      <c r="E5" s="6" t="s">
        <v>122</v>
      </c>
      <c r="F5" s="18" t="n">
        <f aca="false">'Global Inputs'!F$5</f>
        <v>2023</v>
      </c>
      <c r="G5" s="18" t="n">
        <f aca="false">'Global Inputs'!G$5</f>
        <v>2024</v>
      </c>
      <c r="H5" s="18" t="n">
        <f aca="false">'Global Inputs'!H$5</f>
        <v>2025</v>
      </c>
      <c r="I5" s="18" t="n">
        <f aca="false">'Global Inputs'!I$5</f>
        <v>2026</v>
      </c>
      <c r="J5" s="18" t="n">
        <f aca="false">'Global Inputs'!J$5</f>
        <v>2027</v>
      </c>
      <c r="K5" s="18" t="n">
        <f aca="false">'Global Inputs'!K$5</f>
        <v>2028</v>
      </c>
      <c r="L5" s="18" t="n">
        <f aca="false">'Global Inputs'!L$5</f>
        <v>2029</v>
      </c>
      <c r="M5" s="18" t="n">
        <f aca="false">'Global Inputs'!M$5</f>
        <v>2030</v>
      </c>
      <c r="N5" s="18" t="n">
        <f aca="false">'Global Inputs'!N$5</f>
        <v>2031</v>
      </c>
      <c r="O5" s="18" t="n">
        <f aca="false">'Global Inputs'!O$5</f>
        <v>2032</v>
      </c>
      <c r="P5" s="18" t="n">
        <f aca="false">'Global Inputs'!P$5</f>
        <v>2033</v>
      </c>
      <c r="Q5" s="18" t="n">
        <f aca="false">'Global Inputs'!Q$5</f>
        <v>2034</v>
      </c>
      <c r="R5" s="18" t="n">
        <f aca="false">'Global Inputs'!R$5</f>
        <v>2035</v>
      </c>
      <c r="S5" s="18" t="n">
        <f aca="false">'Global Inputs'!S$5</f>
        <v>2036</v>
      </c>
      <c r="T5" s="6" t="s">
        <v>123</v>
      </c>
      <c r="U5" s="6" t="s">
        <v>124</v>
      </c>
    </row>
    <row r="6" customFormat="false" ht="15" hidden="false" customHeight="false" outlineLevel="0" collapsed="false">
      <c r="B6" s="19" t="s">
        <v>125</v>
      </c>
      <c r="F6" s="20" t="n">
        <f aca="false">'Global Inputs'!F$6</f>
        <v>45291</v>
      </c>
      <c r="G6" s="20" t="n">
        <f aca="false">'Global Inputs'!G$6</f>
        <v>45657</v>
      </c>
      <c r="H6" s="20" t="n">
        <f aca="false">'Global Inputs'!H$6</f>
        <v>46022</v>
      </c>
      <c r="I6" s="20" t="n">
        <f aca="false">'Global Inputs'!I$6</f>
        <v>46387</v>
      </c>
      <c r="J6" s="20" t="n">
        <f aca="false">'Global Inputs'!J$6</f>
        <v>46752</v>
      </c>
      <c r="K6" s="20" t="n">
        <f aca="false">'Global Inputs'!K$6</f>
        <v>47118</v>
      </c>
      <c r="L6" s="20" t="n">
        <f aca="false">'Global Inputs'!L$6</f>
        <v>47483</v>
      </c>
      <c r="M6" s="20" t="n">
        <f aca="false">'Global Inputs'!M$6</f>
        <v>47848</v>
      </c>
      <c r="N6" s="20" t="n">
        <f aca="false">'Global Inputs'!N$6</f>
        <v>48213</v>
      </c>
      <c r="O6" s="20" t="n">
        <f aca="false">'Global Inputs'!O$6</f>
        <v>48579</v>
      </c>
      <c r="P6" s="20" t="n">
        <f aca="false">'Global Inputs'!P$6</f>
        <v>48944</v>
      </c>
      <c r="Q6" s="20" t="n">
        <f aca="false">'Global Inputs'!Q$6</f>
        <v>49309</v>
      </c>
      <c r="R6" s="20" t="n">
        <f aca="false">'Global Inputs'!R$6</f>
        <v>49674</v>
      </c>
      <c r="S6" s="20" t="n">
        <f aca="false">'Global Inputs'!S$6</f>
        <v>50040</v>
      </c>
    </row>
    <row r="7" customFormat="false" ht="15" hidden="false" customHeight="false" outlineLevel="0" collapsed="false">
      <c r="B7" s="19" t="s">
        <v>126</v>
      </c>
      <c r="F7" s="21" t="n">
        <f aca="false">'Global Inputs'!F$7</f>
        <v>365</v>
      </c>
      <c r="G7" s="21" t="n">
        <f aca="false">'Global Inputs'!G$7</f>
        <v>366</v>
      </c>
      <c r="H7" s="21" t="n">
        <f aca="false">'Global Inputs'!H$7</f>
        <v>365</v>
      </c>
      <c r="I7" s="21" t="n">
        <f aca="false">'Global Inputs'!I$7</f>
        <v>365</v>
      </c>
      <c r="J7" s="21" t="n">
        <f aca="false">'Global Inputs'!J$7</f>
        <v>365</v>
      </c>
      <c r="K7" s="21" t="n">
        <f aca="false">'Global Inputs'!K$7</f>
        <v>366</v>
      </c>
      <c r="L7" s="21" t="n">
        <f aca="false">'Global Inputs'!L$7</f>
        <v>365</v>
      </c>
      <c r="M7" s="21" t="n">
        <f aca="false">'Global Inputs'!M$7</f>
        <v>365</v>
      </c>
      <c r="N7" s="21" t="n">
        <f aca="false">'Global Inputs'!N$7</f>
        <v>365</v>
      </c>
      <c r="O7" s="21" t="n">
        <f aca="false">'Global Inputs'!O$7</f>
        <v>366</v>
      </c>
      <c r="P7" s="21" t="n">
        <f aca="false">'Global Inputs'!P$7</f>
        <v>365</v>
      </c>
      <c r="Q7" s="21" t="n">
        <f aca="false">'Global Inputs'!Q$7</f>
        <v>365</v>
      </c>
      <c r="R7" s="21" t="n">
        <f aca="false">'Global Inputs'!R$7</f>
        <v>365</v>
      </c>
      <c r="S7" s="21" t="n">
        <f aca="false">'Global Inputs'!S$7</f>
        <v>366</v>
      </c>
    </row>
    <row r="8" customFormat="false" ht="15" hidden="false" customHeight="false" outlineLevel="0" collapsed="false">
      <c r="B8" s="19" t="s">
        <v>127</v>
      </c>
      <c r="F8" s="21" t="n">
        <f aca="false">'Global Inputs'!F$8</f>
        <v>0</v>
      </c>
      <c r="G8" s="21" t="n">
        <f aca="false">'Global Inputs'!G$8</f>
        <v>1</v>
      </c>
      <c r="H8" s="21" t="n">
        <f aca="false">'Global Inputs'!H$8</f>
        <v>1</v>
      </c>
      <c r="I8" s="21" t="n">
        <f aca="false">'Global Inputs'!I$8</f>
        <v>1</v>
      </c>
      <c r="J8" s="21" t="n">
        <f aca="false">'Global Inputs'!J$8</f>
        <v>1</v>
      </c>
      <c r="K8" s="21" t="n">
        <f aca="false">'Global Inputs'!K$8</f>
        <v>1</v>
      </c>
      <c r="L8" s="21" t="n">
        <f aca="false">'Global Inputs'!L$8</f>
        <v>1</v>
      </c>
      <c r="M8" s="21" t="n">
        <f aca="false">'Global Inputs'!M$8</f>
        <v>1</v>
      </c>
      <c r="N8" s="21" t="n">
        <f aca="false">'Global Inputs'!N$8</f>
        <v>1</v>
      </c>
      <c r="O8" s="21" t="n">
        <f aca="false">'Global Inputs'!O$8</f>
        <v>1</v>
      </c>
      <c r="P8" s="21" t="n">
        <f aca="false">'Global Inputs'!P$8</f>
        <v>1</v>
      </c>
      <c r="Q8" s="21" t="n">
        <f aca="false">'Global Inputs'!Q$8</f>
        <v>1</v>
      </c>
      <c r="R8" s="21" t="n">
        <f aca="false">'Global Inputs'!R$8</f>
        <v>1</v>
      </c>
      <c r="S8" s="21" t="n">
        <f aca="false">'Global Inputs'!S$8</f>
        <v>1</v>
      </c>
    </row>
    <row r="10" customFormat="false" ht="15" hidden="false" customHeight="false" outlineLevel="0" collapsed="false">
      <c r="B10" s="22" t="s">
        <v>1015</v>
      </c>
      <c r="C10" s="23"/>
      <c r="D10" s="23"/>
      <c r="E10" s="23"/>
      <c r="F10" s="23"/>
      <c r="G10" s="23"/>
      <c r="H10" s="23"/>
      <c r="I10" s="23"/>
      <c r="J10" s="23"/>
      <c r="K10" s="23"/>
      <c r="L10" s="23"/>
      <c r="M10" s="23"/>
      <c r="N10" s="23"/>
      <c r="O10" s="23"/>
      <c r="P10" s="23"/>
      <c r="Q10" s="23"/>
      <c r="R10" s="23"/>
      <c r="S10" s="23"/>
    </row>
    <row r="11" customFormat="false" ht="15" hidden="false" customHeight="false" outlineLevel="0" collapsed="false">
      <c r="B11" s="24" t="s">
        <v>1016</v>
      </c>
      <c r="C11" s="25" t="s">
        <v>143</v>
      </c>
      <c r="F11" s="30" t="n">
        <f aca="false">IF(F$5&gt;='P12 BUMNOps Input'!$E$25,1,0)*F$8</f>
        <v>0</v>
      </c>
      <c r="G11" s="30" t="n">
        <f aca="false">IF(G$5&gt;='P12 BUMNOps Input'!$E$25,1,0)*G$8</f>
        <v>0</v>
      </c>
      <c r="H11" s="30" t="n">
        <f aca="false">IF(H$5&gt;='P12 BUMNOps Input'!$E$25,1,0)*H$8</f>
        <v>0</v>
      </c>
      <c r="I11" s="30" t="n">
        <f aca="false">IF(I$5&gt;='P12 BUMNOps Input'!$E$25,1,0)*I$8</f>
        <v>1</v>
      </c>
      <c r="J11" s="30" t="n">
        <f aca="false">IF(J$5&gt;='P12 BUMNOps Input'!$E$25,1,0)*J$8</f>
        <v>1</v>
      </c>
      <c r="K11" s="30" t="n">
        <f aca="false">IF(K$5&gt;='P12 BUMNOps Input'!$E$25,1,0)*K$8</f>
        <v>1</v>
      </c>
      <c r="L11" s="30" t="n">
        <f aca="false">IF(L$5&gt;='P12 BUMNOps Input'!$E$25,1,0)*L$8</f>
        <v>1</v>
      </c>
      <c r="M11" s="30" t="n">
        <f aca="false">IF(M$5&gt;='P12 BUMNOps Input'!$E$25,1,0)*M$8</f>
        <v>1</v>
      </c>
      <c r="N11" s="30" t="n">
        <f aca="false">IF(N$5&gt;='P12 BUMNOps Input'!$E$25,1,0)*N$8</f>
        <v>1</v>
      </c>
      <c r="O11" s="30" t="n">
        <f aca="false">IF(O$5&gt;='P12 BUMNOps Input'!$E$25,1,0)*O$8</f>
        <v>1</v>
      </c>
      <c r="P11" s="30" t="n">
        <f aca="false">IF(P$5&gt;='P12 BUMNOps Input'!$E$25,1,0)*P$8</f>
        <v>1</v>
      </c>
      <c r="Q11" s="30" t="n">
        <f aca="false">IF(Q$5&gt;='P12 BUMNOps Input'!$E$25,1,0)*Q$8</f>
        <v>1</v>
      </c>
      <c r="R11" s="30" t="n">
        <f aca="false">IF(R$5&gt;='P12 BUMNOps Input'!$E$25,1,0)*R$8</f>
        <v>1</v>
      </c>
      <c r="S11" s="30" t="n">
        <f aca="false">IF(S$5&gt;='P12 BUMNOps Input'!$E$25,1,0)*S$8</f>
        <v>1</v>
      </c>
    </row>
    <row r="13" customFormat="false" ht="15" hidden="false" customHeight="false" outlineLevel="0" collapsed="false">
      <c r="B13" s="22" t="s">
        <v>2326</v>
      </c>
      <c r="C13" s="23"/>
      <c r="D13" s="23"/>
      <c r="E13" s="23"/>
      <c r="F13" s="23"/>
      <c r="G13" s="23"/>
      <c r="H13" s="23"/>
      <c r="I13" s="23"/>
      <c r="J13" s="23"/>
      <c r="K13" s="23"/>
      <c r="L13" s="23"/>
      <c r="M13" s="23"/>
      <c r="N13" s="23"/>
      <c r="O13" s="23"/>
      <c r="P13" s="23"/>
      <c r="Q13" s="23"/>
      <c r="R13" s="23"/>
      <c r="S13" s="23"/>
    </row>
    <row r="14" customFormat="false" ht="15" hidden="false" customHeight="false" outlineLevel="0" collapsed="false">
      <c r="B14" s="24" t="s">
        <v>2327</v>
      </c>
      <c r="C14" s="25" t="s">
        <v>905</v>
      </c>
      <c r="E14" s="31" t="n">
        <f aca="false">'P12 BUMNOps Input'!$E$30+'P12 BUMNOps Input'!$E$31+'P12 BUMNOps Input'!$E$32+'P12 BUMNOps Input'!$E$33+'P12 BUMNOps Input'!$E$34+'P12 BUMNOps Input'!$E$35</f>
        <v>78259</v>
      </c>
    </row>
    <row r="15" customFormat="false" ht="15" hidden="false" customHeight="false" outlineLevel="0" collapsed="false">
      <c r="B15" s="24" t="s">
        <v>2328</v>
      </c>
      <c r="C15" s="25" t="s">
        <v>905</v>
      </c>
      <c r="E15" s="31" t="n">
        <f aca="false">('P12 BUMNOps Input'!$E$36+'P12 BUMNOps Input'!$E$37)/(1-'P12 BUMNOps Input'!$E$40)</f>
        <v>8584.68105758745</v>
      </c>
    </row>
    <row r="16" customFormat="false" ht="15" hidden="false" customHeight="false" outlineLevel="0" collapsed="false">
      <c r="B16" s="24" t="s">
        <v>2329</v>
      </c>
      <c r="C16" s="25" t="s">
        <v>905</v>
      </c>
      <c r="E16" s="31" t="n">
        <f aca="false">('P12 BUMNOps Input'!$E$38+'P12 BUMNOps Input'!$E$39)/(1-'P12 BUMNOps Input'!$E$40)</f>
        <v>6393.853518553</v>
      </c>
    </row>
    <row r="17" customFormat="false" ht="15" hidden="false" customHeight="false" outlineLevel="0" collapsed="false">
      <c r="B17" s="24" t="s">
        <v>2330</v>
      </c>
      <c r="C17" s="25" t="s">
        <v>905</v>
      </c>
      <c r="E17" s="31" t="n">
        <f aca="false">'P12 BUMNOps Input'!$E$30+'P12 BUMNOps Input'!$E$31+$E$15+$E$16+'P12 BUMNOps Input'!$E$34+'P12 BUMNOps Input'!$E$35</f>
        <v>61039.5345761405</v>
      </c>
    </row>
    <row r="18" customFormat="false" ht="15" hidden="false" customHeight="false" outlineLevel="0" collapsed="false">
      <c r="B18" s="69" t="s">
        <v>2331</v>
      </c>
      <c r="C18" s="25" t="s">
        <v>905</v>
      </c>
      <c r="E18" s="105" t="n">
        <f aca="false">$E$14-$E$17</f>
        <v>17219.4654238595</v>
      </c>
    </row>
    <row r="19" customFormat="false" ht="15" hidden="false" customHeight="false" outlineLevel="0" collapsed="false">
      <c r="B19" s="24" t="s">
        <v>2332</v>
      </c>
      <c r="C19" s="25" t="s">
        <v>905</v>
      </c>
      <c r="E19" s="44" t="n">
        <f aca="false">$E$18-'P12 BUMNOps Input'!$E$41</f>
        <v>0</v>
      </c>
    </row>
    <row r="20" customFormat="false" ht="15" hidden="false" customHeight="false" outlineLevel="0" collapsed="false">
      <c r="B20" s="24" t="s">
        <v>2333</v>
      </c>
      <c r="C20" s="25" t="s">
        <v>905</v>
      </c>
      <c r="E20" s="31" t="n">
        <f aca="false">'P12 BUMNOps Input'!$E$42+'P12 BUMNOps Input'!$E$43+'P12 BUMNOps Input'!$E$44+'P12 BUMNOps Input'!$E$45+'P12 BUMNOps Input'!$E$46+'P12 BUMNOps Input'!$E$47</f>
        <v>84841</v>
      </c>
    </row>
    <row r="21" customFormat="false" ht="15" hidden="false" customHeight="false" outlineLevel="0" collapsed="false">
      <c r="B21" s="24" t="s">
        <v>2334</v>
      </c>
      <c r="C21" s="25" t="s">
        <v>905</v>
      </c>
      <c r="E21" s="31" t="n">
        <f aca="false">('P12 BUMNOps Input'!$E$48+'P12 BUMNOps Input'!$E$49)/(1-'P12 BUMNOps Input'!$E$40)</f>
        <v>10083.5008874582</v>
      </c>
    </row>
    <row r="22" customFormat="false" ht="15" hidden="false" customHeight="false" outlineLevel="0" collapsed="false">
      <c r="B22" s="24" t="s">
        <v>2335</v>
      </c>
      <c r="C22" s="25" t="s">
        <v>905</v>
      </c>
      <c r="E22" s="31" t="n">
        <f aca="false">('P12 BUMNOps Input'!$E$50+'P12 BUMNOps Input'!$E$51)/(1-'P12 BUMNOps Input'!$E$40)</f>
        <v>8152.95048469185</v>
      </c>
    </row>
    <row r="23" customFormat="false" ht="15" hidden="false" customHeight="false" outlineLevel="0" collapsed="false">
      <c r="B23" s="24" t="s">
        <v>2336</v>
      </c>
      <c r="C23" s="25" t="s">
        <v>905</v>
      </c>
      <c r="E23" s="31" t="n">
        <f aca="false">'P12 BUMNOps Input'!$E$42+'P12 BUMNOps Input'!$E$43+$E$21+$E$22+'P12 BUMNOps Input'!$E$46+'P12 BUMNOps Input'!$E$47</f>
        <v>71600.4513721501</v>
      </c>
    </row>
    <row r="24" customFormat="false" ht="15" hidden="false" customHeight="false" outlineLevel="0" collapsed="false">
      <c r="B24" s="69" t="s">
        <v>2337</v>
      </c>
      <c r="C24" s="25" t="s">
        <v>905</v>
      </c>
      <c r="E24" s="105" t="n">
        <f aca="false">$E$20-$E$23</f>
        <v>13240.5486278499</v>
      </c>
    </row>
    <row r="25" customFormat="false" ht="15" hidden="false" customHeight="false" outlineLevel="0" collapsed="false">
      <c r="B25" s="24" t="s">
        <v>2338</v>
      </c>
      <c r="C25" s="25" t="s">
        <v>905</v>
      </c>
      <c r="E25" s="44" t="n">
        <f aca="false">$E$24-'P12 BUMNOps Input'!$E$52</f>
        <v>0</v>
      </c>
    </row>
    <row r="27" customFormat="false" ht="15" hidden="false" customHeight="false" outlineLevel="0" collapsed="false">
      <c r="B27" s="22" t="s">
        <v>2339</v>
      </c>
      <c r="C27" s="23"/>
      <c r="D27" s="23"/>
      <c r="E27" s="23"/>
      <c r="F27" s="23"/>
      <c r="G27" s="23"/>
      <c r="H27" s="23"/>
      <c r="I27" s="23"/>
      <c r="J27" s="23"/>
      <c r="K27" s="23"/>
      <c r="L27" s="23"/>
      <c r="M27" s="23"/>
      <c r="N27" s="23"/>
      <c r="O27" s="23"/>
      <c r="P27" s="23"/>
      <c r="Q27" s="23"/>
      <c r="R27" s="23"/>
      <c r="S27" s="23"/>
    </row>
    <row r="28" customFormat="false" ht="15" hidden="false" customHeight="false" outlineLevel="0" collapsed="false">
      <c r="B28" s="24" t="s">
        <v>2340</v>
      </c>
      <c r="C28" s="25" t="s">
        <v>905</v>
      </c>
      <c r="E28" s="31" t="n">
        <f aca="false">'P12 BUMNOps Input'!$E$54*'P12 BUMNOps Input'!$E$55</f>
        <v>24416</v>
      </c>
    </row>
    <row r="29" customFormat="false" ht="15" hidden="false" customHeight="false" outlineLevel="0" collapsed="false">
      <c r="B29" s="24" t="s">
        <v>2341</v>
      </c>
      <c r="C29" s="25" t="s">
        <v>905</v>
      </c>
      <c r="E29" s="31" t="n">
        <f aca="false">'P12 BUMNOps Input'!$E$54-$E$28</f>
        <v>10464</v>
      </c>
    </row>
    <row r="30" customFormat="false" ht="15" hidden="false" customHeight="false" outlineLevel="0" collapsed="false">
      <c r="B30" s="24" t="s">
        <v>2342</v>
      </c>
      <c r="C30" s="25" t="s">
        <v>905</v>
      </c>
      <c r="E30" s="31" t="n">
        <f aca="false">('P12 BUMNOps Input'!$E$56+'P12 BUMNOps Input'!$E$57)/(1-'P12 BUMNOps Input'!$E$40)*'P12 BUMNOps Input'!$E$58</f>
        <v>9125.81421963322</v>
      </c>
    </row>
    <row r="31" customFormat="false" ht="15" hidden="false" customHeight="false" outlineLevel="0" collapsed="false">
      <c r="B31" s="69" t="s">
        <v>2343</v>
      </c>
      <c r="C31" s="25" t="s">
        <v>905</v>
      </c>
      <c r="E31" s="105" t="n">
        <f aca="false">($E$29+$E$28)-($E$29+$E$30)</f>
        <v>15290.1857803668</v>
      </c>
    </row>
    <row r="32" customFormat="false" ht="15" hidden="false" customHeight="false" outlineLevel="0" collapsed="false">
      <c r="B32" s="24" t="s">
        <v>2344</v>
      </c>
      <c r="C32" s="25" t="s">
        <v>905</v>
      </c>
      <c r="E32" s="44" t="n">
        <f aca="false">$E$31-'P12 BUMNOps Input'!$E$59</f>
        <v>0</v>
      </c>
    </row>
    <row r="34" customFormat="false" ht="15" hidden="false" customHeight="false" outlineLevel="0" collapsed="false">
      <c r="B34" s="22" t="s">
        <v>2345</v>
      </c>
      <c r="C34" s="23"/>
      <c r="D34" s="23"/>
      <c r="E34" s="23"/>
      <c r="F34" s="23"/>
      <c r="G34" s="23"/>
      <c r="H34" s="23"/>
      <c r="I34" s="23"/>
      <c r="J34" s="23"/>
      <c r="K34" s="23"/>
      <c r="L34" s="23"/>
      <c r="M34" s="23"/>
      <c r="N34" s="23"/>
      <c r="O34" s="23"/>
      <c r="P34" s="23"/>
      <c r="Q34" s="23"/>
      <c r="R34" s="23"/>
      <c r="S34" s="23"/>
    </row>
    <row r="35" customFormat="false" ht="15" hidden="false" customHeight="false" outlineLevel="0" collapsed="false">
      <c r="B35" s="24" t="s">
        <v>2346</v>
      </c>
      <c r="C35" s="25" t="s">
        <v>905</v>
      </c>
      <c r="E35" s="31" t="n">
        <f aca="false">'P12 BUMNOps Input'!$E$61-'P12 BUMNOps Input'!$E$62</f>
        <v>26000</v>
      </c>
    </row>
    <row r="36" customFormat="false" ht="15" hidden="false" customHeight="false" outlineLevel="0" collapsed="false">
      <c r="B36" s="69" t="s">
        <v>2347</v>
      </c>
      <c r="C36" s="25" t="s">
        <v>905</v>
      </c>
      <c r="E36" s="105" t="n">
        <f aca="false">($E$35+'P12 BUMNOps Input'!$E$62)-($E$35+'P12 BUMNOps Input'!$E$63)</f>
        <v>16089.2643514256</v>
      </c>
    </row>
    <row r="37" customFormat="false" ht="15" hidden="false" customHeight="false" outlineLevel="0" collapsed="false">
      <c r="B37" s="24" t="s">
        <v>2348</v>
      </c>
      <c r="C37" s="25" t="s">
        <v>905</v>
      </c>
      <c r="E37" s="44" t="n">
        <f aca="false">$E$36-'P12 BUMNOps Input'!$E$64</f>
        <v>0</v>
      </c>
    </row>
    <row r="39" customFormat="false" ht="15" hidden="false" customHeight="false" outlineLevel="0" collapsed="false">
      <c r="B39" s="22" t="s">
        <v>2349</v>
      </c>
      <c r="C39" s="23"/>
      <c r="D39" s="23"/>
      <c r="E39" s="23"/>
      <c r="F39" s="23"/>
      <c r="G39" s="23"/>
      <c r="H39" s="23"/>
      <c r="I39" s="23"/>
      <c r="J39" s="23"/>
      <c r="K39" s="23"/>
      <c r="L39" s="23"/>
      <c r="M39" s="23"/>
      <c r="N39" s="23"/>
      <c r="O39" s="23"/>
      <c r="P39" s="23"/>
      <c r="Q39" s="23"/>
      <c r="R39" s="23"/>
      <c r="S39" s="23"/>
    </row>
    <row r="40" customFormat="false" ht="15" hidden="false" customHeight="false" outlineLevel="0" collapsed="false">
      <c r="B40" s="24" t="s">
        <v>2350</v>
      </c>
      <c r="C40" s="25" t="s">
        <v>900</v>
      </c>
      <c r="E40" s="31" t="n">
        <f aca="false">SUM(F40:S40)</f>
        <v>21775385.3388691</v>
      </c>
      <c r="F40" s="94" t="n">
        <f aca="false">('E1 TelukLamong Calc'!F18+'E1 TelukLamong Calc'!F20*'P12 BUMNOps Input'!$E$28)*F11</f>
        <v>0</v>
      </c>
      <c r="G40" s="94" t="n">
        <f aca="false">('E1 TelukLamong Calc'!G18+'E1 TelukLamong Calc'!G20*'P12 BUMNOps Input'!$E$28)*G11</f>
        <v>0</v>
      </c>
      <c r="H40" s="94" t="n">
        <f aca="false">('E1 TelukLamong Calc'!H18+'E1 TelukLamong Calc'!H20*'P12 BUMNOps Input'!$E$28)*H11</f>
        <v>0</v>
      </c>
      <c r="I40" s="94" t="n">
        <f aca="false">('E1 TelukLamong Calc'!I18+'E1 TelukLamong Calc'!I20*'P12 BUMNOps Input'!$E$28)*I11</f>
        <v>1700166.513</v>
      </c>
      <c r="J40" s="94" t="n">
        <f aca="false">('E1 TelukLamong Calc'!J18+'E1 TelukLamong Calc'!J20*'P12 BUMNOps Input'!$E$28)*J11</f>
        <v>1751171.50839</v>
      </c>
      <c r="K40" s="94" t="n">
        <f aca="false">('E1 TelukLamong Calc'!K18+'E1 TelukLamong Calc'!K20*'P12 BUMNOps Input'!$E$28)*K11</f>
        <v>1803706.6536417</v>
      </c>
      <c r="L40" s="94" t="n">
        <f aca="false">('E1 TelukLamong Calc'!L18+'E1 TelukLamong Calc'!L20*'P12 BUMNOps Input'!$E$28)*L11</f>
        <v>1857817.85325095</v>
      </c>
      <c r="M40" s="94" t="n">
        <f aca="false">('E1 TelukLamong Calc'!M18+'E1 TelukLamong Calc'!M20*'P12 BUMNOps Input'!$E$28)*M11</f>
        <v>1913552.38884848</v>
      </c>
      <c r="N40" s="94" t="n">
        <f aca="false">('E1 TelukLamong Calc'!N18+'E1 TelukLamong Calc'!N20*'P12 BUMNOps Input'!$E$28)*N11</f>
        <v>1970958.96051393</v>
      </c>
      <c r="O40" s="94" t="n">
        <f aca="false">('E1 TelukLamong Calc'!O18+'E1 TelukLamong Calc'!O20*'P12 BUMNOps Input'!$E$28)*O11</f>
        <v>2030087.72932935</v>
      </c>
      <c r="P40" s="94" t="n">
        <f aca="false">('E1 TelukLamong Calc'!P18+'E1 TelukLamong Calc'!P20*'P12 BUMNOps Input'!$E$28)*P11</f>
        <v>2090990.36120923</v>
      </c>
      <c r="Q40" s="94" t="n">
        <f aca="false">('E1 TelukLamong Calc'!Q18+'E1 TelukLamong Calc'!Q20*'P12 BUMNOps Input'!$E$28)*Q11</f>
        <v>2153720.07204551</v>
      </c>
      <c r="R40" s="94" t="n">
        <f aca="false">('E1 TelukLamong Calc'!R18+'E1 TelukLamong Calc'!R20*'P12 BUMNOps Input'!$E$28)*R11</f>
        <v>2218331.67420688</v>
      </c>
      <c r="S40" s="94" t="n">
        <f aca="false">('E1 TelukLamong Calc'!S18+'E1 TelukLamong Calc'!S20*'P12 BUMNOps Input'!$E$28)*S11</f>
        <v>2284881.62443308</v>
      </c>
      <c r="U40" s="5" t="s">
        <v>2351</v>
      </c>
    </row>
    <row r="41" customFormat="false" ht="15" hidden="false" customHeight="false" outlineLevel="0" collapsed="false">
      <c r="B41" s="24" t="s">
        <v>2352</v>
      </c>
      <c r="C41" s="25" t="s">
        <v>900</v>
      </c>
      <c r="E41" s="31" t="n">
        <f aca="false">SUM(F41:S41)</f>
        <v>28040443.7588107</v>
      </c>
      <c r="F41" s="94" t="n">
        <f aca="false">('E1 TelukLamong Calc'!F15+'E1 TelukLamong Calc'!F20*'P12 BUMNOps Input'!$E$28)*F11</f>
        <v>0</v>
      </c>
      <c r="G41" s="94" t="n">
        <f aca="false">('E1 TelukLamong Calc'!G15+'E1 TelukLamong Calc'!G20*'P12 BUMNOps Input'!$E$28)*G11</f>
        <v>0</v>
      </c>
      <c r="H41" s="94" t="n">
        <f aca="false">('E1 TelukLamong Calc'!H15+'E1 TelukLamong Calc'!H20*'P12 BUMNOps Input'!$E$28)*H11</f>
        <v>0</v>
      </c>
      <c r="I41" s="94" t="n">
        <f aca="false">('E1 TelukLamong Calc'!I15+'E1 TelukLamong Calc'!I20*'P12 BUMNOps Input'!$E$28)*I11</f>
        <v>2189326.285</v>
      </c>
      <c r="J41" s="94" t="n">
        <f aca="false">('E1 TelukLamong Calc'!J15+'E1 TelukLamong Calc'!J20*'P12 BUMNOps Input'!$E$28)*J11</f>
        <v>2255006.07355</v>
      </c>
      <c r="K41" s="94" t="n">
        <f aca="false">('E1 TelukLamong Calc'!K15+'E1 TelukLamong Calc'!K20*'P12 BUMNOps Input'!$E$28)*K11</f>
        <v>2322656.2557565</v>
      </c>
      <c r="L41" s="94" t="n">
        <f aca="false">('E1 TelukLamong Calc'!L15+'E1 TelukLamong Calc'!L20*'P12 BUMNOps Input'!$E$28)*L11</f>
        <v>2392335.9434292</v>
      </c>
      <c r="M41" s="94" t="n">
        <f aca="false">('E1 TelukLamong Calc'!M15+'E1 TelukLamong Calc'!M20*'P12 BUMNOps Input'!$E$28)*M11</f>
        <v>2464106.02173207</v>
      </c>
      <c r="N41" s="94" t="n">
        <f aca="false">('E1 TelukLamong Calc'!N15+'E1 TelukLamong Calc'!N20*'P12 BUMNOps Input'!$E$28)*N11</f>
        <v>2538029.20238403</v>
      </c>
      <c r="O41" s="94" t="n">
        <f aca="false">('E1 TelukLamong Calc'!O15+'E1 TelukLamong Calc'!O20*'P12 BUMNOps Input'!$E$28)*O11</f>
        <v>2614170.07845555</v>
      </c>
      <c r="P41" s="94" t="n">
        <f aca="false">('E1 TelukLamong Calc'!P15+'E1 TelukLamong Calc'!P20*'P12 BUMNOps Input'!$E$28)*P11</f>
        <v>2692595.18080922</v>
      </c>
      <c r="Q41" s="94" t="n">
        <f aca="false">('E1 TelukLamong Calc'!Q15+'E1 TelukLamong Calc'!Q20*'P12 BUMNOps Input'!$E$28)*Q11</f>
        <v>2773373.0362335</v>
      </c>
      <c r="R41" s="94" t="n">
        <f aca="false">('E1 TelukLamong Calc'!R15+'E1 TelukLamong Calc'!R20*'P12 BUMNOps Input'!$E$28)*R11</f>
        <v>2856574.2273205</v>
      </c>
      <c r="S41" s="94" t="n">
        <f aca="false">('E1 TelukLamong Calc'!S15+'E1 TelukLamong Calc'!S20*'P12 BUMNOps Input'!$E$28)*S11</f>
        <v>2942271.45414012</v>
      </c>
      <c r="U41" s="5" t="s">
        <v>2353</v>
      </c>
    </row>
    <row r="42" customFormat="false" ht="15" hidden="false" customHeight="false" outlineLevel="0" collapsed="false">
      <c r="B42" s="24" t="s">
        <v>2354</v>
      </c>
      <c r="C42" s="25" t="s">
        <v>900</v>
      </c>
      <c r="E42" s="31" t="n">
        <f aca="false">SUM(F42:S42)</f>
        <v>47266851.5316247</v>
      </c>
      <c r="F42" s="94" t="n">
        <f aca="false">('E2 CigadingExist Calc'!F15+'P12 BUMNOps Input'!F70+'P12 BUMNOps Input'!F71+'P01 CigWharf2 Calc'!F15)*F11</f>
        <v>0</v>
      </c>
      <c r="G42" s="94" t="n">
        <f aca="false">('E2 CigadingExist Calc'!G15+'P12 BUMNOps Input'!G70+'P12 BUMNOps Input'!G71+'P01 CigWharf2 Calc'!G15)*G11</f>
        <v>0</v>
      </c>
      <c r="H42" s="94" t="n">
        <f aca="false">('E2 CigadingExist Calc'!H15+'P12 BUMNOps Input'!H70+'P12 BUMNOps Input'!H71+'P01 CigWharf2 Calc'!H15)*H11</f>
        <v>0</v>
      </c>
      <c r="I42" s="94" t="n">
        <f aca="false">('E2 CigadingExist Calc'!I15+'P12 BUMNOps Input'!I70+'P12 BUMNOps Input'!I71+'P01 CigWharf2 Calc'!I15)*I11</f>
        <v>3690475.13504</v>
      </c>
      <c r="J42" s="94" t="n">
        <f aca="false">('E2 CigadingExist Calc'!J15+'P12 BUMNOps Input'!J70+'P12 BUMNOps Input'!J71+'P01 CigWharf2 Calc'!J15)*J11</f>
        <v>3801189.3890912</v>
      </c>
      <c r="K42" s="94" t="n">
        <f aca="false">('E2 CigadingExist Calc'!K15+'P12 BUMNOps Input'!K70+'P12 BUMNOps Input'!K71+'P01 CigWharf2 Calc'!K15)*K11</f>
        <v>3915225.07076394</v>
      </c>
      <c r="L42" s="94" t="n">
        <f aca="false">('E2 CigadingExist Calc'!L15+'P12 BUMNOps Input'!L70+'P12 BUMNOps Input'!L71+'P01 CigWharf2 Calc'!L15)*L11</f>
        <v>4032681.82288685</v>
      </c>
      <c r="M42" s="94" t="n">
        <f aca="false">('E2 CigadingExist Calc'!M15+'P12 BUMNOps Input'!M70+'P12 BUMNOps Input'!M71+'P01 CigWharf2 Calc'!M15)*M11</f>
        <v>4153662.27757346</v>
      </c>
      <c r="N42" s="94" t="n">
        <f aca="false">('E2 CigadingExist Calc'!N15+'P12 BUMNOps Input'!N70+'P12 BUMNOps Input'!N71+'P01 CigWharf2 Calc'!N15)*N11</f>
        <v>4278272.14590066</v>
      </c>
      <c r="O42" s="94" t="n">
        <f aca="false">('E2 CigadingExist Calc'!O15+'P12 BUMNOps Input'!O70+'P12 BUMNOps Input'!O71+'P01 CigWharf2 Calc'!O15)*O11</f>
        <v>4406620.31027768</v>
      </c>
      <c r="P42" s="94" t="n">
        <f aca="false">('E2 CigadingExist Calc'!P15+'P12 BUMNOps Input'!P70+'P12 BUMNOps Input'!P71+'P01 CigWharf2 Calc'!P15)*P11</f>
        <v>4538818.91958602</v>
      </c>
      <c r="Q42" s="94" t="n">
        <f aca="false">('E2 CigadingExist Calc'!Q15+'P12 BUMNOps Input'!Q70+'P12 BUMNOps Input'!Q71+'P01 CigWharf2 Calc'!Q15)*Q11</f>
        <v>4674983.4871736</v>
      </c>
      <c r="R42" s="94" t="n">
        <f aca="false">('E2 CigadingExist Calc'!R15+'P12 BUMNOps Input'!R70+'P12 BUMNOps Input'!R71+'P01 CigWharf2 Calc'!R15)*R11</f>
        <v>4815232.9917888</v>
      </c>
      <c r="S42" s="94" t="n">
        <f aca="false">('E2 CigadingExist Calc'!S15+'P12 BUMNOps Input'!S70+'P12 BUMNOps Input'!S71+'P01 CigWharf2 Calc'!S15)*S11</f>
        <v>4959689.98154247</v>
      </c>
      <c r="U42" s="5" t="s">
        <v>2355</v>
      </c>
    </row>
    <row r="43" customFormat="false" ht="15" hidden="false" customHeight="false" outlineLevel="0" collapsed="false">
      <c r="B43" s="24" t="s">
        <v>2356</v>
      </c>
      <c r="C43" s="25" t="s">
        <v>900</v>
      </c>
      <c r="E43" s="31" t="n">
        <f aca="false">SUM(F43:S43)</f>
        <v>13190842.8362891</v>
      </c>
      <c r="F43" s="94" t="n">
        <f aca="false">'E3 Belawan Calc'!F17*F11</f>
        <v>0</v>
      </c>
      <c r="G43" s="94" t="n">
        <f aca="false">'E3 Belawan Calc'!G17*G11</f>
        <v>0</v>
      </c>
      <c r="H43" s="94" t="n">
        <f aca="false">'E3 Belawan Calc'!H17*H11</f>
        <v>0</v>
      </c>
      <c r="I43" s="94" t="n">
        <f aca="false">'E3 Belawan Calc'!I17*I11</f>
        <v>795675</v>
      </c>
      <c r="J43" s="94" t="n">
        <f aca="false">'E3 Belawan Calc'!J17*J11</f>
        <v>1019545.25</v>
      </c>
      <c r="K43" s="94" t="n">
        <f aca="false">'E3 Belawan Calc'!K17*K11</f>
        <v>1094131.6075</v>
      </c>
      <c r="L43" s="94" t="n">
        <f aca="false">'E3 Belawan Calc'!L17*L11</f>
        <v>1169455.555725</v>
      </c>
      <c r="M43" s="94" t="n">
        <f aca="false">'E3 Belawan Calc'!M17*M11</f>
        <v>1245539.22239675</v>
      </c>
      <c r="N43" s="94" t="n">
        <f aca="false">'E3 Belawan Calc'!N17*N11</f>
        <v>1322405.39906865</v>
      </c>
      <c r="O43" s="94" t="n">
        <f aca="false">'E3 Belawan Calc'!O17*O11</f>
        <v>1400077.56104071</v>
      </c>
      <c r="P43" s="94" t="n">
        <f aca="false">'E3 Belawan Calc'!P17*P11</f>
        <v>1478579.88787193</v>
      </c>
      <c r="Q43" s="94" t="n">
        <f aca="false">'E3 Belawan Calc'!Q17*Q11</f>
        <v>1557937.28450809</v>
      </c>
      <c r="R43" s="94" t="n">
        <f aca="false">'E3 Belawan Calc'!R17*R11</f>
        <v>1038175.40304333</v>
      </c>
      <c r="S43" s="94" t="n">
        <f aca="false">'E3 Belawan Calc'!S17*S11</f>
        <v>1069320.66513463</v>
      </c>
      <c r="U43" s="5" t="s">
        <v>2357</v>
      </c>
    </row>
    <row r="45" customFormat="false" ht="15" hidden="false" customHeight="false" outlineLevel="0" collapsed="false">
      <c r="B45" s="22" t="s">
        <v>2358</v>
      </c>
      <c r="C45" s="23"/>
      <c r="D45" s="23"/>
      <c r="E45" s="23"/>
      <c r="F45" s="23"/>
      <c r="G45" s="23"/>
      <c r="H45" s="23"/>
      <c r="I45" s="23"/>
      <c r="J45" s="23"/>
      <c r="K45" s="23"/>
      <c r="L45" s="23"/>
      <c r="M45" s="23"/>
      <c r="N45" s="23"/>
      <c r="O45" s="23"/>
      <c r="P45" s="23"/>
      <c r="Q45" s="23"/>
      <c r="R45" s="23"/>
      <c r="S45" s="23"/>
    </row>
    <row r="46" customFormat="false" ht="15" hidden="false" customHeight="false" outlineLevel="0" collapsed="false">
      <c r="B46" s="24" t="s">
        <v>2359</v>
      </c>
      <c r="C46" s="25" t="s">
        <v>170</v>
      </c>
      <c r="E46" s="47" t="n">
        <f aca="false">SUM(F46:S46)</f>
        <v>374.960494933875</v>
      </c>
      <c r="F46" s="47" t="n">
        <f aca="false">F40*$E$18/10^9</f>
        <v>0</v>
      </c>
      <c r="G46" s="47" t="n">
        <f aca="false">G40*$E$18/10^9</f>
        <v>0</v>
      </c>
      <c r="H46" s="47" t="n">
        <f aca="false">H40*$E$18/10^9</f>
        <v>0</v>
      </c>
      <c r="I46" s="47" t="n">
        <f aca="false">I40*$E$18/10^9</f>
        <v>29.2759584854074</v>
      </c>
      <c r="J46" s="47" t="n">
        <f aca="false">J40*$E$18/10^9</f>
        <v>30.1542372399696</v>
      </c>
      <c r="K46" s="47" t="n">
        <f aca="false">K40*$E$18/10^9</f>
        <v>31.0588643571687</v>
      </c>
      <c r="L46" s="47" t="n">
        <f aca="false">L40*$E$18/10^9</f>
        <v>31.9906302878837</v>
      </c>
      <c r="M46" s="47" t="n">
        <f aca="false">M40*$E$18/10^9</f>
        <v>32.9503491965202</v>
      </c>
      <c r="N46" s="47" t="n">
        <f aca="false">N40*$E$18/10^9</f>
        <v>33.9388596724158</v>
      </c>
      <c r="O46" s="47" t="n">
        <f aca="false">O40*$E$18/10^9</f>
        <v>34.9570254625883</v>
      </c>
      <c r="P46" s="47" t="n">
        <f aca="false">P40*$E$18/10^9</f>
        <v>36.005736226466</v>
      </c>
      <c r="Q46" s="47" t="n">
        <f aca="false">Q40*$E$18/10^9</f>
        <v>37.08590831326</v>
      </c>
      <c r="R46" s="47" t="n">
        <f aca="false">R40*$E$18/10^9</f>
        <v>38.1984855626578</v>
      </c>
      <c r="S46" s="47" t="n">
        <f aca="false">S40*$E$18/10^9</f>
        <v>39.3444401295375</v>
      </c>
    </row>
    <row r="47" customFormat="false" ht="15" hidden="false" customHeight="false" outlineLevel="0" collapsed="false">
      <c r="B47" s="24" t="s">
        <v>2360</v>
      </c>
      <c r="C47" s="25" t="s">
        <v>170</v>
      </c>
      <c r="E47" s="47" t="n">
        <f aca="false">SUM(F47:S47)</f>
        <v>371.270859135024</v>
      </c>
      <c r="F47" s="47" t="n">
        <f aca="false">F41*$E$24/10^9</f>
        <v>0</v>
      </c>
      <c r="G47" s="47" t="n">
        <f aca="false">G41*$E$24/10^9</f>
        <v>0</v>
      </c>
      <c r="H47" s="47" t="n">
        <f aca="false">H41*$E$24/10^9</f>
        <v>0</v>
      </c>
      <c r="I47" s="47" t="n">
        <f aca="false">I41*$E$24/10^9</f>
        <v>28.9878811387726</v>
      </c>
      <c r="J47" s="47" t="n">
        <f aca="false">J41*$E$24/10^9</f>
        <v>29.8575175729357</v>
      </c>
      <c r="K47" s="47" t="n">
        <f aca="false">K41*$E$24/10^9</f>
        <v>30.7532431001238</v>
      </c>
      <c r="L47" s="47" t="n">
        <f aca="false">L41*$E$24/10^9</f>
        <v>31.6758403931275</v>
      </c>
      <c r="M47" s="47" t="n">
        <f aca="false">M41*$E$24/10^9</f>
        <v>32.6261156049214</v>
      </c>
      <c r="N47" s="47" t="n">
        <f aca="false">N41*$E$24/10^9</f>
        <v>33.604899073069</v>
      </c>
      <c r="O47" s="47" t="n">
        <f aca="false">O41*$E$24/10^9</f>
        <v>34.6130460452611</v>
      </c>
      <c r="P47" s="47" t="n">
        <f aca="false">P41*$E$24/10^9</f>
        <v>35.6514374266189</v>
      </c>
      <c r="Q47" s="47" t="n">
        <f aca="false">Q41*$E$24/10^9</f>
        <v>36.7209805494175</v>
      </c>
      <c r="R47" s="47" t="n">
        <f aca="false">R41*$E$24/10^9</f>
        <v>37.8226099659</v>
      </c>
      <c r="S47" s="47" t="n">
        <f aca="false">S41*$E$24/10^9</f>
        <v>38.957288264877</v>
      </c>
    </row>
    <row r="48" customFormat="false" ht="15" hidden="false" customHeight="false" outlineLevel="0" collapsed="false">
      <c r="B48" s="69" t="s">
        <v>2361</v>
      </c>
      <c r="C48" s="25" t="s">
        <v>170</v>
      </c>
      <c r="E48" s="70" t="n">
        <f aca="false">SUM(F48:S48)</f>
        <v>746.231354068899</v>
      </c>
      <c r="F48" s="68" t="n">
        <f aca="false">F46+F47</f>
        <v>0</v>
      </c>
      <c r="G48" s="68" t="n">
        <f aca="false">G46+G47</f>
        <v>0</v>
      </c>
      <c r="H48" s="68" t="n">
        <f aca="false">H46+H47</f>
        <v>0</v>
      </c>
      <c r="I48" s="68" t="n">
        <f aca="false">I46+I47</f>
        <v>58.2638396241799</v>
      </c>
      <c r="J48" s="68" t="n">
        <f aca="false">J46+J47</f>
        <v>60.0117548129053</v>
      </c>
      <c r="K48" s="68" t="n">
        <f aca="false">K46+K47</f>
        <v>61.8121074572925</v>
      </c>
      <c r="L48" s="68" t="n">
        <f aca="false">L46+L47</f>
        <v>63.6664706810113</v>
      </c>
      <c r="M48" s="68" t="n">
        <f aca="false">M46+M47</f>
        <v>65.5764648014416</v>
      </c>
      <c r="N48" s="68" t="n">
        <f aca="false">N46+N47</f>
        <v>67.5437587454848</v>
      </c>
      <c r="O48" s="68" t="n">
        <f aca="false">O46+O47</f>
        <v>69.5700715078494</v>
      </c>
      <c r="P48" s="68" t="n">
        <f aca="false">P46+P47</f>
        <v>71.6571736530849</v>
      </c>
      <c r="Q48" s="68" t="n">
        <f aca="false">Q46+Q47</f>
        <v>73.8068888626774</v>
      </c>
      <c r="R48" s="68" t="n">
        <f aca="false">R46+R47</f>
        <v>76.0210955285578</v>
      </c>
      <c r="S48" s="68" t="n">
        <f aca="false">S46+S47</f>
        <v>78.3017283944145</v>
      </c>
    </row>
    <row r="49" customFormat="false" ht="15" hidden="false" customHeight="false" outlineLevel="0" collapsed="false">
      <c r="B49" s="69" t="s">
        <v>2362</v>
      </c>
      <c r="C49" s="25" t="s">
        <v>170</v>
      </c>
      <c r="E49" s="70" t="n">
        <f aca="false">SUM(F49:S49)</f>
        <v>722.718941171555</v>
      </c>
      <c r="F49" s="68" t="n">
        <f aca="false">F42*$E$31/10^9</f>
        <v>0</v>
      </c>
      <c r="G49" s="68" t="n">
        <f aca="false">G42*$E$31/10^9</f>
        <v>0</v>
      </c>
      <c r="H49" s="68" t="n">
        <f aca="false">H42*$E$31/10^9</f>
        <v>0</v>
      </c>
      <c r="I49" s="68" t="n">
        <f aca="false">I42*$E$31/10^9</f>
        <v>56.4280504325858</v>
      </c>
      <c r="J49" s="68" t="n">
        <f aca="false">J42*$E$31/10^9</f>
        <v>58.1208919455633</v>
      </c>
      <c r="K49" s="68" t="n">
        <f aca="false">K42*$E$31/10^9</f>
        <v>59.8645187039302</v>
      </c>
      <c r="L49" s="68" t="n">
        <f aca="false">L42*$E$31/10^9</f>
        <v>61.6604542650482</v>
      </c>
      <c r="M49" s="68" t="n">
        <f aca="false">M42*$E$31/10^9</f>
        <v>63.5102678929996</v>
      </c>
      <c r="N49" s="68" t="n">
        <f aca="false">N42*$E$31/10^9</f>
        <v>65.4155759297896</v>
      </c>
      <c r="O49" s="68" t="n">
        <f aca="false">O42*$E$31/10^9</f>
        <v>67.3780432076833</v>
      </c>
      <c r="P49" s="68" t="n">
        <f aca="false">P42*$E$31/10^9</f>
        <v>69.3993845039138</v>
      </c>
      <c r="Q49" s="68" t="n">
        <f aca="false">Q42*$E$31/10^9</f>
        <v>71.4813660390312</v>
      </c>
      <c r="R49" s="68" t="n">
        <f aca="false">R42*$E$31/10^9</f>
        <v>73.6258070202021</v>
      </c>
      <c r="S49" s="68" t="n">
        <f aca="false">S42*$E$31/10^9</f>
        <v>75.8345812308082</v>
      </c>
    </row>
    <row r="50" customFormat="false" ht="15" hidden="false" customHeight="false" outlineLevel="0" collapsed="false">
      <c r="B50" s="69" t="s">
        <v>2363</v>
      </c>
      <c r="C50" s="25" t="s">
        <v>170</v>
      </c>
      <c r="E50" s="70" t="n">
        <f aca="false">SUM(F50:S50)</f>
        <v>212.230957411164</v>
      </c>
      <c r="F50" s="68" t="n">
        <f aca="false">F43*$E$36/10^9</f>
        <v>0</v>
      </c>
      <c r="G50" s="68" t="n">
        <f aca="false">G43*$E$36/10^9</f>
        <v>0</v>
      </c>
      <c r="H50" s="68" t="n">
        <f aca="false">H43*$E$36/10^9</f>
        <v>0</v>
      </c>
      <c r="I50" s="68" t="n">
        <f aca="false">I43*$E$36/10^9</f>
        <v>12.8018254128206</v>
      </c>
      <c r="J50" s="68" t="n">
        <f aca="false">J43*$E$36/10^9</f>
        <v>16.4037330454903</v>
      </c>
      <c r="K50" s="68" t="n">
        <f aca="false">K43*$E$36/10^9</f>
        <v>17.6037726683178</v>
      </c>
      <c r="L50" s="68" t="n">
        <f aca="false">L43*$E$36/10^9</f>
        <v>18.8156795833029</v>
      </c>
      <c r="M50" s="68" t="n">
        <f aca="false">M43*$E$36/10^9</f>
        <v>20.0398098092104</v>
      </c>
      <c r="N50" s="68" t="n">
        <f aca="false">N43*$E$36/10^9</f>
        <v>21.276530045368</v>
      </c>
      <c r="O50" s="68" t="n">
        <f aca="false">O43*$E$36/10^9</f>
        <v>22.5262179920833</v>
      </c>
      <c r="P50" s="68" t="n">
        <f aca="false">P43*$E$36/10^9</f>
        <v>23.7892626806728</v>
      </c>
      <c r="Q50" s="68" t="n">
        <f aca="false">Q43*$E$36/10^9</f>
        <v>25.0660648133929</v>
      </c>
      <c r="R50" s="68" t="n">
        <f aca="false">R43*$E$36/10^9</f>
        <v>16.703478502712</v>
      </c>
      <c r="S50" s="68" t="n">
        <f aca="false">S43*$E$36/10^9</f>
        <v>17.2045828577934</v>
      </c>
    </row>
    <row r="51" customFormat="false" ht="15" hidden="false" customHeight="false" outlineLevel="0" collapsed="false">
      <c r="B51" s="69" t="s">
        <v>2364</v>
      </c>
      <c r="C51" s="25" t="s">
        <v>170</v>
      </c>
      <c r="E51" s="70" t="n">
        <f aca="false">SUM(F51:S51)</f>
        <v>1681.18125265162</v>
      </c>
      <c r="F51" s="68" t="n">
        <f aca="false">F48+F49+F50</f>
        <v>0</v>
      </c>
      <c r="G51" s="68" t="n">
        <f aca="false">G48+G49+G50</f>
        <v>0</v>
      </c>
      <c r="H51" s="68" t="n">
        <f aca="false">H48+H49+H50</f>
        <v>0</v>
      </c>
      <c r="I51" s="68" t="n">
        <f aca="false">I48+I49+I50</f>
        <v>127.493715469586</v>
      </c>
      <c r="J51" s="68" t="n">
        <f aca="false">J48+J49+J50</f>
        <v>134.536379803959</v>
      </c>
      <c r="K51" s="68" t="n">
        <f aca="false">K48+K49+K50</f>
        <v>139.280398829541</v>
      </c>
      <c r="L51" s="68" t="n">
        <f aca="false">L48+L49+L50</f>
        <v>144.142604529362</v>
      </c>
      <c r="M51" s="68" t="n">
        <f aca="false">M48+M49+M50</f>
        <v>149.126542503652</v>
      </c>
      <c r="N51" s="68" t="n">
        <f aca="false">N48+N49+N50</f>
        <v>154.235864720642</v>
      </c>
      <c r="O51" s="68" t="n">
        <f aca="false">O48+O49+O50</f>
        <v>159.474332707616</v>
      </c>
      <c r="P51" s="68" t="n">
        <f aca="false">P48+P49+P50</f>
        <v>164.845820837671</v>
      </c>
      <c r="Q51" s="68" t="n">
        <f aca="false">Q48+Q49+Q50</f>
        <v>170.354319715102</v>
      </c>
      <c r="R51" s="68" t="n">
        <f aca="false">R48+R49+R50</f>
        <v>166.350381051472</v>
      </c>
      <c r="S51" s="68" t="n">
        <f aca="false">S48+S49+S50</f>
        <v>171.340892483016</v>
      </c>
    </row>
    <row r="53" customFormat="false" ht="15" hidden="false" customHeight="false" outlineLevel="0" collapsed="false">
      <c r="B53" s="22" t="s">
        <v>2365</v>
      </c>
      <c r="C53" s="23"/>
      <c r="D53" s="23"/>
      <c r="E53" s="23"/>
      <c r="F53" s="23"/>
      <c r="G53" s="23"/>
      <c r="H53" s="23"/>
      <c r="I53" s="23"/>
      <c r="J53" s="23"/>
      <c r="K53" s="23"/>
      <c r="L53" s="23"/>
      <c r="M53" s="23"/>
      <c r="N53" s="23"/>
      <c r="O53" s="23"/>
      <c r="P53" s="23"/>
      <c r="Q53" s="23"/>
      <c r="R53" s="23"/>
      <c r="S53" s="23"/>
    </row>
    <row r="54" customFormat="false" ht="15" hidden="false" customHeight="false" outlineLevel="0" collapsed="false">
      <c r="B54" s="24" t="s">
        <v>2366</v>
      </c>
      <c r="C54" s="25" t="s">
        <v>170</v>
      </c>
      <c r="E54" s="47" t="n">
        <f aca="false">SUM(F54:S54)</f>
        <v>380.577990575139</v>
      </c>
      <c r="F54" s="47" t="n">
        <f aca="false">F48*(1-'P12 BUMNOps Input'!$E$66)</f>
        <v>0</v>
      </c>
      <c r="G54" s="47" t="n">
        <f aca="false">G48*(1-'P12 BUMNOps Input'!$E$66)</f>
        <v>0</v>
      </c>
      <c r="H54" s="47" t="n">
        <f aca="false">H48*(1-'P12 BUMNOps Input'!$E$66)</f>
        <v>0</v>
      </c>
      <c r="I54" s="47" t="n">
        <f aca="false">I48*(1-'P12 BUMNOps Input'!$E$66)</f>
        <v>29.7145582083318</v>
      </c>
      <c r="J54" s="47" t="n">
        <f aca="false">J48*(1-'P12 BUMNOps Input'!$E$66)</f>
        <v>30.6059949545817</v>
      </c>
      <c r="K54" s="47" t="n">
        <f aca="false">K48*(1-'P12 BUMNOps Input'!$E$66)</f>
        <v>31.5241748032192</v>
      </c>
      <c r="L54" s="47" t="n">
        <f aca="false">L48*(1-'P12 BUMNOps Input'!$E$66)</f>
        <v>32.4699000473158</v>
      </c>
      <c r="M54" s="47" t="n">
        <f aca="false">M48*(1-'P12 BUMNOps Input'!$E$66)</f>
        <v>33.4439970487352</v>
      </c>
      <c r="N54" s="47" t="n">
        <f aca="false">N48*(1-'P12 BUMNOps Input'!$E$66)</f>
        <v>34.4473169601973</v>
      </c>
      <c r="O54" s="47" t="n">
        <f aca="false">O48*(1-'P12 BUMNOps Input'!$E$66)</f>
        <v>35.4807364690032</v>
      </c>
      <c r="P54" s="47" t="n">
        <f aca="false">P48*(1-'P12 BUMNOps Input'!$E$66)</f>
        <v>36.5451585630733</v>
      </c>
      <c r="Q54" s="47" t="n">
        <f aca="false">Q48*(1-'P12 BUMNOps Input'!$E$66)</f>
        <v>37.6415133199655</v>
      </c>
      <c r="R54" s="47" t="n">
        <f aca="false">R48*(1-'P12 BUMNOps Input'!$E$66)</f>
        <v>38.7707587195645</v>
      </c>
      <c r="S54" s="47" t="n">
        <f aca="false">S48*(1-'P12 BUMNOps Input'!$E$66)</f>
        <v>39.9338814811514</v>
      </c>
    </row>
    <row r="55" customFormat="false" ht="15" hidden="false" customHeight="false" outlineLevel="0" collapsed="false">
      <c r="B55" s="24" t="s">
        <v>2367</v>
      </c>
      <c r="C55" s="25" t="s">
        <v>170</v>
      </c>
      <c r="E55" s="47" t="n">
        <f aca="false">SUM(F55:S55)</f>
        <v>411.949796467787</v>
      </c>
      <c r="F55" s="47" t="n">
        <f aca="false">F49*(1-'P12 BUMNOps Input'!$E$67)</f>
        <v>0</v>
      </c>
      <c r="G55" s="47" t="n">
        <f aca="false">G49*(1-'P12 BUMNOps Input'!$E$67)</f>
        <v>0</v>
      </c>
      <c r="H55" s="47" t="n">
        <f aca="false">H49*(1-'P12 BUMNOps Input'!$E$67)</f>
        <v>0</v>
      </c>
      <c r="I55" s="47" t="n">
        <f aca="false">I49*(1-'P12 BUMNOps Input'!$E$67)</f>
        <v>32.1639887465739</v>
      </c>
      <c r="J55" s="47" t="n">
        <f aca="false">J49*(1-'P12 BUMNOps Input'!$E$67)</f>
        <v>33.1289084089711</v>
      </c>
      <c r="K55" s="47" t="n">
        <f aca="false">K49*(1-'P12 BUMNOps Input'!$E$67)</f>
        <v>34.1227756612402</v>
      </c>
      <c r="L55" s="47" t="n">
        <f aca="false">L49*(1-'P12 BUMNOps Input'!$E$67)</f>
        <v>35.1464589310775</v>
      </c>
      <c r="M55" s="47" t="n">
        <f aca="false">M49*(1-'P12 BUMNOps Input'!$E$67)</f>
        <v>36.2008526990098</v>
      </c>
      <c r="N55" s="47" t="n">
        <f aca="false">N49*(1-'P12 BUMNOps Input'!$E$67)</f>
        <v>37.2868782799801</v>
      </c>
      <c r="O55" s="47" t="n">
        <f aca="false">O49*(1-'P12 BUMNOps Input'!$E$67)</f>
        <v>38.4054846283795</v>
      </c>
      <c r="P55" s="47" t="n">
        <f aca="false">P49*(1-'P12 BUMNOps Input'!$E$67)</f>
        <v>39.5576491672309</v>
      </c>
      <c r="Q55" s="47" t="n">
        <f aca="false">Q49*(1-'P12 BUMNOps Input'!$E$67)</f>
        <v>40.7443786422478</v>
      </c>
      <c r="R55" s="47" t="n">
        <f aca="false">R49*(1-'P12 BUMNOps Input'!$E$67)</f>
        <v>41.9667100015152</v>
      </c>
      <c r="S55" s="47" t="n">
        <f aca="false">S49*(1-'P12 BUMNOps Input'!$E$67)</f>
        <v>43.2257113015607</v>
      </c>
    </row>
    <row r="56" customFormat="false" ht="15" hidden="false" customHeight="false" outlineLevel="0" collapsed="false">
      <c r="B56" s="24" t="s">
        <v>2368</v>
      </c>
      <c r="C56" s="25" t="s">
        <v>170</v>
      </c>
      <c r="E56" s="47" t="n">
        <f aca="false">SUM(F56:S56)</f>
        <v>120.971645724364</v>
      </c>
      <c r="F56" s="47" t="n">
        <f aca="false">F50*(1-'P12 BUMNOps Input'!$E$68)</f>
        <v>0</v>
      </c>
      <c r="G56" s="47" t="n">
        <f aca="false">G50*(1-'P12 BUMNOps Input'!$E$68)</f>
        <v>0</v>
      </c>
      <c r="H56" s="47" t="n">
        <f aca="false">H50*(1-'P12 BUMNOps Input'!$E$68)</f>
        <v>0</v>
      </c>
      <c r="I56" s="47" t="n">
        <f aca="false">I50*(1-'P12 BUMNOps Input'!$E$68)</f>
        <v>7.29704048530773</v>
      </c>
      <c r="J56" s="47" t="n">
        <f aca="false">J50*(1-'P12 BUMNOps Input'!$E$68)</f>
        <v>9.35012783592949</v>
      </c>
      <c r="K56" s="47" t="n">
        <f aca="false">K50*(1-'P12 BUMNOps Input'!$E$68)</f>
        <v>10.0341504209411</v>
      </c>
      <c r="L56" s="47" t="n">
        <f aca="false">L50*(1-'P12 BUMNOps Input'!$E$68)</f>
        <v>10.7249373624826</v>
      </c>
      <c r="M56" s="47" t="n">
        <f aca="false">M50*(1-'P12 BUMNOps Input'!$E$68)</f>
        <v>11.4226915912499</v>
      </c>
      <c r="N56" s="47" t="n">
        <f aca="false">N50*(1-'P12 BUMNOps Input'!$E$68)</f>
        <v>12.1276221258598</v>
      </c>
      <c r="O56" s="47" t="n">
        <f aca="false">O50*(1-'P12 BUMNOps Input'!$E$68)</f>
        <v>12.8399442554875</v>
      </c>
      <c r="P56" s="47" t="n">
        <f aca="false">P50*(1-'P12 BUMNOps Input'!$E$68)</f>
        <v>13.5598797279835</v>
      </c>
      <c r="Q56" s="47" t="n">
        <f aca="false">Q50*(1-'P12 BUMNOps Input'!$E$68)</f>
        <v>14.2876569436339</v>
      </c>
      <c r="R56" s="47" t="n">
        <f aca="false">R50*(1-'P12 BUMNOps Input'!$E$68)</f>
        <v>9.52098274654587</v>
      </c>
      <c r="S56" s="47" t="n">
        <f aca="false">S50*(1-'P12 BUMNOps Input'!$E$68)</f>
        <v>9.80661222894224</v>
      </c>
    </row>
    <row r="57" customFormat="false" ht="15" hidden="false" customHeight="false" outlineLevel="0" collapsed="false">
      <c r="B57" s="69" t="s">
        <v>2369</v>
      </c>
      <c r="C57" s="25" t="s">
        <v>170</v>
      </c>
      <c r="E57" s="70" t="n">
        <f aca="false">SUM(F57:S57)</f>
        <v>913.499432767289</v>
      </c>
      <c r="F57" s="68" t="n">
        <f aca="false">F54+F55+F56</f>
        <v>0</v>
      </c>
      <c r="G57" s="68" t="n">
        <f aca="false">G54+G55+G56</f>
        <v>0</v>
      </c>
      <c r="H57" s="68" t="n">
        <f aca="false">H54+H55+H56</f>
        <v>0</v>
      </c>
      <c r="I57" s="68" t="n">
        <f aca="false">I54+I55+I56</f>
        <v>69.1755874402134</v>
      </c>
      <c r="J57" s="68" t="n">
        <f aca="false">J54+J55+J56</f>
        <v>73.0850311994823</v>
      </c>
      <c r="K57" s="68" t="n">
        <f aca="false">K54+K55+K56</f>
        <v>75.6811008854005</v>
      </c>
      <c r="L57" s="68" t="n">
        <f aca="false">L54+L55+L56</f>
        <v>78.3412963408759</v>
      </c>
      <c r="M57" s="68" t="n">
        <f aca="false">M54+M55+M56</f>
        <v>81.0675413389949</v>
      </c>
      <c r="N57" s="68" t="n">
        <f aca="false">N54+N55+N56</f>
        <v>83.8618173660371</v>
      </c>
      <c r="O57" s="68" t="n">
        <f aca="false">O54+O55+O56</f>
        <v>86.7261653528701</v>
      </c>
      <c r="P57" s="68" t="n">
        <f aca="false">P54+P55+P56</f>
        <v>89.6626874582877</v>
      </c>
      <c r="Q57" s="68" t="n">
        <f aca="false">Q54+Q55+Q56</f>
        <v>92.6735489058472</v>
      </c>
      <c r="R57" s="68" t="n">
        <f aca="false">R54+R55+R56</f>
        <v>90.2584514676255</v>
      </c>
      <c r="S57" s="68" t="n">
        <f aca="false">S54+S55+S56</f>
        <v>92.9662050116543</v>
      </c>
    </row>
    <row r="59" customFormat="false" ht="15" hidden="false" customHeight="false" outlineLevel="0" collapsed="false">
      <c r="B59" s="22" t="s">
        <v>2370</v>
      </c>
      <c r="C59" s="23"/>
      <c r="D59" s="23"/>
      <c r="E59" s="23"/>
      <c r="F59" s="23"/>
      <c r="G59" s="23"/>
      <c r="H59" s="23"/>
      <c r="I59" s="23"/>
      <c r="J59" s="23"/>
      <c r="K59" s="23"/>
      <c r="L59" s="23"/>
      <c r="M59" s="23"/>
      <c r="N59" s="23"/>
      <c r="O59" s="23"/>
      <c r="P59" s="23"/>
      <c r="Q59" s="23"/>
      <c r="R59" s="23"/>
      <c r="S59" s="23"/>
    </row>
    <row r="60" customFormat="false" ht="15" hidden="false" customHeight="false" outlineLevel="0" collapsed="false">
      <c r="B60" s="24" t="s">
        <v>2371</v>
      </c>
      <c r="C60" s="25" t="s">
        <v>170</v>
      </c>
      <c r="E60" s="47" t="n">
        <f aca="false">SUM(F60:S60)</f>
        <v>365.653363493761</v>
      </c>
      <c r="F60" s="47" t="n">
        <f aca="false">F48-F54</f>
        <v>0</v>
      </c>
      <c r="G60" s="47" t="n">
        <f aca="false">G48-G54</f>
        <v>0</v>
      </c>
      <c r="H60" s="47" t="n">
        <f aca="false">H48-H54</f>
        <v>0</v>
      </c>
      <c r="I60" s="47" t="n">
        <f aca="false">I48-I54</f>
        <v>28.5492814158482</v>
      </c>
      <c r="J60" s="47" t="n">
        <f aca="false">J48-J54</f>
        <v>29.4057598583236</v>
      </c>
      <c r="K60" s="47" t="n">
        <f aca="false">K48-K54</f>
        <v>30.2879326540733</v>
      </c>
      <c r="L60" s="47" t="n">
        <f aca="false">L48-L54</f>
        <v>31.1965706336955</v>
      </c>
      <c r="M60" s="47" t="n">
        <f aca="false">M48-M54</f>
        <v>32.1324677527064</v>
      </c>
      <c r="N60" s="47" t="n">
        <f aca="false">N48-N54</f>
        <v>33.0964417852876</v>
      </c>
      <c r="O60" s="47" t="n">
        <f aca="false">O48-O54</f>
        <v>34.0893350388462</v>
      </c>
      <c r="P60" s="47" t="n">
        <f aca="false">P48-P54</f>
        <v>35.1120150900116</v>
      </c>
      <c r="Q60" s="47" t="n">
        <f aca="false">Q48-Q54</f>
        <v>36.1653755427119</v>
      </c>
      <c r="R60" s="47" t="n">
        <f aca="false">R48-R54</f>
        <v>37.2503368089933</v>
      </c>
      <c r="S60" s="47" t="n">
        <f aca="false">S48-S54</f>
        <v>38.3678469132631</v>
      </c>
    </row>
    <row r="61" customFormat="false" ht="15" hidden="false" customHeight="false" outlineLevel="0" collapsed="false">
      <c r="B61" s="24" t="s">
        <v>2372</v>
      </c>
      <c r="C61" s="25" t="s">
        <v>170</v>
      </c>
      <c r="E61" s="47" t="n">
        <f aca="false">SUM(F61:S61)</f>
        <v>310.769144703769</v>
      </c>
      <c r="F61" s="47" t="n">
        <f aca="false">F49-F55</f>
        <v>0</v>
      </c>
      <c r="G61" s="47" t="n">
        <f aca="false">G49-G55</f>
        <v>0</v>
      </c>
      <c r="H61" s="47" t="n">
        <f aca="false">H49-H55</f>
        <v>0</v>
      </c>
      <c r="I61" s="47" t="n">
        <f aca="false">I49-I55</f>
        <v>24.2640616860119</v>
      </c>
      <c r="J61" s="47" t="n">
        <f aca="false">J49-J55</f>
        <v>24.9919835365922</v>
      </c>
      <c r="K61" s="47" t="n">
        <f aca="false">K49-K55</f>
        <v>25.74174304269</v>
      </c>
      <c r="L61" s="47" t="n">
        <f aca="false">L49-L55</f>
        <v>26.5139953339707</v>
      </c>
      <c r="M61" s="47" t="n">
        <f aca="false">M49-M55</f>
        <v>27.3094151939898</v>
      </c>
      <c r="N61" s="47" t="n">
        <f aca="false">N49-N55</f>
        <v>28.1286976498095</v>
      </c>
      <c r="O61" s="47" t="n">
        <f aca="false">O49-O55</f>
        <v>28.9725585793038</v>
      </c>
      <c r="P61" s="47" t="n">
        <f aca="false">P49-P55</f>
        <v>29.8417353366829</v>
      </c>
      <c r="Q61" s="47" t="n">
        <f aca="false">Q49-Q55</f>
        <v>30.7369873967834</v>
      </c>
      <c r="R61" s="47" t="n">
        <f aca="false">R49-R55</f>
        <v>31.6590970186869</v>
      </c>
      <c r="S61" s="47" t="n">
        <f aca="false">S49-S55</f>
        <v>32.6088699292475</v>
      </c>
    </row>
    <row r="62" customFormat="false" ht="15" hidden="false" customHeight="false" outlineLevel="0" collapsed="false">
      <c r="B62" s="24" t="s">
        <v>2373</v>
      </c>
      <c r="C62" s="25" t="s">
        <v>170</v>
      </c>
      <c r="E62" s="47" t="n">
        <f aca="false">SUM(F62:S62)</f>
        <v>91.2593116868007</v>
      </c>
      <c r="F62" s="47" t="n">
        <f aca="false">F50-F56</f>
        <v>0</v>
      </c>
      <c r="G62" s="47" t="n">
        <f aca="false">G50-G56</f>
        <v>0</v>
      </c>
      <c r="H62" s="47" t="n">
        <f aca="false">H50-H56</f>
        <v>0</v>
      </c>
      <c r="I62" s="47" t="n">
        <f aca="false">I50-I56</f>
        <v>5.50478492751285</v>
      </c>
      <c r="J62" s="47" t="n">
        <f aca="false">J50-J56</f>
        <v>7.05360520956084</v>
      </c>
      <c r="K62" s="47" t="n">
        <f aca="false">K50-K56</f>
        <v>7.56962224737664</v>
      </c>
      <c r="L62" s="47" t="n">
        <f aca="false">L50-L56</f>
        <v>8.09074222082024</v>
      </c>
      <c r="M62" s="47" t="n">
        <f aca="false">M50-M56</f>
        <v>8.61711821796048</v>
      </c>
      <c r="N62" s="47" t="n">
        <f aca="false">N50-N56</f>
        <v>9.14890791950826</v>
      </c>
      <c r="O62" s="47" t="n">
        <f aca="false">O50-O56</f>
        <v>9.6862737365958</v>
      </c>
      <c r="P62" s="47" t="n">
        <f aca="false">P50-P56</f>
        <v>10.2293829526893</v>
      </c>
      <c r="Q62" s="47" t="n">
        <f aca="false">Q50-Q56</f>
        <v>10.7784078697589</v>
      </c>
      <c r="R62" s="47" t="n">
        <f aca="false">R50-R56</f>
        <v>7.18249575616618</v>
      </c>
      <c r="S62" s="47" t="n">
        <f aca="false">S50-S56</f>
        <v>7.39797062885116</v>
      </c>
    </row>
    <row r="64" customFormat="false" ht="15" hidden="false" customHeight="false" outlineLevel="0" collapsed="false">
      <c r="B64" s="22" t="s">
        <v>2374</v>
      </c>
      <c r="C64" s="23"/>
      <c r="D64" s="23"/>
      <c r="E64" s="23"/>
      <c r="F64" s="23"/>
      <c r="G64" s="23"/>
      <c r="H64" s="23"/>
      <c r="I64" s="23"/>
      <c r="J64" s="23"/>
      <c r="K64" s="23"/>
      <c r="L64" s="23"/>
      <c r="M64" s="23"/>
      <c r="N64" s="23"/>
      <c r="O64" s="23"/>
      <c r="P64" s="23"/>
      <c r="Q64" s="23"/>
      <c r="R64" s="23"/>
      <c r="S64" s="23"/>
    </row>
    <row r="65" customFormat="false" ht="15" hidden="false" customHeight="false" outlineLevel="0" collapsed="false">
      <c r="B65" s="24" t="s">
        <v>1090</v>
      </c>
      <c r="C65" s="25" t="s">
        <v>240</v>
      </c>
      <c r="F65" s="44" t="n">
        <f aca="false">0</f>
        <v>0</v>
      </c>
      <c r="G65" s="44" t="n">
        <f aca="false">0</f>
        <v>0</v>
      </c>
      <c r="H65" s="44" t="n">
        <f aca="false">0</f>
        <v>0</v>
      </c>
      <c r="I65" s="44" t="n">
        <f aca="false">0</f>
        <v>0</v>
      </c>
      <c r="J65" s="44" t="n">
        <f aca="false">0</f>
        <v>0</v>
      </c>
      <c r="K65" s="44" t="n">
        <f aca="false">0</f>
        <v>0</v>
      </c>
      <c r="L65" s="44" t="n">
        <f aca="false">0</f>
        <v>0</v>
      </c>
      <c r="M65" s="44" t="n">
        <f aca="false">0</f>
        <v>0</v>
      </c>
      <c r="N65" s="44" t="n">
        <f aca="false">0</f>
        <v>0</v>
      </c>
      <c r="O65" s="44" t="n">
        <f aca="false">0</f>
        <v>0</v>
      </c>
      <c r="P65" s="44" t="n">
        <f aca="false">0</f>
        <v>0</v>
      </c>
      <c r="Q65" s="44" t="n">
        <f aca="false">0</f>
        <v>0</v>
      </c>
      <c r="R65" s="44" t="n">
        <f aca="false">0</f>
        <v>0</v>
      </c>
      <c r="S65" s="44" t="n">
        <f aca="false">0</f>
        <v>0</v>
      </c>
    </row>
    <row r="66" customFormat="false" ht="15" hidden="false" customHeight="false" outlineLevel="0" collapsed="false">
      <c r="B66" s="24" t="s">
        <v>1091</v>
      </c>
      <c r="C66" s="25" t="s">
        <v>170</v>
      </c>
      <c r="F66" s="47" t="n">
        <f aca="false">0</f>
        <v>0</v>
      </c>
      <c r="G66" s="47" t="n">
        <f aca="false">0</f>
        <v>0</v>
      </c>
      <c r="H66" s="47" t="n">
        <f aca="false">0</f>
        <v>0</v>
      </c>
      <c r="I66" s="47" t="n">
        <f aca="false">0</f>
        <v>0</v>
      </c>
      <c r="J66" s="47" t="n">
        <f aca="false">0</f>
        <v>0</v>
      </c>
      <c r="K66" s="47" t="n">
        <f aca="false">0</f>
        <v>0</v>
      </c>
      <c r="L66" s="47" t="n">
        <f aca="false">0</f>
        <v>0</v>
      </c>
      <c r="M66" s="47" t="n">
        <f aca="false">0</f>
        <v>0</v>
      </c>
      <c r="N66" s="47" t="n">
        <f aca="false">0</f>
        <v>0</v>
      </c>
      <c r="O66" s="47" t="n">
        <f aca="false">0</f>
        <v>0</v>
      </c>
      <c r="P66" s="47" t="n">
        <f aca="false">0</f>
        <v>0</v>
      </c>
      <c r="Q66" s="47" t="n">
        <f aca="false">0</f>
        <v>0</v>
      </c>
      <c r="R66" s="47" t="n">
        <f aca="false">0</f>
        <v>0</v>
      </c>
      <c r="S66" s="47" t="n">
        <f aca="false">0</f>
        <v>0</v>
      </c>
    </row>
    <row r="67" customFormat="false" ht="15" hidden="false" customHeight="false" outlineLevel="0" collapsed="false">
      <c r="B67" s="24" t="s">
        <v>1092</v>
      </c>
      <c r="C67" s="25" t="s">
        <v>170</v>
      </c>
      <c r="F67" s="47" t="n">
        <f aca="false">0</f>
        <v>0</v>
      </c>
      <c r="G67" s="47" t="n">
        <f aca="false">0</f>
        <v>0</v>
      </c>
      <c r="H67" s="47" t="n">
        <f aca="false">0</f>
        <v>0</v>
      </c>
      <c r="I67" s="47" t="n">
        <f aca="false">0</f>
        <v>0</v>
      </c>
      <c r="J67" s="47" t="n">
        <f aca="false">0</f>
        <v>0</v>
      </c>
      <c r="K67" s="47" t="n">
        <f aca="false">0</f>
        <v>0</v>
      </c>
      <c r="L67" s="47" t="n">
        <f aca="false">0</f>
        <v>0</v>
      </c>
      <c r="M67" s="47" t="n">
        <f aca="false">0</f>
        <v>0</v>
      </c>
      <c r="N67" s="47" t="n">
        <f aca="false">0</f>
        <v>0</v>
      </c>
      <c r="O67" s="47" t="n">
        <f aca="false">0</f>
        <v>0</v>
      </c>
      <c r="P67" s="47" t="n">
        <f aca="false">0</f>
        <v>0</v>
      </c>
      <c r="Q67" s="47" t="n">
        <f aca="false">0</f>
        <v>0</v>
      </c>
      <c r="R67" s="47" t="n">
        <f aca="false">0</f>
        <v>0</v>
      </c>
      <c r="S67" s="47" t="n">
        <f aca="false">0</f>
        <v>0</v>
      </c>
    </row>
    <row r="68" customFormat="false" ht="15" hidden="false" customHeight="false" outlineLevel="0" collapsed="false">
      <c r="B68" s="24" t="s">
        <v>1093</v>
      </c>
      <c r="C68" s="25" t="s">
        <v>170</v>
      </c>
      <c r="F68" s="47" t="n">
        <f aca="false">0</f>
        <v>0</v>
      </c>
      <c r="G68" s="47" t="n">
        <f aca="false">0</f>
        <v>0</v>
      </c>
      <c r="H68" s="47" t="n">
        <f aca="false">0</f>
        <v>0</v>
      </c>
      <c r="I68" s="47" t="n">
        <f aca="false">0</f>
        <v>0</v>
      </c>
      <c r="J68" s="47" t="n">
        <f aca="false">0</f>
        <v>0</v>
      </c>
      <c r="K68" s="47" t="n">
        <f aca="false">0</f>
        <v>0</v>
      </c>
      <c r="L68" s="47" t="n">
        <f aca="false">0</f>
        <v>0</v>
      </c>
      <c r="M68" s="47" t="n">
        <f aca="false">0</f>
        <v>0</v>
      </c>
      <c r="N68" s="47" t="n">
        <f aca="false">0</f>
        <v>0</v>
      </c>
      <c r="O68" s="47" t="n">
        <f aca="false">0</f>
        <v>0</v>
      </c>
      <c r="P68" s="47" t="n">
        <f aca="false">0</f>
        <v>0</v>
      </c>
      <c r="Q68" s="47" t="n">
        <f aca="false">0</f>
        <v>0</v>
      </c>
      <c r="R68" s="47" t="n">
        <f aca="false">0</f>
        <v>0</v>
      </c>
      <c r="S68" s="47" t="n">
        <f aca="false">0</f>
        <v>0</v>
      </c>
    </row>
    <row r="69" customFormat="false" ht="15" hidden="false" customHeight="false" outlineLevel="0" collapsed="false">
      <c r="B69" s="69" t="s">
        <v>1094</v>
      </c>
      <c r="C69" s="25" t="s">
        <v>170</v>
      </c>
      <c r="E69" s="70" t="n">
        <f aca="false">SUM(F69:S69)</f>
        <v>0</v>
      </c>
      <c r="F69" s="68" t="n">
        <f aca="false">F67</f>
        <v>0</v>
      </c>
      <c r="G69" s="68" t="n">
        <f aca="false">G67</f>
        <v>0</v>
      </c>
      <c r="H69" s="68" t="n">
        <f aca="false">H67</f>
        <v>0</v>
      </c>
      <c r="I69" s="68" t="n">
        <f aca="false">I67</f>
        <v>0</v>
      </c>
      <c r="J69" s="68" t="n">
        <f aca="false">J67</f>
        <v>0</v>
      </c>
      <c r="K69" s="68" t="n">
        <f aca="false">K67</f>
        <v>0</v>
      </c>
      <c r="L69" s="68" t="n">
        <f aca="false">L67</f>
        <v>0</v>
      </c>
      <c r="M69" s="68" t="n">
        <f aca="false">M67</f>
        <v>0</v>
      </c>
      <c r="N69" s="68" t="n">
        <f aca="false">N67</f>
        <v>0</v>
      </c>
      <c r="O69" s="68" t="n">
        <f aca="false">O67</f>
        <v>0</v>
      </c>
      <c r="P69" s="68" t="n">
        <f aca="false">P67</f>
        <v>0</v>
      </c>
      <c r="Q69" s="68" t="n">
        <f aca="false">Q67</f>
        <v>0</v>
      </c>
      <c r="R69" s="68" t="n">
        <f aca="false">R67</f>
        <v>0</v>
      </c>
      <c r="S69" s="68" t="n">
        <f aca="false">S67</f>
        <v>0</v>
      </c>
    </row>
    <row r="71" customFormat="false" ht="15" hidden="false" customHeight="false" outlineLevel="0" collapsed="false">
      <c r="B71" s="22" t="s">
        <v>2375</v>
      </c>
      <c r="C71" s="23"/>
      <c r="D71" s="23"/>
      <c r="E71" s="23"/>
      <c r="F71" s="23"/>
      <c r="G71" s="23"/>
      <c r="H71" s="23"/>
      <c r="I71" s="23"/>
      <c r="J71" s="23"/>
      <c r="K71" s="23"/>
      <c r="L71" s="23"/>
      <c r="M71" s="23"/>
      <c r="N71" s="23"/>
      <c r="O71" s="23"/>
      <c r="P71" s="23"/>
      <c r="Q71" s="23"/>
      <c r="R71" s="23"/>
      <c r="S71" s="23"/>
    </row>
    <row r="72" customFormat="false" ht="15" hidden="false" customHeight="false" outlineLevel="0" collapsed="false">
      <c r="B72" s="24" t="s">
        <v>1096</v>
      </c>
      <c r="C72" s="25" t="s">
        <v>170</v>
      </c>
      <c r="F72" s="47" t="n">
        <f aca="false">0</f>
        <v>0</v>
      </c>
      <c r="G72" s="47" t="n">
        <f aca="false">G51*'Global Inputs'!$E$28/G$7</f>
        <v>0</v>
      </c>
      <c r="H72" s="47" t="n">
        <f aca="false">H51*'Global Inputs'!$E$28/H$7</f>
        <v>0</v>
      </c>
      <c r="I72" s="47" t="n">
        <f aca="false">I51*'Global Inputs'!$E$28/I$7</f>
        <v>15.7184032770723</v>
      </c>
      <c r="J72" s="47" t="n">
        <f aca="false">J51*'Global Inputs'!$E$28/J$7</f>
        <v>16.5866769621319</v>
      </c>
      <c r="K72" s="47" t="n">
        <f aca="false">K51*'Global Inputs'!$E$28/K$7</f>
        <v>17.1246392003533</v>
      </c>
      <c r="L72" s="47" t="n">
        <f aca="false">L51*'Global Inputs'!$E$28/L$7</f>
        <v>17.7710060378666</v>
      </c>
      <c r="M72" s="47" t="n">
        <f aca="false">M51*'Global Inputs'!$E$28/M$7</f>
        <v>18.3854641442858</v>
      </c>
      <c r="N72" s="47" t="n">
        <f aca="false">N51*'Global Inputs'!$E$28/N$7</f>
        <v>19.015380581997</v>
      </c>
      <c r="O72" s="47" t="n">
        <f aca="false">O51*'Global Inputs'!$E$28/O$7</f>
        <v>19.6074999230675</v>
      </c>
      <c r="P72" s="47" t="n">
        <f aca="false">P51*'Global Inputs'!$E$28/P$7</f>
        <v>20.3234573635485</v>
      </c>
      <c r="Q72" s="47" t="n">
        <f aca="false">Q51*'Global Inputs'!$E$28/Q$7</f>
        <v>21.0025873621358</v>
      </c>
      <c r="R72" s="47" t="n">
        <f aca="false">R51*'Global Inputs'!$E$28/R$7</f>
        <v>20.5089510885376</v>
      </c>
      <c r="S72" s="47" t="n">
        <f aca="false">S51*'Global Inputs'!$E$28/S$7</f>
        <v>21.0665031741413</v>
      </c>
    </row>
    <row r="73" customFormat="false" ht="15" hidden="false" customHeight="false" outlineLevel="0" collapsed="false">
      <c r="B73" s="24" t="s">
        <v>1098</v>
      </c>
      <c r="C73" s="25" t="s">
        <v>170</v>
      </c>
      <c r="F73" s="47" t="n">
        <f aca="false">0</f>
        <v>0</v>
      </c>
      <c r="G73" s="47" t="n">
        <f aca="false">0</f>
        <v>0</v>
      </c>
      <c r="H73" s="47" t="n">
        <f aca="false">0</f>
        <v>0</v>
      </c>
      <c r="I73" s="47" t="n">
        <f aca="false">0</f>
        <v>0</v>
      </c>
      <c r="J73" s="47" t="n">
        <f aca="false">0</f>
        <v>0</v>
      </c>
      <c r="K73" s="47" t="n">
        <f aca="false">0</f>
        <v>0</v>
      </c>
      <c r="L73" s="47" t="n">
        <f aca="false">0</f>
        <v>0</v>
      </c>
      <c r="M73" s="47" t="n">
        <f aca="false">0</f>
        <v>0</v>
      </c>
      <c r="N73" s="47" t="n">
        <f aca="false">0</f>
        <v>0</v>
      </c>
      <c r="O73" s="47" t="n">
        <f aca="false">0</f>
        <v>0</v>
      </c>
      <c r="P73" s="47" t="n">
        <f aca="false">0</f>
        <v>0</v>
      </c>
      <c r="Q73" s="47" t="n">
        <f aca="false">0</f>
        <v>0</v>
      </c>
      <c r="R73" s="47" t="n">
        <f aca="false">0</f>
        <v>0</v>
      </c>
      <c r="S73" s="47" t="n">
        <f aca="false">0</f>
        <v>0</v>
      </c>
    </row>
    <row r="74" customFormat="false" ht="15" hidden="false" customHeight="false" outlineLevel="0" collapsed="false">
      <c r="B74" s="24" t="s">
        <v>1099</v>
      </c>
      <c r="C74" s="25" t="s">
        <v>170</v>
      </c>
      <c r="F74" s="47" t="n">
        <f aca="false">F72-F73</f>
        <v>0</v>
      </c>
      <c r="G74" s="47" t="n">
        <f aca="false">G72-G73</f>
        <v>0</v>
      </c>
      <c r="H74" s="47" t="n">
        <f aca="false">H72-H73</f>
        <v>0</v>
      </c>
      <c r="I74" s="47" t="n">
        <f aca="false">I72-I73</f>
        <v>15.7184032770723</v>
      </c>
      <c r="J74" s="47" t="n">
        <f aca="false">J72-J73</f>
        <v>16.5866769621319</v>
      </c>
      <c r="K74" s="47" t="n">
        <f aca="false">K72-K73</f>
        <v>17.1246392003533</v>
      </c>
      <c r="L74" s="47" t="n">
        <f aca="false">L72-L73</f>
        <v>17.7710060378666</v>
      </c>
      <c r="M74" s="47" t="n">
        <f aca="false">M72-M73</f>
        <v>18.3854641442858</v>
      </c>
      <c r="N74" s="47" t="n">
        <f aca="false">N72-N73</f>
        <v>19.015380581997</v>
      </c>
      <c r="O74" s="47" t="n">
        <f aca="false">O72-O73</f>
        <v>19.6074999230675</v>
      </c>
      <c r="P74" s="47" t="n">
        <f aca="false">P72-P73</f>
        <v>20.3234573635485</v>
      </c>
      <c r="Q74" s="47" t="n">
        <f aca="false">Q72-Q73</f>
        <v>21.0025873621358</v>
      </c>
      <c r="R74" s="47" t="n">
        <f aca="false">R72-R73</f>
        <v>20.5089510885376</v>
      </c>
      <c r="S74" s="47" t="n">
        <f aca="false">S72-S73</f>
        <v>21.0665031741413</v>
      </c>
    </row>
    <row r="75" customFormat="false" ht="15" hidden="false" customHeight="false" outlineLevel="0" collapsed="false">
      <c r="B75" s="24" t="s">
        <v>1100</v>
      </c>
      <c r="C75" s="25" t="s">
        <v>170</v>
      </c>
      <c r="E75" s="47" t="n">
        <f aca="false">SUM(F75:S75)</f>
        <v>21.0665031741413</v>
      </c>
      <c r="F75" s="47" t="n">
        <f aca="false">0</f>
        <v>0</v>
      </c>
      <c r="G75" s="47" t="n">
        <f aca="false">G74-F74</f>
        <v>0</v>
      </c>
      <c r="H75" s="47" t="n">
        <f aca="false">H74-G74</f>
        <v>0</v>
      </c>
      <c r="I75" s="47" t="n">
        <f aca="false">I74-H74</f>
        <v>15.7184032770723</v>
      </c>
      <c r="J75" s="47" t="n">
        <f aca="false">J74-I74</f>
        <v>0.868273685059654</v>
      </c>
      <c r="K75" s="47" t="n">
        <f aca="false">K74-J74</f>
        <v>0.537962238221407</v>
      </c>
      <c r="L75" s="47" t="n">
        <f aca="false">L74-K74</f>
        <v>0.646366837513245</v>
      </c>
      <c r="M75" s="47" t="n">
        <f aca="false">M74-L74</f>
        <v>0.614458106419232</v>
      </c>
      <c r="N75" s="47" t="n">
        <f aca="false">N74-M74</f>
        <v>0.629916437711202</v>
      </c>
      <c r="O75" s="47" t="n">
        <f aca="false">O74-N74</f>
        <v>0.592119341070514</v>
      </c>
      <c r="P75" s="47" t="n">
        <f aca="false">P74-O74</f>
        <v>0.715957440481002</v>
      </c>
      <c r="Q75" s="47" t="n">
        <f aca="false">Q74-P74</f>
        <v>0.679129998587268</v>
      </c>
      <c r="R75" s="47" t="n">
        <f aca="false">R74-Q74</f>
        <v>-0.49363627359817</v>
      </c>
      <c r="S75" s="47" t="n">
        <f aca="false">S74-R74</f>
        <v>0.557552085603689</v>
      </c>
    </row>
  </sheetData>
  <hyperlinks>
    <hyperlink ref="C3" r:id="rId1" location="'P12%20BUMNOps%20Input'!A1" display="Input"/>
    <hyperlink ref="D3" r:id="rId2" location="'P12%20BUMNOps%20Calc'!A1" display="Calc"/>
    <hyperlink ref="E3" r:id="rId3" location="'P12%20BUMNOps%20Output'!A1" display="Output"/>
    <hyperlink ref="F3" r:id="rId4" location="'Navigation'!A1" display="Navigation"/>
    <hyperlink ref="G3" r:id="rId5" location="'Global%20Inputs'!A1" display="Global Inputs"/>
    <hyperlink ref="H3" r:id="rId6" location="'Project%20Summary'!A1" display="Project Summary"/>
    <hyperlink ref="I3" r:id="rId7" location="'Funding%20Requirement'!A1" display="Funding"/>
    <hyperlink ref="J3" r:id="rId8" location="'FSL%20Financials%20—%20Without%20BUMN'!A1" display="FSL w/o BUMN"/>
    <hyperlink ref="K3" r:id="rId9" location="'FSL%20Financials%20—%20With%20BUMN'!A1" display="FSL w/ BUMN"/>
    <hyperlink ref="L3" r:id="rId10" location="'Valuation%20—%20Without%20BUMN'!A1" display="Val w/o BUMN"/>
    <hyperlink ref="M3" r:id="rId11" location="'Valuation%20—%20With%20BUMN'!A1" display="Val w/ BUMN"/>
    <hyperlink ref="N3" r:id="rId12" location="'Checks'!A1" display="Checks"/>
    <hyperlink ref="O3" r:id="rId13" location="'Model%20Flow'!A1" display="Model Flow"/>
  </hyperlink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9D08E"/>
    <pageSetUpPr fitToPage="true"/>
  </sheetPr>
  <dimension ref="B1:U6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5" ySplit="9" topLeftCell="F10" activePane="bottomRight" state="frozen"/>
      <selection pane="topLeft" activeCell="A1" activeCellId="0" sqref="A1"/>
      <selection pane="topRight" activeCell="F1" activeCellId="0" sqref="F1"/>
      <selection pane="bottomLeft" activeCell="A10" activeCellId="0" sqref="A10"/>
      <selection pane="bottomRigh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66"/>
    <col collapsed="false" customWidth="true" hidden="false" outlineLevel="0" max="3" min="3" style="0" width="11"/>
    <col collapsed="false" customWidth="true" hidden="false" outlineLevel="0" max="4" min="4" style="0" width="12"/>
    <col collapsed="false" customWidth="true" hidden="false" outlineLevel="0" max="5" min="5" style="0" width="13"/>
    <col collapsed="false" customWidth="true" hidden="false" outlineLevel="0" max="19" min="6" style="0" width="11.5"/>
    <col collapsed="false" customWidth="true" hidden="false" outlineLevel="0" max="20" min="20" style="0" width="40"/>
    <col collapsed="false" customWidth="true" hidden="false" outlineLevel="0" max="21" min="21" style="0" width="48"/>
  </cols>
  <sheetData>
    <row r="1" customFormat="false" ht="21.75" hidden="false" customHeight="true" outlineLevel="0" collapsed="false">
      <c r="B1" s="1" t="s">
        <v>2376</v>
      </c>
    </row>
    <row r="2" customFormat="false" ht="15" hidden="false" customHeight="false" outlineLevel="0" collapsed="false">
      <c r="B2" s="2" t="s">
        <v>1102</v>
      </c>
    </row>
    <row r="3" customFormat="false" ht="15" hidden="false" customHeight="false" outlineLevel="0" collapsed="false">
      <c r="B3" s="5" t="s">
        <v>112</v>
      </c>
      <c r="C3" s="17" t="s">
        <v>27</v>
      </c>
      <c r="D3" s="17" t="s">
        <v>28</v>
      </c>
      <c r="E3" s="17" t="s">
        <v>29</v>
      </c>
      <c r="F3" s="17" t="s">
        <v>113</v>
      </c>
      <c r="G3" s="17" t="s">
        <v>5</v>
      </c>
      <c r="H3" s="17" t="s">
        <v>7</v>
      </c>
      <c r="I3" s="17" t="s">
        <v>114</v>
      </c>
      <c r="J3" s="17" t="s">
        <v>115</v>
      </c>
      <c r="K3" s="17" t="s">
        <v>116</v>
      </c>
      <c r="L3" s="17" t="s">
        <v>117</v>
      </c>
      <c r="M3" s="17" t="s">
        <v>118</v>
      </c>
      <c r="N3" s="17" t="s">
        <v>21</v>
      </c>
      <c r="O3" s="17" t="s">
        <v>3</v>
      </c>
    </row>
    <row r="5" customFormat="false" ht="15" hidden="false" customHeight="false" outlineLevel="0" collapsed="false">
      <c r="B5" s="6" t="s">
        <v>119</v>
      </c>
      <c r="C5" s="6" t="s">
        <v>120</v>
      </c>
      <c r="D5" s="6" t="s">
        <v>121</v>
      </c>
      <c r="E5" s="6" t="s">
        <v>122</v>
      </c>
      <c r="F5" s="18" t="n">
        <f aca="false">'Global Inputs'!F$5</f>
        <v>2023</v>
      </c>
      <c r="G5" s="18" t="n">
        <f aca="false">'Global Inputs'!G$5</f>
        <v>2024</v>
      </c>
      <c r="H5" s="18" t="n">
        <f aca="false">'Global Inputs'!H$5</f>
        <v>2025</v>
      </c>
      <c r="I5" s="18" t="n">
        <f aca="false">'Global Inputs'!I$5</f>
        <v>2026</v>
      </c>
      <c r="J5" s="18" t="n">
        <f aca="false">'Global Inputs'!J$5</f>
        <v>2027</v>
      </c>
      <c r="K5" s="18" t="n">
        <f aca="false">'Global Inputs'!K$5</f>
        <v>2028</v>
      </c>
      <c r="L5" s="18" t="n">
        <f aca="false">'Global Inputs'!L$5</f>
        <v>2029</v>
      </c>
      <c r="M5" s="18" t="n">
        <f aca="false">'Global Inputs'!M$5</f>
        <v>2030</v>
      </c>
      <c r="N5" s="18" t="n">
        <f aca="false">'Global Inputs'!N$5</f>
        <v>2031</v>
      </c>
      <c r="O5" s="18" t="n">
        <f aca="false">'Global Inputs'!O$5</f>
        <v>2032</v>
      </c>
      <c r="P5" s="18" t="n">
        <f aca="false">'Global Inputs'!P$5</f>
        <v>2033</v>
      </c>
      <c r="Q5" s="18" t="n">
        <f aca="false">'Global Inputs'!Q$5</f>
        <v>2034</v>
      </c>
      <c r="R5" s="18" t="n">
        <f aca="false">'Global Inputs'!R$5</f>
        <v>2035</v>
      </c>
      <c r="S5" s="18" t="n">
        <f aca="false">'Global Inputs'!S$5</f>
        <v>2036</v>
      </c>
      <c r="T5" s="6" t="s">
        <v>123</v>
      </c>
      <c r="U5" s="6" t="s">
        <v>124</v>
      </c>
    </row>
    <row r="6" customFormat="false" ht="15" hidden="false" customHeight="false" outlineLevel="0" collapsed="false">
      <c r="B6" s="19" t="s">
        <v>125</v>
      </c>
      <c r="F6" s="20" t="n">
        <f aca="false">'Global Inputs'!F$6</f>
        <v>45291</v>
      </c>
      <c r="G6" s="20" t="n">
        <f aca="false">'Global Inputs'!G$6</f>
        <v>45657</v>
      </c>
      <c r="H6" s="20" t="n">
        <f aca="false">'Global Inputs'!H$6</f>
        <v>46022</v>
      </c>
      <c r="I6" s="20" t="n">
        <f aca="false">'Global Inputs'!I$6</f>
        <v>46387</v>
      </c>
      <c r="J6" s="20" t="n">
        <f aca="false">'Global Inputs'!J$6</f>
        <v>46752</v>
      </c>
      <c r="K6" s="20" t="n">
        <f aca="false">'Global Inputs'!K$6</f>
        <v>47118</v>
      </c>
      <c r="L6" s="20" t="n">
        <f aca="false">'Global Inputs'!L$6</f>
        <v>47483</v>
      </c>
      <c r="M6" s="20" t="n">
        <f aca="false">'Global Inputs'!M$6</f>
        <v>47848</v>
      </c>
      <c r="N6" s="20" t="n">
        <f aca="false">'Global Inputs'!N$6</f>
        <v>48213</v>
      </c>
      <c r="O6" s="20" t="n">
        <f aca="false">'Global Inputs'!O$6</f>
        <v>48579</v>
      </c>
      <c r="P6" s="20" t="n">
        <f aca="false">'Global Inputs'!P$6</f>
        <v>48944</v>
      </c>
      <c r="Q6" s="20" t="n">
        <f aca="false">'Global Inputs'!Q$6</f>
        <v>49309</v>
      </c>
      <c r="R6" s="20" t="n">
        <f aca="false">'Global Inputs'!R$6</f>
        <v>49674</v>
      </c>
      <c r="S6" s="20" t="n">
        <f aca="false">'Global Inputs'!S$6</f>
        <v>50040</v>
      </c>
    </row>
    <row r="7" customFormat="false" ht="15" hidden="false" customHeight="false" outlineLevel="0" collapsed="false">
      <c r="B7" s="19" t="s">
        <v>126</v>
      </c>
      <c r="F7" s="21" t="n">
        <f aca="false">'Global Inputs'!F$7</f>
        <v>365</v>
      </c>
      <c r="G7" s="21" t="n">
        <f aca="false">'Global Inputs'!G$7</f>
        <v>366</v>
      </c>
      <c r="H7" s="21" t="n">
        <f aca="false">'Global Inputs'!H$7</f>
        <v>365</v>
      </c>
      <c r="I7" s="21" t="n">
        <f aca="false">'Global Inputs'!I$7</f>
        <v>365</v>
      </c>
      <c r="J7" s="21" t="n">
        <f aca="false">'Global Inputs'!J$7</f>
        <v>365</v>
      </c>
      <c r="K7" s="21" t="n">
        <f aca="false">'Global Inputs'!K$7</f>
        <v>366</v>
      </c>
      <c r="L7" s="21" t="n">
        <f aca="false">'Global Inputs'!L$7</f>
        <v>365</v>
      </c>
      <c r="M7" s="21" t="n">
        <f aca="false">'Global Inputs'!M$7</f>
        <v>365</v>
      </c>
      <c r="N7" s="21" t="n">
        <f aca="false">'Global Inputs'!N$7</f>
        <v>365</v>
      </c>
      <c r="O7" s="21" t="n">
        <f aca="false">'Global Inputs'!O$7</f>
        <v>366</v>
      </c>
      <c r="P7" s="21" t="n">
        <f aca="false">'Global Inputs'!P$7</f>
        <v>365</v>
      </c>
      <c r="Q7" s="21" t="n">
        <f aca="false">'Global Inputs'!Q$7</f>
        <v>365</v>
      </c>
      <c r="R7" s="21" t="n">
        <f aca="false">'Global Inputs'!R$7</f>
        <v>365</v>
      </c>
      <c r="S7" s="21" t="n">
        <f aca="false">'Global Inputs'!S$7</f>
        <v>366</v>
      </c>
    </row>
    <row r="8" customFormat="false" ht="15" hidden="false" customHeight="false" outlineLevel="0" collapsed="false">
      <c r="B8" s="19" t="s">
        <v>127</v>
      </c>
      <c r="F8" s="21" t="n">
        <f aca="false">'Global Inputs'!F$8</f>
        <v>0</v>
      </c>
      <c r="G8" s="21" t="n">
        <f aca="false">'Global Inputs'!G$8</f>
        <v>1</v>
      </c>
      <c r="H8" s="21" t="n">
        <f aca="false">'Global Inputs'!H$8</f>
        <v>1</v>
      </c>
      <c r="I8" s="21" t="n">
        <f aca="false">'Global Inputs'!I$8</f>
        <v>1</v>
      </c>
      <c r="J8" s="21" t="n">
        <f aca="false">'Global Inputs'!J$8</f>
        <v>1</v>
      </c>
      <c r="K8" s="21" t="n">
        <f aca="false">'Global Inputs'!K$8</f>
        <v>1</v>
      </c>
      <c r="L8" s="21" t="n">
        <f aca="false">'Global Inputs'!L$8</f>
        <v>1</v>
      </c>
      <c r="M8" s="21" t="n">
        <f aca="false">'Global Inputs'!M$8</f>
        <v>1</v>
      </c>
      <c r="N8" s="21" t="n">
        <f aca="false">'Global Inputs'!N$8</f>
        <v>1</v>
      </c>
      <c r="O8" s="21" t="n">
        <f aca="false">'Global Inputs'!O$8</f>
        <v>1</v>
      </c>
      <c r="P8" s="21" t="n">
        <f aca="false">'Global Inputs'!P$8</f>
        <v>1</v>
      </c>
      <c r="Q8" s="21" t="n">
        <f aca="false">'Global Inputs'!Q$8</f>
        <v>1</v>
      </c>
      <c r="R8" s="21" t="n">
        <f aca="false">'Global Inputs'!R$8</f>
        <v>1</v>
      </c>
      <c r="S8" s="21" t="n">
        <f aca="false">'Global Inputs'!S$8</f>
        <v>1</v>
      </c>
    </row>
    <row r="10" customFormat="false" ht="15" hidden="false" customHeight="false" outlineLevel="0" collapsed="false">
      <c r="B10" s="22" t="s">
        <v>1103</v>
      </c>
      <c r="C10" s="23"/>
      <c r="D10" s="23"/>
      <c r="E10" s="23"/>
      <c r="F10" s="23"/>
      <c r="G10" s="23"/>
      <c r="H10" s="23"/>
      <c r="I10" s="23"/>
      <c r="J10" s="23"/>
      <c r="K10" s="23"/>
      <c r="L10" s="23"/>
      <c r="M10" s="23"/>
      <c r="N10" s="23"/>
      <c r="O10" s="23"/>
      <c r="P10" s="23"/>
      <c r="Q10" s="23"/>
      <c r="R10" s="23"/>
      <c r="S10" s="23"/>
    </row>
    <row r="11" customFormat="false" ht="15" hidden="false" customHeight="false" outlineLevel="0" collapsed="false">
      <c r="B11" s="24" t="s">
        <v>345</v>
      </c>
      <c r="C11" s="25" t="s">
        <v>170</v>
      </c>
      <c r="E11" s="47" t="n">
        <f aca="false">SUM(F11:S11)</f>
        <v>1681.18125265162</v>
      </c>
      <c r="F11" s="47" t="n">
        <f aca="false">'P12 BUMNOps Calc'!F51</f>
        <v>0</v>
      </c>
      <c r="G11" s="47" t="n">
        <f aca="false">'P12 BUMNOps Calc'!G51</f>
        <v>0</v>
      </c>
      <c r="H11" s="47" t="n">
        <f aca="false">'P12 BUMNOps Calc'!H51</f>
        <v>0</v>
      </c>
      <c r="I11" s="47" t="n">
        <f aca="false">'P12 BUMNOps Calc'!I51</f>
        <v>127.493715469586</v>
      </c>
      <c r="J11" s="47" t="n">
        <f aca="false">'P12 BUMNOps Calc'!J51</f>
        <v>134.536379803959</v>
      </c>
      <c r="K11" s="47" t="n">
        <f aca="false">'P12 BUMNOps Calc'!K51</f>
        <v>139.280398829541</v>
      </c>
      <c r="L11" s="47" t="n">
        <f aca="false">'P12 BUMNOps Calc'!L51</f>
        <v>144.142604529362</v>
      </c>
      <c r="M11" s="47" t="n">
        <f aca="false">'P12 BUMNOps Calc'!M51</f>
        <v>149.126542503652</v>
      </c>
      <c r="N11" s="47" t="n">
        <f aca="false">'P12 BUMNOps Calc'!N51</f>
        <v>154.235864720642</v>
      </c>
      <c r="O11" s="47" t="n">
        <f aca="false">'P12 BUMNOps Calc'!O51</f>
        <v>159.474332707616</v>
      </c>
      <c r="P11" s="47" t="n">
        <f aca="false">'P12 BUMNOps Calc'!P51</f>
        <v>164.845820837671</v>
      </c>
      <c r="Q11" s="47" t="n">
        <f aca="false">'P12 BUMNOps Calc'!Q51</f>
        <v>170.354319715102</v>
      </c>
      <c r="R11" s="47" t="n">
        <f aca="false">'P12 BUMNOps Calc'!R51</f>
        <v>166.350381051472</v>
      </c>
      <c r="S11" s="47" t="n">
        <f aca="false">'P12 BUMNOps Calc'!S51</f>
        <v>171.340892483016</v>
      </c>
    </row>
    <row r="12" customFormat="false" ht="15" hidden="false" customHeight="false" outlineLevel="0" collapsed="false">
      <c r="B12" s="24" t="s">
        <v>391</v>
      </c>
      <c r="C12" s="25" t="s">
        <v>170</v>
      </c>
      <c r="E12" s="47" t="n">
        <f aca="false">SUM(F12:S12)</f>
        <v>0</v>
      </c>
      <c r="F12" s="47" t="n">
        <f aca="false">0</f>
        <v>0</v>
      </c>
      <c r="G12" s="47" t="n">
        <f aca="false">0</f>
        <v>0</v>
      </c>
      <c r="H12" s="47" t="n">
        <f aca="false">0</f>
        <v>0</v>
      </c>
      <c r="I12" s="47" t="n">
        <f aca="false">0</f>
        <v>0</v>
      </c>
      <c r="J12" s="47" t="n">
        <f aca="false">0</f>
        <v>0</v>
      </c>
      <c r="K12" s="47" t="n">
        <f aca="false">0</f>
        <v>0</v>
      </c>
      <c r="L12" s="47" t="n">
        <f aca="false">0</f>
        <v>0</v>
      </c>
      <c r="M12" s="47" t="n">
        <f aca="false">0</f>
        <v>0</v>
      </c>
      <c r="N12" s="47" t="n">
        <f aca="false">0</f>
        <v>0</v>
      </c>
      <c r="O12" s="47" t="n">
        <f aca="false">0</f>
        <v>0</v>
      </c>
      <c r="P12" s="47" t="n">
        <f aca="false">0</f>
        <v>0</v>
      </c>
      <c r="Q12" s="47" t="n">
        <f aca="false">0</f>
        <v>0</v>
      </c>
      <c r="R12" s="47" t="n">
        <f aca="false">0</f>
        <v>0</v>
      </c>
      <c r="S12" s="47" t="n">
        <f aca="false">0</f>
        <v>0</v>
      </c>
    </row>
    <row r="13" customFormat="false" ht="15" hidden="false" customHeight="false" outlineLevel="0" collapsed="false">
      <c r="B13" s="69" t="s">
        <v>392</v>
      </c>
      <c r="C13" s="25" t="s">
        <v>170</v>
      </c>
      <c r="E13" s="70" t="n">
        <f aca="false">SUM(F13:S13)</f>
        <v>1681.18125265162</v>
      </c>
      <c r="F13" s="68" t="n">
        <f aca="false">F11+F12</f>
        <v>0</v>
      </c>
      <c r="G13" s="68" t="n">
        <f aca="false">G11+G12</f>
        <v>0</v>
      </c>
      <c r="H13" s="68" t="n">
        <f aca="false">H11+H12</f>
        <v>0</v>
      </c>
      <c r="I13" s="68" t="n">
        <f aca="false">I11+I12</f>
        <v>127.493715469586</v>
      </c>
      <c r="J13" s="68" t="n">
        <f aca="false">J11+J12</f>
        <v>134.536379803959</v>
      </c>
      <c r="K13" s="68" t="n">
        <f aca="false">K11+K12</f>
        <v>139.280398829541</v>
      </c>
      <c r="L13" s="68" t="n">
        <f aca="false">L11+L12</f>
        <v>144.142604529362</v>
      </c>
      <c r="M13" s="68" t="n">
        <f aca="false">M11+M12</f>
        <v>149.126542503652</v>
      </c>
      <c r="N13" s="68" t="n">
        <f aca="false">N11+N12</f>
        <v>154.235864720642</v>
      </c>
      <c r="O13" s="68" t="n">
        <f aca="false">O11+O12</f>
        <v>159.474332707616</v>
      </c>
      <c r="P13" s="68" t="n">
        <f aca="false">P11+P12</f>
        <v>164.845820837671</v>
      </c>
      <c r="Q13" s="68" t="n">
        <f aca="false">Q11+Q12</f>
        <v>170.354319715102</v>
      </c>
      <c r="R13" s="68" t="n">
        <f aca="false">R11+R12</f>
        <v>166.350381051472</v>
      </c>
      <c r="S13" s="68" t="n">
        <f aca="false">S11+S12</f>
        <v>171.340892483016</v>
      </c>
    </row>
    <row r="14" customFormat="false" ht="15" hidden="false" customHeight="false" outlineLevel="0" collapsed="false">
      <c r="B14" s="24" t="s">
        <v>393</v>
      </c>
      <c r="C14" s="25" t="s">
        <v>170</v>
      </c>
      <c r="E14" s="47" t="n">
        <f aca="false">SUM(F14:S14)</f>
        <v>-913.499432767289</v>
      </c>
      <c r="F14" s="47" t="n">
        <f aca="false">-'P12 BUMNOps Calc'!F57</f>
        <v>-0</v>
      </c>
      <c r="G14" s="47" t="n">
        <f aca="false">-'P12 BUMNOps Calc'!G57</f>
        <v>-0</v>
      </c>
      <c r="H14" s="47" t="n">
        <f aca="false">-'P12 BUMNOps Calc'!H57</f>
        <v>-0</v>
      </c>
      <c r="I14" s="47" t="n">
        <f aca="false">-'P12 BUMNOps Calc'!I57</f>
        <v>-69.1755874402134</v>
      </c>
      <c r="J14" s="47" t="n">
        <f aca="false">-'P12 BUMNOps Calc'!J57</f>
        <v>-73.0850311994823</v>
      </c>
      <c r="K14" s="47" t="n">
        <f aca="false">-'P12 BUMNOps Calc'!K57</f>
        <v>-75.6811008854005</v>
      </c>
      <c r="L14" s="47" t="n">
        <f aca="false">-'P12 BUMNOps Calc'!L57</f>
        <v>-78.3412963408759</v>
      </c>
      <c r="M14" s="47" t="n">
        <f aca="false">-'P12 BUMNOps Calc'!M57</f>
        <v>-81.0675413389949</v>
      </c>
      <c r="N14" s="47" t="n">
        <f aca="false">-'P12 BUMNOps Calc'!N57</f>
        <v>-83.8618173660371</v>
      </c>
      <c r="O14" s="47" t="n">
        <f aca="false">-'P12 BUMNOps Calc'!O57</f>
        <v>-86.7261653528701</v>
      </c>
      <c r="P14" s="47" t="n">
        <f aca="false">-'P12 BUMNOps Calc'!P57</f>
        <v>-89.6626874582877</v>
      </c>
      <c r="Q14" s="47" t="n">
        <f aca="false">-'P12 BUMNOps Calc'!Q57</f>
        <v>-92.6735489058472</v>
      </c>
      <c r="R14" s="47" t="n">
        <f aca="false">-'P12 BUMNOps Calc'!R57</f>
        <v>-90.2584514676255</v>
      </c>
      <c r="S14" s="47" t="n">
        <f aca="false">-'P12 BUMNOps Calc'!S57</f>
        <v>-92.9662050116543</v>
      </c>
    </row>
    <row r="15" customFormat="false" ht="15" hidden="false" customHeight="false" outlineLevel="0" collapsed="false">
      <c r="B15" s="69" t="s">
        <v>346</v>
      </c>
      <c r="C15" s="25" t="s">
        <v>170</v>
      </c>
      <c r="E15" s="70" t="n">
        <f aca="false">SUM(F15:S15)</f>
        <v>767.68181988433</v>
      </c>
      <c r="F15" s="68" t="n">
        <f aca="false">F13+F14</f>
        <v>0</v>
      </c>
      <c r="G15" s="68" t="n">
        <f aca="false">G13+G14</f>
        <v>0</v>
      </c>
      <c r="H15" s="68" t="n">
        <f aca="false">H13+H14</f>
        <v>0</v>
      </c>
      <c r="I15" s="68" t="n">
        <f aca="false">I13+I14</f>
        <v>58.3181280293729</v>
      </c>
      <c r="J15" s="68" t="n">
        <f aca="false">J13+J14</f>
        <v>61.4513486044767</v>
      </c>
      <c r="K15" s="68" t="n">
        <f aca="false">K13+K14</f>
        <v>63.59929794414</v>
      </c>
      <c r="L15" s="68" t="n">
        <f aca="false">L13+L14</f>
        <v>65.8013081884864</v>
      </c>
      <c r="M15" s="68" t="n">
        <f aca="false">M13+M14</f>
        <v>68.0590011646567</v>
      </c>
      <c r="N15" s="68" t="n">
        <f aca="false">N13+N14</f>
        <v>70.3740473546053</v>
      </c>
      <c r="O15" s="68" t="n">
        <f aca="false">O13+O14</f>
        <v>72.7481673547458</v>
      </c>
      <c r="P15" s="68" t="n">
        <f aca="false">P13+P14</f>
        <v>75.1831333793838</v>
      </c>
      <c r="Q15" s="68" t="n">
        <f aca="false">Q13+Q14</f>
        <v>77.6807708092543</v>
      </c>
      <c r="R15" s="68" t="n">
        <f aca="false">R13+R14</f>
        <v>76.0919295838464</v>
      </c>
      <c r="S15" s="68" t="n">
        <f aca="false">S13+S14</f>
        <v>78.3746874713618</v>
      </c>
    </row>
    <row r="16" customFormat="false" ht="15" hidden="false" customHeight="false" outlineLevel="0" collapsed="false">
      <c r="B16" s="24" t="s">
        <v>349</v>
      </c>
      <c r="C16" s="25" t="s">
        <v>170</v>
      </c>
      <c r="E16" s="47" t="n">
        <f aca="false">SUM(F16:S16)</f>
        <v>0</v>
      </c>
      <c r="F16" s="47" t="n">
        <f aca="false">-'P12 BUMNOps Calc'!F69</f>
        <v>-0</v>
      </c>
      <c r="G16" s="47" t="n">
        <f aca="false">-'P12 BUMNOps Calc'!G69</f>
        <v>-0</v>
      </c>
      <c r="H16" s="47" t="n">
        <f aca="false">-'P12 BUMNOps Calc'!H69</f>
        <v>-0</v>
      </c>
      <c r="I16" s="47" t="n">
        <f aca="false">-'P12 BUMNOps Calc'!I69</f>
        <v>-0</v>
      </c>
      <c r="J16" s="47" t="n">
        <f aca="false">-'P12 BUMNOps Calc'!J69</f>
        <v>-0</v>
      </c>
      <c r="K16" s="47" t="n">
        <f aca="false">-'P12 BUMNOps Calc'!K69</f>
        <v>-0</v>
      </c>
      <c r="L16" s="47" t="n">
        <f aca="false">-'P12 BUMNOps Calc'!L69</f>
        <v>-0</v>
      </c>
      <c r="M16" s="47" t="n">
        <f aca="false">-'P12 BUMNOps Calc'!M69</f>
        <v>-0</v>
      </c>
      <c r="N16" s="47" t="n">
        <f aca="false">-'P12 BUMNOps Calc'!N69</f>
        <v>-0</v>
      </c>
      <c r="O16" s="47" t="n">
        <f aca="false">-'P12 BUMNOps Calc'!O69</f>
        <v>-0</v>
      </c>
      <c r="P16" s="47" t="n">
        <f aca="false">-'P12 BUMNOps Calc'!P69</f>
        <v>-0</v>
      </c>
      <c r="Q16" s="47" t="n">
        <f aca="false">-'P12 BUMNOps Calc'!Q69</f>
        <v>-0</v>
      </c>
      <c r="R16" s="47" t="n">
        <f aca="false">-'P12 BUMNOps Calc'!R69</f>
        <v>-0</v>
      </c>
      <c r="S16" s="47" t="n">
        <f aca="false">-'P12 BUMNOps Calc'!S69</f>
        <v>-0</v>
      </c>
    </row>
    <row r="17" customFormat="false" ht="15" hidden="false" customHeight="false" outlineLevel="0" collapsed="false">
      <c r="B17" s="69" t="s">
        <v>347</v>
      </c>
      <c r="C17" s="25" t="s">
        <v>170</v>
      </c>
      <c r="E17" s="70" t="n">
        <f aca="false">SUM(F17:S17)</f>
        <v>767.68181988433</v>
      </c>
      <c r="F17" s="68" t="n">
        <f aca="false">F15+F16</f>
        <v>0</v>
      </c>
      <c r="G17" s="68" t="n">
        <f aca="false">G15+G16</f>
        <v>0</v>
      </c>
      <c r="H17" s="68" t="n">
        <f aca="false">H15+H16</f>
        <v>0</v>
      </c>
      <c r="I17" s="68" t="n">
        <f aca="false">I15+I16</f>
        <v>58.3181280293729</v>
      </c>
      <c r="J17" s="68" t="n">
        <f aca="false">J15+J16</f>
        <v>61.4513486044767</v>
      </c>
      <c r="K17" s="68" t="n">
        <f aca="false">K15+K16</f>
        <v>63.59929794414</v>
      </c>
      <c r="L17" s="68" t="n">
        <f aca="false">L15+L16</f>
        <v>65.8013081884864</v>
      </c>
      <c r="M17" s="68" t="n">
        <f aca="false">M15+M16</f>
        <v>68.0590011646567</v>
      </c>
      <c r="N17" s="68" t="n">
        <f aca="false">N15+N16</f>
        <v>70.3740473546053</v>
      </c>
      <c r="O17" s="68" t="n">
        <f aca="false">O15+O16</f>
        <v>72.7481673547458</v>
      </c>
      <c r="P17" s="68" t="n">
        <f aca="false">P15+P16</f>
        <v>75.1831333793838</v>
      </c>
      <c r="Q17" s="68" t="n">
        <f aca="false">Q15+Q16</f>
        <v>77.6807708092543</v>
      </c>
      <c r="R17" s="68" t="n">
        <f aca="false">R15+R16</f>
        <v>76.0919295838464</v>
      </c>
      <c r="S17" s="68" t="n">
        <f aca="false">S15+S16</f>
        <v>78.3746874713618</v>
      </c>
    </row>
    <row r="18" customFormat="false" ht="15" hidden="false" customHeight="false" outlineLevel="0" collapsed="false">
      <c r="B18" s="24" t="s">
        <v>1104</v>
      </c>
      <c r="C18" s="25" t="s">
        <v>170</v>
      </c>
      <c r="E18" s="47" t="n">
        <f aca="false">SUM(F18:S18)</f>
        <v>-168.890000374553</v>
      </c>
      <c r="F18" s="47" t="n">
        <f aca="false">-MAX(0,F17)*'Global Inputs'!$E$27</f>
        <v>-0</v>
      </c>
      <c r="G18" s="47" t="n">
        <f aca="false">-MAX(0,G17)*'Global Inputs'!$E$27</f>
        <v>-0</v>
      </c>
      <c r="H18" s="47" t="n">
        <f aca="false">-MAX(0,H17)*'Global Inputs'!$E$27</f>
        <v>-0</v>
      </c>
      <c r="I18" s="47" t="n">
        <f aca="false">-MAX(0,I17)*'Global Inputs'!$E$27</f>
        <v>-12.829988166462</v>
      </c>
      <c r="J18" s="47" t="n">
        <f aca="false">-MAX(0,J17)*'Global Inputs'!$E$27</f>
        <v>-13.5192966929849</v>
      </c>
      <c r="K18" s="47" t="n">
        <f aca="false">-MAX(0,K17)*'Global Inputs'!$E$27</f>
        <v>-13.9918455477108</v>
      </c>
      <c r="L18" s="47" t="n">
        <f aca="false">-MAX(0,L17)*'Global Inputs'!$E$27</f>
        <v>-14.476287801467</v>
      </c>
      <c r="M18" s="47" t="n">
        <f aca="false">-MAX(0,M17)*'Global Inputs'!$E$27</f>
        <v>-14.9729802562245</v>
      </c>
      <c r="N18" s="47" t="n">
        <f aca="false">-MAX(0,N17)*'Global Inputs'!$E$27</f>
        <v>-15.4822904180132</v>
      </c>
      <c r="O18" s="47" t="n">
        <f aca="false">-MAX(0,O17)*'Global Inputs'!$E$27</f>
        <v>-16.0045968180441</v>
      </c>
      <c r="P18" s="47" t="n">
        <f aca="false">-MAX(0,P17)*'Global Inputs'!$E$27</f>
        <v>-16.5402893434644</v>
      </c>
      <c r="Q18" s="47" t="n">
        <f aca="false">-MAX(0,Q17)*'Global Inputs'!$E$27</f>
        <v>-17.0897695780359</v>
      </c>
      <c r="R18" s="47" t="n">
        <f aca="false">-MAX(0,R17)*'Global Inputs'!$E$27</f>
        <v>-16.7402245084462</v>
      </c>
      <c r="S18" s="47" t="n">
        <f aca="false">-MAX(0,S17)*'Global Inputs'!$E$27</f>
        <v>-17.2424312436996</v>
      </c>
    </row>
    <row r="19" customFormat="false" ht="15" hidden="false" customHeight="false" outlineLevel="0" collapsed="false">
      <c r="B19" s="69" t="s">
        <v>1105</v>
      </c>
      <c r="C19" s="25" t="s">
        <v>170</v>
      </c>
      <c r="E19" s="70" t="n">
        <f aca="false">SUM(F19:S19)</f>
        <v>598.791819509778</v>
      </c>
      <c r="F19" s="68" t="n">
        <f aca="false">F17+F18</f>
        <v>0</v>
      </c>
      <c r="G19" s="68" t="n">
        <f aca="false">G17+G18</f>
        <v>0</v>
      </c>
      <c r="H19" s="68" t="n">
        <f aca="false">H17+H18</f>
        <v>0</v>
      </c>
      <c r="I19" s="68" t="n">
        <f aca="false">I17+I18</f>
        <v>45.4881398629109</v>
      </c>
      <c r="J19" s="68" t="n">
        <f aca="false">J17+J18</f>
        <v>47.9320519114918</v>
      </c>
      <c r="K19" s="68" t="n">
        <f aca="false">K17+K18</f>
        <v>49.6074523964292</v>
      </c>
      <c r="L19" s="68" t="n">
        <f aca="false">L17+L18</f>
        <v>51.3250203870194</v>
      </c>
      <c r="M19" s="68" t="n">
        <f aca="false">M17+M18</f>
        <v>53.0860209084322</v>
      </c>
      <c r="N19" s="68" t="n">
        <f aca="false">N17+N18</f>
        <v>54.8917569365922</v>
      </c>
      <c r="O19" s="68" t="n">
        <f aca="false">O17+O18</f>
        <v>56.7435705367017</v>
      </c>
      <c r="P19" s="68" t="n">
        <f aca="false">P17+P18</f>
        <v>58.6428440359194</v>
      </c>
      <c r="Q19" s="68" t="n">
        <f aca="false">Q17+Q18</f>
        <v>60.5910012312183</v>
      </c>
      <c r="R19" s="68" t="n">
        <f aca="false">R17+R18</f>
        <v>59.3517050754002</v>
      </c>
      <c r="S19" s="68" t="n">
        <f aca="false">S17+S18</f>
        <v>61.1322562276622</v>
      </c>
    </row>
    <row r="20" customFormat="false" ht="15" hidden="false" customHeight="false" outlineLevel="0" collapsed="false">
      <c r="B20" s="24" t="s">
        <v>402</v>
      </c>
      <c r="C20" s="25" t="s">
        <v>160</v>
      </c>
      <c r="F20" s="49" t="n">
        <f aca="false">IF(F11=0,0,F15/F11)</f>
        <v>0</v>
      </c>
      <c r="G20" s="49" t="n">
        <f aca="false">IF(G11=0,0,G15/G11)</f>
        <v>0</v>
      </c>
      <c r="H20" s="49" t="n">
        <f aca="false">IF(H11=0,0,H15/H11)</f>
        <v>0</v>
      </c>
      <c r="I20" s="49" t="n">
        <f aca="false">IF(I11=0,0,I15/I11)</f>
        <v>0.457419628995633</v>
      </c>
      <c r="J20" s="49" t="n">
        <f aca="false">IF(J11=0,0,J15/J11)</f>
        <v>0.456763803916986</v>
      </c>
      <c r="K20" s="49" t="n">
        <f aca="false">IF(K11=0,0,K15/K11)</f>
        <v>0.45662777015721</v>
      </c>
      <c r="L20" s="49" t="n">
        <f aca="false">IF(L11=0,0,L15/L11)</f>
        <v>0.456501451485029</v>
      </c>
      <c r="M20" s="49" t="n">
        <f aca="false">IF(M11=0,0,M15/M11)</f>
        <v>0.456384222567154</v>
      </c>
      <c r="N20" s="49" t="n">
        <f aca="false">IF(N11=0,0,N15/N11)</f>
        <v>0.456275506880772</v>
      </c>
      <c r="O20" s="49" t="n">
        <f aca="false">IF(O11=0,0,O15/O11)</f>
        <v>0.456174771949816</v>
      </c>
      <c r="P20" s="49" t="n">
        <f aca="false">IF(P11=0,0,P15/P11)</f>
        <v>0.45608152513262</v>
      </c>
      <c r="Q20" s="49" t="n">
        <f aca="false">IF(Q11=0,0,Q15/Q11)</f>
        <v>0.455995309888042</v>
      </c>
      <c r="R20" s="49" t="n">
        <f aca="false">IF(R11=0,0,R15/R11)</f>
        <v>0.457419628995633</v>
      </c>
      <c r="S20" s="49" t="n">
        <f aca="false">IF(S11=0,0,S15/S11)</f>
        <v>0.457419628995633</v>
      </c>
    </row>
    <row r="21" customFormat="false" ht="15" hidden="false" customHeight="false" outlineLevel="0" collapsed="false">
      <c r="B21" s="24" t="s">
        <v>1106</v>
      </c>
      <c r="C21" s="25" t="s">
        <v>160</v>
      </c>
      <c r="F21" s="49" t="n">
        <f aca="false">IF(F11=0,0,F17/F11)</f>
        <v>0</v>
      </c>
      <c r="G21" s="49" t="n">
        <f aca="false">IF(G11=0,0,G17/G11)</f>
        <v>0</v>
      </c>
      <c r="H21" s="49" t="n">
        <f aca="false">IF(H11=0,0,H17/H11)</f>
        <v>0</v>
      </c>
      <c r="I21" s="49" t="n">
        <f aca="false">IF(I11=0,0,I17/I11)</f>
        <v>0.457419628995633</v>
      </c>
      <c r="J21" s="49" t="n">
        <f aca="false">IF(J11=0,0,J17/J11)</f>
        <v>0.456763803916986</v>
      </c>
      <c r="K21" s="49" t="n">
        <f aca="false">IF(K11=0,0,K17/K11)</f>
        <v>0.45662777015721</v>
      </c>
      <c r="L21" s="49" t="n">
        <f aca="false">IF(L11=0,0,L17/L11)</f>
        <v>0.456501451485029</v>
      </c>
      <c r="M21" s="49" t="n">
        <f aca="false">IF(M11=0,0,M17/M11)</f>
        <v>0.456384222567154</v>
      </c>
      <c r="N21" s="49" t="n">
        <f aca="false">IF(N11=0,0,N17/N11)</f>
        <v>0.456275506880772</v>
      </c>
      <c r="O21" s="49" t="n">
        <f aca="false">IF(O11=0,0,O17/O11)</f>
        <v>0.456174771949816</v>
      </c>
      <c r="P21" s="49" t="n">
        <f aca="false">IF(P11=0,0,P17/P11)</f>
        <v>0.45608152513262</v>
      </c>
      <c r="Q21" s="49" t="n">
        <f aca="false">IF(Q11=0,0,Q17/Q11)</f>
        <v>0.455995309888042</v>
      </c>
      <c r="R21" s="49" t="n">
        <f aca="false">IF(R11=0,0,R17/R11)</f>
        <v>0.457419628995633</v>
      </c>
      <c r="S21" s="49" t="n">
        <f aca="false">IF(S11=0,0,S17/S11)</f>
        <v>0.457419628995633</v>
      </c>
    </row>
    <row r="23" customFormat="false" ht="15" hidden="false" customHeight="false" outlineLevel="0" collapsed="false">
      <c r="B23" s="22" t="s">
        <v>1107</v>
      </c>
      <c r="C23" s="23"/>
      <c r="D23" s="23"/>
      <c r="E23" s="23"/>
      <c r="F23" s="23"/>
      <c r="G23" s="23"/>
      <c r="H23" s="23"/>
      <c r="I23" s="23"/>
      <c r="J23" s="23"/>
      <c r="K23" s="23"/>
      <c r="L23" s="23"/>
      <c r="M23" s="23"/>
      <c r="N23" s="23"/>
      <c r="O23" s="23"/>
      <c r="P23" s="23"/>
      <c r="Q23" s="23"/>
      <c r="R23" s="23"/>
      <c r="S23" s="23"/>
    </row>
    <row r="24" customFormat="false" ht="15" hidden="false" customHeight="false" outlineLevel="0" collapsed="false">
      <c r="B24" s="24" t="s">
        <v>456</v>
      </c>
      <c r="C24" s="25" t="s">
        <v>170</v>
      </c>
      <c r="E24" s="47" t="n">
        <f aca="false">SUM(F24:S24)</f>
        <v>598.791819509778</v>
      </c>
      <c r="F24" s="47" t="n">
        <f aca="false">F19</f>
        <v>0</v>
      </c>
      <c r="G24" s="47" t="n">
        <f aca="false">G19</f>
        <v>0</v>
      </c>
      <c r="H24" s="47" t="n">
        <f aca="false">H19</f>
        <v>0</v>
      </c>
      <c r="I24" s="47" t="n">
        <f aca="false">I19</f>
        <v>45.4881398629109</v>
      </c>
      <c r="J24" s="47" t="n">
        <f aca="false">J19</f>
        <v>47.9320519114918</v>
      </c>
      <c r="K24" s="47" t="n">
        <f aca="false">K19</f>
        <v>49.6074523964292</v>
      </c>
      <c r="L24" s="47" t="n">
        <f aca="false">L19</f>
        <v>51.3250203870194</v>
      </c>
      <c r="M24" s="47" t="n">
        <f aca="false">M19</f>
        <v>53.0860209084322</v>
      </c>
      <c r="N24" s="47" t="n">
        <f aca="false">N19</f>
        <v>54.8917569365922</v>
      </c>
      <c r="O24" s="47" t="n">
        <f aca="false">O19</f>
        <v>56.7435705367017</v>
      </c>
      <c r="P24" s="47" t="n">
        <f aca="false">P19</f>
        <v>58.6428440359194</v>
      </c>
      <c r="Q24" s="47" t="n">
        <f aca="false">Q19</f>
        <v>60.5910012312183</v>
      </c>
      <c r="R24" s="47" t="n">
        <f aca="false">R19</f>
        <v>59.3517050754002</v>
      </c>
      <c r="S24" s="47" t="n">
        <f aca="false">S19</f>
        <v>61.1322562276622</v>
      </c>
    </row>
    <row r="25" customFormat="false" ht="15" hidden="false" customHeight="false" outlineLevel="0" collapsed="false">
      <c r="B25" s="24" t="s">
        <v>419</v>
      </c>
      <c r="C25" s="25" t="s">
        <v>170</v>
      </c>
      <c r="E25" s="47" t="n">
        <f aca="false">SUM(F25:S25)</f>
        <v>0</v>
      </c>
      <c r="F25" s="47" t="n">
        <f aca="false">-F16</f>
        <v>0</v>
      </c>
      <c r="G25" s="47" t="n">
        <f aca="false">-G16</f>
        <v>0</v>
      </c>
      <c r="H25" s="47" t="n">
        <f aca="false">-H16</f>
        <v>0</v>
      </c>
      <c r="I25" s="47" t="n">
        <f aca="false">-I16</f>
        <v>0</v>
      </c>
      <c r="J25" s="47" t="n">
        <f aca="false">-J16</f>
        <v>0</v>
      </c>
      <c r="K25" s="47" t="n">
        <f aca="false">-K16</f>
        <v>0</v>
      </c>
      <c r="L25" s="47" t="n">
        <f aca="false">-L16</f>
        <v>0</v>
      </c>
      <c r="M25" s="47" t="n">
        <f aca="false">-M16</f>
        <v>0</v>
      </c>
      <c r="N25" s="47" t="n">
        <f aca="false">-N16</f>
        <v>0</v>
      </c>
      <c r="O25" s="47" t="n">
        <f aca="false">-O16</f>
        <v>0</v>
      </c>
      <c r="P25" s="47" t="n">
        <f aca="false">-P16</f>
        <v>0</v>
      </c>
      <c r="Q25" s="47" t="n">
        <f aca="false">-Q16</f>
        <v>0</v>
      </c>
      <c r="R25" s="47" t="n">
        <f aca="false">-R16</f>
        <v>0</v>
      </c>
      <c r="S25" s="47" t="n">
        <f aca="false">-S16</f>
        <v>0</v>
      </c>
    </row>
    <row r="26" customFormat="false" ht="15" hidden="false" customHeight="false" outlineLevel="0" collapsed="false">
      <c r="B26" s="24" t="s">
        <v>1108</v>
      </c>
      <c r="C26" s="25" t="s">
        <v>170</v>
      </c>
      <c r="E26" s="47" t="n">
        <f aca="false">SUM(F26:S26)</f>
        <v>0</v>
      </c>
      <c r="F26" s="47" t="n">
        <f aca="false">-'P12 BUMNOps Calc'!F66</f>
        <v>-0</v>
      </c>
      <c r="G26" s="47" t="n">
        <f aca="false">-'P12 BUMNOps Calc'!G66</f>
        <v>-0</v>
      </c>
      <c r="H26" s="47" t="n">
        <f aca="false">-'P12 BUMNOps Calc'!H66</f>
        <v>-0</v>
      </c>
      <c r="I26" s="47" t="n">
        <f aca="false">-'P12 BUMNOps Calc'!I66</f>
        <v>-0</v>
      </c>
      <c r="J26" s="47" t="n">
        <f aca="false">-'P12 BUMNOps Calc'!J66</f>
        <v>-0</v>
      </c>
      <c r="K26" s="47" t="n">
        <f aca="false">-'P12 BUMNOps Calc'!K66</f>
        <v>-0</v>
      </c>
      <c r="L26" s="47" t="n">
        <f aca="false">-'P12 BUMNOps Calc'!L66</f>
        <v>-0</v>
      </c>
      <c r="M26" s="47" t="n">
        <f aca="false">-'P12 BUMNOps Calc'!M66</f>
        <v>-0</v>
      </c>
      <c r="N26" s="47" t="n">
        <f aca="false">-'P12 BUMNOps Calc'!N66</f>
        <v>-0</v>
      </c>
      <c r="O26" s="47" t="n">
        <f aca="false">-'P12 BUMNOps Calc'!O66</f>
        <v>-0</v>
      </c>
      <c r="P26" s="47" t="n">
        <f aca="false">-'P12 BUMNOps Calc'!P66</f>
        <v>-0</v>
      </c>
      <c r="Q26" s="47" t="n">
        <f aca="false">-'P12 BUMNOps Calc'!Q66</f>
        <v>-0</v>
      </c>
      <c r="R26" s="47" t="n">
        <f aca="false">-'P12 BUMNOps Calc'!R66</f>
        <v>-0</v>
      </c>
      <c r="S26" s="47" t="n">
        <f aca="false">-'P12 BUMNOps Calc'!S66</f>
        <v>-0</v>
      </c>
    </row>
    <row r="27" customFormat="false" ht="15" hidden="false" customHeight="false" outlineLevel="0" collapsed="false">
      <c r="B27" s="24" t="s">
        <v>651</v>
      </c>
      <c r="C27" s="25" t="s">
        <v>170</v>
      </c>
      <c r="E27" s="47" t="n">
        <f aca="false">SUM(F27:S27)</f>
        <v>-21.0665031741413</v>
      </c>
      <c r="F27" s="47" t="n">
        <f aca="false">-'P12 BUMNOps Calc'!F75</f>
        <v>-0</v>
      </c>
      <c r="G27" s="47" t="n">
        <f aca="false">-'P12 BUMNOps Calc'!G75</f>
        <v>-0</v>
      </c>
      <c r="H27" s="47" t="n">
        <f aca="false">-'P12 BUMNOps Calc'!H75</f>
        <v>-0</v>
      </c>
      <c r="I27" s="47" t="n">
        <f aca="false">-'P12 BUMNOps Calc'!I75</f>
        <v>-15.7184032770723</v>
      </c>
      <c r="J27" s="47" t="n">
        <f aca="false">-'P12 BUMNOps Calc'!J75</f>
        <v>-0.868273685059654</v>
      </c>
      <c r="K27" s="47" t="n">
        <f aca="false">-'P12 BUMNOps Calc'!K75</f>
        <v>-0.537962238221407</v>
      </c>
      <c r="L27" s="47" t="n">
        <f aca="false">-'P12 BUMNOps Calc'!L75</f>
        <v>-0.646366837513245</v>
      </c>
      <c r="M27" s="47" t="n">
        <f aca="false">-'P12 BUMNOps Calc'!M75</f>
        <v>-0.614458106419232</v>
      </c>
      <c r="N27" s="47" t="n">
        <f aca="false">-'P12 BUMNOps Calc'!N75</f>
        <v>-0.629916437711202</v>
      </c>
      <c r="O27" s="47" t="n">
        <f aca="false">-'P12 BUMNOps Calc'!O75</f>
        <v>-0.592119341070514</v>
      </c>
      <c r="P27" s="47" t="n">
        <f aca="false">-'P12 BUMNOps Calc'!P75</f>
        <v>-0.715957440481002</v>
      </c>
      <c r="Q27" s="47" t="n">
        <f aca="false">-'P12 BUMNOps Calc'!Q75</f>
        <v>-0.679129998587268</v>
      </c>
      <c r="R27" s="47" t="n">
        <f aca="false">-'P12 BUMNOps Calc'!R75</f>
        <v>0.49363627359817</v>
      </c>
      <c r="S27" s="47" t="n">
        <f aca="false">-'P12 BUMNOps Calc'!S75</f>
        <v>-0.557552085603689</v>
      </c>
    </row>
    <row r="28" customFormat="false" ht="15" hidden="false" customHeight="false" outlineLevel="0" collapsed="false">
      <c r="B28" s="69" t="s">
        <v>1109</v>
      </c>
      <c r="C28" s="25" t="s">
        <v>170</v>
      </c>
      <c r="E28" s="70" t="n">
        <f aca="false">SUM(F28:S28)</f>
        <v>577.725316335636</v>
      </c>
      <c r="F28" s="68" t="n">
        <f aca="false">F24+F25+F26+F27</f>
        <v>0</v>
      </c>
      <c r="G28" s="68" t="n">
        <f aca="false">G24+G25+G26+G27</f>
        <v>0</v>
      </c>
      <c r="H28" s="68" t="n">
        <f aca="false">H24+H25+H26+H27</f>
        <v>0</v>
      </c>
      <c r="I28" s="68" t="n">
        <f aca="false">I24+I25+I26+I27</f>
        <v>29.7697365858386</v>
      </c>
      <c r="J28" s="68" t="n">
        <f aca="false">J24+J25+J26+J27</f>
        <v>47.0637782264322</v>
      </c>
      <c r="K28" s="68" t="n">
        <f aca="false">K24+K25+K26+K27</f>
        <v>49.0694901582078</v>
      </c>
      <c r="L28" s="68" t="n">
        <f aca="false">L24+L25+L26+L27</f>
        <v>50.6786535495062</v>
      </c>
      <c r="M28" s="68" t="n">
        <f aca="false">M24+M25+M26+M27</f>
        <v>52.471562802013</v>
      </c>
      <c r="N28" s="68" t="n">
        <f aca="false">N24+N25+N26+N27</f>
        <v>54.261840498881</v>
      </c>
      <c r="O28" s="68" t="n">
        <f aca="false">O24+O25+O26+O27</f>
        <v>56.1514511956312</v>
      </c>
      <c r="P28" s="68" t="n">
        <f aca="false">P24+P25+P26+P27</f>
        <v>57.9268865954384</v>
      </c>
      <c r="Q28" s="68" t="n">
        <f aca="false">Q24+Q25+Q26+Q27</f>
        <v>59.9118712326311</v>
      </c>
      <c r="R28" s="68" t="n">
        <f aca="false">R24+R25+R26+R27</f>
        <v>59.8453413489983</v>
      </c>
      <c r="S28" s="68" t="n">
        <f aca="false">S24+S25+S26+S27</f>
        <v>60.5747041420585</v>
      </c>
    </row>
    <row r="29" customFormat="false" ht="15" hidden="false" customHeight="false" outlineLevel="0" collapsed="false">
      <c r="B29" s="24" t="s">
        <v>354</v>
      </c>
      <c r="C29" s="25" t="s">
        <v>170</v>
      </c>
      <c r="F29" s="47" t="n">
        <f aca="false">SUM($F$28:F28)</f>
        <v>0</v>
      </c>
      <c r="G29" s="47" t="n">
        <f aca="false">SUM($F$28:G28)</f>
        <v>0</v>
      </c>
      <c r="H29" s="47" t="n">
        <f aca="false">SUM($F$28:H28)</f>
        <v>0</v>
      </c>
      <c r="I29" s="47" t="n">
        <f aca="false">SUM($F$28:I28)</f>
        <v>29.7697365858386</v>
      </c>
      <c r="J29" s="47" t="n">
        <f aca="false">SUM($F$28:J28)</f>
        <v>76.8335148122707</v>
      </c>
      <c r="K29" s="47" t="n">
        <f aca="false">SUM($F$28:K28)</f>
        <v>125.903004970479</v>
      </c>
      <c r="L29" s="47" t="n">
        <f aca="false">SUM($F$28:L28)</f>
        <v>176.581658519985</v>
      </c>
      <c r="M29" s="47" t="n">
        <f aca="false">SUM($F$28:M28)</f>
        <v>229.053221321998</v>
      </c>
      <c r="N29" s="47" t="n">
        <f aca="false">SUM($F$28:N28)</f>
        <v>283.315061820879</v>
      </c>
      <c r="O29" s="47" t="n">
        <f aca="false">SUM($F$28:O28)</f>
        <v>339.46651301651</v>
      </c>
      <c r="P29" s="47" t="n">
        <f aca="false">SUM($F$28:P28)</f>
        <v>397.393399611948</v>
      </c>
      <c r="Q29" s="47" t="n">
        <f aca="false">SUM($F$28:Q28)</f>
        <v>457.305270844579</v>
      </c>
      <c r="R29" s="47" t="n">
        <f aca="false">SUM($F$28:R28)</f>
        <v>517.150612193578</v>
      </c>
      <c r="S29" s="47" t="n">
        <f aca="false">SUM($F$28:S28)</f>
        <v>577.725316335636</v>
      </c>
    </row>
    <row r="30" customFormat="false" ht="15" hidden="false" customHeight="false" outlineLevel="0" collapsed="false">
      <c r="B30" s="24" t="s">
        <v>1110</v>
      </c>
      <c r="C30" s="25" t="s">
        <v>170</v>
      </c>
      <c r="E30" s="47" t="n">
        <f aca="false">SUM(F30:S30)</f>
        <v>547.955579749798</v>
      </c>
      <c r="F30" s="47" t="n">
        <f aca="false">F28*'Global Inputs'!F16</f>
        <v>0</v>
      </c>
      <c r="G30" s="47" t="n">
        <f aca="false">G28*'Global Inputs'!G16</f>
        <v>0</v>
      </c>
      <c r="H30" s="47" t="n">
        <f aca="false">H28*'Global Inputs'!H16</f>
        <v>0</v>
      </c>
      <c r="I30" s="47" t="n">
        <f aca="false">I28*'Global Inputs'!I16</f>
        <v>0</v>
      </c>
      <c r="J30" s="47" t="n">
        <f aca="false">J28*'Global Inputs'!J16</f>
        <v>47.0637782264322</v>
      </c>
      <c r="K30" s="47" t="n">
        <f aca="false">K28*'Global Inputs'!K16</f>
        <v>49.0694901582078</v>
      </c>
      <c r="L30" s="47" t="n">
        <f aca="false">L28*'Global Inputs'!L16</f>
        <v>50.6786535495062</v>
      </c>
      <c r="M30" s="47" t="n">
        <f aca="false">M28*'Global Inputs'!M16</f>
        <v>52.471562802013</v>
      </c>
      <c r="N30" s="47" t="n">
        <f aca="false">N28*'Global Inputs'!N16</f>
        <v>54.261840498881</v>
      </c>
      <c r="O30" s="47" t="n">
        <f aca="false">O28*'Global Inputs'!O16</f>
        <v>56.1514511956312</v>
      </c>
      <c r="P30" s="47" t="n">
        <f aca="false">P28*'Global Inputs'!P16</f>
        <v>57.9268865954384</v>
      </c>
      <c r="Q30" s="47" t="n">
        <f aca="false">Q28*'Global Inputs'!Q16</f>
        <v>59.9118712326311</v>
      </c>
      <c r="R30" s="47" t="n">
        <f aca="false">R28*'Global Inputs'!R16</f>
        <v>59.8453413489983</v>
      </c>
      <c r="S30" s="47" t="n">
        <f aca="false">S28*'Global Inputs'!S16</f>
        <v>60.5747041420585</v>
      </c>
    </row>
    <row r="31" customFormat="false" ht="15" hidden="false" customHeight="false" outlineLevel="0" collapsed="false">
      <c r="B31" s="24" t="s">
        <v>1111</v>
      </c>
      <c r="C31" s="25" t="s">
        <v>170</v>
      </c>
      <c r="E31" s="47" t="n">
        <f aca="false">SUM(F31:S31)</f>
        <v>0</v>
      </c>
      <c r="F31" s="47" t="n">
        <f aca="false">MAX(0,-F28)</f>
        <v>-0</v>
      </c>
      <c r="G31" s="47" t="n">
        <f aca="false">MAX(0,-G28)</f>
        <v>-0</v>
      </c>
      <c r="H31" s="47" t="n">
        <f aca="false">MAX(0,-H28)</f>
        <v>-0</v>
      </c>
      <c r="I31" s="47" t="n">
        <f aca="false">MAX(0,-I28)</f>
        <v>0</v>
      </c>
      <c r="J31" s="47" t="n">
        <f aca="false">MAX(0,-J28)</f>
        <v>0</v>
      </c>
      <c r="K31" s="47" t="n">
        <f aca="false">MAX(0,-K28)</f>
        <v>0</v>
      </c>
      <c r="L31" s="47" t="n">
        <f aca="false">MAX(0,-L28)</f>
        <v>0</v>
      </c>
      <c r="M31" s="47" t="n">
        <f aca="false">MAX(0,-M28)</f>
        <v>0</v>
      </c>
      <c r="N31" s="47" t="n">
        <f aca="false">MAX(0,-N28)</f>
        <v>0</v>
      </c>
      <c r="O31" s="47" t="n">
        <f aca="false">MAX(0,-O28)</f>
        <v>0</v>
      </c>
      <c r="P31" s="47" t="n">
        <f aca="false">MAX(0,-P28)</f>
        <v>0</v>
      </c>
      <c r="Q31" s="47" t="n">
        <f aca="false">MAX(0,-Q28)</f>
        <v>0</v>
      </c>
      <c r="R31" s="47" t="n">
        <f aca="false">MAX(0,-R28)</f>
        <v>0</v>
      </c>
      <c r="S31" s="47" t="n">
        <f aca="false">MAX(0,-S28)</f>
        <v>0</v>
      </c>
    </row>
    <row r="33" customFormat="false" ht="15" hidden="false" customHeight="false" outlineLevel="0" collapsed="false">
      <c r="B33" s="22" t="s">
        <v>1112</v>
      </c>
      <c r="C33" s="23"/>
      <c r="D33" s="23"/>
      <c r="E33" s="23"/>
      <c r="F33" s="23"/>
      <c r="G33" s="23"/>
      <c r="H33" s="23"/>
      <c r="I33" s="23"/>
      <c r="J33" s="23"/>
      <c r="K33" s="23"/>
      <c r="L33" s="23"/>
      <c r="M33" s="23"/>
      <c r="N33" s="23"/>
      <c r="O33" s="23"/>
      <c r="P33" s="23"/>
      <c r="Q33" s="23"/>
      <c r="R33" s="23"/>
      <c r="S33" s="23"/>
    </row>
    <row r="34" customFormat="false" ht="15" hidden="false" customHeight="false" outlineLevel="0" collapsed="false">
      <c r="B34" s="24" t="s">
        <v>1113</v>
      </c>
      <c r="C34" s="25" t="s">
        <v>240</v>
      </c>
      <c r="E34" s="44" t="n">
        <f aca="false">SUM(F34:S34)</f>
        <v>0</v>
      </c>
      <c r="F34" s="44" t="n">
        <f aca="false">'P12 BUMNOps Calc'!F65</f>
        <v>0</v>
      </c>
      <c r="G34" s="44" t="n">
        <f aca="false">'P12 BUMNOps Calc'!G65</f>
        <v>0</v>
      </c>
      <c r="H34" s="44" t="n">
        <f aca="false">'P12 BUMNOps Calc'!H65</f>
        <v>0</v>
      </c>
      <c r="I34" s="44" t="n">
        <f aca="false">'P12 BUMNOps Calc'!I65</f>
        <v>0</v>
      </c>
      <c r="J34" s="44" t="n">
        <f aca="false">'P12 BUMNOps Calc'!J65</f>
        <v>0</v>
      </c>
      <c r="K34" s="44" t="n">
        <f aca="false">'P12 BUMNOps Calc'!K65</f>
        <v>0</v>
      </c>
      <c r="L34" s="44" t="n">
        <f aca="false">'P12 BUMNOps Calc'!L65</f>
        <v>0</v>
      </c>
      <c r="M34" s="44" t="n">
        <f aca="false">'P12 BUMNOps Calc'!M65</f>
        <v>0</v>
      </c>
      <c r="N34" s="44" t="n">
        <f aca="false">'P12 BUMNOps Calc'!N65</f>
        <v>0</v>
      </c>
      <c r="O34" s="44" t="n">
        <f aca="false">'P12 BUMNOps Calc'!O65</f>
        <v>0</v>
      </c>
      <c r="P34" s="44" t="n">
        <f aca="false">'P12 BUMNOps Calc'!P65</f>
        <v>0</v>
      </c>
      <c r="Q34" s="44" t="n">
        <f aca="false">'P12 BUMNOps Calc'!Q65</f>
        <v>0</v>
      </c>
      <c r="R34" s="44" t="n">
        <f aca="false">'P12 BUMNOps Calc'!R65</f>
        <v>0</v>
      </c>
      <c r="S34" s="44" t="n">
        <f aca="false">'P12 BUMNOps Calc'!S65</f>
        <v>0</v>
      </c>
    </row>
    <row r="35" customFormat="false" ht="15" hidden="false" customHeight="false" outlineLevel="0" collapsed="false">
      <c r="B35" s="24" t="s">
        <v>1114</v>
      </c>
      <c r="C35" s="25" t="s">
        <v>170</v>
      </c>
      <c r="E35" s="47" t="n">
        <f aca="false">SUM(F35:S35)</f>
        <v>0</v>
      </c>
      <c r="F35" s="47" t="n">
        <f aca="false">'P12 BUMNOps Calc'!F66</f>
        <v>0</v>
      </c>
      <c r="G35" s="47" t="n">
        <f aca="false">'P12 BUMNOps Calc'!G66</f>
        <v>0</v>
      </c>
      <c r="H35" s="47" t="n">
        <f aca="false">'P12 BUMNOps Calc'!H66</f>
        <v>0</v>
      </c>
      <c r="I35" s="47" t="n">
        <f aca="false">'P12 BUMNOps Calc'!I66</f>
        <v>0</v>
      </c>
      <c r="J35" s="47" t="n">
        <f aca="false">'P12 BUMNOps Calc'!J66</f>
        <v>0</v>
      </c>
      <c r="K35" s="47" t="n">
        <f aca="false">'P12 BUMNOps Calc'!K66</f>
        <v>0</v>
      </c>
      <c r="L35" s="47" t="n">
        <f aca="false">'P12 BUMNOps Calc'!L66</f>
        <v>0</v>
      </c>
      <c r="M35" s="47" t="n">
        <f aca="false">'P12 BUMNOps Calc'!M66</f>
        <v>0</v>
      </c>
      <c r="N35" s="47" t="n">
        <f aca="false">'P12 BUMNOps Calc'!N66</f>
        <v>0</v>
      </c>
      <c r="O35" s="47" t="n">
        <f aca="false">'P12 BUMNOps Calc'!O66</f>
        <v>0</v>
      </c>
      <c r="P35" s="47" t="n">
        <f aca="false">'P12 BUMNOps Calc'!P66</f>
        <v>0</v>
      </c>
      <c r="Q35" s="47" t="n">
        <f aca="false">'P12 BUMNOps Calc'!Q66</f>
        <v>0</v>
      </c>
      <c r="R35" s="47" t="n">
        <f aca="false">'P12 BUMNOps Calc'!R66</f>
        <v>0</v>
      </c>
      <c r="S35" s="47" t="n">
        <f aca="false">'P12 BUMNOps Calc'!S66</f>
        <v>0</v>
      </c>
    </row>
    <row r="36" customFormat="false" ht="15" hidden="false" customHeight="false" outlineLevel="0" collapsed="false">
      <c r="B36" s="24" t="s">
        <v>1115</v>
      </c>
      <c r="C36" s="25" t="s">
        <v>170</v>
      </c>
      <c r="F36" s="47" t="n">
        <f aca="false">'P12 BUMNOps Calc'!F68</f>
        <v>0</v>
      </c>
      <c r="G36" s="47" t="n">
        <f aca="false">'P12 BUMNOps Calc'!G68</f>
        <v>0</v>
      </c>
      <c r="H36" s="47" t="n">
        <f aca="false">'P12 BUMNOps Calc'!H68</f>
        <v>0</v>
      </c>
      <c r="I36" s="47" t="n">
        <f aca="false">'P12 BUMNOps Calc'!I68</f>
        <v>0</v>
      </c>
      <c r="J36" s="47" t="n">
        <f aca="false">'P12 BUMNOps Calc'!J68</f>
        <v>0</v>
      </c>
      <c r="K36" s="47" t="n">
        <f aca="false">'P12 BUMNOps Calc'!K68</f>
        <v>0</v>
      </c>
      <c r="L36" s="47" t="n">
        <f aca="false">'P12 BUMNOps Calc'!L68</f>
        <v>0</v>
      </c>
      <c r="M36" s="47" t="n">
        <f aca="false">'P12 BUMNOps Calc'!M68</f>
        <v>0</v>
      </c>
      <c r="N36" s="47" t="n">
        <f aca="false">'P12 BUMNOps Calc'!N68</f>
        <v>0</v>
      </c>
      <c r="O36" s="47" t="n">
        <f aca="false">'P12 BUMNOps Calc'!O68</f>
        <v>0</v>
      </c>
      <c r="P36" s="47" t="n">
        <f aca="false">'P12 BUMNOps Calc'!P68</f>
        <v>0</v>
      </c>
      <c r="Q36" s="47" t="n">
        <f aca="false">'P12 BUMNOps Calc'!Q68</f>
        <v>0</v>
      </c>
      <c r="R36" s="47" t="n">
        <f aca="false">'P12 BUMNOps Calc'!R68</f>
        <v>0</v>
      </c>
      <c r="S36" s="47" t="n">
        <f aca="false">'P12 BUMNOps Calc'!S68</f>
        <v>0</v>
      </c>
    </row>
    <row r="37" customFormat="false" ht="15" hidden="false" customHeight="false" outlineLevel="0" collapsed="false">
      <c r="B37" s="24" t="s">
        <v>463</v>
      </c>
      <c r="C37" s="25" t="s">
        <v>170</v>
      </c>
      <c r="F37" s="47" t="n">
        <f aca="false">'P12 BUMNOps Calc'!F72</f>
        <v>0</v>
      </c>
      <c r="G37" s="47" t="n">
        <f aca="false">'P12 BUMNOps Calc'!G72</f>
        <v>0</v>
      </c>
      <c r="H37" s="47" t="n">
        <f aca="false">'P12 BUMNOps Calc'!H72</f>
        <v>0</v>
      </c>
      <c r="I37" s="47" t="n">
        <f aca="false">'P12 BUMNOps Calc'!I72</f>
        <v>15.7184032770723</v>
      </c>
      <c r="J37" s="47" t="n">
        <f aca="false">'P12 BUMNOps Calc'!J72</f>
        <v>16.5866769621319</v>
      </c>
      <c r="K37" s="47" t="n">
        <f aca="false">'P12 BUMNOps Calc'!K72</f>
        <v>17.1246392003533</v>
      </c>
      <c r="L37" s="47" t="n">
        <f aca="false">'P12 BUMNOps Calc'!L72</f>
        <v>17.7710060378666</v>
      </c>
      <c r="M37" s="47" t="n">
        <f aca="false">'P12 BUMNOps Calc'!M72</f>
        <v>18.3854641442858</v>
      </c>
      <c r="N37" s="47" t="n">
        <f aca="false">'P12 BUMNOps Calc'!N72</f>
        <v>19.015380581997</v>
      </c>
      <c r="O37" s="47" t="n">
        <f aca="false">'P12 BUMNOps Calc'!O72</f>
        <v>19.6074999230675</v>
      </c>
      <c r="P37" s="47" t="n">
        <f aca="false">'P12 BUMNOps Calc'!P72</f>
        <v>20.3234573635485</v>
      </c>
      <c r="Q37" s="47" t="n">
        <f aca="false">'P12 BUMNOps Calc'!Q72</f>
        <v>21.0025873621358</v>
      </c>
      <c r="R37" s="47" t="n">
        <f aca="false">'P12 BUMNOps Calc'!R72</f>
        <v>20.5089510885376</v>
      </c>
      <c r="S37" s="47" t="n">
        <f aca="false">'P12 BUMNOps Calc'!S72</f>
        <v>21.0665031741413</v>
      </c>
    </row>
    <row r="38" customFormat="false" ht="15" hidden="false" customHeight="false" outlineLevel="0" collapsed="false">
      <c r="B38" s="24" t="s">
        <v>1116</v>
      </c>
      <c r="C38" s="25" t="s">
        <v>170</v>
      </c>
      <c r="F38" s="47" t="n">
        <f aca="false">-'P12 BUMNOps Calc'!F73</f>
        <v>-0</v>
      </c>
      <c r="G38" s="47" t="n">
        <f aca="false">-'P12 BUMNOps Calc'!G73</f>
        <v>-0</v>
      </c>
      <c r="H38" s="47" t="n">
        <f aca="false">-'P12 BUMNOps Calc'!H73</f>
        <v>-0</v>
      </c>
      <c r="I38" s="47" t="n">
        <f aca="false">-'P12 BUMNOps Calc'!I73</f>
        <v>-0</v>
      </c>
      <c r="J38" s="47" t="n">
        <f aca="false">-'P12 BUMNOps Calc'!J73</f>
        <v>-0</v>
      </c>
      <c r="K38" s="47" t="n">
        <f aca="false">-'P12 BUMNOps Calc'!K73</f>
        <v>-0</v>
      </c>
      <c r="L38" s="47" t="n">
        <f aca="false">-'P12 BUMNOps Calc'!L73</f>
        <v>-0</v>
      </c>
      <c r="M38" s="47" t="n">
        <f aca="false">-'P12 BUMNOps Calc'!M73</f>
        <v>-0</v>
      </c>
      <c r="N38" s="47" t="n">
        <f aca="false">-'P12 BUMNOps Calc'!N73</f>
        <v>-0</v>
      </c>
      <c r="O38" s="47" t="n">
        <f aca="false">-'P12 BUMNOps Calc'!O73</f>
        <v>-0</v>
      </c>
      <c r="P38" s="47" t="n">
        <f aca="false">-'P12 BUMNOps Calc'!P73</f>
        <v>-0</v>
      </c>
      <c r="Q38" s="47" t="n">
        <f aca="false">-'P12 BUMNOps Calc'!Q73</f>
        <v>-0</v>
      </c>
      <c r="R38" s="47" t="n">
        <f aca="false">-'P12 BUMNOps Calc'!R73</f>
        <v>-0</v>
      </c>
      <c r="S38" s="47" t="n">
        <f aca="false">-'P12 BUMNOps Calc'!S73</f>
        <v>-0</v>
      </c>
    </row>
    <row r="39" customFormat="false" ht="15" hidden="false" customHeight="false" outlineLevel="0" collapsed="false">
      <c r="B39" s="69" t="s">
        <v>1117</v>
      </c>
      <c r="C39" s="25" t="s">
        <v>170</v>
      </c>
      <c r="F39" s="68" t="n">
        <f aca="false">F36+F37+F38</f>
        <v>0</v>
      </c>
      <c r="G39" s="68" t="n">
        <f aca="false">G36+G37+G38</f>
        <v>0</v>
      </c>
      <c r="H39" s="68" t="n">
        <f aca="false">H36+H37+H38</f>
        <v>0</v>
      </c>
      <c r="I39" s="68" t="n">
        <f aca="false">I36+I37+I38</f>
        <v>15.7184032770723</v>
      </c>
      <c r="J39" s="68" t="n">
        <f aca="false">J36+J37+J38</f>
        <v>16.5866769621319</v>
      </c>
      <c r="K39" s="68" t="n">
        <f aca="false">K36+K37+K38</f>
        <v>17.1246392003533</v>
      </c>
      <c r="L39" s="68" t="n">
        <f aca="false">L36+L37+L38</f>
        <v>17.7710060378666</v>
      </c>
      <c r="M39" s="68" t="n">
        <f aca="false">M36+M37+M38</f>
        <v>18.3854641442858</v>
      </c>
      <c r="N39" s="68" t="n">
        <f aca="false">N36+N37+N38</f>
        <v>19.015380581997</v>
      </c>
      <c r="O39" s="68" t="n">
        <f aca="false">O36+O37+O38</f>
        <v>19.6074999230675</v>
      </c>
      <c r="P39" s="68" t="n">
        <f aca="false">P36+P37+P38</f>
        <v>20.3234573635485</v>
      </c>
      <c r="Q39" s="68" t="n">
        <f aca="false">Q36+Q37+Q38</f>
        <v>21.0025873621358</v>
      </c>
      <c r="R39" s="68" t="n">
        <f aca="false">R36+R37+R38</f>
        <v>20.5089510885376</v>
      </c>
      <c r="S39" s="68" t="n">
        <f aca="false">S36+S37+S38</f>
        <v>21.0665031741413</v>
      </c>
    </row>
    <row r="41" customFormat="false" ht="15" hidden="false" customHeight="false" outlineLevel="0" collapsed="false">
      <c r="B41" s="22" t="s">
        <v>1119</v>
      </c>
      <c r="C41" s="23"/>
      <c r="D41" s="23"/>
      <c r="E41" s="23"/>
      <c r="F41" s="23"/>
      <c r="G41" s="23"/>
      <c r="H41" s="23"/>
      <c r="I41" s="23"/>
      <c r="J41" s="23"/>
      <c r="K41" s="23"/>
      <c r="L41" s="23"/>
      <c r="M41" s="23"/>
      <c r="N41" s="23"/>
      <c r="O41" s="23"/>
      <c r="P41" s="23"/>
      <c r="Q41" s="23"/>
      <c r="R41" s="23"/>
      <c r="S41" s="23"/>
    </row>
    <row r="42" customFormat="false" ht="15" hidden="false" customHeight="false" outlineLevel="0" collapsed="false">
      <c r="B42" s="24" t="s">
        <v>1120</v>
      </c>
      <c r="C42" s="25" t="s">
        <v>143</v>
      </c>
      <c r="F42" s="30" t="n">
        <f aca="false">0</f>
        <v>0</v>
      </c>
      <c r="G42" s="30" t="n">
        <f aca="false">MIN(1,F42+F43)</f>
        <v>0</v>
      </c>
      <c r="H42" s="30" t="n">
        <f aca="false">MIN(1,G42+G43)</f>
        <v>0</v>
      </c>
      <c r="I42" s="30" t="n">
        <f aca="false">MIN(1,H42+H43)</f>
        <v>0</v>
      </c>
      <c r="J42" s="30" t="n">
        <f aca="false">MIN(1,I42+I43)</f>
        <v>0</v>
      </c>
      <c r="K42" s="30" t="n">
        <f aca="false">MIN(1,J42+J43)</f>
        <v>0</v>
      </c>
      <c r="L42" s="30" t="n">
        <f aca="false">MIN(1,K42+K43)</f>
        <v>0</v>
      </c>
      <c r="M42" s="30" t="n">
        <f aca="false">MIN(1,L42+L43)</f>
        <v>0</v>
      </c>
      <c r="N42" s="30" t="n">
        <f aca="false">MIN(1,M42+M43)</f>
        <v>0</v>
      </c>
      <c r="O42" s="30" t="n">
        <f aca="false">MIN(1,N42+N43)</f>
        <v>0</v>
      </c>
      <c r="P42" s="30" t="n">
        <f aca="false">MIN(1,O42+O43)</f>
        <v>0</v>
      </c>
      <c r="Q42" s="30" t="n">
        <f aca="false">MIN(1,P42+P43)</f>
        <v>0</v>
      </c>
      <c r="R42" s="30" t="n">
        <f aca="false">MIN(1,Q42+Q43)</f>
        <v>0</v>
      </c>
      <c r="S42" s="30" t="n">
        <f aca="false">MIN(1,R42+R43)</f>
        <v>0</v>
      </c>
    </row>
    <row r="43" customFormat="false" ht="15" hidden="false" customHeight="false" outlineLevel="0" collapsed="false">
      <c r="B43" s="24" t="s">
        <v>1121</v>
      </c>
      <c r="C43" s="25" t="s">
        <v>143</v>
      </c>
      <c r="F43" s="30" t="n">
        <f aca="false">0</f>
        <v>0</v>
      </c>
      <c r="G43" s="30" t="n">
        <f aca="false">IF(AND(G29&gt;=0,F29&lt;0,G42=0),1,0)</f>
        <v>0</v>
      </c>
      <c r="H43" s="30" t="n">
        <f aca="false">IF(AND(H29&gt;=0,G29&lt;0,H42=0),1,0)</f>
        <v>0</v>
      </c>
      <c r="I43" s="30" t="n">
        <f aca="false">IF(AND(I29&gt;=0,H29&lt;0,I42=0),1,0)</f>
        <v>0</v>
      </c>
      <c r="J43" s="30" t="n">
        <f aca="false">IF(AND(J29&gt;=0,I29&lt;0,J42=0),1,0)</f>
        <v>0</v>
      </c>
      <c r="K43" s="30" t="n">
        <f aca="false">IF(AND(K29&gt;=0,J29&lt;0,K42=0),1,0)</f>
        <v>0</v>
      </c>
      <c r="L43" s="30" t="n">
        <f aca="false">IF(AND(L29&gt;=0,K29&lt;0,L42=0),1,0)</f>
        <v>0</v>
      </c>
      <c r="M43" s="30" t="n">
        <f aca="false">IF(AND(M29&gt;=0,L29&lt;0,M42=0),1,0)</f>
        <v>0</v>
      </c>
      <c r="N43" s="30" t="n">
        <f aca="false">IF(AND(N29&gt;=0,M29&lt;0,N42=0),1,0)</f>
        <v>0</v>
      </c>
      <c r="O43" s="30" t="n">
        <f aca="false">IF(AND(O29&gt;=0,N29&lt;0,O42=0),1,0)</f>
        <v>0</v>
      </c>
      <c r="P43" s="30" t="n">
        <f aca="false">IF(AND(P29&gt;=0,O29&lt;0,P42=0),1,0)</f>
        <v>0</v>
      </c>
      <c r="Q43" s="30" t="n">
        <f aca="false">IF(AND(Q29&gt;=0,P29&lt;0,Q42=0),1,0)</f>
        <v>0</v>
      </c>
      <c r="R43" s="30" t="n">
        <f aca="false">IF(AND(R29&gt;=0,Q29&lt;0,R42=0),1,0)</f>
        <v>0</v>
      </c>
      <c r="S43" s="30" t="n">
        <f aca="false">IF(AND(S29&gt;=0,R29&lt;0,S42=0),1,0)</f>
        <v>0</v>
      </c>
    </row>
    <row r="44" customFormat="false" ht="15" hidden="false" customHeight="false" outlineLevel="0" collapsed="false">
      <c r="B44" s="24" t="s">
        <v>1122</v>
      </c>
      <c r="C44" s="25" t="s">
        <v>170</v>
      </c>
      <c r="F44" s="47" t="n">
        <f aca="false">IF(F$5='Global Inputs'!$E$14,F28*(1+'Global Inputs'!$E$54)/('Global Inputs'!$E$53-'Global Inputs'!$E$54),0)</f>
        <v>0</v>
      </c>
      <c r="G44" s="47" t="n">
        <f aca="false">IF(G$5='Global Inputs'!$E$14,G28*(1+'Global Inputs'!$E$54)/('Global Inputs'!$E$53-'Global Inputs'!$E$54),0)</f>
        <v>0</v>
      </c>
      <c r="H44" s="47" t="n">
        <f aca="false">IF(H$5='Global Inputs'!$E$14,H28*(1+'Global Inputs'!$E$54)/('Global Inputs'!$E$53-'Global Inputs'!$E$54),0)</f>
        <v>0</v>
      </c>
      <c r="I44" s="47" t="n">
        <f aca="false">IF(I$5='Global Inputs'!$E$14,I28*(1+'Global Inputs'!$E$54)/('Global Inputs'!$E$53-'Global Inputs'!$E$54),0)</f>
        <v>0</v>
      </c>
      <c r="J44" s="47" t="n">
        <f aca="false">IF(J$5='Global Inputs'!$E$14,J28*(1+'Global Inputs'!$E$54)/('Global Inputs'!$E$53-'Global Inputs'!$E$54),0)</f>
        <v>0</v>
      </c>
      <c r="K44" s="47" t="n">
        <f aca="false">IF(K$5='Global Inputs'!$E$14,K28*(1+'Global Inputs'!$E$54)/('Global Inputs'!$E$53-'Global Inputs'!$E$54),0)</f>
        <v>0</v>
      </c>
      <c r="L44" s="47" t="n">
        <f aca="false">IF(L$5='Global Inputs'!$E$14,L28*(1+'Global Inputs'!$E$54)/('Global Inputs'!$E$53-'Global Inputs'!$E$54),0)</f>
        <v>0</v>
      </c>
      <c r="M44" s="47" t="n">
        <f aca="false">IF(M$5='Global Inputs'!$E$14,M28*(1+'Global Inputs'!$E$54)/('Global Inputs'!$E$53-'Global Inputs'!$E$54),0)</f>
        <v>0</v>
      </c>
      <c r="N44" s="47" t="n">
        <f aca="false">IF(N$5='Global Inputs'!$E$14,N28*(1+'Global Inputs'!$E$54)/('Global Inputs'!$E$53-'Global Inputs'!$E$54),0)</f>
        <v>0</v>
      </c>
      <c r="O44" s="47" t="n">
        <f aca="false">IF(O$5='Global Inputs'!$E$14,O28*(1+'Global Inputs'!$E$54)/('Global Inputs'!$E$53-'Global Inputs'!$E$54),0)</f>
        <v>0</v>
      </c>
      <c r="P44" s="47" t="n">
        <f aca="false">IF(P$5='Global Inputs'!$E$14,P28*(1+'Global Inputs'!$E$54)/('Global Inputs'!$E$53-'Global Inputs'!$E$54),0)</f>
        <v>0</v>
      </c>
      <c r="Q44" s="47" t="n">
        <f aca="false">IF(Q$5='Global Inputs'!$E$14,Q28*(1+'Global Inputs'!$E$54)/('Global Inputs'!$E$53-'Global Inputs'!$E$54),0)</f>
        <v>0</v>
      </c>
      <c r="R44" s="47" t="n">
        <f aca="false">IF(R$5='Global Inputs'!$E$14,R28*(1+'Global Inputs'!$E$54)/('Global Inputs'!$E$53-'Global Inputs'!$E$54),0)</f>
        <v>0</v>
      </c>
      <c r="S44" s="47" t="n">
        <f aca="false">IF(S$5='Global Inputs'!$E$14,S28*(1+'Global Inputs'!$E$54)/('Global Inputs'!$E$53-'Global Inputs'!$E$54),0)</f>
        <v>703.680830368472</v>
      </c>
    </row>
    <row r="45" customFormat="false" ht="15" hidden="false" customHeight="false" outlineLevel="0" collapsed="false">
      <c r="B45" s="24" t="s">
        <v>1123</v>
      </c>
      <c r="C45" s="25" t="s">
        <v>170</v>
      </c>
      <c r="F45" s="47" t="n">
        <f aca="false">F28+F44</f>
        <v>0</v>
      </c>
      <c r="G45" s="47" t="n">
        <f aca="false">G28+G44</f>
        <v>0</v>
      </c>
      <c r="H45" s="47" t="n">
        <f aca="false">H28+H44</f>
        <v>0</v>
      </c>
      <c r="I45" s="47" t="n">
        <f aca="false">I28+I44</f>
        <v>29.7697365858386</v>
      </c>
      <c r="J45" s="47" t="n">
        <f aca="false">J28+J44</f>
        <v>47.0637782264322</v>
      </c>
      <c r="K45" s="47" t="n">
        <f aca="false">K28+K44</f>
        <v>49.0694901582078</v>
      </c>
      <c r="L45" s="47" t="n">
        <f aca="false">L28+L44</f>
        <v>50.6786535495062</v>
      </c>
      <c r="M45" s="47" t="n">
        <f aca="false">M28+M44</f>
        <v>52.471562802013</v>
      </c>
      <c r="N45" s="47" t="n">
        <f aca="false">N28+N44</f>
        <v>54.261840498881</v>
      </c>
      <c r="O45" s="47" t="n">
        <f aca="false">O28+O44</f>
        <v>56.1514511956312</v>
      </c>
      <c r="P45" s="47" t="n">
        <f aca="false">P28+P44</f>
        <v>57.9268865954384</v>
      </c>
      <c r="Q45" s="47" t="n">
        <f aca="false">Q28+Q44</f>
        <v>59.9118712326311</v>
      </c>
      <c r="R45" s="47" t="n">
        <f aca="false">R28+R44</f>
        <v>59.8453413489983</v>
      </c>
      <c r="S45" s="47" t="n">
        <f aca="false">S28+S44</f>
        <v>764.255534510531</v>
      </c>
    </row>
    <row r="46" customFormat="false" ht="15" hidden="false" customHeight="false" outlineLevel="0" collapsed="false">
      <c r="B46" s="24" t="s">
        <v>1124</v>
      </c>
      <c r="C46" s="25" t="s">
        <v>170</v>
      </c>
      <c r="E46" s="47" t="n">
        <f aca="false">SUM(F46:S46)</f>
        <v>532.304096473666</v>
      </c>
      <c r="F46" s="47" t="n">
        <f aca="false">F45*'Global Inputs'!F18</f>
        <v>0</v>
      </c>
      <c r="G46" s="47" t="n">
        <f aca="false">G45*'Global Inputs'!G18</f>
        <v>0</v>
      </c>
      <c r="H46" s="47" t="n">
        <f aca="false">H45*'Global Inputs'!H18</f>
        <v>0</v>
      </c>
      <c r="I46" s="47" t="n">
        <f aca="false">I45*'Global Inputs'!I18</f>
        <v>0</v>
      </c>
      <c r="J46" s="47" t="n">
        <f aca="false">J45*'Global Inputs'!J18</f>
        <v>42.071373626481</v>
      </c>
      <c r="K46" s="47" t="n">
        <f aca="false">K45*'Global Inputs'!K18</f>
        <v>39.2113099878676</v>
      </c>
      <c r="L46" s="47" t="n">
        <f aca="false">L45*'Global Inputs'!L18</f>
        <v>36.2013508849049</v>
      </c>
      <c r="M46" s="47" t="n">
        <f aca="false">M45*'Global Inputs'!M18</f>
        <v>33.5060792521934</v>
      </c>
      <c r="N46" s="47" t="n">
        <f aca="false">N45*'Global Inputs'!N18</f>
        <v>30.9737676050511</v>
      </c>
      <c r="O46" s="47" t="n">
        <f aca="false">O45*'Global Inputs'!O18</f>
        <v>28.6523602453784</v>
      </c>
      <c r="P46" s="47" t="n">
        <f aca="false">P45*'Global Inputs'!P18</f>
        <v>26.4228408034924</v>
      </c>
      <c r="Q46" s="47" t="n">
        <f aca="false">Q45*'Global Inputs'!Q18</f>
        <v>24.4293610587948</v>
      </c>
      <c r="R46" s="47" t="n">
        <f aca="false">R45*'Global Inputs'!R18</f>
        <v>21.8137070104869</v>
      </c>
      <c r="S46" s="47" t="n">
        <f aca="false">S45*'Global Inputs'!S18</f>
        <v>249.021945999015</v>
      </c>
    </row>
    <row r="47" customFormat="false" ht="15" hidden="false" customHeight="false" outlineLevel="0" collapsed="false">
      <c r="B47" s="24" t="s">
        <v>1125</v>
      </c>
      <c r="C47" s="25" t="s">
        <v>170</v>
      </c>
      <c r="E47" s="47" t="n">
        <f aca="false">SUM($F$46:$S$46)</f>
        <v>532.304096473666</v>
      </c>
    </row>
    <row r="48" customFormat="false" ht="15" hidden="false" customHeight="false" outlineLevel="0" collapsed="false">
      <c r="B48" s="24" t="s">
        <v>1126</v>
      </c>
      <c r="C48" s="25" t="s">
        <v>170</v>
      </c>
      <c r="E48" s="47" t="n">
        <f aca="false">SUMPRODUCT($F$28:$S$28,'Global Inputs'!$F$18:$S$18)</f>
        <v>303.019568161041</v>
      </c>
    </row>
    <row r="49" customFormat="false" ht="15" hidden="false" customHeight="false" outlineLevel="0" collapsed="false">
      <c r="B49" s="24" t="s">
        <v>1831</v>
      </c>
      <c r="C49" s="25" t="s">
        <v>160</v>
      </c>
      <c r="E49" s="49" t="str">
        <f aca="false">IFERROR(IRR($F$28:$S$28),"n/a")</f>
        <v>n/a</v>
      </c>
    </row>
    <row r="50" customFormat="false" ht="15" hidden="false" customHeight="false" outlineLevel="0" collapsed="false">
      <c r="B50" s="24" t="s">
        <v>1832</v>
      </c>
      <c r="C50" s="25" t="s">
        <v>160</v>
      </c>
      <c r="E50" s="49" t="str">
        <f aca="false">IFERROR(IRR($F$45:$S$45),"n/a")</f>
        <v>n/a</v>
      </c>
    </row>
    <row r="51" customFormat="false" ht="15" hidden="false" customHeight="false" outlineLevel="0" collapsed="false">
      <c r="B51" s="24" t="s">
        <v>1128</v>
      </c>
      <c r="C51" s="25" t="s">
        <v>160</v>
      </c>
      <c r="E51" s="49" t="str">
        <f aca="false">"= project IRR (no project-level debt in v29; corporate LT loan is not project debt)"</f>
        <v>= project IRR (no project-level debt in v29; corporate LT loan is not project debt)</v>
      </c>
    </row>
    <row r="52" customFormat="false" ht="15" hidden="false" customHeight="false" outlineLevel="0" collapsed="false">
      <c r="B52" s="24" t="s">
        <v>1129</v>
      </c>
      <c r="C52" s="25" t="s">
        <v>135</v>
      </c>
      <c r="E52" s="29" t="str">
        <f aca="false">IF(SUM($F$43:$S$43)=0,"not within horizon",SUMPRODUCT($F$43:$S$43,'Global Inputs'!$F$15:$S$15))</f>
        <v>not within horizon</v>
      </c>
    </row>
    <row r="53" customFormat="false" ht="15" hidden="false" customHeight="false" outlineLevel="0" collapsed="false">
      <c r="B53" s="24" t="s">
        <v>1130</v>
      </c>
      <c r="C53" s="25" t="s">
        <v>135</v>
      </c>
      <c r="E53" s="29" t="str">
        <f aca="false">"n/a"</f>
        <v>n/a</v>
      </c>
    </row>
    <row r="54" customFormat="false" ht="15" hidden="false" customHeight="false" outlineLevel="0" collapsed="false">
      <c r="B54" s="24" t="s">
        <v>1131</v>
      </c>
      <c r="C54" s="25" t="s">
        <v>240</v>
      </c>
      <c r="E54" s="44" t="n">
        <f aca="false">0</f>
        <v>0</v>
      </c>
    </row>
    <row r="55" customFormat="false" ht="15" hidden="false" customHeight="false" outlineLevel="0" collapsed="false">
      <c r="B55" s="24" t="s">
        <v>1132</v>
      </c>
      <c r="C55" s="25" t="s">
        <v>240</v>
      </c>
      <c r="E55" s="44" t="n">
        <f aca="false">0</f>
        <v>0</v>
      </c>
    </row>
    <row r="57" customFormat="false" ht="15" hidden="false" customHeight="false" outlineLevel="0" collapsed="false">
      <c r="B57" s="22" t="s">
        <v>1133</v>
      </c>
      <c r="C57" s="23"/>
      <c r="D57" s="23"/>
      <c r="E57" s="23"/>
      <c r="F57" s="23"/>
      <c r="G57" s="23"/>
      <c r="H57" s="23"/>
      <c r="I57" s="23"/>
      <c r="J57" s="23"/>
      <c r="K57" s="23"/>
      <c r="L57" s="23"/>
      <c r="M57" s="23"/>
      <c r="N57" s="23"/>
      <c r="O57" s="23"/>
      <c r="P57" s="23"/>
      <c r="Q57" s="23"/>
      <c r="R57" s="23"/>
      <c r="S57" s="23"/>
    </row>
    <row r="58" customFormat="false" ht="15" hidden="false" customHeight="false" outlineLevel="0" collapsed="false">
      <c r="B58" s="24" t="s">
        <v>1134</v>
      </c>
      <c r="C58" s="25" t="s">
        <v>180</v>
      </c>
      <c r="E58" s="29" t="n">
        <f aca="false">'P12 BUMNOps Input'!$E$22*IF('P12 BUMNOps Input'!$E$23=1,1,0)</f>
        <v>0</v>
      </c>
    </row>
    <row r="59" customFormat="false" ht="15" hidden="false" customHeight="false" outlineLevel="0" collapsed="false">
      <c r="B59" s="24" t="s">
        <v>1135</v>
      </c>
      <c r="C59" s="25" t="s">
        <v>180</v>
      </c>
      <c r="E59" s="29" t="n">
        <f aca="false">'P12 BUMNOps Input'!$E$22</f>
        <v>1</v>
      </c>
    </row>
    <row r="60" customFormat="false" ht="15" hidden="false" customHeight="false" outlineLevel="0" collapsed="false">
      <c r="B60" s="24" t="s">
        <v>897</v>
      </c>
      <c r="C60" s="25" t="s">
        <v>160</v>
      </c>
      <c r="E60" s="49" t="n">
        <f aca="false">'P12 BUMNOps Input'!$E$24</f>
        <v>1</v>
      </c>
    </row>
  </sheetData>
  <hyperlinks>
    <hyperlink ref="C3" r:id="rId1" location="'P12%20BUMNOps%20Input'!A1" display="Input"/>
    <hyperlink ref="D3" r:id="rId2" location="'P12%20BUMNOps%20Calc'!A1" display="Calc"/>
    <hyperlink ref="E3" r:id="rId3" location="'P12%20BUMNOps%20Output'!A1" display="Output"/>
    <hyperlink ref="F3" r:id="rId4" location="'Navigation'!A1" display="Navigation"/>
    <hyperlink ref="G3" r:id="rId5" location="'Global%20Inputs'!A1" display="Global Inputs"/>
    <hyperlink ref="H3" r:id="rId6" location="'Project%20Summary'!A1" display="Project Summary"/>
    <hyperlink ref="I3" r:id="rId7" location="'Funding%20Requirement'!A1" display="Funding"/>
    <hyperlink ref="J3" r:id="rId8" location="'FSL%20Financials%20—%20Without%20BUMN'!A1" display="FSL w/o BUMN"/>
    <hyperlink ref="K3" r:id="rId9" location="'FSL%20Financials%20—%20With%20BUMN'!A1" display="FSL w/ BUMN"/>
    <hyperlink ref="L3" r:id="rId10" location="'Valuation%20—%20Without%20BUMN'!A1" display="Val w/o BUMN"/>
    <hyperlink ref="M3" r:id="rId11" location="'Valuation%20—%20With%20BUMN'!A1" display="Val w/ BUMN"/>
    <hyperlink ref="N3" r:id="rId12" location="'Checks'!A1" display="Checks"/>
    <hyperlink ref="O3" r:id="rId13" location="'Model%20Flow'!A1" display="Model Flow"/>
  </hyperlink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D966"/>
    <pageSetUpPr fitToPage="true"/>
  </sheetPr>
  <dimension ref="B1:U6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5" ySplit="9" topLeftCell="F10" activePane="bottomRight" state="frozen"/>
      <selection pane="topLeft" activeCell="A1" activeCellId="0" sqref="A1"/>
      <selection pane="topRight" activeCell="F1" activeCellId="0" sqref="F1"/>
      <selection pane="bottomLeft" activeCell="A10" activeCellId="0" sqref="A10"/>
      <selection pane="bottomRigh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66"/>
    <col collapsed="false" customWidth="true" hidden="false" outlineLevel="0" max="3" min="3" style="0" width="11"/>
    <col collapsed="false" customWidth="true" hidden="false" outlineLevel="0" max="4" min="4" style="0" width="12"/>
    <col collapsed="false" customWidth="true" hidden="false" outlineLevel="0" max="5" min="5" style="0" width="13"/>
    <col collapsed="false" customWidth="true" hidden="false" outlineLevel="0" max="19" min="6" style="0" width="11.5"/>
    <col collapsed="false" customWidth="true" hidden="false" outlineLevel="0" max="20" min="20" style="0" width="40"/>
    <col collapsed="false" customWidth="true" hidden="false" outlineLevel="0" max="21" min="21" style="0" width="48"/>
  </cols>
  <sheetData>
    <row r="1" customFormat="false" ht="21.75" hidden="false" customHeight="true" outlineLevel="0" collapsed="false">
      <c r="B1" s="1" t="s">
        <v>2377</v>
      </c>
    </row>
    <row r="2" customFormat="false" ht="15" hidden="false" customHeight="false" outlineLevel="0" collapsed="false">
      <c r="B2" s="2" t="s">
        <v>2378</v>
      </c>
    </row>
    <row r="3" customFormat="false" ht="15" hidden="false" customHeight="false" outlineLevel="0" collapsed="false">
      <c r="B3" s="5" t="s">
        <v>112</v>
      </c>
      <c r="C3" s="17" t="s">
        <v>27</v>
      </c>
      <c r="D3" s="17" t="s">
        <v>28</v>
      </c>
      <c r="E3" s="17" t="s">
        <v>29</v>
      </c>
      <c r="F3" s="17" t="s">
        <v>113</v>
      </c>
      <c r="G3" s="17" t="s">
        <v>5</v>
      </c>
      <c r="H3" s="17" t="s">
        <v>7</v>
      </c>
      <c r="I3" s="17" t="s">
        <v>114</v>
      </c>
      <c r="J3" s="17" t="s">
        <v>115</v>
      </c>
      <c r="K3" s="17" t="s">
        <v>116</v>
      </c>
      <c r="L3" s="17" t="s">
        <v>117</v>
      </c>
      <c r="M3" s="17" t="s">
        <v>118</v>
      </c>
      <c r="N3" s="17" t="s">
        <v>21</v>
      </c>
      <c r="O3" s="17" t="s">
        <v>3</v>
      </c>
    </row>
    <row r="5" customFormat="false" ht="15" hidden="false" customHeight="false" outlineLevel="0" collapsed="false">
      <c r="B5" s="6" t="s">
        <v>119</v>
      </c>
      <c r="C5" s="6" t="s">
        <v>120</v>
      </c>
      <c r="D5" s="6" t="s">
        <v>121</v>
      </c>
      <c r="E5" s="6" t="s">
        <v>122</v>
      </c>
      <c r="F5" s="18" t="n">
        <f aca="false">'Global Inputs'!F$5</f>
        <v>2023</v>
      </c>
      <c r="G5" s="18" t="n">
        <f aca="false">'Global Inputs'!G$5</f>
        <v>2024</v>
      </c>
      <c r="H5" s="18" t="n">
        <f aca="false">'Global Inputs'!H$5</f>
        <v>2025</v>
      </c>
      <c r="I5" s="18" t="n">
        <f aca="false">'Global Inputs'!I$5</f>
        <v>2026</v>
      </c>
      <c r="J5" s="18" t="n">
        <f aca="false">'Global Inputs'!J$5</f>
        <v>2027</v>
      </c>
      <c r="K5" s="18" t="n">
        <f aca="false">'Global Inputs'!K$5</f>
        <v>2028</v>
      </c>
      <c r="L5" s="18" t="n">
        <f aca="false">'Global Inputs'!L$5</f>
        <v>2029</v>
      </c>
      <c r="M5" s="18" t="n">
        <f aca="false">'Global Inputs'!M$5</f>
        <v>2030</v>
      </c>
      <c r="N5" s="18" t="n">
        <f aca="false">'Global Inputs'!N$5</f>
        <v>2031</v>
      </c>
      <c r="O5" s="18" t="n">
        <f aca="false">'Global Inputs'!O$5</f>
        <v>2032</v>
      </c>
      <c r="P5" s="18" t="n">
        <f aca="false">'Global Inputs'!P$5</f>
        <v>2033</v>
      </c>
      <c r="Q5" s="18" t="n">
        <f aca="false">'Global Inputs'!Q$5</f>
        <v>2034</v>
      </c>
      <c r="R5" s="18" t="n">
        <f aca="false">'Global Inputs'!R$5</f>
        <v>2035</v>
      </c>
      <c r="S5" s="18" t="n">
        <f aca="false">'Global Inputs'!S$5</f>
        <v>2036</v>
      </c>
      <c r="T5" s="6" t="s">
        <v>123</v>
      </c>
      <c r="U5" s="6" t="s">
        <v>124</v>
      </c>
    </row>
    <row r="6" customFormat="false" ht="15" hidden="false" customHeight="false" outlineLevel="0" collapsed="false">
      <c r="B6" s="19" t="s">
        <v>125</v>
      </c>
      <c r="F6" s="20" t="n">
        <f aca="false">'Global Inputs'!F$6</f>
        <v>45291</v>
      </c>
      <c r="G6" s="20" t="n">
        <f aca="false">'Global Inputs'!G$6</f>
        <v>45657</v>
      </c>
      <c r="H6" s="20" t="n">
        <f aca="false">'Global Inputs'!H$6</f>
        <v>46022</v>
      </c>
      <c r="I6" s="20" t="n">
        <f aca="false">'Global Inputs'!I$6</f>
        <v>46387</v>
      </c>
      <c r="J6" s="20" t="n">
        <f aca="false">'Global Inputs'!J$6</f>
        <v>46752</v>
      </c>
      <c r="K6" s="20" t="n">
        <f aca="false">'Global Inputs'!K$6</f>
        <v>47118</v>
      </c>
      <c r="L6" s="20" t="n">
        <f aca="false">'Global Inputs'!L$6</f>
        <v>47483</v>
      </c>
      <c r="M6" s="20" t="n">
        <f aca="false">'Global Inputs'!M$6</f>
        <v>47848</v>
      </c>
      <c r="N6" s="20" t="n">
        <f aca="false">'Global Inputs'!N$6</f>
        <v>48213</v>
      </c>
      <c r="O6" s="20" t="n">
        <f aca="false">'Global Inputs'!O$6</f>
        <v>48579</v>
      </c>
      <c r="P6" s="20" t="n">
        <f aca="false">'Global Inputs'!P$6</f>
        <v>48944</v>
      </c>
      <c r="Q6" s="20" t="n">
        <f aca="false">'Global Inputs'!Q$6</f>
        <v>49309</v>
      </c>
      <c r="R6" s="20" t="n">
        <f aca="false">'Global Inputs'!R$6</f>
        <v>49674</v>
      </c>
      <c r="S6" s="20" t="n">
        <f aca="false">'Global Inputs'!S$6</f>
        <v>50040</v>
      </c>
    </row>
    <row r="7" customFormat="false" ht="15" hidden="false" customHeight="false" outlineLevel="0" collapsed="false">
      <c r="B7" s="19" t="s">
        <v>126</v>
      </c>
      <c r="F7" s="21" t="n">
        <f aca="false">'Global Inputs'!F$7</f>
        <v>365</v>
      </c>
      <c r="G7" s="21" t="n">
        <f aca="false">'Global Inputs'!G$7</f>
        <v>366</v>
      </c>
      <c r="H7" s="21" t="n">
        <f aca="false">'Global Inputs'!H$7</f>
        <v>365</v>
      </c>
      <c r="I7" s="21" t="n">
        <f aca="false">'Global Inputs'!I$7</f>
        <v>365</v>
      </c>
      <c r="J7" s="21" t="n">
        <f aca="false">'Global Inputs'!J$7</f>
        <v>365</v>
      </c>
      <c r="K7" s="21" t="n">
        <f aca="false">'Global Inputs'!K$7</f>
        <v>366</v>
      </c>
      <c r="L7" s="21" t="n">
        <f aca="false">'Global Inputs'!L$7</f>
        <v>365</v>
      </c>
      <c r="M7" s="21" t="n">
        <f aca="false">'Global Inputs'!M$7</f>
        <v>365</v>
      </c>
      <c r="N7" s="21" t="n">
        <f aca="false">'Global Inputs'!N$7</f>
        <v>365</v>
      </c>
      <c r="O7" s="21" t="n">
        <f aca="false">'Global Inputs'!O$7</f>
        <v>366</v>
      </c>
      <c r="P7" s="21" t="n">
        <f aca="false">'Global Inputs'!P$7</f>
        <v>365</v>
      </c>
      <c r="Q7" s="21" t="n">
        <f aca="false">'Global Inputs'!Q$7</f>
        <v>365</v>
      </c>
      <c r="R7" s="21" t="n">
        <f aca="false">'Global Inputs'!R$7</f>
        <v>365</v>
      </c>
      <c r="S7" s="21" t="n">
        <f aca="false">'Global Inputs'!S$7</f>
        <v>366</v>
      </c>
    </row>
    <row r="8" customFormat="false" ht="15" hidden="false" customHeight="false" outlineLevel="0" collapsed="false">
      <c r="B8" s="19" t="s">
        <v>127</v>
      </c>
      <c r="F8" s="21" t="n">
        <f aca="false">'Global Inputs'!F$8</f>
        <v>0</v>
      </c>
      <c r="G8" s="21" t="n">
        <f aca="false">'Global Inputs'!G$8</f>
        <v>1</v>
      </c>
      <c r="H8" s="21" t="n">
        <f aca="false">'Global Inputs'!H$8</f>
        <v>1</v>
      </c>
      <c r="I8" s="21" t="n">
        <f aca="false">'Global Inputs'!I$8</f>
        <v>1</v>
      </c>
      <c r="J8" s="21" t="n">
        <f aca="false">'Global Inputs'!J$8</f>
        <v>1</v>
      </c>
      <c r="K8" s="21" t="n">
        <f aca="false">'Global Inputs'!K$8</f>
        <v>1</v>
      </c>
      <c r="L8" s="21" t="n">
        <f aca="false">'Global Inputs'!L$8</f>
        <v>1</v>
      </c>
      <c r="M8" s="21" t="n">
        <f aca="false">'Global Inputs'!M$8</f>
        <v>1</v>
      </c>
      <c r="N8" s="21" t="n">
        <f aca="false">'Global Inputs'!N$8</f>
        <v>1</v>
      </c>
      <c r="O8" s="21" t="n">
        <f aca="false">'Global Inputs'!O$8</f>
        <v>1</v>
      </c>
      <c r="P8" s="21" t="n">
        <f aca="false">'Global Inputs'!P$8</f>
        <v>1</v>
      </c>
      <c r="Q8" s="21" t="n">
        <f aca="false">'Global Inputs'!Q$8</f>
        <v>1</v>
      </c>
      <c r="R8" s="21" t="n">
        <f aca="false">'Global Inputs'!R$8</f>
        <v>1</v>
      </c>
      <c r="S8" s="21" t="n">
        <f aca="false">'Global Inputs'!S$8</f>
        <v>1</v>
      </c>
    </row>
    <row r="10" customFormat="false" ht="15" hidden="false" customHeight="false" outlineLevel="0" collapsed="false">
      <c r="B10" s="22" t="s">
        <v>878</v>
      </c>
      <c r="C10" s="23"/>
      <c r="D10" s="23"/>
      <c r="E10" s="23"/>
      <c r="F10" s="23"/>
      <c r="G10" s="23"/>
      <c r="H10" s="23"/>
      <c r="I10" s="23"/>
      <c r="J10" s="23"/>
      <c r="K10" s="23"/>
      <c r="L10" s="23"/>
      <c r="M10" s="23"/>
      <c r="N10" s="23"/>
      <c r="O10" s="23"/>
      <c r="P10" s="23"/>
      <c r="Q10" s="23"/>
      <c r="R10" s="23"/>
      <c r="S10" s="23"/>
    </row>
    <row r="11" customFormat="false" ht="15" hidden="false" customHeight="false" outlineLevel="0" collapsed="false">
      <c r="B11" s="24" t="s">
        <v>879</v>
      </c>
      <c r="E11" s="24" t="s">
        <v>2379</v>
      </c>
    </row>
    <row r="12" customFormat="false" ht="15" hidden="false" customHeight="false" outlineLevel="0" collapsed="false">
      <c r="B12" s="24" t="s">
        <v>25</v>
      </c>
      <c r="E12" s="24" t="s">
        <v>2380</v>
      </c>
    </row>
    <row r="13" customFormat="false" ht="15" hidden="false" customHeight="false" outlineLevel="0" collapsed="false">
      <c r="B13" s="24" t="s">
        <v>882</v>
      </c>
      <c r="E13" s="24" t="s">
        <v>2381</v>
      </c>
    </row>
    <row r="14" customFormat="false" ht="15" hidden="false" customHeight="false" outlineLevel="0" collapsed="false">
      <c r="B14" s="24" t="s">
        <v>275</v>
      </c>
      <c r="E14" s="24" t="s">
        <v>300</v>
      </c>
    </row>
    <row r="15" customFormat="false" ht="15" hidden="false" customHeight="false" outlineLevel="0" collapsed="false">
      <c r="B15" s="24" t="s">
        <v>386</v>
      </c>
      <c r="E15" s="24" t="s">
        <v>67</v>
      </c>
    </row>
    <row r="16" customFormat="false" ht="15" hidden="false" customHeight="false" outlineLevel="0" collapsed="false">
      <c r="B16" s="24" t="s">
        <v>884</v>
      </c>
      <c r="E16" s="24" t="s">
        <v>2382</v>
      </c>
    </row>
    <row r="17" customFormat="false" ht="15" hidden="false" customHeight="false" outlineLevel="0" collapsed="false">
      <c r="B17" s="24" t="s">
        <v>886</v>
      </c>
      <c r="E17" s="24" t="s">
        <v>2383</v>
      </c>
    </row>
    <row r="18" customFormat="false" ht="15" hidden="false" customHeight="false" outlineLevel="0" collapsed="false">
      <c r="B18" s="24" t="s">
        <v>888</v>
      </c>
      <c r="E18" s="24" t="s">
        <v>2384</v>
      </c>
    </row>
    <row r="19" customFormat="false" ht="15" hidden="false" customHeight="false" outlineLevel="0" collapsed="false">
      <c r="B19" s="24" t="s">
        <v>890</v>
      </c>
      <c r="E19" s="24" t="s">
        <v>2385</v>
      </c>
    </row>
    <row r="21" customFormat="false" ht="15" hidden="false" customHeight="false" outlineLevel="0" collapsed="false">
      <c r="B21" s="22" t="s">
        <v>892</v>
      </c>
      <c r="C21" s="23"/>
      <c r="D21" s="23"/>
      <c r="E21" s="23"/>
      <c r="F21" s="23"/>
      <c r="G21" s="23"/>
      <c r="H21" s="23"/>
      <c r="I21" s="23"/>
      <c r="J21" s="23"/>
      <c r="K21" s="23"/>
      <c r="L21" s="23"/>
      <c r="M21" s="23"/>
      <c r="N21" s="23"/>
      <c r="O21" s="23"/>
      <c r="P21" s="23"/>
      <c r="Q21" s="23"/>
      <c r="R21" s="23"/>
      <c r="S21" s="23"/>
    </row>
    <row r="22" customFormat="false" ht="15" hidden="false" customHeight="false" outlineLevel="0" collapsed="false">
      <c r="B22" s="24" t="s">
        <v>893</v>
      </c>
      <c r="C22" s="25" t="s">
        <v>180</v>
      </c>
      <c r="D22" s="25" t="s">
        <v>894</v>
      </c>
      <c r="E22" s="65" t="n">
        <f aca="false">'Global Inputs'!$E$101</f>
        <v>0</v>
      </c>
      <c r="T22" s="5" t="s">
        <v>895</v>
      </c>
    </row>
    <row r="23" customFormat="false" ht="15" hidden="false" customHeight="false" outlineLevel="0" collapsed="false">
      <c r="B23" s="24" t="s">
        <v>896</v>
      </c>
      <c r="C23" s="25" t="s">
        <v>175</v>
      </c>
      <c r="D23" s="25" t="s">
        <v>894</v>
      </c>
      <c r="E23" s="65" t="n">
        <f aca="false">'Global Inputs'!$F$101</f>
        <v>1</v>
      </c>
      <c r="T23" s="5" t="s">
        <v>895</v>
      </c>
    </row>
    <row r="24" customFormat="false" ht="15" hidden="false" customHeight="false" outlineLevel="0" collapsed="false">
      <c r="B24" s="24" t="s">
        <v>897</v>
      </c>
      <c r="C24" s="25" t="s">
        <v>160</v>
      </c>
      <c r="D24" s="25" t="s">
        <v>894</v>
      </c>
      <c r="E24" s="67" t="n">
        <f aca="false">'Global Inputs'!$G$101</f>
        <v>1</v>
      </c>
      <c r="T24" s="5" t="s">
        <v>895</v>
      </c>
    </row>
    <row r="25" customFormat="false" ht="15" hidden="false" customHeight="false" outlineLevel="0" collapsed="false">
      <c r="B25" s="24" t="s">
        <v>1793</v>
      </c>
      <c r="C25" s="25" t="s">
        <v>135</v>
      </c>
      <c r="D25" s="28" t="s">
        <v>153</v>
      </c>
      <c r="E25" s="36" t="n">
        <v>2027</v>
      </c>
      <c r="T25" s="5" t="s">
        <v>2386</v>
      </c>
      <c r="U25" s="5" t="s">
        <v>2387</v>
      </c>
    </row>
    <row r="27" customFormat="false" ht="15" hidden="false" customHeight="false" outlineLevel="0" collapsed="false">
      <c r="B27" s="22" t="s">
        <v>2388</v>
      </c>
      <c r="C27" s="23"/>
      <c r="D27" s="23"/>
      <c r="E27" s="23"/>
      <c r="F27" s="23"/>
      <c r="G27" s="23"/>
      <c r="H27" s="23"/>
      <c r="I27" s="23"/>
      <c r="J27" s="23"/>
      <c r="K27" s="23"/>
      <c r="L27" s="23"/>
      <c r="M27" s="23"/>
      <c r="N27" s="23"/>
      <c r="O27" s="23"/>
      <c r="P27" s="23"/>
      <c r="Q27" s="23"/>
      <c r="R27" s="23"/>
      <c r="S27" s="23"/>
    </row>
    <row r="28" customFormat="false" ht="15" hidden="false" customHeight="false" outlineLevel="0" collapsed="false">
      <c r="B28" s="24" t="s">
        <v>2389</v>
      </c>
      <c r="C28" s="25" t="s">
        <v>135</v>
      </c>
      <c r="D28" s="28" t="s">
        <v>153</v>
      </c>
      <c r="E28" s="36" t="n">
        <v>2029</v>
      </c>
      <c r="T28" s="5" t="s">
        <v>2390</v>
      </c>
      <c r="U28" s="5" t="s">
        <v>2391</v>
      </c>
    </row>
    <row r="29" customFormat="false" ht="15" hidden="false" customHeight="false" outlineLevel="0" collapsed="false">
      <c r="B29" s="24" t="s">
        <v>2392</v>
      </c>
      <c r="C29" s="25" t="s">
        <v>148</v>
      </c>
      <c r="D29" s="28" t="s">
        <v>153</v>
      </c>
      <c r="G29" s="37" t="n">
        <v>1</v>
      </c>
      <c r="H29" s="37" t="n">
        <v>1</v>
      </c>
      <c r="I29" s="37" t="n">
        <v>1</v>
      </c>
      <c r="J29" s="37" t="n">
        <v>0.5</v>
      </c>
      <c r="K29" s="37" t="n">
        <v>1</v>
      </c>
      <c r="L29" s="37" t="n">
        <v>1</v>
      </c>
      <c r="M29" s="37" t="n">
        <v>1</v>
      </c>
      <c r="N29" s="37" t="n">
        <v>1</v>
      </c>
      <c r="O29" s="37" t="n">
        <v>1</v>
      </c>
      <c r="P29" s="37" t="n">
        <v>1</v>
      </c>
      <c r="Q29" s="37" t="n">
        <v>1</v>
      </c>
      <c r="R29" s="37" t="n">
        <v>1</v>
      </c>
      <c r="S29" s="37" t="n">
        <v>1</v>
      </c>
      <c r="T29" s="5" t="s">
        <v>2393</v>
      </c>
      <c r="U29" s="5" t="s">
        <v>2394</v>
      </c>
    </row>
    <row r="30" customFormat="false" ht="15" hidden="false" customHeight="false" outlineLevel="0" collapsed="false">
      <c r="B30" s="22" t="s">
        <v>2395</v>
      </c>
      <c r="C30" s="23"/>
      <c r="D30" s="23"/>
      <c r="E30" s="23"/>
      <c r="F30" s="23"/>
      <c r="G30" s="23"/>
      <c r="H30" s="23"/>
      <c r="I30" s="23"/>
      <c r="J30" s="23"/>
      <c r="K30" s="23"/>
      <c r="L30" s="23"/>
      <c r="M30" s="23"/>
      <c r="N30" s="23"/>
      <c r="O30" s="23"/>
      <c r="P30" s="23"/>
      <c r="Q30" s="23"/>
      <c r="R30" s="23"/>
      <c r="S30" s="23"/>
    </row>
    <row r="31" customFormat="false" ht="15" hidden="false" customHeight="false" outlineLevel="0" collapsed="false">
      <c r="B31" s="24" t="s">
        <v>2396</v>
      </c>
      <c r="C31" s="25" t="s">
        <v>2397</v>
      </c>
      <c r="D31" s="28" t="s">
        <v>153</v>
      </c>
      <c r="G31" s="101" t="n">
        <v>0</v>
      </c>
      <c r="H31" s="101" t="n">
        <v>0</v>
      </c>
      <c r="I31" s="101" t="n">
        <v>0</v>
      </c>
      <c r="J31" s="101" t="n">
        <v>0</v>
      </c>
      <c r="K31" s="101" t="n">
        <v>255000</v>
      </c>
      <c r="L31" s="101" t="n">
        <v>355000</v>
      </c>
      <c r="M31" s="101" t="n">
        <v>500000</v>
      </c>
      <c r="N31" s="101" t="n">
        <v>500000</v>
      </c>
      <c r="O31" s="101" t="n">
        <v>500000</v>
      </c>
      <c r="P31" s="101" t="n">
        <v>500000</v>
      </c>
      <c r="Q31" s="101" t="n">
        <v>500000</v>
      </c>
      <c r="R31" s="101" t="n">
        <v>500000</v>
      </c>
      <c r="S31" s="101" t="n">
        <v>500000</v>
      </c>
      <c r="T31" s="5" t="s">
        <v>2398</v>
      </c>
    </row>
    <row r="32" customFormat="false" ht="15" hidden="false" customHeight="false" outlineLevel="0" collapsed="false">
      <c r="B32" s="24" t="s">
        <v>2399</v>
      </c>
      <c r="C32" s="25" t="s">
        <v>2400</v>
      </c>
      <c r="D32" s="28" t="s">
        <v>153</v>
      </c>
      <c r="E32" s="101" t="n">
        <v>0</v>
      </c>
      <c r="T32" s="5" t="s">
        <v>2401</v>
      </c>
      <c r="U32" s="5" t="s">
        <v>2402</v>
      </c>
    </row>
    <row r="33" customFormat="false" ht="15" hidden="false" customHeight="false" outlineLevel="0" collapsed="false">
      <c r="B33" s="24" t="s">
        <v>2403</v>
      </c>
      <c r="C33" s="25" t="s">
        <v>160</v>
      </c>
      <c r="D33" s="28" t="s">
        <v>153</v>
      </c>
      <c r="G33" s="35" t="n">
        <v>0</v>
      </c>
      <c r="H33" s="35" t="n">
        <v>0</v>
      </c>
      <c r="I33" s="35" t="n">
        <v>0</v>
      </c>
      <c r="J33" s="35" t="n">
        <v>0</v>
      </c>
      <c r="K33" s="35" t="n">
        <v>0.03</v>
      </c>
      <c r="L33" s="35" t="n">
        <v>0.03</v>
      </c>
      <c r="M33" s="35" t="n">
        <v>0.03</v>
      </c>
      <c r="N33" s="35" t="n">
        <v>0.03</v>
      </c>
      <c r="O33" s="35" t="n">
        <v>0.03</v>
      </c>
      <c r="P33" s="35" t="n">
        <v>0.03</v>
      </c>
      <c r="Q33" s="35" t="n">
        <v>0.03</v>
      </c>
      <c r="R33" s="35" t="n">
        <v>0.03</v>
      </c>
      <c r="S33" s="35" t="n">
        <v>0.03</v>
      </c>
      <c r="T33" s="5" t="s">
        <v>2404</v>
      </c>
    </row>
    <row r="34" customFormat="false" ht="15" hidden="false" customHeight="false" outlineLevel="0" collapsed="false">
      <c r="B34" s="22" t="s">
        <v>2405</v>
      </c>
      <c r="C34" s="23"/>
      <c r="D34" s="23"/>
      <c r="E34" s="23"/>
      <c r="F34" s="23"/>
      <c r="G34" s="23"/>
      <c r="H34" s="23"/>
      <c r="I34" s="23"/>
      <c r="J34" s="23"/>
      <c r="K34" s="23"/>
      <c r="L34" s="23"/>
      <c r="M34" s="23"/>
      <c r="N34" s="23"/>
      <c r="O34" s="23"/>
      <c r="P34" s="23"/>
      <c r="Q34" s="23"/>
      <c r="R34" s="23"/>
      <c r="S34" s="23"/>
    </row>
    <row r="35" customFormat="false" ht="15" hidden="false" customHeight="false" outlineLevel="0" collapsed="false">
      <c r="B35" s="24" t="s">
        <v>2406</v>
      </c>
      <c r="C35" s="25" t="s">
        <v>160</v>
      </c>
      <c r="D35" s="28" t="s">
        <v>153</v>
      </c>
      <c r="G35" s="35" t="n">
        <v>0</v>
      </c>
      <c r="H35" s="35" t="n">
        <v>0</v>
      </c>
      <c r="I35" s="35" t="n">
        <v>0</v>
      </c>
      <c r="J35" s="35" t="n">
        <v>0.49</v>
      </c>
      <c r="K35" s="35" t="n">
        <v>0.145</v>
      </c>
      <c r="L35" s="35" t="n">
        <v>0.13</v>
      </c>
      <c r="M35" s="35" t="n">
        <v>0.145</v>
      </c>
      <c r="N35" s="35" t="n">
        <v>0.145</v>
      </c>
      <c r="O35" s="35" t="n">
        <v>0.145</v>
      </c>
      <c r="P35" s="35" t="n">
        <v>0.145</v>
      </c>
      <c r="Q35" s="35" t="n">
        <v>0.145</v>
      </c>
      <c r="R35" s="35" t="n">
        <v>0.145</v>
      </c>
      <c r="S35" s="35" t="n">
        <v>0.145</v>
      </c>
      <c r="T35" s="5" t="s">
        <v>2407</v>
      </c>
      <c r="U35" s="5" t="s">
        <v>2408</v>
      </c>
    </row>
    <row r="36" customFormat="false" ht="15" hidden="false" customHeight="false" outlineLevel="0" collapsed="false">
      <c r="B36" s="24" t="s">
        <v>2409</v>
      </c>
      <c r="C36" s="25" t="s">
        <v>1937</v>
      </c>
      <c r="D36" s="28" t="s">
        <v>153</v>
      </c>
      <c r="G36" s="101" t="n">
        <v>0</v>
      </c>
      <c r="H36" s="101" t="n">
        <v>0</v>
      </c>
      <c r="I36" s="101" t="n">
        <v>0</v>
      </c>
      <c r="J36" s="101" t="n">
        <v>133333.333333333</v>
      </c>
      <c r="K36" s="101" t="n">
        <v>133333.333333333</v>
      </c>
      <c r="L36" s="101" t="n">
        <v>133333.333333333</v>
      </c>
      <c r="M36" s="101" t="n">
        <v>240000</v>
      </c>
      <c r="N36" s="101" t="n">
        <v>240000</v>
      </c>
      <c r="O36" s="101" t="n">
        <v>240000</v>
      </c>
      <c r="P36" s="101" t="n">
        <v>240000</v>
      </c>
      <c r="Q36" s="101" t="n">
        <v>240000</v>
      </c>
      <c r="R36" s="101" t="n">
        <v>240000</v>
      </c>
      <c r="S36" s="101" t="n">
        <v>240000</v>
      </c>
      <c r="T36" s="5" t="s">
        <v>2410</v>
      </c>
      <c r="U36" s="5" t="s">
        <v>2411</v>
      </c>
    </row>
    <row r="37" customFormat="false" ht="15" hidden="false" customHeight="false" outlineLevel="0" collapsed="false">
      <c r="B37" s="24" t="s">
        <v>2412</v>
      </c>
      <c r="C37" s="25" t="s">
        <v>1943</v>
      </c>
      <c r="D37" s="28" t="s">
        <v>153</v>
      </c>
      <c r="E37" s="101" t="n">
        <v>55000</v>
      </c>
      <c r="T37" s="5" t="s">
        <v>2413</v>
      </c>
    </row>
    <row r="38" customFormat="false" ht="15" hidden="false" customHeight="false" outlineLevel="0" collapsed="false">
      <c r="B38" s="24" t="s">
        <v>2414</v>
      </c>
      <c r="C38" s="25" t="s">
        <v>160</v>
      </c>
      <c r="D38" s="28" t="s">
        <v>153</v>
      </c>
      <c r="G38" s="35" t="n">
        <v>0</v>
      </c>
      <c r="H38" s="35" t="n">
        <v>0</v>
      </c>
      <c r="I38" s="35" t="n">
        <v>0</v>
      </c>
      <c r="J38" s="35" t="n">
        <v>0</v>
      </c>
      <c r="K38" s="35" t="n">
        <v>0</v>
      </c>
      <c r="L38" s="35" t="n">
        <v>0.03</v>
      </c>
      <c r="M38" s="35" t="n">
        <v>0.03</v>
      </c>
      <c r="N38" s="35" t="n">
        <v>0.03</v>
      </c>
      <c r="O38" s="35" t="n">
        <v>0.03</v>
      </c>
      <c r="P38" s="35" t="n">
        <v>0.03</v>
      </c>
      <c r="Q38" s="35" t="n">
        <v>0.03</v>
      </c>
      <c r="R38" s="35" t="n">
        <v>0.03</v>
      </c>
      <c r="S38" s="35" t="n">
        <v>0.03</v>
      </c>
      <c r="T38" s="5" t="s">
        <v>2415</v>
      </c>
    </row>
    <row r="39" customFormat="false" ht="15" hidden="false" customHeight="false" outlineLevel="0" collapsed="false">
      <c r="B39" s="22" t="s">
        <v>2416</v>
      </c>
      <c r="C39" s="23"/>
      <c r="D39" s="23"/>
      <c r="E39" s="23"/>
      <c r="F39" s="23"/>
      <c r="G39" s="23"/>
      <c r="H39" s="23"/>
      <c r="I39" s="23"/>
      <c r="J39" s="23"/>
      <c r="K39" s="23"/>
      <c r="L39" s="23"/>
      <c r="M39" s="23"/>
      <c r="N39" s="23"/>
      <c r="O39" s="23"/>
      <c r="P39" s="23"/>
      <c r="Q39" s="23"/>
      <c r="R39" s="23"/>
      <c r="S39" s="23"/>
    </row>
    <row r="40" customFormat="false" ht="15" hidden="false" customHeight="false" outlineLevel="0" collapsed="false">
      <c r="B40" s="24" t="s">
        <v>2417</v>
      </c>
      <c r="C40" s="25" t="s">
        <v>1937</v>
      </c>
      <c r="D40" s="28" t="s">
        <v>153</v>
      </c>
      <c r="G40" s="101" t="n">
        <v>0</v>
      </c>
      <c r="H40" s="101" t="n">
        <v>0</v>
      </c>
      <c r="I40" s="101" t="n">
        <v>0</v>
      </c>
      <c r="J40" s="101" t="n">
        <v>83333.3333333333</v>
      </c>
      <c r="K40" s="101" t="n">
        <v>133333.333333333</v>
      </c>
      <c r="L40" s="101" t="n">
        <v>0</v>
      </c>
      <c r="M40" s="101" t="n">
        <v>208000</v>
      </c>
      <c r="N40" s="101" t="n">
        <v>208000</v>
      </c>
      <c r="O40" s="101" t="n">
        <v>208000</v>
      </c>
      <c r="P40" s="101" t="n">
        <v>208000</v>
      </c>
      <c r="Q40" s="101" t="n">
        <v>208000</v>
      </c>
      <c r="R40" s="101" t="n">
        <v>208000</v>
      </c>
      <c r="S40" s="101" t="n">
        <v>208000</v>
      </c>
      <c r="T40" s="5" t="s">
        <v>2418</v>
      </c>
      <c r="U40" s="5" t="s">
        <v>2419</v>
      </c>
    </row>
    <row r="41" customFormat="false" ht="15" hidden="false" customHeight="false" outlineLevel="0" collapsed="false">
      <c r="B41" s="24" t="s">
        <v>2420</v>
      </c>
      <c r="C41" s="25" t="s">
        <v>900</v>
      </c>
      <c r="D41" s="28" t="s">
        <v>153</v>
      </c>
      <c r="E41" s="101" t="n">
        <v>300000</v>
      </c>
      <c r="T41" s="5" t="s">
        <v>2421</v>
      </c>
    </row>
    <row r="42" customFormat="false" ht="15" hidden="false" customHeight="false" outlineLevel="0" collapsed="false">
      <c r="B42" s="24" t="s">
        <v>2422</v>
      </c>
      <c r="C42" s="25" t="s">
        <v>160</v>
      </c>
      <c r="D42" s="28" t="s">
        <v>153</v>
      </c>
      <c r="G42" s="35" t="n">
        <v>0</v>
      </c>
      <c r="H42" s="35" t="n">
        <v>0</v>
      </c>
      <c r="I42" s="35" t="n">
        <v>0</v>
      </c>
      <c r="J42" s="35" t="n">
        <v>0</v>
      </c>
      <c r="K42" s="35" t="n">
        <v>0</v>
      </c>
      <c r="L42" s="35" t="n">
        <v>0.7</v>
      </c>
      <c r="M42" s="35" t="n">
        <v>0</v>
      </c>
      <c r="N42" s="35" t="n">
        <v>0</v>
      </c>
      <c r="O42" s="35" t="n">
        <v>0</v>
      </c>
      <c r="P42" s="35" t="n">
        <v>0</v>
      </c>
      <c r="Q42" s="35" t="n">
        <v>0</v>
      </c>
      <c r="R42" s="35" t="n">
        <v>0</v>
      </c>
      <c r="S42" s="35" t="n">
        <v>0</v>
      </c>
      <c r="T42" s="5" t="s">
        <v>2423</v>
      </c>
    </row>
    <row r="43" customFormat="false" ht="15" hidden="false" customHeight="false" outlineLevel="0" collapsed="false">
      <c r="B43" s="24" t="s">
        <v>2424</v>
      </c>
      <c r="C43" s="25" t="s">
        <v>1943</v>
      </c>
      <c r="D43" s="28" t="s">
        <v>153</v>
      </c>
      <c r="E43" s="101" t="n">
        <v>65000</v>
      </c>
      <c r="T43" s="5" t="s">
        <v>2425</v>
      </c>
    </row>
    <row r="44" customFormat="false" ht="15" hidden="false" customHeight="false" outlineLevel="0" collapsed="false">
      <c r="B44" s="24" t="s">
        <v>2426</v>
      </c>
      <c r="C44" s="25" t="s">
        <v>160</v>
      </c>
      <c r="D44" s="28" t="s">
        <v>153</v>
      </c>
      <c r="G44" s="35" t="n">
        <v>0</v>
      </c>
      <c r="H44" s="35" t="n">
        <v>0</v>
      </c>
      <c r="I44" s="35" t="n">
        <v>0</v>
      </c>
      <c r="J44" s="35" t="n">
        <v>0</v>
      </c>
      <c r="K44" s="35" t="n">
        <v>0</v>
      </c>
      <c r="L44" s="35" t="n">
        <v>0</v>
      </c>
      <c r="M44" s="35" t="n">
        <v>0.03</v>
      </c>
      <c r="N44" s="35" t="n">
        <v>0.03</v>
      </c>
      <c r="O44" s="35" t="n">
        <v>0.03</v>
      </c>
      <c r="P44" s="35" t="n">
        <v>0.03</v>
      </c>
      <c r="Q44" s="35" t="n">
        <v>0.03</v>
      </c>
      <c r="R44" s="35" t="n">
        <v>0.03</v>
      </c>
      <c r="S44" s="35" t="n">
        <v>0.03</v>
      </c>
      <c r="T44" s="5" t="s">
        <v>2427</v>
      </c>
    </row>
    <row r="45" customFormat="false" ht="15" hidden="false" customHeight="false" outlineLevel="0" collapsed="false">
      <c r="B45" s="22" t="s">
        <v>2428</v>
      </c>
      <c r="C45" s="23"/>
      <c r="D45" s="23"/>
      <c r="E45" s="23"/>
      <c r="F45" s="23"/>
      <c r="G45" s="23"/>
      <c r="H45" s="23"/>
      <c r="I45" s="23"/>
      <c r="J45" s="23"/>
      <c r="K45" s="23"/>
      <c r="L45" s="23"/>
      <c r="M45" s="23"/>
      <c r="N45" s="23"/>
      <c r="O45" s="23"/>
      <c r="P45" s="23"/>
      <c r="Q45" s="23"/>
      <c r="R45" s="23"/>
      <c r="S45" s="23"/>
    </row>
    <row r="46" customFormat="false" ht="15" hidden="false" customHeight="false" outlineLevel="0" collapsed="false">
      <c r="B46" s="24" t="s">
        <v>2429</v>
      </c>
      <c r="C46" s="25" t="s">
        <v>905</v>
      </c>
      <c r="D46" s="28" t="s">
        <v>153</v>
      </c>
      <c r="G46" s="101" t="n">
        <v>0</v>
      </c>
      <c r="H46" s="101" t="n">
        <v>0</v>
      </c>
      <c r="I46" s="101" t="n">
        <v>0</v>
      </c>
      <c r="J46" s="101" t="n">
        <v>0</v>
      </c>
      <c r="K46" s="101" t="n">
        <v>15000</v>
      </c>
      <c r="L46" s="101" t="n">
        <v>15000</v>
      </c>
      <c r="M46" s="101" t="n">
        <v>15000</v>
      </c>
      <c r="N46" s="101" t="n">
        <v>15000</v>
      </c>
      <c r="O46" s="101" t="n">
        <v>15000</v>
      </c>
      <c r="P46" s="101" t="n">
        <v>15000</v>
      </c>
      <c r="Q46" s="101" t="n">
        <v>15000</v>
      </c>
      <c r="R46" s="101" t="n">
        <v>15000</v>
      </c>
      <c r="S46" s="101" t="n">
        <v>15000</v>
      </c>
      <c r="T46" s="5" t="s">
        <v>2430</v>
      </c>
      <c r="U46" s="5" t="s">
        <v>2431</v>
      </c>
    </row>
    <row r="47" customFormat="false" ht="15" hidden="false" customHeight="false" outlineLevel="0" collapsed="false">
      <c r="B47" s="22" t="s">
        <v>2432</v>
      </c>
      <c r="C47" s="23"/>
      <c r="D47" s="23"/>
      <c r="E47" s="23"/>
      <c r="F47" s="23"/>
      <c r="G47" s="23"/>
      <c r="H47" s="23"/>
      <c r="I47" s="23"/>
      <c r="J47" s="23"/>
      <c r="K47" s="23"/>
      <c r="L47" s="23"/>
      <c r="M47" s="23"/>
      <c r="N47" s="23"/>
      <c r="O47" s="23"/>
      <c r="P47" s="23"/>
      <c r="Q47" s="23"/>
      <c r="R47" s="23"/>
      <c r="S47" s="23"/>
    </row>
    <row r="48" customFormat="false" ht="15" hidden="false" customHeight="false" outlineLevel="0" collapsed="false">
      <c r="B48" s="24" t="s">
        <v>2433</v>
      </c>
      <c r="C48" s="25" t="s">
        <v>160</v>
      </c>
      <c r="D48" s="28" t="s">
        <v>153</v>
      </c>
      <c r="G48" s="35" t="n">
        <v>0</v>
      </c>
      <c r="H48" s="35" t="n">
        <v>0.3</v>
      </c>
      <c r="I48" s="35" t="n">
        <v>0.3</v>
      </c>
      <c r="J48" s="35" t="n">
        <v>0.3</v>
      </c>
      <c r="K48" s="35" t="n">
        <v>0.3</v>
      </c>
      <c r="L48" s="35" t="n">
        <v>0.3</v>
      </c>
      <c r="M48" s="35" t="n">
        <v>0.3</v>
      </c>
      <c r="N48" s="35" t="n">
        <v>0.3</v>
      </c>
      <c r="O48" s="35" t="n">
        <v>0.3</v>
      </c>
      <c r="P48" s="35" t="n">
        <v>0.3</v>
      </c>
      <c r="Q48" s="35" t="n">
        <v>0.3</v>
      </c>
      <c r="R48" s="35" t="n">
        <v>0.3</v>
      </c>
      <c r="S48" s="35" t="n">
        <v>0.3</v>
      </c>
      <c r="T48" s="5" t="s">
        <v>2434</v>
      </c>
    </row>
    <row r="49" customFormat="false" ht="15" hidden="false" customHeight="false" outlineLevel="0" collapsed="false">
      <c r="B49" s="22" t="s">
        <v>2435</v>
      </c>
      <c r="C49" s="23"/>
      <c r="D49" s="23"/>
      <c r="E49" s="23"/>
      <c r="F49" s="23"/>
      <c r="G49" s="23"/>
      <c r="H49" s="23"/>
      <c r="I49" s="23"/>
      <c r="J49" s="23"/>
      <c r="K49" s="23"/>
      <c r="L49" s="23"/>
      <c r="M49" s="23"/>
      <c r="N49" s="23"/>
      <c r="O49" s="23"/>
      <c r="P49" s="23"/>
      <c r="Q49" s="23"/>
      <c r="R49" s="23"/>
      <c r="S49" s="23"/>
    </row>
    <row r="50" customFormat="false" ht="15" hidden="false" customHeight="false" outlineLevel="0" collapsed="false">
      <c r="B50" s="24" t="s">
        <v>2436</v>
      </c>
      <c r="C50" s="25" t="s">
        <v>160</v>
      </c>
      <c r="D50" s="28" t="s">
        <v>153</v>
      </c>
      <c r="G50" s="35" t="n">
        <v>0</v>
      </c>
      <c r="H50" s="35" t="n">
        <v>0</v>
      </c>
      <c r="I50" s="35" t="n">
        <v>0</v>
      </c>
      <c r="J50" s="35" t="n">
        <v>0.18</v>
      </c>
      <c r="K50" s="35" t="n">
        <v>0.18</v>
      </c>
      <c r="L50" s="35" t="n">
        <v>0.18</v>
      </c>
      <c r="M50" s="35" t="n">
        <v>0.18</v>
      </c>
      <c r="N50" s="35" t="n">
        <v>0.18</v>
      </c>
      <c r="O50" s="35" t="n">
        <v>0.18</v>
      </c>
      <c r="P50" s="35" t="n">
        <v>0.18</v>
      </c>
      <c r="Q50" s="35" t="n">
        <v>0.18</v>
      </c>
      <c r="R50" s="35" t="n">
        <v>0.18</v>
      </c>
      <c r="S50" s="35" t="n">
        <v>0.18</v>
      </c>
      <c r="T50" s="5" t="s">
        <v>2437</v>
      </c>
    </row>
    <row r="52" customFormat="false" ht="15" hidden="false" customHeight="false" outlineLevel="0" collapsed="false">
      <c r="B52" s="22" t="s">
        <v>2438</v>
      </c>
      <c r="C52" s="23"/>
      <c r="D52" s="23"/>
      <c r="E52" s="23"/>
      <c r="F52" s="23"/>
      <c r="G52" s="23"/>
      <c r="H52" s="23"/>
      <c r="I52" s="23"/>
      <c r="J52" s="23"/>
      <c r="K52" s="23"/>
      <c r="L52" s="23"/>
      <c r="M52" s="23"/>
      <c r="N52" s="23"/>
      <c r="O52" s="23"/>
      <c r="P52" s="23"/>
      <c r="Q52" s="23"/>
      <c r="R52" s="23"/>
      <c r="S52" s="23"/>
    </row>
    <row r="53" customFormat="false" ht="15" hidden="false" customHeight="false" outlineLevel="0" collapsed="false">
      <c r="B53" s="24" t="s">
        <v>1287</v>
      </c>
      <c r="C53" s="25" t="s">
        <v>240</v>
      </c>
      <c r="D53" s="28" t="s">
        <v>153</v>
      </c>
      <c r="E53" s="37" t="n">
        <v>40.0245926836766</v>
      </c>
      <c r="T53" s="5" t="s">
        <v>2439</v>
      </c>
      <c r="U53" s="5" t="s">
        <v>2440</v>
      </c>
    </row>
    <row r="54" customFormat="false" ht="15" hidden="false" customHeight="false" outlineLevel="0" collapsed="false">
      <c r="B54" s="24" t="s">
        <v>1290</v>
      </c>
      <c r="C54" s="25" t="s">
        <v>160</v>
      </c>
      <c r="D54" s="28" t="s">
        <v>153</v>
      </c>
      <c r="E54" s="85" t="n">
        <f aca="false">SUM(F54:S54)</f>
        <v>1</v>
      </c>
      <c r="F54" s="35" t="n">
        <v>0</v>
      </c>
      <c r="G54" s="35" t="n">
        <v>0</v>
      </c>
      <c r="H54" s="35" t="n">
        <v>0.7</v>
      </c>
      <c r="I54" s="35" t="n">
        <v>0.3</v>
      </c>
      <c r="J54" s="35" t="n">
        <v>0</v>
      </c>
      <c r="K54" s="35" t="n">
        <v>0</v>
      </c>
      <c r="L54" s="35" t="n">
        <v>0</v>
      </c>
      <c r="M54" s="35" t="n">
        <v>0</v>
      </c>
      <c r="N54" s="35" t="n">
        <v>0</v>
      </c>
      <c r="O54" s="35" t="n">
        <v>0</v>
      </c>
      <c r="P54" s="35" t="n">
        <v>0</v>
      </c>
      <c r="Q54" s="35" t="n">
        <v>0</v>
      </c>
      <c r="R54" s="35" t="n">
        <v>0</v>
      </c>
      <c r="S54" s="35" t="n">
        <v>0</v>
      </c>
      <c r="T54" s="5" t="s">
        <v>2441</v>
      </c>
      <c r="U54" s="5" t="s">
        <v>1292</v>
      </c>
    </row>
    <row r="55" customFormat="false" ht="15" hidden="false" customHeight="false" outlineLevel="0" collapsed="false">
      <c r="B55" s="24" t="s">
        <v>1293</v>
      </c>
      <c r="C55" s="25" t="s">
        <v>240</v>
      </c>
      <c r="E55" s="44" t="n">
        <f aca="false">SUM(F55:S55)</f>
        <v>40.0245926836766</v>
      </c>
      <c r="F55" s="44" t="n">
        <f aca="false">$E$53*F54</f>
        <v>0</v>
      </c>
      <c r="G55" s="44" t="n">
        <f aca="false">$E$53*G54</f>
        <v>0</v>
      </c>
      <c r="H55" s="44" t="n">
        <f aca="false">$E$53*H54</f>
        <v>28.0172148785736</v>
      </c>
      <c r="I55" s="44" t="n">
        <f aca="false">$E$53*I54</f>
        <v>12.007377805103</v>
      </c>
      <c r="J55" s="44" t="n">
        <f aca="false">$E$53*J54</f>
        <v>0</v>
      </c>
      <c r="K55" s="44" t="n">
        <f aca="false">$E$53*K54</f>
        <v>0</v>
      </c>
      <c r="L55" s="44" t="n">
        <f aca="false">$E$53*L54</f>
        <v>0</v>
      </c>
      <c r="M55" s="44" t="n">
        <f aca="false">$E$53*M54</f>
        <v>0</v>
      </c>
      <c r="N55" s="44" t="n">
        <f aca="false">$E$53*N54</f>
        <v>0</v>
      </c>
      <c r="O55" s="44" t="n">
        <f aca="false">$E$53*O54</f>
        <v>0</v>
      </c>
      <c r="P55" s="44" t="n">
        <f aca="false">$E$53*P54</f>
        <v>0</v>
      </c>
      <c r="Q55" s="44" t="n">
        <f aca="false">$E$53*Q54</f>
        <v>0</v>
      </c>
      <c r="R55" s="44" t="n">
        <f aca="false">$E$53*R54</f>
        <v>0</v>
      </c>
      <c r="S55" s="44" t="n">
        <f aca="false">$E$53*S54</f>
        <v>0</v>
      </c>
    </row>
    <row r="56" customFormat="false" ht="15" hidden="false" customHeight="false" outlineLevel="0" collapsed="false">
      <c r="B56" s="24" t="s">
        <v>1294</v>
      </c>
      <c r="C56" s="25" t="s">
        <v>152</v>
      </c>
      <c r="F56" s="107" t="n">
        <f aca="false">'Global Inputs'!F22</f>
        <v>16265</v>
      </c>
      <c r="G56" s="107" t="n">
        <f aca="false">'Global Inputs'!G22</f>
        <v>16265</v>
      </c>
      <c r="H56" s="107" t="n">
        <f aca="false">'Global Inputs'!H22</f>
        <v>16265</v>
      </c>
      <c r="I56" s="107" t="n">
        <f aca="false">'Global Inputs'!I22</f>
        <v>16265</v>
      </c>
      <c r="J56" s="107" t="n">
        <f aca="false">'Global Inputs'!J22</f>
        <v>16265</v>
      </c>
      <c r="K56" s="107" t="n">
        <f aca="false">'Global Inputs'!K22</f>
        <v>16265</v>
      </c>
      <c r="L56" s="107" t="n">
        <f aca="false">'Global Inputs'!L22</f>
        <v>16265</v>
      </c>
      <c r="M56" s="107" t="n">
        <f aca="false">'Global Inputs'!M22</f>
        <v>16265</v>
      </c>
      <c r="N56" s="107" t="n">
        <f aca="false">'Global Inputs'!N22</f>
        <v>16265</v>
      </c>
      <c r="O56" s="107" t="n">
        <f aca="false">'Global Inputs'!O22</f>
        <v>16265</v>
      </c>
      <c r="P56" s="107" t="n">
        <f aca="false">'Global Inputs'!P22</f>
        <v>16265</v>
      </c>
      <c r="Q56" s="107" t="n">
        <f aca="false">'Global Inputs'!Q22</f>
        <v>16265</v>
      </c>
      <c r="R56" s="107" t="n">
        <f aca="false">'Global Inputs'!R22</f>
        <v>16265</v>
      </c>
      <c r="S56" s="107" t="n">
        <f aca="false">'Global Inputs'!S22</f>
        <v>16265</v>
      </c>
    </row>
    <row r="57" customFormat="false" ht="15" hidden="false" customHeight="false" outlineLevel="0" collapsed="false">
      <c r="B57" s="24" t="s">
        <v>1295</v>
      </c>
      <c r="C57" s="25" t="s">
        <v>170</v>
      </c>
      <c r="E57" s="47" t="n">
        <f aca="false">SUM(F57:S57)</f>
        <v>651</v>
      </c>
      <c r="F57" s="47" t="n">
        <f aca="false">F55*F56/1000</f>
        <v>0</v>
      </c>
      <c r="G57" s="47" t="n">
        <f aca="false">G55*G56/1000</f>
        <v>0</v>
      </c>
      <c r="H57" s="47" t="n">
        <f aca="false">H55*H56/1000</f>
        <v>455.7</v>
      </c>
      <c r="I57" s="47" t="n">
        <f aca="false">I55*I56/1000</f>
        <v>195.3</v>
      </c>
      <c r="J57" s="47" t="n">
        <f aca="false">J55*J56/1000</f>
        <v>0</v>
      </c>
      <c r="K57" s="47" t="n">
        <f aca="false">K55*K56/1000</f>
        <v>0</v>
      </c>
      <c r="L57" s="47" t="n">
        <f aca="false">L55*L56/1000</f>
        <v>0</v>
      </c>
      <c r="M57" s="47" t="n">
        <f aca="false">M55*M56/1000</f>
        <v>0</v>
      </c>
      <c r="N57" s="47" t="n">
        <f aca="false">N55*N56/1000</f>
        <v>0</v>
      </c>
      <c r="O57" s="47" t="n">
        <f aca="false">O55*O56/1000</f>
        <v>0</v>
      </c>
      <c r="P57" s="47" t="n">
        <f aca="false">P55*P56/1000</f>
        <v>0</v>
      </c>
      <c r="Q57" s="47" t="n">
        <f aca="false">Q55*Q56/1000</f>
        <v>0</v>
      </c>
      <c r="R57" s="47" t="n">
        <f aca="false">R55*R56/1000</f>
        <v>0</v>
      </c>
      <c r="S57" s="47" t="n">
        <f aca="false">S55*S56/1000</f>
        <v>0</v>
      </c>
    </row>
    <row r="58" customFormat="false" ht="15" hidden="false" customHeight="false" outlineLevel="0" collapsed="false">
      <c r="B58" s="24" t="s">
        <v>1296</v>
      </c>
      <c r="C58" s="25" t="s">
        <v>240</v>
      </c>
      <c r="E58" s="44" t="n">
        <f aca="false">SUMPRODUCT($F$55:$S$55,--('Global Inputs'!$F$15:$S$15&lt;='Global Inputs'!$E$12))</f>
        <v>40.0245926836766</v>
      </c>
    </row>
    <row r="59" customFormat="false" ht="15" hidden="false" customHeight="false" outlineLevel="0" collapsed="false">
      <c r="B59" s="24" t="s">
        <v>1297</v>
      </c>
      <c r="C59" s="25" t="s">
        <v>240</v>
      </c>
      <c r="E59" s="44" t="n">
        <f aca="false">SUMPRODUCT($F$55:$S$55,--('Global Inputs'!$F$15:$S$15&gt;'Global Inputs'!$E$12))</f>
        <v>0</v>
      </c>
    </row>
    <row r="60" customFormat="false" ht="15" hidden="false" customHeight="false" outlineLevel="0" collapsed="false">
      <c r="B60" s="24" t="s">
        <v>1298</v>
      </c>
      <c r="C60" s="25" t="s">
        <v>240</v>
      </c>
      <c r="E60" s="44" t="n">
        <f aca="false">$E$53-SUM($F$55:$S$55)</f>
        <v>0</v>
      </c>
    </row>
    <row r="61" customFormat="false" ht="15" hidden="false" customHeight="false" outlineLevel="0" collapsed="false">
      <c r="B61" s="24" t="s">
        <v>1299</v>
      </c>
      <c r="C61" s="25" t="s">
        <v>527</v>
      </c>
      <c r="E61" s="108" t="str">
        <f aca="false">IF(ABS(SUM($F$54:$S$54)-1)&lt;0.000001,"PASS","CHECK: % not 100%")</f>
        <v>PASS</v>
      </c>
    </row>
    <row r="62" customFormat="false" ht="15" hidden="false" customHeight="false" outlineLevel="0" collapsed="false">
      <c r="B62" s="24" t="s">
        <v>1811</v>
      </c>
      <c r="C62" s="25" t="s">
        <v>135</v>
      </c>
      <c r="D62" s="25" t="s">
        <v>894</v>
      </c>
      <c r="E62" s="65" t="n">
        <f aca="false">$E$25</f>
        <v>2027</v>
      </c>
      <c r="T62" s="5" t="s">
        <v>1812</v>
      </c>
    </row>
    <row r="63" customFormat="false" ht="15" hidden="false" customHeight="false" outlineLevel="0" collapsed="false">
      <c r="B63" s="24" t="s">
        <v>1302</v>
      </c>
      <c r="C63" s="25" t="s">
        <v>180</v>
      </c>
      <c r="D63" s="26" t="s">
        <v>190</v>
      </c>
      <c r="E63" s="39" t="n">
        <v>0</v>
      </c>
      <c r="T63" s="5" t="s">
        <v>1303</v>
      </c>
      <c r="U63" s="5" t="s">
        <v>1304</v>
      </c>
    </row>
    <row r="64" customFormat="false" ht="15" hidden="false" customHeight="false" outlineLevel="0" collapsed="false">
      <c r="B64" s="24" t="s">
        <v>1305</v>
      </c>
      <c r="C64" s="25" t="s">
        <v>160</v>
      </c>
      <c r="D64" s="28" t="s">
        <v>153</v>
      </c>
      <c r="E64" s="35" t="n">
        <v>0.9</v>
      </c>
      <c r="T64" s="5" t="s">
        <v>2442</v>
      </c>
    </row>
    <row r="65" customFormat="false" ht="15" hidden="false" customHeight="false" outlineLevel="0" collapsed="false">
      <c r="B65" s="24" t="s">
        <v>1307</v>
      </c>
      <c r="C65" s="25" t="s">
        <v>145</v>
      </c>
      <c r="D65" s="28" t="s">
        <v>153</v>
      </c>
      <c r="E65" s="36" t="n">
        <v>20</v>
      </c>
      <c r="T65" s="5" t="s">
        <v>2443</v>
      </c>
    </row>
    <row r="66" customFormat="false" ht="15" hidden="false" customHeight="false" outlineLevel="0" collapsed="false">
      <c r="B66" s="24" t="s">
        <v>1309</v>
      </c>
      <c r="C66" s="25" t="s">
        <v>145</v>
      </c>
      <c r="D66" s="28" t="s">
        <v>153</v>
      </c>
      <c r="E66" s="36" t="n">
        <v>8</v>
      </c>
      <c r="T66" s="5" t="s">
        <v>2443</v>
      </c>
    </row>
  </sheetData>
  <hyperlinks>
    <hyperlink ref="C3" r:id="rId1" location="'P15%20TBM%20Input'!A1" display="Input"/>
    <hyperlink ref="D3" r:id="rId2" location="'P15%20TBM%20Calc'!A1" display="Calc"/>
    <hyperlink ref="E3" r:id="rId3" location="'P15%20TBM%20Output'!A1" display="Output"/>
    <hyperlink ref="F3" r:id="rId4" location="'Navigation'!A1" display="Navigation"/>
    <hyperlink ref="G3" r:id="rId5" location="'Global%20Inputs'!A1" display="Global Inputs"/>
    <hyperlink ref="H3" r:id="rId6" location="'Project%20Summary'!A1" display="Project Summary"/>
    <hyperlink ref="I3" r:id="rId7" location="'Funding%20Requirement'!A1" display="Funding"/>
    <hyperlink ref="J3" r:id="rId8" location="'FSL%20Financials%20—%20Without%20BUMN'!A1" display="FSL w/o BUMN"/>
    <hyperlink ref="K3" r:id="rId9" location="'FSL%20Financials%20—%20With%20BUMN'!A1" display="FSL w/ BUMN"/>
    <hyperlink ref="L3" r:id="rId10" location="'Valuation%20—%20Without%20BUMN'!A1" display="Val w/o BUMN"/>
    <hyperlink ref="M3" r:id="rId11" location="'Valuation%20—%20With%20BUMN'!A1" display="Val w/ BUMN"/>
    <hyperlink ref="N3" r:id="rId12" location="'Checks'!A1" display="Checks"/>
    <hyperlink ref="O3" r:id="rId13" location="'Model%20Flow'!A1" display="Model Flow"/>
  </hyperlink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BFBF"/>
    <pageSetUpPr fitToPage="true"/>
  </sheetPr>
  <dimension ref="B1:U7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5" ySplit="9" topLeftCell="F10" activePane="bottomRight" state="frozen"/>
      <selection pane="topLeft" activeCell="A1" activeCellId="0" sqref="A1"/>
      <selection pane="topRight" activeCell="F1" activeCellId="0" sqref="F1"/>
      <selection pane="bottomLeft" activeCell="A10" activeCellId="0" sqref="A10"/>
      <selection pane="bottomRigh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66"/>
    <col collapsed="false" customWidth="true" hidden="false" outlineLevel="0" max="3" min="3" style="0" width="11"/>
    <col collapsed="false" customWidth="true" hidden="false" outlineLevel="0" max="4" min="4" style="0" width="12"/>
    <col collapsed="false" customWidth="true" hidden="false" outlineLevel="0" max="5" min="5" style="0" width="13"/>
    <col collapsed="false" customWidth="true" hidden="false" outlineLevel="0" max="19" min="6" style="0" width="11.5"/>
    <col collapsed="false" customWidth="true" hidden="false" outlineLevel="0" max="20" min="20" style="0" width="40"/>
    <col collapsed="false" customWidth="true" hidden="false" outlineLevel="0" max="21" min="21" style="0" width="48"/>
  </cols>
  <sheetData>
    <row r="1" customFormat="false" ht="21.75" hidden="false" customHeight="true" outlineLevel="0" collapsed="false">
      <c r="B1" s="1" t="s">
        <v>2444</v>
      </c>
    </row>
    <row r="2" customFormat="false" ht="15" hidden="false" customHeight="false" outlineLevel="0" collapsed="false">
      <c r="B2" s="2" t="s">
        <v>1014</v>
      </c>
    </row>
    <row r="3" customFormat="false" ht="15" hidden="false" customHeight="false" outlineLevel="0" collapsed="false">
      <c r="B3" s="5" t="s">
        <v>112</v>
      </c>
      <c r="C3" s="17" t="s">
        <v>27</v>
      </c>
      <c r="D3" s="17" t="s">
        <v>28</v>
      </c>
      <c r="E3" s="17" t="s">
        <v>29</v>
      </c>
      <c r="F3" s="17" t="s">
        <v>113</v>
      </c>
      <c r="G3" s="17" t="s">
        <v>5</v>
      </c>
      <c r="H3" s="17" t="s">
        <v>7</v>
      </c>
      <c r="I3" s="17" t="s">
        <v>114</v>
      </c>
      <c r="J3" s="17" t="s">
        <v>115</v>
      </c>
      <c r="K3" s="17" t="s">
        <v>116</v>
      </c>
      <c r="L3" s="17" t="s">
        <v>117</v>
      </c>
      <c r="M3" s="17" t="s">
        <v>118</v>
      </c>
      <c r="N3" s="17" t="s">
        <v>21</v>
      </c>
      <c r="O3" s="17" t="s">
        <v>3</v>
      </c>
    </row>
    <row r="5" customFormat="false" ht="15" hidden="false" customHeight="false" outlineLevel="0" collapsed="false">
      <c r="B5" s="6" t="s">
        <v>119</v>
      </c>
      <c r="C5" s="6" t="s">
        <v>120</v>
      </c>
      <c r="D5" s="6" t="s">
        <v>121</v>
      </c>
      <c r="E5" s="6" t="s">
        <v>122</v>
      </c>
      <c r="F5" s="18" t="n">
        <f aca="false">'Global Inputs'!F$5</f>
        <v>2023</v>
      </c>
      <c r="G5" s="18" t="n">
        <f aca="false">'Global Inputs'!G$5</f>
        <v>2024</v>
      </c>
      <c r="H5" s="18" t="n">
        <f aca="false">'Global Inputs'!H$5</f>
        <v>2025</v>
      </c>
      <c r="I5" s="18" t="n">
        <f aca="false">'Global Inputs'!I$5</f>
        <v>2026</v>
      </c>
      <c r="J5" s="18" t="n">
        <f aca="false">'Global Inputs'!J$5</f>
        <v>2027</v>
      </c>
      <c r="K5" s="18" t="n">
        <f aca="false">'Global Inputs'!K$5</f>
        <v>2028</v>
      </c>
      <c r="L5" s="18" t="n">
        <f aca="false">'Global Inputs'!L$5</f>
        <v>2029</v>
      </c>
      <c r="M5" s="18" t="n">
        <f aca="false">'Global Inputs'!M$5</f>
        <v>2030</v>
      </c>
      <c r="N5" s="18" t="n">
        <f aca="false">'Global Inputs'!N$5</f>
        <v>2031</v>
      </c>
      <c r="O5" s="18" t="n">
        <f aca="false">'Global Inputs'!O$5</f>
        <v>2032</v>
      </c>
      <c r="P5" s="18" t="n">
        <f aca="false">'Global Inputs'!P$5</f>
        <v>2033</v>
      </c>
      <c r="Q5" s="18" t="n">
        <f aca="false">'Global Inputs'!Q$5</f>
        <v>2034</v>
      </c>
      <c r="R5" s="18" t="n">
        <f aca="false">'Global Inputs'!R$5</f>
        <v>2035</v>
      </c>
      <c r="S5" s="18" t="n">
        <f aca="false">'Global Inputs'!S$5</f>
        <v>2036</v>
      </c>
      <c r="T5" s="6" t="s">
        <v>123</v>
      </c>
      <c r="U5" s="6" t="s">
        <v>124</v>
      </c>
    </row>
    <row r="6" customFormat="false" ht="15" hidden="false" customHeight="false" outlineLevel="0" collapsed="false">
      <c r="B6" s="19" t="s">
        <v>125</v>
      </c>
      <c r="F6" s="20" t="n">
        <f aca="false">'Global Inputs'!F$6</f>
        <v>45291</v>
      </c>
      <c r="G6" s="20" t="n">
        <f aca="false">'Global Inputs'!G$6</f>
        <v>45657</v>
      </c>
      <c r="H6" s="20" t="n">
        <f aca="false">'Global Inputs'!H$6</f>
        <v>46022</v>
      </c>
      <c r="I6" s="20" t="n">
        <f aca="false">'Global Inputs'!I$6</f>
        <v>46387</v>
      </c>
      <c r="J6" s="20" t="n">
        <f aca="false">'Global Inputs'!J$6</f>
        <v>46752</v>
      </c>
      <c r="K6" s="20" t="n">
        <f aca="false">'Global Inputs'!K$6</f>
        <v>47118</v>
      </c>
      <c r="L6" s="20" t="n">
        <f aca="false">'Global Inputs'!L$6</f>
        <v>47483</v>
      </c>
      <c r="M6" s="20" t="n">
        <f aca="false">'Global Inputs'!M$6</f>
        <v>47848</v>
      </c>
      <c r="N6" s="20" t="n">
        <f aca="false">'Global Inputs'!N$6</f>
        <v>48213</v>
      </c>
      <c r="O6" s="20" t="n">
        <f aca="false">'Global Inputs'!O$6</f>
        <v>48579</v>
      </c>
      <c r="P6" s="20" t="n">
        <f aca="false">'Global Inputs'!P$6</f>
        <v>48944</v>
      </c>
      <c r="Q6" s="20" t="n">
        <f aca="false">'Global Inputs'!Q$6</f>
        <v>49309</v>
      </c>
      <c r="R6" s="20" t="n">
        <f aca="false">'Global Inputs'!R$6</f>
        <v>49674</v>
      </c>
      <c r="S6" s="20" t="n">
        <f aca="false">'Global Inputs'!S$6</f>
        <v>50040</v>
      </c>
    </row>
    <row r="7" customFormat="false" ht="15" hidden="false" customHeight="false" outlineLevel="0" collapsed="false">
      <c r="B7" s="19" t="s">
        <v>126</v>
      </c>
      <c r="F7" s="21" t="n">
        <f aca="false">'Global Inputs'!F$7</f>
        <v>365</v>
      </c>
      <c r="G7" s="21" t="n">
        <f aca="false">'Global Inputs'!G$7</f>
        <v>366</v>
      </c>
      <c r="H7" s="21" t="n">
        <f aca="false">'Global Inputs'!H$7</f>
        <v>365</v>
      </c>
      <c r="I7" s="21" t="n">
        <f aca="false">'Global Inputs'!I$7</f>
        <v>365</v>
      </c>
      <c r="J7" s="21" t="n">
        <f aca="false">'Global Inputs'!J$7</f>
        <v>365</v>
      </c>
      <c r="K7" s="21" t="n">
        <f aca="false">'Global Inputs'!K$7</f>
        <v>366</v>
      </c>
      <c r="L7" s="21" t="n">
        <f aca="false">'Global Inputs'!L$7</f>
        <v>365</v>
      </c>
      <c r="M7" s="21" t="n">
        <f aca="false">'Global Inputs'!M$7</f>
        <v>365</v>
      </c>
      <c r="N7" s="21" t="n">
        <f aca="false">'Global Inputs'!N$7</f>
        <v>365</v>
      </c>
      <c r="O7" s="21" t="n">
        <f aca="false">'Global Inputs'!O$7</f>
        <v>366</v>
      </c>
      <c r="P7" s="21" t="n">
        <f aca="false">'Global Inputs'!P$7</f>
        <v>365</v>
      </c>
      <c r="Q7" s="21" t="n">
        <f aca="false">'Global Inputs'!Q$7</f>
        <v>365</v>
      </c>
      <c r="R7" s="21" t="n">
        <f aca="false">'Global Inputs'!R$7</f>
        <v>365</v>
      </c>
      <c r="S7" s="21" t="n">
        <f aca="false">'Global Inputs'!S$7</f>
        <v>366</v>
      </c>
    </row>
    <row r="8" customFormat="false" ht="15" hidden="false" customHeight="false" outlineLevel="0" collapsed="false">
      <c r="B8" s="19" t="s">
        <v>127</v>
      </c>
      <c r="F8" s="21" t="n">
        <f aca="false">'Global Inputs'!F$8</f>
        <v>0</v>
      </c>
      <c r="G8" s="21" t="n">
        <f aca="false">'Global Inputs'!G$8</f>
        <v>1</v>
      </c>
      <c r="H8" s="21" t="n">
        <f aca="false">'Global Inputs'!H$8</f>
        <v>1</v>
      </c>
      <c r="I8" s="21" t="n">
        <f aca="false">'Global Inputs'!I$8</f>
        <v>1</v>
      </c>
      <c r="J8" s="21" t="n">
        <f aca="false">'Global Inputs'!J$8</f>
        <v>1</v>
      </c>
      <c r="K8" s="21" t="n">
        <f aca="false">'Global Inputs'!K$8</f>
        <v>1</v>
      </c>
      <c r="L8" s="21" t="n">
        <f aca="false">'Global Inputs'!L$8</f>
        <v>1</v>
      </c>
      <c r="M8" s="21" t="n">
        <f aca="false">'Global Inputs'!M$8</f>
        <v>1</v>
      </c>
      <c r="N8" s="21" t="n">
        <f aca="false">'Global Inputs'!N$8</f>
        <v>1</v>
      </c>
      <c r="O8" s="21" t="n">
        <f aca="false">'Global Inputs'!O$8</f>
        <v>1</v>
      </c>
      <c r="P8" s="21" t="n">
        <f aca="false">'Global Inputs'!P$8</f>
        <v>1</v>
      </c>
      <c r="Q8" s="21" t="n">
        <f aca="false">'Global Inputs'!Q$8</f>
        <v>1</v>
      </c>
      <c r="R8" s="21" t="n">
        <f aca="false">'Global Inputs'!R$8</f>
        <v>1</v>
      </c>
      <c r="S8" s="21" t="n">
        <f aca="false">'Global Inputs'!S$8</f>
        <v>1</v>
      </c>
    </row>
    <row r="10" customFormat="false" ht="15" hidden="false" customHeight="false" outlineLevel="0" collapsed="false">
      <c r="B10" s="22" t="s">
        <v>1015</v>
      </c>
      <c r="C10" s="23"/>
      <c r="D10" s="23"/>
      <c r="E10" s="23"/>
      <c r="F10" s="23"/>
      <c r="G10" s="23"/>
      <c r="H10" s="23"/>
      <c r="I10" s="23"/>
      <c r="J10" s="23"/>
      <c r="K10" s="23"/>
      <c r="L10" s="23"/>
      <c r="M10" s="23"/>
      <c r="N10" s="23"/>
      <c r="O10" s="23"/>
      <c r="P10" s="23"/>
      <c r="Q10" s="23"/>
      <c r="R10" s="23"/>
      <c r="S10" s="23"/>
    </row>
    <row r="11" customFormat="false" ht="15" hidden="false" customHeight="false" outlineLevel="0" collapsed="false">
      <c r="B11" s="24" t="s">
        <v>1016</v>
      </c>
      <c r="C11" s="25" t="s">
        <v>143</v>
      </c>
      <c r="F11" s="30" t="n">
        <f aca="false">IF(F$5&gt;='P15 TBM Input'!$E$25,1,0)*F$8</f>
        <v>0</v>
      </c>
      <c r="G11" s="30" t="n">
        <f aca="false">IF(G$5&gt;='P15 TBM Input'!$E$25,1,0)*G$8</f>
        <v>0</v>
      </c>
      <c r="H11" s="30" t="n">
        <f aca="false">IF(H$5&gt;='P15 TBM Input'!$E$25,1,0)*H$8</f>
        <v>0</v>
      </c>
      <c r="I11" s="30" t="n">
        <f aca="false">IF(I$5&gt;='P15 TBM Input'!$E$25,1,0)*I$8</f>
        <v>0</v>
      </c>
      <c r="J11" s="30" t="n">
        <f aca="false">IF(J$5&gt;='P15 TBM Input'!$E$25,1,0)*J$8</f>
        <v>1</v>
      </c>
      <c r="K11" s="30" t="n">
        <f aca="false">IF(K$5&gt;='P15 TBM Input'!$E$25,1,0)*K$8</f>
        <v>1</v>
      </c>
      <c r="L11" s="30" t="n">
        <f aca="false">IF(L$5&gt;='P15 TBM Input'!$E$25,1,0)*L$8</f>
        <v>1</v>
      </c>
      <c r="M11" s="30" t="n">
        <f aca="false">IF(M$5&gt;='P15 TBM Input'!$E$25,1,0)*M$8</f>
        <v>1</v>
      </c>
      <c r="N11" s="30" t="n">
        <f aca="false">IF(N$5&gt;='P15 TBM Input'!$E$25,1,0)*N$8</f>
        <v>1</v>
      </c>
      <c r="O11" s="30" t="n">
        <f aca="false">IF(O$5&gt;='P15 TBM Input'!$E$25,1,0)*O$8</f>
        <v>1</v>
      </c>
      <c r="P11" s="30" t="n">
        <f aca="false">IF(P$5&gt;='P15 TBM Input'!$E$25,1,0)*P$8</f>
        <v>1</v>
      </c>
      <c r="Q11" s="30" t="n">
        <f aca="false">IF(Q$5&gt;='P15 TBM Input'!$E$25,1,0)*Q$8</f>
        <v>1</v>
      </c>
      <c r="R11" s="30" t="n">
        <f aca="false">IF(R$5&gt;='P15 TBM Input'!$E$25,1,0)*R$8</f>
        <v>1</v>
      </c>
      <c r="S11" s="30" t="n">
        <f aca="false">IF(S$5&gt;='P15 TBM Input'!$E$25,1,0)*S$8</f>
        <v>1</v>
      </c>
    </row>
    <row r="13" customFormat="false" ht="15" hidden="false" customHeight="false" outlineLevel="0" collapsed="false">
      <c r="B13" s="22" t="s">
        <v>2445</v>
      </c>
      <c r="C13" s="23"/>
      <c r="D13" s="23"/>
      <c r="E13" s="23"/>
      <c r="F13" s="23"/>
      <c r="G13" s="23"/>
      <c r="H13" s="23"/>
      <c r="I13" s="23"/>
      <c r="J13" s="23"/>
      <c r="K13" s="23"/>
      <c r="L13" s="23"/>
      <c r="M13" s="23"/>
      <c r="N13" s="23"/>
      <c r="O13" s="23"/>
      <c r="P13" s="23"/>
      <c r="Q13" s="23"/>
      <c r="R13" s="23"/>
      <c r="S13" s="23"/>
    </row>
    <row r="14" customFormat="false" ht="15" hidden="false" customHeight="false" outlineLevel="0" collapsed="false">
      <c r="B14" s="24" t="s">
        <v>2446</v>
      </c>
      <c r="C14" s="25" t="s">
        <v>1019</v>
      </c>
      <c r="F14" s="104" t="n">
        <f aca="false">0</f>
        <v>0</v>
      </c>
      <c r="G14" s="104" t="n">
        <f aca="false">IF(G$5&lt;'P15 TBM Input'!$E$25,0,IF(G$5='P15 TBM Input'!$E$25,1,F14*(1+'P15 TBM Input'!G33)))*G$8</f>
        <v>0</v>
      </c>
      <c r="H14" s="104" t="n">
        <f aca="false">IF(H$5&lt;'P15 TBM Input'!$E$25,0,IF(H$5='P15 TBM Input'!$E$25,1,G14*(1+'P15 TBM Input'!H33)))*H$8</f>
        <v>0</v>
      </c>
      <c r="I14" s="104" t="n">
        <f aca="false">IF(I$5&lt;'P15 TBM Input'!$E$25,0,IF(I$5='P15 TBM Input'!$E$25,1,H14*(1+'P15 TBM Input'!I33)))*I$8</f>
        <v>0</v>
      </c>
      <c r="J14" s="104" t="n">
        <f aca="false">IF(J$5&lt;'P15 TBM Input'!$E$25,0,IF(J$5='P15 TBM Input'!$E$25,1,I14*(1+'P15 TBM Input'!J33)))*J$8</f>
        <v>1</v>
      </c>
      <c r="K14" s="104" t="n">
        <f aca="false">IF(K$5&lt;'P15 TBM Input'!$E$25,0,IF(K$5='P15 TBM Input'!$E$25,1,J14*(1+'P15 TBM Input'!K33)))*K$8</f>
        <v>1.03</v>
      </c>
      <c r="L14" s="104" t="n">
        <f aca="false">IF(L$5&lt;'P15 TBM Input'!$E$25,0,IF(L$5='P15 TBM Input'!$E$25,1,K14*(1+'P15 TBM Input'!L33)))*L$8</f>
        <v>1.0609</v>
      </c>
      <c r="M14" s="104" t="n">
        <f aca="false">IF(M$5&lt;'P15 TBM Input'!$E$25,0,IF(M$5='P15 TBM Input'!$E$25,1,L14*(1+'P15 TBM Input'!M33)))*M$8</f>
        <v>1.092727</v>
      </c>
      <c r="N14" s="104" t="n">
        <f aca="false">IF(N$5&lt;'P15 TBM Input'!$E$25,0,IF(N$5='P15 TBM Input'!$E$25,1,M14*(1+'P15 TBM Input'!N33)))*N$8</f>
        <v>1.12550881</v>
      </c>
      <c r="O14" s="104" t="n">
        <f aca="false">IF(O$5&lt;'P15 TBM Input'!$E$25,0,IF(O$5='P15 TBM Input'!$E$25,1,N14*(1+'P15 TBM Input'!O33)))*O$8</f>
        <v>1.1592740743</v>
      </c>
      <c r="P14" s="104" t="n">
        <f aca="false">IF(P$5&lt;'P15 TBM Input'!$E$25,0,IF(P$5='P15 TBM Input'!$E$25,1,O14*(1+'P15 TBM Input'!P33)))*P$8</f>
        <v>1.194052296529</v>
      </c>
      <c r="Q14" s="104" t="n">
        <f aca="false">IF(Q$5&lt;'P15 TBM Input'!$E$25,0,IF(Q$5='P15 TBM Input'!$E$25,1,P14*(1+'P15 TBM Input'!Q33)))*Q$8</f>
        <v>1.22987386542487</v>
      </c>
      <c r="R14" s="104" t="n">
        <f aca="false">IF(R$5&lt;'P15 TBM Input'!$E$25,0,IF(R$5='P15 TBM Input'!$E$25,1,Q14*(1+'P15 TBM Input'!R33)))*R$8</f>
        <v>1.26677008138762</v>
      </c>
      <c r="S14" s="104" t="n">
        <f aca="false">IF(S$5&lt;'P15 TBM Input'!$E$25,0,IF(S$5='P15 TBM Input'!$E$25,1,R14*(1+'P15 TBM Input'!S33)))*S$8</f>
        <v>1.30477318382925</v>
      </c>
      <c r="T14" s="5" t="s">
        <v>2447</v>
      </c>
    </row>
    <row r="15" customFormat="false" ht="15" hidden="false" customHeight="false" outlineLevel="0" collapsed="false">
      <c r="B15" s="24" t="s">
        <v>2396</v>
      </c>
      <c r="C15" s="25" t="s">
        <v>2397</v>
      </c>
      <c r="F15" s="31" t="n">
        <f aca="false">'P15 TBM Input'!F31*F$8</f>
        <v>0</v>
      </c>
      <c r="G15" s="31" t="n">
        <f aca="false">'P15 TBM Input'!G31*G$8</f>
        <v>0</v>
      </c>
      <c r="H15" s="31" t="n">
        <f aca="false">'P15 TBM Input'!H31*H$8</f>
        <v>0</v>
      </c>
      <c r="I15" s="31" t="n">
        <f aca="false">'P15 TBM Input'!I31*I$8</f>
        <v>0</v>
      </c>
      <c r="J15" s="31" t="n">
        <f aca="false">'P15 TBM Input'!J31*J$8</f>
        <v>0</v>
      </c>
      <c r="K15" s="31" t="n">
        <f aca="false">'P15 TBM Input'!K31*K$8</f>
        <v>255000</v>
      </c>
      <c r="L15" s="31" t="n">
        <f aca="false">'P15 TBM Input'!L31*L$8</f>
        <v>355000</v>
      </c>
      <c r="M15" s="31" t="n">
        <f aca="false">'P15 TBM Input'!M31*M$8</f>
        <v>500000</v>
      </c>
      <c r="N15" s="31" t="n">
        <f aca="false">'P15 TBM Input'!N31*N$8</f>
        <v>500000</v>
      </c>
      <c r="O15" s="31" t="n">
        <f aca="false">'P15 TBM Input'!O31*O$8</f>
        <v>500000</v>
      </c>
      <c r="P15" s="31" t="n">
        <f aca="false">'P15 TBM Input'!P31*P$8</f>
        <v>500000</v>
      </c>
      <c r="Q15" s="31" t="n">
        <f aca="false">'P15 TBM Input'!Q31*Q$8</f>
        <v>500000</v>
      </c>
      <c r="R15" s="31" t="n">
        <f aca="false">'P15 TBM Input'!R31*R$8</f>
        <v>500000</v>
      </c>
      <c r="S15" s="31" t="n">
        <f aca="false">'P15 TBM Input'!S31*S$8</f>
        <v>500000</v>
      </c>
      <c r="T15" s="5" t="s">
        <v>2448</v>
      </c>
    </row>
    <row r="16" customFormat="false" ht="15" hidden="false" customHeight="false" outlineLevel="0" collapsed="false">
      <c r="B16" s="24" t="s">
        <v>2449</v>
      </c>
      <c r="C16" s="25" t="s">
        <v>2400</v>
      </c>
      <c r="F16" s="31" t="n">
        <f aca="false">'P15 TBM Input'!$E$32*F14</f>
        <v>0</v>
      </c>
      <c r="G16" s="31" t="n">
        <f aca="false">'P15 TBM Input'!$E$32*G14</f>
        <v>0</v>
      </c>
      <c r="H16" s="31" t="n">
        <f aca="false">'P15 TBM Input'!$E$32*H14</f>
        <v>0</v>
      </c>
      <c r="I16" s="31" t="n">
        <f aca="false">'P15 TBM Input'!$E$32*I14</f>
        <v>0</v>
      </c>
      <c r="J16" s="31" t="n">
        <f aca="false">'P15 TBM Input'!$E$32*J14</f>
        <v>0</v>
      </c>
      <c r="K16" s="31" t="n">
        <f aca="false">'P15 TBM Input'!$E$32*K14</f>
        <v>0</v>
      </c>
      <c r="L16" s="31" t="n">
        <f aca="false">'P15 TBM Input'!$E$32*L14</f>
        <v>0</v>
      </c>
      <c r="M16" s="31" t="n">
        <f aca="false">'P15 TBM Input'!$E$32*M14</f>
        <v>0</v>
      </c>
      <c r="N16" s="31" t="n">
        <f aca="false">'P15 TBM Input'!$E$32*N14</f>
        <v>0</v>
      </c>
      <c r="O16" s="31" t="n">
        <f aca="false">'P15 TBM Input'!$E$32*O14</f>
        <v>0</v>
      </c>
      <c r="P16" s="31" t="n">
        <f aca="false">'P15 TBM Input'!$E$32*P14</f>
        <v>0</v>
      </c>
      <c r="Q16" s="31" t="n">
        <f aca="false">'P15 TBM Input'!$E$32*Q14</f>
        <v>0</v>
      </c>
      <c r="R16" s="31" t="n">
        <f aca="false">'P15 TBM Input'!$E$32*R14</f>
        <v>0</v>
      </c>
      <c r="S16" s="31" t="n">
        <f aca="false">'P15 TBM Input'!$E$32*S14</f>
        <v>0</v>
      </c>
      <c r="T16" s="5" t="s">
        <v>2450</v>
      </c>
    </row>
    <row r="17" customFormat="false" ht="15" hidden="false" customHeight="false" outlineLevel="0" collapsed="false">
      <c r="B17" s="24" t="s">
        <v>2451</v>
      </c>
      <c r="C17" s="25" t="s">
        <v>170</v>
      </c>
      <c r="E17" s="47" t="n">
        <f aca="false">SUM(F17:S17)</f>
        <v>0</v>
      </c>
      <c r="F17" s="47" t="n">
        <f aca="false">F15*F16*12/10^9</f>
        <v>0</v>
      </c>
      <c r="G17" s="47" t="n">
        <f aca="false">G15*G16*12/10^9</f>
        <v>0</v>
      </c>
      <c r="H17" s="47" t="n">
        <f aca="false">H15*H16*12/10^9</f>
        <v>0</v>
      </c>
      <c r="I17" s="47" t="n">
        <f aca="false">I15*I16*12/10^9</f>
        <v>0</v>
      </c>
      <c r="J17" s="47" t="n">
        <f aca="false">J15*J16*12/10^9</f>
        <v>0</v>
      </c>
      <c r="K17" s="47" t="n">
        <f aca="false">K15*K16*12/10^9</f>
        <v>0</v>
      </c>
      <c r="L17" s="47" t="n">
        <f aca="false">L15*L16*12/10^9</f>
        <v>0</v>
      </c>
      <c r="M17" s="47" t="n">
        <f aca="false">M15*M16*12/10^9</f>
        <v>0</v>
      </c>
      <c r="N17" s="47" t="n">
        <f aca="false">N15*N16*12/10^9</f>
        <v>0</v>
      </c>
      <c r="O17" s="47" t="n">
        <f aca="false">O15*O16*12/10^9</f>
        <v>0</v>
      </c>
      <c r="P17" s="47" t="n">
        <f aca="false">P15*P16*12/10^9</f>
        <v>0</v>
      </c>
      <c r="Q17" s="47" t="n">
        <f aca="false">Q15*Q16*12/10^9</f>
        <v>0</v>
      </c>
      <c r="R17" s="47" t="n">
        <f aca="false">R15*R16*12/10^9</f>
        <v>0</v>
      </c>
      <c r="S17" s="47" t="n">
        <f aca="false">S15*S16*12/10^9</f>
        <v>0</v>
      </c>
      <c r="T17" s="5" t="s">
        <v>2452</v>
      </c>
    </row>
    <row r="19" customFormat="false" ht="15" hidden="false" customHeight="false" outlineLevel="0" collapsed="false">
      <c r="B19" s="22" t="s">
        <v>2453</v>
      </c>
      <c r="C19" s="23"/>
      <c r="D19" s="23"/>
      <c r="E19" s="23"/>
      <c r="F19" s="23"/>
      <c r="G19" s="23"/>
      <c r="H19" s="23"/>
      <c r="I19" s="23"/>
      <c r="J19" s="23"/>
      <c r="K19" s="23"/>
      <c r="L19" s="23"/>
      <c r="M19" s="23"/>
      <c r="N19" s="23"/>
      <c r="O19" s="23"/>
      <c r="P19" s="23"/>
      <c r="Q19" s="23"/>
      <c r="R19" s="23"/>
      <c r="S19" s="23"/>
    </row>
    <row r="20" customFormat="false" ht="15" hidden="false" customHeight="false" outlineLevel="0" collapsed="false">
      <c r="B20" s="24" t="s">
        <v>2454</v>
      </c>
      <c r="C20" s="25" t="s">
        <v>1019</v>
      </c>
      <c r="F20" s="104" t="n">
        <f aca="false">0</f>
        <v>0</v>
      </c>
      <c r="G20" s="104" t="n">
        <f aca="false">IF(G$5&lt;'P15 TBM Input'!$E$28,0,IF(G$5='P15 TBM Input'!$E$28,1,F20*(1+'P15 TBM Input'!G38)))*G$8</f>
        <v>0</v>
      </c>
      <c r="H20" s="104" t="n">
        <f aca="false">IF(H$5&lt;'P15 TBM Input'!$E$28,0,IF(H$5='P15 TBM Input'!$E$28,1,G20*(1+'P15 TBM Input'!H38)))*H$8</f>
        <v>0</v>
      </c>
      <c r="I20" s="104" t="n">
        <f aca="false">IF(I$5&lt;'P15 TBM Input'!$E$28,0,IF(I$5='P15 TBM Input'!$E$28,1,H20*(1+'P15 TBM Input'!I38)))*I$8</f>
        <v>0</v>
      </c>
      <c r="J20" s="104" t="n">
        <f aca="false">IF(J$5&lt;'P15 TBM Input'!$E$28,0,IF(J$5='P15 TBM Input'!$E$28,1,I20*(1+'P15 TBM Input'!J38)))*J$8</f>
        <v>0</v>
      </c>
      <c r="K20" s="104" t="n">
        <f aca="false">IF(K$5&lt;'P15 TBM Input'!$E$28,0,IF(K$5='P15 TBM Input'!$E$28,1,J20*(1+'P15 TBM Input'!K38)))*K$8</f>
        <v>0</v>
      </c>
      <c r="L20" s="104" t="n">
        <f aca="false">IF(L$5&lt;'P15 TBM Input'!$E$28,0,IF(L$5='P15 TBM Input'!$E$28,1,K20*(1+'P15 TBM Input'!L38)))*L$8</f>
        <v>1</v>
      </c>
      <c r="M20" s="104" t="n">
        <f aca="false">IF(M$5&lt;'P15 TBM Input'!$E$28,0,IF(M$5='P15 TBM Input'!$E$28,1,L20*(1+'P15 TBM Input'!M38)))*M$8</f>
        <v>1.03</v>
      </c>
      <c r="N20" s="104" t="n">
        <f aca="false">IF(N$5&lt;'P15 TBM Input'!$E$28,0,IF(N$5='P15 TBM Input'!$E$28,1,M20*(1+'P15 TBM Input'!N38)))*N$8</f>
        <v>1.0609</v>
      </c>
      <c r="O20" s="104" t="n">
        <f aca="false">IF(O$5&lt;'P15 TBM Input'!$E$28,0,IF(O$5='P15 TBM Input'!$E$28,1,N20*(1+'P15 TBM Input'!O38)))*O$8</f>
        <v>1.092727</v>
      </c>
      <c r="P20" s="104" t="n">
        <f aca="false">IF(P$5&lt;'P15 TBM Input'!$E$28,0,IF(P$5='P15 TBM Input'!$E$28,1,O20*(1+'P15 TBM Input'!P38)))*P$8</f>
        <v>1.12550881</v>
      </c>
      <c r="Q20" s="104" t="n">
        <f aca="false">IF(Q$5&lt;'P15 TBM Input'!$E$28,0,IF(Q$5='P15 TBM Input'!$E$28,1,P20*(1+'P15 TBM Input'!Q38)))*Q$8</f>
        <v>1.1592740743</v>
      </c>
      <c r="R20" s="104" t="n">
        <f aca="false">IF(R$5&lt;'P15 TBM Input'!$E$28,0,IF(R$5='P15 TBM Input'!$E$28,1,Q20*(1+'P15 TBM Input'!R38)))*R$8</f>
        <v>1.194052296529</v>
      </c>
      <c r="S20" s="104" t="n">
        <f aca="false">IF(S$5&lt;'P15 TBM Input'!$E$28,0,IF(S$5='P15 TBM Input'!$E$28,1,R20*(1+'P15 TBM Input'!S38)))*S$8</f>
        <v>1.22987386542487</v>
      </c>
      <c r="T20" s="5" t="s">
        <v>2455</v>
      </c>
    </row>
    <row r="21" customFormat="false" ht="15" hidden="false" customHeight="false" outlineLevel="0" collapsed="false">
      <c r="B21" s="24" t="s">
        <v>2456</v>
      </c>
      <c r="C21" s="25" t="s">
        <v>900</v>
      </c>
      <c r="F21" s="94" t="n">
        <f aca="false">'E1 TelukLamong Calc'!F15</f>
        <v>0</v>
      </c>
      <c r="G21" s="94" t="n">
        <f aca="false">'E1 TelukLamong Calc'!G15</f>
        <v>2063650</v>
      </c>
      <c r="H21" s="94" t="n">
        <f aca="false">'E1 TelukLamong Calc'!H15</f>
        <v>2125559.5</v>
      </c>
      <c r="I21" s="94" t="n">
        <f aca="false">'E1 TelukLamong Calc'!I15</f>
        <v>2189326.285</v>
      </c>
      <c r="J21" s="94" t="n">
        <f aca="false">'E1 TelukLamong Calc'!J15</f>
        <v>2255006.07355</v>
      </c>
      <c r="K21" s="94" t="n">
        <f aca="false">'E1 TelukLamong Calc'!K15</f>
        <v>2322656.2557565</v>
      </c>
      <c r="L21" s="94" t="n">
        <f aca="false">'E1 TelukLamong Calc'!L15</f>
        <v>2392335.9434292</v>
      </c>
      <c r="M21" s="94" t="n">
        <f aca="false">'E1 TelukLamong Calc'!M15</f>
        <v>2464106.02173207</v>
      </c>
      <c r="N21" s="94" t="n">
        <f aca="false">'E1 TelukLamong Calc'!N15</f>
        <v>2538029.20238403</v>
      </c>
      <c r="O21" s="94" t="n">
        <f aca="false">'E1 TelukLamong Calc'!O15</f>
        <v>2614170.07845555</v>
      </c>
      <c r="P21" s="94" t="n">
        <f aca="false">'E1 TelukLamong Calc'!P15</f>
        <v>2692595.18080922</v>
      </c>
      <c r="Q21" s="94" t="n">
        <f aca="false">'E1 TelukLamong Calc'!Q15</f>
        <v>2773373.0362335</v>
      </c>
      <c r="R21" s="94" t="n">
        <f aca="false">'E1 TelukLamong Calc'!R15</f>
        <v>2856574.2273205</v>
      </c>
      <c r="S21" s="94" t="n">
        <f aca="false">'E1 TelukLamong Calc'!S15</f>
        <v>2942271.45414012</v>
      </c>
      <c r="T21" s="5" t="s">
        <v>2457</v>
      </c>
    </row>
    <row r="22" customFormat="false" ht="15" hidden="false" customHeight="false" outlineLevel="0" collapsed="false">
      <c r="B22" s="24" t="s">
        <v>2458</v>
      </c>
      <c r="C22" s="25" t="s">
        <v>1937</v>
      </c>
      <c r="F22" s="31" t="n">
        <f aca="false">F21*'P15 TBM Input'!F35/12</f>
        <v>0</v>
      </c>
      <c r="G22" s="31" t="n">
        <f aca="false">G21*'P15 TBM Input'!G35/12</f>
        <v>0</v>
      </c>
      <c r="H22" s="31" t="n">
        <f aca="false">H21*'P15 TBM Input'!H35/12</f>
        <v>0</v>
      </c>
      <c r="I22" s="31" t="n">
        <f aca="false">I21*'P15 TBM Input'!I35/12</f>
        <v>0</v>
      </c>
      <c r="J22" s="31" t="n">
        <f aca="false">J21*'P15 TBM Input'!J35/12</f>
        <v>92079.4146699583</v>
      </c>
      <c r="K22" s="31" t="n">
        <f aca="false">K21*'P15 TBM Input'!K35/12</f>
        <v>28065.4297570577</v>
      </c>
      <c r="L22" s="31" t="n">
        <f aca="false">L21*'P15 TBM Input'!L35/12</f>
        <v>25916.972720483</v>
      </c>
      <c r="M22" s="31" t="n">
        <f aca="false">M21*'P15 TBM Input'!M35/12</f>
        <v>29774.6144292625</v>
      </c>
      <c r="N22" s="31" t="n">
        <f aca="false">N21*'P15 TBM Input'!N35/12</f>
        <v>30667.8528621404</v>
      </c>
      <c r="O22" s="31" t="n">
        <f aca="false">O21*'P15 TBM Input'!O35/12</f>
        <v>31587.8884480046</v>
      </c>
      <c r="P22" s="31" t="n">
        <f aca="false">P21*'P15 TBM Input'!P35/12</f>
        <v>32535.5251014448</v>
      </c>
      <c r="Q22" s="31" t="n">
        <f aca="false">Q21*'P15 TBM Input'!Q35/12</f>
        <v>33511.5908544881</v>
      </c>
      <c r="R22" s="31" t="n">
        <f aca="false">R21*'P15 TBM Input'!R35/12</f>
        <v>34516.9385801227</v>
      </c>
      <c r="S22" s="31" t="n">
        <f aca="false">S21*'P15 TBM Input'!S35/12</f>
        <v>35552.4467375264</v>
      </c>
      <c r="T22" s="5" t="s">
        <v>2459</v>
      </c>
    </row>
    <row r="23" customFormat="false" ht="15" hidden="false" customHeight="false" outlineLevel="0" collapsed="false">
      <c r="B23" s="24" t="s">
        <v>2460</v>
      </c>
      <c r="C23" s="25" t="s">
        <v>1937</v>
      </c>
      <c r="F23" s="31" t="n">
        <f aca="false">IF('P15 TBM Input'!F36&gt;0,'P15 TBM Input'!F36,F22)*F$8</f>
        <v>0</v>
      </c>
      <c r="G23" s="31" t="n">
        <f aca="false">IF('P15 TBM Input'!G36&gt;0,'P15 TBM Input'!G36,G22)*G$8</f>
        <v>0</v>
      </c>
      <c r="H23" s="31" t="n">
        <f aca="false">IF('P15 TBM Input'!H36&gt;0,'P15 TBM Input'!H36,H22)*H$8</f>
        <v>0</v>
      </c>
      <c r="I23" s="31" t="n">
        <f aca="false">IF('P15 TBM Input'!I36&gt;0,'P15 TBM Input'!I36,I22)*I$8</f>
        <v>0</v>
      </c>
      <c r="J23" s="31" t="n">
        <f aca="false">IF('P15 TBM Input'!J36&gt;0,'P15 TBM Input'!J36,J22)*J$8</f>
        <v>133333.333333333</v>
      </c>
      <c r="K23" s="31" t="n">
        <f aca="false">IF('P15 TBM Input'!K36&gt;0,'P15 TBM Input'!K36,K22)*K$8</f>
        <v>133333.333333333</v>
      </c>
      <c r="L23" s="31" t="n">
        <f aca="false">IF('P15 TBM Input'!L36&gt;0,'P15 TBM Input'!L36,L22)*L$8</f>
        <v>133333.333333333</v>
      </c>
      <c r="M23" s="31" t="n">
        <f aca="false">IF('P15 TBM Input'!M36&gt;0,'P15 TBM Input'!M36,M22)*M$8</f>
        <v>240000</v>
      </c>
      <c r="N23" s="31" t="n">
        <f aca="false">IF('P15 TBM Input'!N36&gt;0,'P15 TBM Input'!N36,N22)*N$8</f>
        <v>240000</v>
      </c>
      <c r="O23" s="31" t="n">
        <f aca="false">IF('P15 TBM Input'!O36&gt;0,'P15 TBM Input'!O36,O22)*O$8</f>
        <v>240000</v>
      </c>
      <c r="P23" s="31" t="n">
        <f aca="false">IF('P15 TBM Input'!P36&gt;0,'P15 TBM Input'!P36,P22)*P$8</f>
        <v>240000</v>
      </c>
      <c r="Q23" s="31" t="n">
        <f aca="false">IF('P15 TBM Input'!Q36&gt;0,'P15 TBM Input'!Q36,Q22)*Q$8</f>
        <v>240000</v>
      </c>
      <c r="R23" s="31" t="n">
        <f aca="false">IF('P15 TBM Input'!R36&gt;0,'P15 TBM Input'!R36,R22)*R$8</f>
        <v>240000</v>
      </c>
      <c r="S23" s="31" t="n">
        <f aca="false">IF('P15 TBM Input'!S36&gt;0,'P15 TBM Input'!S36,S22)*S$8</f>
        <v>240000</v>
      </c>
      <c r="T23" s="5" t="s">
        <v>2461</v>
      </c>
    </row>
    <row r="24" customFormat="false" ht="15" hidden="false" customHeight="false" outlineLevel="0" collapsed="false">
      <c r="B24" s="24" t="s">
        <v>2462</v>
      </c>
      <c r="C24" s="25" t="s">
        <v>1943</v>
      </c>
      <c r="F24" s="31" t="n">
        <f aca="false">'P15 TBM Input'!$E$37*F20</f>
        <v>0</v>
      </c>
      <c r="G24" s="31" t="n">
        <f aca="false">'P15 TBM Input'!$E$37*G20</f>
        <v>0</v>
      </c>
      <c r="H24" s="31" t="n">
        <f aca="false">'P15 TBM Input'!$E$37*H20</f>
        <v>0</v>
      </c>
      <c r="I24" s="31" t="n">
        <f aca="false">'P15 TBM Input'!$E$37*I20</f>
        <v>0</v>
      </c>
      <c r="J24" s="31" t="n">
        <f aca="false">'P15 TBM Input'!$E$37*J20</f>
        <v>0</v>
      </c>
      <c r="K24" s="31" t="n">
        <f aca="false">'P15 TBM Input'!$E$37*K20</f>
        <v>0</v>
      </c>
      <c r="L24" s="31" t="n">
        <f aca="false">'P15 TBM Input'!$E$37*L20</f>
        <v>55000</v>
      </c>
      <c r="M24" s="31" t="n">
        <f aca="false">'P15 TBM Input'!$E$37*M20</f>
        <v>56650</v>
      </c>
      <c r="N24" s="31" t="n">
        <f aca="false">'P15 TBM Input'!$E$37*N20</f>
        <v>58349.5</v>
      </c>
      <c r="O24" s="31" t="n">
        <f aca="false">'P15 TBM Input'!$E$37*O20</f>
        <v>60099.985</v>
      </c>
      <c r="P24" s="31" t="n">
        <f aca="false">'P15 TBM Input'!$E$37*P20</f>
        <v>61902.98455</v>
      </c>
      <c r="Q24" s="31" t="n">
        <f aca="false">'P15 TBM Input'!$E$37*Q20</f>
        <v>63760.0740865</v>
      </c>
      <c r="R24" s="31" t="n">
        <f aca="false">'P15 TBM Input'!$E$37*R20</f>
        <v>65672.876309095</v>
      </c>
      <c r="S24" s="31" t="n">
        <f aca="false">'P15 TBM Input'!$E$37*S20</f>
        <v>67643.0625983679</v>
      </c>
      <c r="T24" s="5" t="s">
        <v>2463</v>
      </c>
    </row>
    <row r="25" customFormat="false" ht="15" hidden="false" customHeight="false" outlineLevel="0" collapsed="false">
      <c r="B25" s="24" t="s">
        <v>2464</v>
      </c>
      <c r="C25" s="25" t="s">
        <v>170</v>
      </c>
      <c r="E25" s="47" t="n">
        <f aca="false">SUM(F25:S25)</f>
        <v>1338.14602972661</v>
      </c>
      <c r="F25" s="47" t="n">
        <f aca="false">F23*F24*12/10^9</f>
        <v>0</v>
      </c>
      <c r="G25" s="47" t="n">
        <f aca="false">G23*G24*12/10^9</f>
        <v>0</v>
      </c>
      <c r="H25" s="47" t="n">
        <f aca="false">H23*H24*12/10^9</f>
        <v>0</v>
      </c>
      <c r="I25" s="47" t="n">
        <f aca="false">I23*I24*12/10^9</f>
        <v>0</v>
      </c>
      <c r="J25" s="47" t="n">
        <f aca="false">J23*J24*12/10^9</f>
        <v>0</v>
      </c>
      <c r="K25" s="47" t="n">
        <f aca="false">K23*K24*12/10^9</f>
        <v>0</v>
      </c>
      <c r="L25" s="47" t="n">
        <f aca="false">L23*L24*12/10^9</f>
        <v>88</v>
      </c>
      <c r="M25" s="47" t="n">
        <f aca="false">M23*M24*12/10^9</f>
        <v>163.152</v>
      </c>
      <c r="N25" s="47" t="n">
        <f aca="false">N23*N24*12/10^9</f>
        <v>168.04656</v>
      </c>
      <c r="O25" s="47" t="n">
        <f aca="false">O23*O24*12/10^9</f>
        <v>173.0879568</v>
      </c>
      <c r="P25" s="47" t="n">
        <f aca="false">P23*P24*12/10^9</f>
        <v>178.280595504</v>
      </c>
      <c r="Q25" s="47" t="n">
        <f aca="false">Q23*Q24*12/10^9</f>
        <v>183.62901336912</v>
      </c>
      <c r="R25" s="47" t="n">
        <f aca="false">R23*R24*12/10^9</f>
        <v>189.137883770194</v>
      </c>
      <c r="S25" s="47" t="n">
        <f aca="false">S23*S24*12/10^9</f>
        <v>194.812020283299</v>
      </c>
      <c r="T25" s="5" t="s">
        <v>2465</v>
      </c>
    </row>
    <row r="27" customFormat="false" ht="15" hidden="false" customHeight="false" outlineLevel="0" collapsed="false">
      <c r="B27" s="22" t="s">
        <v>2466</v>
      </c>
      <c r="C27" s="23"/>
      <c r="D27" s="23"/>
      <c r="E27" s="23"/>
      <c r="F27" s="23"/>
      <c r="G27" s="23"/>
      <c r="H27" s="23"/>
      <c r="I27" s="23"/>
      <c r="J27" s="23"/>
      <c r="K27" s="23"/>
      <c r="L27" s="23"/>
      <c r="M27" s="23"/>
      <c r="N27" s="23"/>
      <c r="O27" s="23"/>
      <c r="P27" s="23"/>
      <c r="Q27" s="23"/>
      <c r="R27" s="23"/>
      <c r="S27" s="23"/>
    </row>
    <row r="28" customFormat="false" ht="15" hidden="false" customHeight="false" outlineLevel="0" collapsed="false">
      <c r="B28" s="24" t="s">
        <v>2467</v>
      </c>
      <c r="C28" s="25" t="s">
        <v>1019</v>
      </c>
      <c r="F28" s="104" t="n">
        <f aca="false">0</f>
        <v>0</v>
      </c>
      <c r="G28" s="104" t="n">
        <f aca="false">IF(G$5&lt;'P15 TBM Input'!$E$28,0,IF(G$5='P15 TBM Input'!$E$28,1,F28*(1+'P15 TBM Input'!G44)))*G$8</f>
        <v>0</v>
      </c>
      <c r="H28" s="104" t="n">
        <f aca="false">IF(H$5&lt;'P15 TBM Input'!$E$28,0,IF(H$5='P15 TBM Input'!$E$28,1,G28*(1+'P15 TBM Input'!H44)))*H$8</f>
        <v>0</v>
      </c>
      <c r="I28" s="104" t="n">
        <f aca="false">IF(I$5&lt;'P15 TBM Input'!$E$28,0,IF(I$5='P15 TBM Input'!$E$28,1,H28*(1+'P15 TBM Input'!I44)))*I$8</f>
        <v>0</v>
      </c>
      <c r="J28" s="104" t="n">
        <f aca="false">IF(J$5&lt;'P15 TBM Input'!$E$28,0,IF(J$5='P15 TBM Input'!$E$28,1,I28*(1+'P15 TBM Input'!J44)))*J$8</f>
        <v>0</v>
      </c>
      <c r="K28" s="104" t="n">
        <f aca="false">IF(K$5&lt;'P15 TBM Input'!$E$28,0,IF(K$5='P15 TBM Input'!$E$28,1,J28*(1+'P15 TBM Input'!K44)))*K$8</f>
        <v>0</v>
      </c>
      <c r="L28" s="104" t="n">
        <f aca="false">IF(L$5&lt;'P15 TBM Input'!$E$28,0,IF(L$5='P15 TBM Input'!$E$28,1,K28*(1+'P15 TBM Input'!L44)))*L$8</f>
        <v>1</v>
      </c>
      <c r="M28" s="104" t="n">
        <f aca="false">IF(M$5&lt;'P15 TBM Input'!$E$28,0,IF(M$5='P15 TBM Input'!$E$28,1,L28*(1+'P15 TBM Input'!M44)))*M$8</f>
        <v>1.03</v>
      </c>
      <c r="N28" s="104" t="n">
        <f aca="false">IF(N$5&lt;'P15 TBM Input'!$E$28,0,IF(N$5='P15 TBM Input'!$E$28,1,M28*(1+'P15 TBM Input'!N44)))*N$8</f>
        <v>1.0609</v>
      </c>
      <c r="O28" s="104" t="n">
        <f aca="false">IF(O$5&lt;'P15 TBM Input'!$E$28,0,IF(O$5='P15 TBM Input'!$E$28,1,N28*(1+'P15 TBM Input'!O44)))*O$8</f>
        <v>1.092727</v>
      </c>
      <c r="P28" s="104" t="n">
        <f aca="false">IF(P$5&lt;'P15 TBM Input'!$E$28,0,IF(P$5='P15 TBM Input'!$E$28,1,O28*(1+'P15 TBM Input'!P44)))*P$8</f>
        <v>1.12550881</v>
      </c>
      <c r="Q28" s="104" t="n">
        <f aca="false">IF(Q$5&lt;'P15 TBM Input'!$E$28,0,IF(Q$5='P15 TBM Input'!$E$28,1,P28*(1+'P15 TBM Input'!Q44)))*Q$8</f>
        <v>1.1592740743</v>
      </c>
      <c r="R28" s="104" t="n">
        <f aca="false">IF(R$5&lt;'P15 TBM Input'!$E$28,0,IF(R$5='P15 TBM Input'!$E$28,1,Q28*(1+'P15 TBM Input'!R44)))*R$8</f>
        <v>1.194052296529</v>
      </c>
      <c r="S28" s="104" t="n">
        <f aca="false">IF(S$5&lt;'P15 TBM Input'!$E$28,0,IF(S$5='P15 TBM Input'!$E$28,1,R28*(1+'P15 TBM Input'!S44)))*S$8</f>
        <v>1.22987386542487</v>
      </c>
      <c r="T28" s="5" t="s">
        <v>2468</v>
      </c>
    </row>
    <row r="29" customFormat="false" ht="15" hidden="false" customHeight="false" outlineLevel="0" collapsed="false">
      <c r="B29" s="24" t="s">
        <v>2469</v>
      </c>
      <c r="C29" s="25" t="s">
        <v>900</v>
      </c>
      <c r="F29" s="94" t="n">
        <f aca="false">'E1 TelukLamong Calc'!F18</f>
        <v>0</v>
      </c>
      <c r="G29" s="94" t="n">
        <f aca="false">'E1 TelukLamong Calc'!G18</f>
        <v>1602570</v>
      </c>
      <c r="H29" s="94" t="n">
        <f aca="false">'E1 TelukLamong Calc'!H18</f>
        <v>1650647.1</v>
      </c>
      <c r="I29" s="94" t="n">
        <f aca="false">'E1 TelukLamong Calc'!I18</f>
        <v>1700166.513</v>
      </c>
      <c r="J29" s="94" t="n">
        <f aca="false">'E1 TelukLamong Calc'!J18</f>
        <v>1751171.50839</v>
      </c>
      <c r="K29" s="94" t="n">
        <f aca="false">'E1 TelukLamong Calc'!K18</f>
        <v>1803706.6536417</v>
      </c>
      <c r="L29" s="94" t="n">
        <f aca="false">'E1 TelukLamong Calc'!L18</f>
        <v>1857817.85325095</v>
      </c>
      <c r="M29" s="94" t="n">
        <f aca="false">'E1 TelukLamong Calc'!M18</f>
        <v>1913552.38884848</v>
      </c>
      <c r="N29" s="94" t="n">
        <f aca="false">'E1 TelukLamong Calc'!N18</f>
        <v>1970958.96051393</v>
      </c>
      <c r="O29" s="94" t="n">
        <f aca="false">'E1 TelukLamong Calc'!O18</f>
        <v>2030087.72932935</v>
      </c>
      <c r="P29" s="94" t="n">
        <f aca="false">'E1 TelukLamong Calc'!P18</f>
        <v>2090990.36120923</v>
      </c>
      <c r="Q29" s="94" t="n">
        <f aca="false">'E1 TelukLamong Calc'!Q18</f>
        <v>2153720.07204551</v>
      </c>
      <c r="R29" s="94" t="n">
        <f aca="false">'E1 TelukLamong Calc'!R18</f>
        <v>2218331.67420688</v>
      </c>
      <c r="S29" s="94" t="n">
        <f aca="false">'E1 TelukLamong Calc'!S18</f>
        <v>2284881.62443308</v>
      </c>
      <c r="T29" s="5" t="s">
        <v>2470</v>
      </c>
    </row>
    <row r="30" customFormat="false" ht="15" hidden="false" customHeight="false" outlineLevel="0" collapsed="false">
      <c r="B30" s="24" t="s">
        <v>2471</v>
      </c>
      <c r="C30" s="25" t="s">
        <v>1937</v>
      </c>
      <c r="F30" s="31" t="n">
        <f aca="false">(F29-'P15 TBM Input'!$E$41)*'P15 TBM Input'!F42/12</f>
        <v>-0</v>
      </c>
      <c r="G30" s="31" t="n">
        <f aca="false">(G29-'P15 TBM Input'!$E$41)*'P15 TBM Input'!G42/12</f>
        <v>0</v>
      </c>
      <c r="H30" s="31" t="n">
        <f aca="false">(H29-'P15 TBM Input'!$E$41)*'P15 TBM Input'!H42/12</f>
        <v>0</v>
      </c>
      <c r="I30" s="31" t="n">
        <f aca="false">(I29-'P15 TBM Input'!$E$41)*'P15 TBM Input'!I42/12</f>
        <v>0</v>
      </c>
      <c r="J30" s="31" t="n">
        <f aca="false">(J29-'P15 TBM Input'!$E$41)*'P15 TBM Input'!J42/12</f>
        <v>0</v>
      </c>
      <c r="K30" s="31" t="n">
        <f aca="false">(K29-'P15 TBM Input'!$E$41)*'P15 TBM Input'!K42/12</f>
        <v>0</v>
      </c>
      <c r="L30" s="31" t="n">
        <f aca="false">(L29-'P15 TBM Input'!$E$41)*'P15 TBM Input'!L42/12</f>
        <v>90872.7081063055</v>
      </c>
      <c r="M30" s="31" t="n">
        <f aca="false">(M29-'P15 TBM Input'!$E$41)*'P15 TBM Input'!M42/12</f>
        <v>0</v>
      </c>
      <c r="N30" s="31" t="n">
        <f aca="false">(N29-'P15 TBM Input'!$E$41)*'P15 TBM Input'!N42/12</f>
        <v>0</v>
      </c>
      <c r="O30" s="31" t="n">
        <f aca="false">(O29-'P15 TBM Input'!$E$41)*'P15 TBM Input'!O42/12</f>
        <v>0</v>
      </c>
      <c r="P30" s="31" t="n">
        <f aca="false">(P29-'P15 TBM Input'!$E$41)*'P15 TBM Input'!P42/12</f>
        <v>0</v>
      </c>
      <c r="Q30" s="31" t="n">
        <f aca="false">(Q29-'P15 TBM Input'!$E$41)*'P15 TBM Input'!Q42/12</f>
        <v>0</v>
      </c>
      <c r="R30" s="31" t="n">
        <f aca="false">(R29-'P15 TBM Input'!$E$41)*'P15 TBM Input'!R42/12</f>
        <v>0</v>
      </c>
      <c r="S30" s="31" t="n">
        <f aca="false">(S29-'P15 TBM Input'!$E$41)*'P15 TBM Input'!S42/12</f>
        <v>0</v>
      </c>
      <c r="T30" s="5" t="s">
        <v>2472</v>
      </c>
    </row>
    <row r="31" customFormat="false" ht="15" hidden="false" customHeight="false" outlineLevel="0" collapsed="false">
      <c r="B31" s="24" t="s">
        <v>2473</v>
      </c>
      <c r="C31" s="25" t="s">
        <v>1937</v>
      </c>
      <c r="F31" s="31" t="n">
        <f aca="false">IF('P15 TBM Input'!F40&gt;0,'P15 TBM Input'!F40,F30)*F$8</f>
        <v>-0</v>
      </c>
      <c r="G31" s="31" t="n">
        <f aca="false">IF('P15 TBM Input'!G40&gt;0,'P15 TBM Input'!G40,G30)*G$8</f>
        <v>0</v>
      </c>
      <c r="H31" s="31" t="n">
        <f aca="false">IF('P15 TBM Input'!H40&gt;0,'P15 TBM Input'!H40,H30)*H$8</f>
        <v>0</v>
      </c>
      <c r="I31" s="31" t="n">
        <f aca="false">IF('P15 TBM Input'!I40&gt;0,'P15 TBM Input'!I40,I30)*I$8</f>
        <v>0</v>
      </c>
      <c r="J31" s="31" t="n">
        <f aca="false">IF('P15 TBM Input'!J40&gt;0,'P15 TBM Input'!J40,J30)*J$8</f>
        <v>83333.3333333333</v>
      </c>
      <c r="K31" s="31" t="n">
        <f aca="false">IF('P15 TBM Input'!K40&gt;0,'P15 TBM Input'!K40,K30)*K$8</f>
        <v>133333.333333333</v>
      </c>
      <c r="L31" s="31" t="n">
        <f aca="false">IF('P15 TBM Input'!L40&gt;0,'P15 TBM Input'!L40,L30)*L$8</f>
        <v>90872.7081063055</v>
      </c>
      <c r="M31" s="31" t="n">
        <f aca="false">IF('P15 TBM Input'!M40&gt;0,'P15 TBM Input'!M40,M30)*M$8</f>
        <v>208000</v>
      </c>
      <c r="N31" s="31" t="n">
        <f aca="false">IF('P15 TBM Input'!N40&gt;0,'P15 TBM Input'!N40,N30)*N$8</f>
        <v>208000</v>
      </c>
      <c r="O31" s="31" t="n">
        <f aca="false">IF('P15 TBM Input'!O40&gt;0,'P15 TBM Input'!O40,O30)*O$8</f>
        <v>208000</v>
      </c>
      <c r="P31" s="31" t="n">
        <f aca="false">IF('P15 TBM Input'!P40&gt;0,'P15 TBM Input'!P40,P30)*P$8</f>
        <v>208000</v>
      </c>
      <c r="Q31" s="31" t="n">
        <f aca="false">IF('P15 TBM Input'!Q40&gt;0,'P15 TBM Input'!Q40,Q30)*Q$8</f>
        <v>208000</v>
      </c>
      <c r="R31" s="31" t="n">
        <f aca="false">IF('P15 TBM Input'!R40&gt;0,'P15 TBM Input'!R40,R30)*R$8</f>
        <v>208000</v>
      </c>
      <c r="S31" s="31" t="n">
        <f aca="false">IF('P15 TBM Input'!S40&gt;0,'P15 TBM Input'!S40,S30)*S$8</f>
        <v>208000</v>
      </c>
      <c r="T31" s="5" t="s">
        <v>2474</v>
      </c>
    </row>
    <row r="32" customFormat="false" ht="15" hidden="false" customHeight="false" outlineLevel="0" collapsed="false">
      <c r="B32" s="24" t="s">
        <v>2475</v>
      </c>
      <c r="C32" s="25" t="s">
        <v>1943</v>
      </c>
      <c r="F32" s="31" t="n">
        <f aca="false">'P15 TBM Input'!$E$43*F28</f>
        <v>0</v>
      </c>
      <c r="G32" s="31" t="n">
        <f aca="false">'P15 TBM Input'!$E$43*G28</f>
        <v>0</v>
      </c>
      <c r="H32" s="31" t="n">
        <f aca="false">'P15 TBM Input'!$E$43*H28</f>
        <v>0</v>
      </c>
      <c r="I32" s="31" t="n">
        <f aca="false">'P15 TBM Input'!$E$43*I28</f>
        <v>0</v>
      </c>
      <c r="J32" s="31" t="n">
        <f aca="false">'P15 TBM Input'!$E$43*J28</f>
        <v>0</v>
      </c>
      <c r="K32" s="31" t="n">
        <f aca="false">'P15 TBM Input'!$E$43*K28</f>
        <v>0</v>
      </c>
      <c r="L32" s="31" t="n">
        <f aca="false">'P15 TBM Input'!$E$43*L28</f>
        <v>65000</v>
      </c>
      <c r="M32" s="31" t="n">
        <f aca="false">'P15 TBM Input'!$E$43*M28</f>
        <v>66950</v>
      </c>
      <c r="N32" s="31" t="n">
        <f aca="false">'P15 TBM Input'!$E$43*N28</f>
        <v>68958.5</v>
      </c>
      <c r="O32" s="31" t="n">
        <f aca="false">'P15 TBM Input'!$E$43*O28</f>
        <v>71027.255</v>
      </c>
      <c r="P32" s="31" t="n">
        <f aca="false">'P15 TBM Input'!$E$43*P28</f>
        <v>73158.07265</v>
      </c>
      <c r="Q32" s="31" t="n">
        <f aca="false">'P15 TBM Input'!$E$43*Q28</f>
        <v>75352.8148295</v>
      </c>
      <c r="R32" s="31" t="n">
        <f aca="false">'P15 TBM Input'!$E$43*R28</f>
        <v>77613.399274385</v>
      </c>
      <c r="S32" s="31" t="n">
        <f aca="false">'P15 TBM Input'!$E$43*S28</f>
        <v>79941.8012526166</v>
      </c>
      <c r="T32" s="5" t="s">
        <v>2476</v>
      </c>
    </row>
    <row r="33" customFormat="false" ht="15" hidden="false" customHeight="false" outlineLevel="0" collapsed="false">
      <c r="B33" s="24" t="s">
        <v>2477</v>
      </c>
      <c r="C33" s="25" t="s">
        <v>170</v>
      </c>
      <c r="E33" s="47" t="n">
        <f aca="false">SUM(F33:S33)</f>
        <v>1351.33331246715</v>
      </c>
      <c r="F33" s="47" t="n">
        <f aca="false">F31*F32*12/10^9</f>
        <v>-0</v>
      </c>
      <c r="G33" s="47" t="n">
        <f aca="false">G31*G32*12/10^9</f>
        <v>0</v>
      </c>
      <c r="H33" s="47" t="n">
        <f aca="false">H31*H32*12/10^9</f>
        <v>0</v>
      </c>
      <c r="I33" s="47" t="n">
        <f aca="false">I31*I32*12/10^9</f>
        <v>0</v>
      </c>
      <c r="J33" s="47" t="n">
        <f aca="false">J31*J32*12/10^9</f>
        <v>0</v>
      </c>
      <c r="K33" s="47" t="n">
        <f aca="false">K31*K32*12/10^9</f>
        <v>0</v>
      </c>
      <c r="L33" s="47" t="n">
        <f aca="false">L31*L32*12/10^9</f>
        <v>70.8807123229183</v>
      </c>
      <c r="M33" s="47" t="n">
        <f aca="false">M31*M32*12/10^9</f>
        <v>167.1072</v>
      </c>
      <c r="N33" s="47" t="n">
        <f aca="false">N31*N32*12/10^9</f>
        <v>172.120416</v>
      </c>
      <c r="O33" s="47" t="n">
        <f aca="false">O31*O32*12/10^9</f>
        <v>177.28402848</v>
      </c>
      <c r="P33" s="47" t="n">
        <f aca="false">P31*P32*12/10^9</f>
        <v>182.6025493344</v>
      </c>
      <c r="Q33" s="47" t="n">
        <f aca="false">Q31*Q32*12/10^9</f>
        <v>188.080625814432</v>
      </c>
      <c r="R33" s="47" t="n">
        <f aca="false">R31*R32*12/10^9</f>
        <v>193.723044588865</v>
      </c>
      <c r="S33" s="47" t="n">
        <f aca="false">S31*S32*12/10^9</f>
        <v>199.534735926531</v>
      </c>
      <c r="T33" s="5" t="s">
        <v>2478</v>
      </c>
    </row>
    <row r="35" customFormat="false" ht="15" hidden="false" customHeight="false" outlineLevel="0" collapsed="false">
      <c r="B35" s="22" t="s">
        <v>2479</v>
      </c>
      <c r="C35" s="23"/>
      <c r="D35" s="23"/>
      <c r="E35" s="23"/>
      <c r="F35" s="23"/>
      <c r="G35" s="23"/>
      <c r="H35" s="23"/>
      <c r="I35" s="23"/>
      <c r="J35" s="23"/>
      <c r="K35" s="23"/>
      <c r="L35" s="23"/>
      <c r="M35" s="23"/>
      <c r="N35" s="23"/>
      <c r="O35" s="23"/>
      <c r="P35" s="23"/>
      <c r="Q35" s="23"/>
      <c r="R35" s="23"/>
      <c r="S35" s="23"/>
    </row>
    <row r="36" customFormat="false" ht="15" hidden="false" customHeight="false" outlineLevel="0" collapsed="false">
      <c r="B36" s="24" t="s">
        <v>2480</v>
      </c>
      <c r="C36" s="25" t="s">
        <v>1019</v>
      </c>
      <c r="F36" s="104" t="n">
        <f aca="false">0</f>
        <v>0</v>
      </c>
      <c r="G36" s="104" t="n">
        <f aca="false">G28</f>
        <v>0</v>
      </c>
      <c r="H36" s="104" t="n">
        <f aca="false">H28</f>
        <v>0</v>
      </c>
      <c r="I36" s="104" t="n">
        <f aca="false">I28</f>
        <v>0</v>
      </c>
      <c r="J36" s="104" t="n">
        <f aca="false">J28</f>
        <v>0</v>
      </c>
      <c r="K36" s="104" t="n">
        <f aca="false">K28</f>
        <v>0</v>
      </c>
      <c r="L36" s="104" t="n">
        <f aca="false">L28</f>
        <v>1</v>
      </c>
      <c r="M36" s="104" t="n">
        <f aca="false">M28</f>
        <v>1.03</v>
      </c>
      <c r="N36" s="104" t="n">
        <f aca="false">N28</f>
        <v>1.0609</v>
      </c>
      <c r="O36" s="104" t="n">
        <f aca="false">O28</f>
        <v>1.092727</v>
      </c>
      <c r="P36" s="104" t="n">
        <f aca="false">P28</f>
        <v>1.12550881</v>
      </c>
      <c r="Q36" s="104" t="n">
        <f aca="false">Q28</f>
        <v>1.1592740743</v>
      </c>
      <c r="R36" s="104" t="n">
        <f aca="false">R28</f>
        <v>1.194052296529</v>
      </c>
      <c r="S36" s="104" t="n">
        <f aca="false">S28</f>
        <v>1.22987386542487</v>
      </c>
      <c r="T36" s="5" t="s">
        <v>2481</v>
      </c>
    </row>
    <row r="37" customFormat="false" ht="15" hidden="false" customHeight="false" outlineLevel="0" collapsed="false">
      <c r="B37" s="24" t="s">
        <v>2482</v>
      </c>
      <c r="C37" s="25" t="s">
        <v>900</v>
      </c>
      <c r="E37" s="31" t="n">
        <f aca="false">SUM(F37:S37)</f>
        <v>24960000</v>
      </c>
      <c r="F37" s="31" t="n">
        <f aca="false">F23*12</f>
        <v>0</v>
      </c>
      <c r="G37" s="31" t="n">
        <f aca="false">G23*12</f>
        <v>0</v>
      </c>
      <c r="H37" s="31" t="n">
        <f aca="false">H23*12</f>
        <v>0</v>
      </c>
      <c r="I37" s="31" t="n">
        <f aca="false">I23*12</f>
        <v>0</v>
      </c>
      <c r="J37" s="31" t="n">
        <f aca="false">J23*12</f>
        <v>1600000</v>
      </c>
      <c r="K37" s="31" t="n">
        <f aca="false">K23*12</f>
        <v>1600000</v>
      </c>
      <c r="L37" s="31" t="n">
        <f aca="false">L23*12</f>
        <v>1600000</v>
      </c>
      <c r="M37" s="31" t="n">
        <f aca="false">M23*12</f>
        <v>2880000</v>
      </c>
      <c r="N37" s="31" t="n">
        <f aca="false">N23*12</f>
        <v>2880000</v>
      </c>
      <c r="O37" s="31" t="n">
        <f aca="false">O23*12</f>
        <v>2880000</v>
      </c>
      <c r="P37" s="31" t="n">
        <f aca="false">P23*12</f>
        <v>2880000</v>
      </c>
      <c r="Q37" s="31" t="n">
        <f aca="false">Q23*12</f>
        <v>2880000</v>
      </c>
      <c r="R37" s="31" t="n">
        <f aca="false">R23*12</f>
        <v>2880000</v>
      </c>
      <c r="S37" s="31" t="n">
        <f aca="false">S23*12</f>
        <v>2880000</v>
      </c>
      <c r="T37" s="5" t="s">
        <v>2483</v>
      </c>
    </row>
    <row r="38" customFormat="false" ht="15" hidden="false" customHeight="false" outlineLevel="0" collapsed="false">
      <c r="B38" s="24" t="s">
        <v>2484</v>
      </c>
      <c r="C38" s="25" t="s">
        <v>905</v>
      </c>
      <c r="F38" s="31" t="n">
        <f aca="false">'P15 TBM Input'!F46*F36</f>
        <v>0</v>
      </c>
      <c r="G38" s="31" t="n">
        <f aca="false">'P15 TBM Input'!G46*G36</f>
        <v>0</v>
      </c>
      <c r="H38" s="31" t="n">
        <f aca="false">'P15 TBM Input'!H46*H36</f>
        <v>0</v>
      </c>
      <c r="I38" s="31" t="n">
        <f aca="false">'P15 TBM Input'!I46*I36</f>
        <v>0</v>
      </c>
      <c r="J38" s="31" t="n">
        <f aca="false">'P15 TBM Input'!J46*J36</f>
        <v>0</v>
      </c>
      <c r="K38" s="31" t="n">
        <f aca="false">'P15 TBM Input'!K46*K36</f>
        <v>0</v>
      </c>
      <c r="L38" s="31" t="n">
        <f aca="false">'P15 TBM Input'!L46*L36</f>
        <v>15000</v>
      </c>
      <c r="M38" s="31" t="n">
        <f aca="false">'P15 TBM Input'!M46*M36</f>
        <v>15450</v>
      </c>
      <c r="N38" s="31" t="n">
        <f aca="false">'P15 TBM Input'!N46*N36</f>
        <v>15913.5</v>
      </c>
      <c r="O38" s="31" t="n">
        <f aca="false">'P15 TBM Input'!O46*O36</f>
        <v>16390.905</v>
      </c>
      <c r="P38" s="31" t="n">
        <f aca="false">'P15 TBM Input'!P46*P36</f>
        <v>16882.63215</v>
      </c>
      <c r="Q38" s="31" t="n">
        <f aca="false">'P15 TBM Input'!Q46*Q36</f>
        <v>17389.1111145</v>
      </c>
      <c r="R38" s="31" t="n">
        <f aca="false">'P15 TBM Input'!R46*R36</f>
        <v>17910.784447935</v>
      </c>
      <c r="S38" s="31" t="n">
        <f aca="false">'P15 TBM Input'!S46*S36</f>
        <v>18448.1079813731</v>
      </c>
      <c r="T38" s="5" t="s">
        <v>2485</v>
      </c>
    </row>
    <row r="39" customFormat="false" ht="15" hidden="false" customHeight="false" outlineLevel="0" collapsed="false">
      <c r="B39" s="24" t="s">
        <v>2486</v>
      </c>
      <c r="C39" s="25" t="s">
        <v>170</v>
      </c>
      <c r="E39" s="47" t="n">
        <f aca="false">SUM(F39:S39)</f>
        <v>364.948917198167</v>
      </c>
      <c r="F39" s="47" t="n">
        <f aca="false">F37*F38/10^9</f>
        <v>0</v>
      </c>
      <c r="G39" s="47" t="n">
        <f aca="false">G37*G38/10^9</f>
        <v>0</v>
      </c>
      <c r="H39" s="47" t="n">
        <f aca="false">H37*H38/10^9</f>
        <v>0</v>
      </c>
      <c r="I39" s="47" t="n">
        <f aca="false">I37*I38/10^9</f>
        <v>0</v>
      </c>
      <c r="J39" s="47" t="n">
        <f aca="false">J37*J38/10^9</f>
        <v>0</v>
      </c>
      <c r="K39" s="47" t="n">
        <f aca="false">K37*K38/10^9</f>
        <v>0</v>
      </c>
      <c r="L39" s="47" t="n">
        <f aca="false">L37*L38/10^9</f>
        <v>24</v>
      </c>
      <c r="M39" s="47" t="n">
        <f aca="false">M37*M38/10^9</f>
        <v>44.496</v>
      </c>
      <c r="N39" s="47" t="n">
        <f aca="false">N37*N38/10^9</f>
        <v>45.83088</v>
      </c>
      <c r="O39" s="47" t="n">
        <f aca="false">O37*O38/10^9</f>
        <v>47.2058064</v>
      </c>
      <c r="P39" s="47" t="n">
        <f aca="false">P37*P38/10^9</f>
        <v>48.621980592</v>
      </c>
      <c r="Q39" s="47" t="n">
        <f aca="false">Q37*Q38/10^9</f>
        <v>50.08064000976</v>
      </c>
      <c r="R39" s="47" t="n">
        <f aca="false">R37*R38/10^9</f>
        <v>51.5830592100528</v>
      </c>
      <c r="S39" s="47" t="n">
        <f aca="false">S37*S38/10^9</f>
        <v>53.1305509863544</v>
      </c>
      <c r="T39" s="5" t="s">
        <v>2487</v>
      </c>
    </row>
    <row r="40" customFormat="false" ht="15" hidden="false" customHeight="false" outlineLevel="0" collapsed="false">
      <c r="B40" s="69" t="s">
        <v>2488</v>
      </c>
      <c r="C40" s="25" t="s">
        <v>170</v>
      </c>
      <c r="E40" s="70" t="n">
        <f aca="false">SUM(F40:S40)</f>
        <v>3054.42825939193</v>
      </c>
      <c r="F40" s="68" t="n">
        <f aca="false">F17+F25+F33+F39</f>
        <v>0</v>
      </c>
      <c r="G40" s="68" t="n">
        <f aca="false">G17+G25+G33+G39</f>
        <v>0</v>
      </c>
      <c r="H40" s="68" t="n">
        <f aca="false">H17+H25+H33+H39</f>
        <v>0</v>
      </c>
      <c r="I40" s="68" t="n">
        <f aca="false">I17+I25+I33+I39</f>
        <v>0</v>
      </c>
      <c r="J40" s="68" t="n">
        <f aca="false">J17+J25+J33+J39</f>
        <v>0</v>
      </c>
      <c r="K40" s="68" t="n">
        <f aca="false">K17+K25+K33+K39</f>
        <v>0</v>
      </c>
      <c r="L40" s="68" t="n">
        <f aca="false">L17+L25+L33+L39</f>
        <v>182.880712322918</v>
      </c>
      <c r="M40" s="68" t="n">
        <f aca="false">M17+M25+M33+M39</f>
        <v>374.7552</v>
      </c>
      <c r="N40" s="68" t="n">
        <f aca="false">N17+N25+N33+N39</f>
        <v>385.997856</v>
      </c>
      <c r="O40" s="68" t="n">
        <f aca="false">O17+O25+O33+O39</f>
        <v>397.57779168</v>
      </c>
      <c r="P40" s="68" t="n">
        <f aca="false">P17+P25+P33+P39</f>
        <v>409.5051254304</v>
      </c>
      <c r="Q40" s="68" t="n">
        <f aca="false">Q17+Q25+Q33+Q39</f>
        <v>421.790279193312</v>
      </c>
      <c r="R40" s="68" t="n">
        <f aca="false">R17+R25+R33+R39</f>
        <v>434.443987569111</v>
      </c>
      <c r="S40" s="68" t="n">
        <f aca="false">S17+S25+S33+S39</f>
        <v>447.477307196185</v>
      </c>
      <c r="T40" s="5" t="s">
        <v>2489</v>
      </c>
    </row>
    <row r="42" customFormat="false" ht="15" hidden="false" customHeight="false" outlineLevel="0" collapsed="false">
      <c r="B42" s="22" t="s">
        <v>2490</v>
      </c>
      <c r="C42" s="23"/>
      <c r="D42" s="23"/>
      <c r="E42" s="23"/>
      <c r="F42" s="23"/>
      <c r="G42" s="23"/>
      <c r="H42" s="23"/>
      <c r="I42" s="23"/>
      <c r="J42" s="23"/>
      <c r="K42" s="23"/>
      <c r="L42" s="23"/>
      <c r="M42" s="23"/>
      <c r="N42" s="23"/>
      <c r="O42" s="23"/>
      <c r="P42" s="23"/>
      <c r="Q42" s="23"/>
      <c r="R42" s="23"/>
      <c r="S42" s="23"/>
    </row>
    <row r="43" customFormat="false" ht="15" hidden="false" customHeight="false" outlineLevel="0" collapsed="false">
      <c r="B43" s="24" t="s">
        <v>2491</v>
      </c>
      <c r="C43" s="25" t="s">
        <v>170</v>
      </c>
      <c r="E43" s="47" t="n">
        <f aca="false">SUM(F43:S43)</f>
        <v>2689.47934219376</v>
      </c>
      <c r="F43" s="47" t="n">
        <f aca="false">F25+F33</f>
        <v>0</v>
      </c>
      <c r="G43" s="47" t="n">
        <f aca="false">G25+G33</f>
        <v>0</v>
      </c>
      <c r="H43" s="47" t="n">
        <f aca="false">H25+H33</f>
        <v>0</v>
      </c>
      <c r="I43" s="47" t="n">
        <f aca="false">I25+I33</f>
        <v>0</v>
      </c>
      <c r="J43" s="47" t="n">
        <f aca="false">J25+J33</f>
        <v>0</v>
      </c>
      <c r="K43" s="47" t="n">
        <f aca="false">K25+K33</f>
        <v>0</v>
      </c>
      <c r="L43" s="47" t="n">
        <f aca="false">L25+L33</f>
        <v>158.880712322918</v>
      </c>
      <c r="M43" s="47" t="n">
        <f aca="false">M25+M33</f>
        <v>330.2592</v>
      </c>
      <c r="N43" s="47" t="n">
        <f aca="false">N25+N33</f>
        <v>340.166976</v>
      </c>
      <c r="O43" s="47" t="n">
        <f aca="false">O25+O33</f>
        <v>350.37198528</v>
      </c>
      <c r="P43" s="47" t="n">
        <f aca="false">P25+P33</f>
        <v>360.8831448384</v>
      </c>
      <c r="Q43" s="47" t="n">
        <f aca="false">Q25+Q33</f>
        <v>371.709639183552</v>
      </c>
      <c r="R43" s="47" t="n">
        <f aca="false">R25+R33</f>
        <v>382.860928359059</v>
      </c>
      <c r="S43" s="47" t="n">
        <f aca="false">S25+S33</f>
        <v>394.34675620983</v>
      </c>
      <c r="T43" s="5" t="s">
        <v>2492</v>
      </c>
    </row>
    <row r="44" customFormat="false" ht="15" hidden="false" customHeight="false" outlineLevel="0" collapsed="false">
      <c r="B44" s="24" t="s">
        <v>2493</v>
      </c>
      <c r="C44" s="25" t="s">
        <v>170</v>
      </c>
      <c r="E44" s="47" t="n">
        <f aca="false">SUM(F44:S44)</f>
        <v>806.843802658128</v>
      </c>
      <c r="F44" s="47" t="n">
        <f aca="false">F43*'P15 TBM Input'!F48</f>
        <v>0</v>
      </c>
      <c r="G44" s="47" t="n">
        <f aca="false">G43*'P15 TBM Input'!G48</f>
        <v>0</v>
      </c>
      <c r="H44" s="47" t="n">
        <f aca="false">H43*'P15 TBM Input'!H48</f>
        <v>0</v>
      </c>
      <c r="I44" s="47" t="n">
        <f aca="false">I43*'P15 TBM Input'!I48</f>
        <v>0</v>
      </c>
      <c r="J44" s="47" t="n">
        <f aca="false">J43*'P15 TBM Input'!J48</f>
        <v>0</v>
      </c>
      <c r="K44" s="47" t="n">
        <f aca="false">K43*'P15 TBM Input'!K48</f>
        <v>0</v>
      </c>
      <c r="L44" s="47" t="n">
        <f aca="false">L43*'P15 TBM Input'!L48</f>
        <v>47.6642136968755</v>
      </c>
      <c r="M44" s="47" t="n">
        <f aca="false">M43*'P15 TBM Input'!M48</f>
        <v>99.07776</v>
      </c>
      <c r="N44" s="47" t="n">
        <f aca="false">N43*'P15 TBM Input'!N48</f>
        <v>102.0500928</v>
      </c>
      <c r="O44" s="47" t="n">
        <f aca="false">O43*'P15 TBM Input'!O48</f>
        <v>105.111595584</v>
      </c>
      <c r="P44" s="47" t="n">
        <f aca="false">P43*'P15 TBM Input'!P48</f>
        <v>108.26494345152</v>
      </c>
      <c r="Q44" s="47" t="n">
        <f aca="false">Q43*'P15 TBM Input'!Q48</f>
        <v>111.512891755066</v>
      </c>
      <c r="R44" s="47" t="n">
        <f aca="false">R43*'P15 TBM Input'!R48</f>
        <v>114.858278507718</v>
      </c>
      <c r="S44" s="47" t="n">
        <f aca="false">S43*'P15 TBM Input'!S48</f>
        <v>118.304026862949</v>
      </c>
      <c r="T44" s="5" t="s">
        <v>2494</v>
      </c>
    </row>
    <row r="45" customFormat="false" ht="15" hidden="false" customHeight="false" outlineLevel="0" collapsed="false">
      <c r="B45" s="24" t="s">
        <v>2495</v>
      </c>
      <c r="C45" s="25" t="s">
        <v>170</v>
      </c>
      <c r="F45" s="58" t="n">
        <f aca="false">'E1 TelukLamong Calc'!F55</f>
        <v>0</v>
      </c>
      <c r="G45" s="58" t="n">
        <f aca="false">'E1 TelukLamong Calc'!G55</f>
        <v>29.9337855786487</v>
      </c>
      <c r="H45" s="58" t="n">
        <f aca="false">'E1 TelukLamong Calc'!H55</f>
        <v>31.3122211995089</v>
      </c>
      <c r="I45" s="58" t="n">
        <f aca="false">'E1 TelukLamong Calc'!I55</f>
        <v>32.7825506601247</v>
      </c>
      <c r="J45" s="58" t="n">
        <f aca="false">'E1 TelukLamong Calc'!J55</f>
        <v>34.3060221279257</v>
      </c>
      <c r="K45" s="58" t="n">
        <f aca="false">'E1 TelukLamong Calc'!K55</f>
        <v>35.9080110834332</v>
      </c>
      <c r="L45" s="58" t="n">
        <f aca="false">'E1 TelukLamong Calc'!L55</f>
        <v>37.6141264380765</v>
      </c>
      <c r="M45" s="58" t="n">
        <f aca="false">'E1 TelukLamong Calc'!M55</f>
        <v>39.3863174367096</v>
      </c>
      <c r="N45" s="58" t="n">
        <f aca="false">'E1 TelukLamong Calc'!N55</f>
        <v>41.2507020927348</v>
      </c>
      <c r="O45" s="58" t="n">
        <f aca="false">'E1 TelukLamong Calc'!O55</f>
        <v>43.233675806691</v>
      </c>
      <c r="P45" s="58" t="n">
        <f aca="false">'E1 TelukLamong Calc'!P55</f>
        <v>45.2980209222938</v>
      </c>
      <c r="Q45" s="58" t="n">
        <f aca="false">'E1 TelukLamong Calc'!Q55</f>
        <v>47.4707379772393</v>
      </c>
      <c r="R45" s="58" t="n">
        <f aca="false">'E1 TelukLamong Calc'!R55</f>
        <v>49.7578550096135</v>
      </c>
      <c r="S45" s="58" t="n">
        <f aca="false">'E1 TelukLamong Calc'!S55</f>
        <v>52.1657494844997</v>
      </c>
      <c r="T45" s="5" t="s">
        <v>2496</v>
      </c>
    </row>
    <row r="46" customFormat="false" ht="15" hidden="false" customHeight="false" outlineLevel="0" collapsed="false">
      <c r="B46" s="24" t="s">
        <v>2497</v>
      </c>
      <c r="C46" s="25" t="s">
        <v>170</v>
      </c>
      <c r="F46" s="58" t="n">
        <f aca="false">'E1 TelukLamong Calc'!F23</f>
        <v>0</v>
      </c>
      <c r="G46" s="58" t="n">
        <f aca="false">'E1 TelukLamong Calc'!G23</f>
        <v>156.43828</v>
      </c>
      <c r="H46" s="58" t="n">
        <f aca="false">'E1 TelukLamong Calc'!H23</f>
        <v>161.1314284</v>
      </c>
      <c r="I46" s="58" t="n">
        <f aca="false">'E1 TelukLamong Calc'!I23</f>
        <v>165.965371252</v>
      </c>
      <c r="J46" s="58" t="n">
        <f aca="false">'E1 TelukLamong Calc'!J23</f>
        <v>170.94433238956</v>
      </c>
      <c r="K46" s="58" t="n">
        <f aca="false">'E1 TelukLamong Calc'!K23</f>
        <v>176.072662361247</v>
      </c>
      <c r="L46" s="58" t="n">
        <f aca="false">'E1 TelukLamong Calc'!L23</f>
        <v>186.795487499047</v>
      </c>
      <c r="M46" s="58" t="n">
        <f aca="false">'E1 TelukLamong Calc'!M23</f>
        <v>192.399352124018</v>
      </c>
      <c r="N46" s="58" t="n">
        <f aca="false">'E1 TelukLamong Calc'!N23</f>
        <v>198.171332687739</v>
      </c>
      <c r="O46" s="58" t="n">
        <f aca="false">'E1 TelukLamong Calc'!O23</f>
        <v>210.239966848422</v>
      </c>
      <c r="P46" s="58" t="n">
        <f aca="false">'E1 TelukLamong Calc'!P23</f>
        <v>216.547165853875</v>
      </c>
      <c r="Q46" s="58" t="n">
        <f aca="false">'E1 TelukLamong Calc'!Q23</f>
        <v>223.043580829491</v>
      </c>
      <c r="R46" s="58" t="n">
        <f aca="false">'E1 TelukLamong Calc'!R23</f>
        <v>229.734888254376</v>
      </c>
      <c r="S46" s="58" t="n">
        <f aca="false">'E1 TelukLamong Calc'!S23</f>
        <v>236.626934902007</v>
      </c>
      <c r="T46" s="5" t="s">
        <v>2498</v>
      </c>
    </row>
    <row r="47" customFormat="false" ht="15" hidden="false" customHeight="false" outlineLevel="0" collapsed="false">
      <c r="B47" s="24" t="s">
        <v>2499</v>
      </c>
      <c r="C47" s="25" t="s">
        <v>160</v>
      </c>
      <c r="F47" s="49" t="n">
        <f aca="false">IFERROR(F45/F46,0)</f>
        <v>0</v>
      </c>
      <c r="G47" s="49" t="n">
        <f aca="false">IFERROR(G45/G46,0)</f>
        <v>0.191345657716568</v>
      </c>
      <c r="H47" s="49" t="n">
        <f aca="false">IFERROR(H45/H46,0)</f>
        <v>0.19432721170806</v>
      </c>
      <c r="I47" s="49" t="n">
        <f aca="false">IFERROR(I45/I46,0)</f>
        <v>0.197526450324074</v>
      </c>
      <c r="J47" s="49" t="n">
        <f aca="false">IFERROR(J45/J46,0)</f>
        <v>0.200685343868241</v>
      </c>
      <c r="K47" s="49" t="n">
        <f aca="false">IFERROR(K45/K46,0)</f>
        <v>0.20393859331644</v>
      </c>
      <c r="L47" s="49" t="n">
        <f aca="false">IFERROR(L45/L46,0)</f>
        <v>0.201365284256497</v>
      </c>
      <c r="M47" s="49" t="n">
        <f aca="false">IFERROR(M45/M46,0)</f>
        <v>0.204711278920117</v>
      </c>
      <c r="N47" s="49" t="n">
        <f aca="false">IFERROR(N45/N46,0)</f>
        <v>0.20815675775736</v>
      </c>
      <c r="O47" s="49" t="n">
        <f aca="false">IFERROR(O45/O46,0)</f>
        <v>0.205639662404729</v>
      </c>
      <c r="P47" s="49" t="n">
        <f aca="false">IFERROR(P45/P46,0)</f>
        <v>0.209183162216313</v>
      </c>
      <c r="Q47" s="49" t="n">
        <f aca="false">IFERROR(Q45/Q46,0)</f>
        <v>0.212831670836244</v>
      </c>
      <c r="R47" s="49" t="n">
        <f aca="false">IFERROR(R45/R46,0)</f>
        <v>0.216588152490443</v>
      </c>
      <c r="S47" s="49" t="n">
        <f aca="false">IFERROR(S45/S46,0)</f>
        <v>0.220455670044929</v>
      </c>
      <c r="T47" s="5" t="s">
        <v>2500</v>
      </c>
    </row>
    <row r="48" customFormat="false" ht="15" hidden="false" customHeight="false" outlineLevel="0" collapsed="false">
      <c r="B48" s="24" t="s">
        <v>2501</v>
      </c>
      <c r="C48" s="25" t="s">
        <v>170</v>
      </c>
      <c r="E48" s="47" t="n">
        <f aca="false">SUM(F48:S48)</f>
        <v>76.9038500215349</v>
      </c>
      <c r="F48" s="47" t="n">
        <f aca="false">F39*F47</f>
        <v>0</v>
      </c>
      <c r="G48" s="47" t="n">
        <f aca="false">G39*G47</f>
        <v>0</v>
      </c>
      <c r="H48" s="47" t="n">
        <f aca="false">H39*H47</f>
        <v>0</v>
      </c>
      <c r="I48" s="47" t="n">
        <f aca="false">I39*I47</f>
        <v>0</v>
      </c>
      <c r="J48" s="47" t="n">
        <f aca="false">J39*J47</f>
        <v>0</v>
      </c>
      <c r="K48" s="47" t="n">
        <f aca="false">K39*K47</f>
        <v>0</v>
      </c>
      <c r="L48" s="47" t="n">
        <f aca="false">L39*L47</f>
        <v>4.83276682215593</v>
      </c>
      <c r="M48" s="47" t="n">
        <f aca="false">M39*M47</f>
        <v>9.1088330668295</v>
      </c>
      <c r="N48" s="47" t="n">
        <f aca="false">N39*N47</f>
        <v>9.54000738596662</v>
      </c>
      <c r="O48" s="47" t="n">
        <f aca="false">O39*O47</f>
        <v>9.70738609163901</v>
      </c>
      <c r="P48" s="47" t="n">
        <f aca="false">P39*P47</f>
        <v>10.1708996534547</v>
      </c>
      <c r="Q48" s="47" t="n">
        <f aca="false">Q39*Q47</f>
        <v>10.6587462898257</v>
      </c>
      <c r="R48" s="47" t="n">
        <f aca="false">R39*R47</f>
        <v>11.1722794941105</v>
      </c>
      <c r="S48" s="47" t="n">
        <f aca="false">S39*S47</f>
        <v>11.712931217553</v>
      </c>
      <c r="T48" s="5" t="s">
        <v>2502</v>
      </c>
    </row>
    <row r="49" customFormat="false" ht="15" hidden="false" customHeight="false" outlineLevel="0" collapsed="false">
      <c r="B49" s="69" t="s">
        <v>1059</v>
      </c>
      <c r="C49" s="25" t="s">
        <v>170</v>
      </c>
      <c r="E49" s="70" t="n">
        <f aca="false">SUM(F49:S49)</f>
        <v>883.747652679663</v>
      </c>
      <c r="F49" s="68" t="n">
        <f aca="false">F44+F48</f>
        <v>0</v>
      </c>
      <c r="G49" s="68" t="n">
        <f aca="false">G44+G48</f>
        <v>0</v>
      </c>
      <c r="H49" s="68" t="n">
        <f aca="false">H44+H48</f>
        <v>0</v>
      </c>
      <c r="I49" s="68" t="n">
        <f aca="false">I44+I48</f>
        <v>0</v>
      </c>
      <c r="J49" s="68" t="n">
        <f aca="false">J44+J48</f>
        <v>0</v>
      </c>
      <c r="K49" s="68" t="n">
        <f aca="false">K44+K48</f>
        <v>0</v>
      </c>
      <c r="L49" s="68" t="n">
        <f aca="false">L44+L48</f>
        <v>52.4969805190314</v>
      </c>
      <c r="M49" s="68" t="n">
        <f aca="false">M44+M48</f>
        <v>108.186593066829</v>
      </c>
      <c r="N49" s="68" t="n">
        <f aca="false">N44+N48</f>
        <v>111.590100185967</v>
      </c>
      <c r="O49" s="68" t="n">
        <f aca="false">O44+O48</f>
        <v>114.818981675639</v>
      </c>
      <c r="P49" s="68" t="n">
        <f aca="false">P44+P48</f>
        <v>118.435843104975</v>
      </c>
      <c r="Q49" s="68" t="n">
        <f aca="false">Q44+Q48</f>
        <v>122.171638044891</v>
      </c>
      <c r="R49" s="68" t="n">
        <f aca="false">R44+R48</f>
        <v>126.030558001828</v>
      </c>
      <c r="S49" s="68" t="n">
        <f aca="false">S44+S48</f>
        <v>130.016958080502</v>
      </c>
      <c r="T49" s="5" t="s">
        <v>2503</v>
      </c>
    </row>
    <row r="51" customFormat="false" ht="15" hidden="false" customHeight="false" outlineLevel="0" collapsed="false">
      <c r="B51" s="22" t="s">
        <v>2504</v>
      </c>
      <c r="C51" s="23"/>
      <c r="D51" s="23"/>
      <c r="E51" s="23"/>
      <c r="F51" s="23"/>
      <c r="G51" s="23"/>
      <c r="H51" s="23"/>
      <c r="I51" s="23"/>
      <c r="J51" s="23"/>
      <c r="K51" s="23"/>
      <c r="L51" s="23"/>
      <c r="M51" s="23"/>
      <c r="N51" s="23"/>
      <c r="O51" s="23"/>
      <c r="P51" s="23"/>
      <c r="Q51" s="23"/>
      <c r="R51" s="23"/>
      <c r="S51" s="23"/>
    </row>
    <row r="52" customFormat="false" ht="15" hidden="false" customHeight="false" outlineLevel="0" collapsed="false">
      <c r="B52" s="69" t="s">
        <v>2505</v>
      </c>
      <c r="C52" s="25" t="s">
        <v>170</v>
      </c>
      <c r="E52" s="70" t="n">
        <f aca="false">SUM(F52:S52)</f>
        <v>549.797086690547</v>
      </c>
      <c r="F52" s="68" t="n">
        <f aca="false">F40*'P15 TBM Input'!F50*'P15 TBM Input'!F29</f>
        <v>0</v>
      </c>
      <c r="G52" s="68" t="n">
        <f aca="false">G40*'P15 TBM Input'!G50*'P15 TBM Input'!G29</f>
        <v>0</v>
      </c>
      <c r="H52" s="68" t="n">
        <f aca="false">H40*'P15 TBM Input'!H50*'P15 TBM Input'!H29</f>
        <v>0</v>
      </c>
      <c r="I52" s="68" t="n">
        <f aca="false">I40*'P15 TBM Input'!I50*'P15 TBM Input'!I29</f>
        <v>0</v>
      </c>
      <c r="J52" s="68" t="n">
        <f aca="false">J40*'P15 TBM Input'!J50*'P15 TBM Input'!J29</f>
        <v>0</v>
      </c>
      <c r="K52" s="68" t="n">
        <f aca="false">K40*'P15 TBM Input'!K50*'P15 TBM Input'!K29</f>
        <v>0</v>
      </c>
      <c r="L52" s="68" t="n">
        <f aca="false">L40*'P15 TBM Input'!L50*'P15 TBM Input'!L29</f>
        <v>32.9185282181253</v>
      </c>
      <c r="M52" s="68" t="n">
        <f aca="false">M40*'P15 TBM Input'!M50*'P15 TBM Input'!M29</f>
        <v>67.455936</v>
      </c>
      <c r="N52" s="68" t="n">
        <f aca="false">N40*'P15 TBM Input'!N50*'P15 TBM Input'!N29</f>
        <v>69.47961408</v>
      </c>
      <c r="O52" s="68" t="n">
        <f aca="false">O40*'P15 TBM Input'!O50*'P15 TBM Input'!O29</f>
        <v>71.5640025024</v>
      </c>
      <c r="P52" s="68" t="n">
        <f aca="false">P40*'P15 TBM Input'!P50*'P15 TBM Input'!P29</f>
        <v>73.710922577472</v>
      </c>
      <c r="Q52" s="68" t="n">
        <f aca="false">Q40*'P15 TBM Input'!Q50*'P15 TBM Input'!Q29</f>
        <v>75.9222502547962</v>
      </c>
      <c r="R52" s="68" t="n">
        <f aca="false">R40*'P15 TBM Input'!R50*'P15 TBM Input'!R29</f>
        <v>78.1999177624401</v>
      </c>
      <c r="S52" s="68" t="n">
        <f aca="false">S40*'P15 TBM Input'!S50*'P15 TBM Input'!S29</f>
        <v>80.5459152953133</v>
      </c>
      <c r="T52" s="5" t="s">
        <v>2506</v>
      </c>
    </row>
    <row r="54" customFormat="false" ht="15" hidden="false" customHeight="false" outlineLevel="0" collapsed="false">
      <c r="B54" s="22" t="s">
        <v>2507</v>
      </c>
      <c r="C54" s="23"/>
      <c r="D54" s="23"/>
      <c r="E54" s="23"/>
      <c r="F54" s="23"/>
      <c r="G54" s="23"/>
      <c r="H54" s="23"/>
      <c r="I54" s="23"/>
      <c r="J54" s="23"/>
      <c r="K54" s="23"/>
      <c r="L54" s="23"/>
      <c r="M54" s="23"/>
      <c r="N54" s="23"/>
      <c r="O54" s="23"/>
      <c r="P54" s="23"/>
      <c r="Q54" s="23"/>
      <c r="R54" s="23"/>
      <c r="S54" s="23"/>
    </row>
    <row r="55" customFormat="false" ht="15" hidden="false" customHeight="false" outlineLevel="0" collapsed="false">
      <c r="B55" s="24" t="s">
        <v>1330</v>
      </c>
      <c r="C55" s="25" t="s">
        <v>240</v>
      </c>
      <c r="E55" s="44" t="n">
        <f aca="false">SUM(F55:S55)</f>
        <v>40.0245926836766</v>
      </c>
      <c r="F55" s="44" t="n">
        <f aca="false">'P15 TBM Input'!F55</f>
        <v>0</v>
      </c>
      <c r="G55" s="44" t="n">
        <f aca="false">'P15 TBM Input'!G55</f>
        <v>0</v>
      </c>
      <c r="H55" s="44" t="n">
        <f aca="false">'P15 TBM Input'!H55</f>
        <v>28.0172148785736</v>
      </c>
      <c r="I55" s="44" t="n">
        <f aca="false">'P15 TBM Input'!I55</f>
        <v>12.007377805103</v>
      </c>
      <c r="J55" s="44" t="n">
        <f aca="false">'P15 TBM Input'!J55</f>
        <v>0</v>
      </c>
      <c r="K55" s="44" t="n">
        <f aca="false">'P15 TBM Input'!K55</f>
        <v>0</v>
      </c>
      <c r="L55" s="44" t="n">
        <f aca="false">'P15 TBM Input'!L55</f>
        <v>0</v>
      </c>
      <c r="M55" s="44" t="n">
        <f aca="false">'P15 TBM Input'!M55</f>
        <v>0</v>
      </c>
      <c r="N55" s="44" t="n">
        <f aca="false">'P15 TBM Input'!N55</f>
        <v>0</v>
      </c>
      <c r="O55" s="44" t="n">
        <f aca="false">'P15 TBM Input'!O55</f>
        <v>0</v>
      </c>
      <c r="P55" s="44" t="n">
        <f aca="false">'P15 TBM Input'!P55</f>
        <v>0</v>
      </c>
      <c r="Q55" s="44" t="n">
        <f aca="false">'P15 TBM Input'!Q55</f>
        <v>0</v>
      </c>
      <c r="R55" s="44" t="n">
        <f aca="false">'P15 TBM Input'!R55</f>
        <v>0</v>
      </c>
      <c r="S55" s="44" t="n">
        <f aca="false">'P15 TBM Input'!S55</f>
        <v>0</v>
      </c>
    </row>
    <row r="56" customFormat="false" ht="15" hidden="false" customHeight="false" outlineLevel="0" collapsed="false">
      <c r="B56" s="24" t="s">
        <v>1331</v>
      </c>
      <c r="C56" s="25" t="s">
        <v>152</v>
      </c>
      <c r="F56" s="34" t="n">
        <f aca="false">'Global Inputs'!F22</f>
        <v>16265</v>
      </c>
      <c r="G56" s="34" t="n">
        <f aca="false">'Global Inputs'!G22</f>
        <v>16265</v>
      </c>
      <c r="H56" s="34" t="n">
        <f aca="false">'Global Inputs'!H22</f>
        <v>16265</v>
      </c>
      <c r="I56" s="34" t="n">
        <f aca="false">'Global Inputs'!I22</f>
        <v>16265</v>
      </c>
      <c r="J56" s="34" t="n">
        <f aca="false">'Global Inputs'!J22</f>
        <v>16265</v>
      </c>
      <c r="K56" s="34" t="n">
        <f aca="false">'Global Inputs'!K22</f>
        <v>16265</v>
      </c>
      <c r="L56" s="34" t="n">
        <f aca="false">'Global Inputs'!L22</f>
        <v>16265</v>
      </c>
      <c r="M56" s="34" t="n">
        <f aca="false">'Global Inputs'!M22</f>
        <v>16265</v>
      </c>
      <c r="N56" s="34" t="n">
        <f aca="false">'Global Inputs'!N22</f>
        <v>16265</v>
      </c>
      <c r="O56" s="34" t="n">
        <f aca="false">'Global Inputs'!O22</f>
        <v>16265</v>
      </c>
      <c r="P56" s="34" t="n">
        <f aca="false">'Global Inputs'!P22</f>
        <v>16265</v>
      </c>
      <c r="Q56" s="34" t="n">
        <f aca="false">'Global Inputs'!Q22</f>
        <v>16265</v>
      </c>
      <c r="R56" s="34" t="n">
        <f aca="false">'Global Inputs'!R22</f>
        <v>16265</v>
      </c>
      <c r="S56" s="34" t="n">
        <f aca="false">'Global Inputs'!S22</f>
        <v>16265</v>
      </c>
    </row>
    <row r="57" customFormat="false" ht="15" hidden="false" customHeight="false" outlineLevel="0" collapsed="false">
      <c r="B57" s="24" t="s">
        <v>351</v>
      </c>
      <c r="C57" s="25" t="s">
        <v>170</v>
      </c>
      <c r="E57" s="47" t="n">
        <f aca="false">SUM(F57:S57)</f>
        <v>651</v>
      </c>
      <c r="F57" s="47" t="n">
        <f aca="false">'P15 TBM Input'!F57</f>
        <v>0</v>
      </c>
      <c r="G57" s="47" t="n">
        <f aca="false">'P15 TBM Input'!G57</f>
        <v>0</v>
      </c>
      <c r="H57" s="47" t="n">
        <f aca="false">'P15 TBM Input'!H57</f>
        <v>455.7</v>
      </c>
      <c r="I57" s="47" t="n">
        <f aca="false">'P15 TBM Input'!I57</f>
        <v>195.3</v>
      </c>
      <c r="J57" s="47" t="n">
        <f aca="false">'P15 TBM Input'!J57</f>
        <v>0</v>
      </c>
      <c r="K57" s="47" t="n">
        <f aca="false">'P15 TBM Input'!K57</f>
        <v>0</v>
      </c>
      <c r="L57" s="47" t="n">
        <f aca="false">'P15 TBM Input'!L57</f>
        <v>0</v>
      </c>
      <c r="M57" s="47" t="n">
        <f aca="false">'P15 TBM Input'!M57</f>
        <v>0</v>
      </c>
      <c r="N57" s="47" t="n">
        <f aca="false">'P15 TBM Input'!N57</f>
        <v>0</v>
      </c>
      <c r="O57" s="47" t="n">
        <f aca="false">'P15 TBM Input'!O57</f>
        <v>0</v>
      </c>
      <c r="P57" s="47" t="n">
        <f aca="false">'P15 TBM Input'!P57</f>
        <v>0</v>
      </c>
      <c r="Q57" s="47" t="n">
        <f aca="false">'P15 TBM Input'!Q57</f>
        <v>0</v>
      </c>
      <c r="R57" s="47" t="n">
        <f aca="false">'P15 TBM Input'!R57</f>
        <v>0</v>
      </c>
      <c r="S57" s="47" t="n">
        <f aca="false">'P15 TBM Input'!S57</f>
        <v>0</v>
      </c>
    </row>
    <row r="58" customFormat="false" ht="15" hidden="false" customHeight="false" outlineLevel="0" collapsed="false">
      <c r="B58" s="24" t="s">
        <v>1332</v>
      </c>
      <c r="C58" s="25" t="s">
        <v>170</v>
      </c>
      <c r="F58" s="47" t="n">
        <f aca="false">SUM($F$57:F57)</f>
        <v>0</v>
      </c>
      <c r="G58" s="47" t="n">
        <f aca="false">SUM($F$57:G57)</f>
        <v>0</v>
      </c>
      <c r="H58" s="47" t="n">
        <f aca="false">SUM($F$57:H57)</f>
        <v>455.7</v>
      </c>
      <c r="I58" s="47" t="n">
        <f aca="false">SUM($F$57:I57)</f>
        <v>651</v>
      </c>
      <c r="J58" s="47" t="n">
        <f aca="false">SUM($F$57:J57)</f>
        <v>651</v>
      </c>
      <c r="K58" s="47" t="n">
        <f aca="false">SUM($F$57:K57)</f>
        <v>651</v>
      </c>
      <c r="L58" s="47" t="n">
        <f aca="false">SUM($F$57:L57)</f>
        <v>651</v>
      </c>
      <c r="M58" s="47" t="n">
        <f aca="false">SUM($F$57:M57)</f>
        <v>651</v>
      </c>
      <c r="N58" s="47" t="n">
        <f aca="false">SUM($F$57:N57)</f>
        <v>651</v>
      </c>
      <c r="O58" s="47" t="n">
        <f aca="false">SUM($F$57:O57)</f>
        <v>651</v>
      </c>
      <c r="P58" s="47" t="n">
        <f aca="false">SUM($F$57:P57)</f>
        <v>651</v>
      </c>
      <c r="Q58" s="47" t="n">
        <f aca="false">SUM($F$57:Q57)</f>
        <v>651</v>
      </c>
      <c r="R58" s="47" t="n">
        <f aca="false">SUM($F$57:R57)</f>
        <v>651</v>
      </c>
      <c r="S58" s="47" t="n">
        <f aca="false">SUM($F$57:S57)</f>
        <v>651</v>
      </c>
    </row>
    <row r="59" customFormat="false" ht="15" hidden="false" customHeight="false" outlineLevel="0" collapsed="false">
      <c r="B59" s="24" t="s">
        <v>1333</v>
      </c>
      <c r="C59" s="25" t="s">
        <v>143</v>
      </c>
      <c r="F59" s="30" t="n">
        <f aca="false">IF(F$5&gt;='P15 TBM Input'!$E$62,1,0)*F$8</f>
        <v>0</v>
      </c>
      <c r="G59" s="30" t="n">
        <f aca="false">IF(G$5&gt;='P15 TBM Input'!$E$62,1,0)*G$8</f>
        <v>0</v>
      </c>
      <c r="H59" s="30" t="n">
        <f aca="false">IF(H$5&gt;='P15 TBM Input'!$E$62,1,0)*H$8</f>
        <v>0</v>
      </c>
      <c r="I59" s="30" t="n">
        <f aca="false">IF(I$5&gt;='P15 TBM Input'!$E$62,1,0)*I$8</f>
        <v>0</v>
      </c>
      <c r="J59" s="30" t="n">
        <f aca="false">IF(J$5&gt;='P15 TBM Input'!$E$62,1,0)*J$8</f>
        <v>1</v>
      </c>
      <c r="K59" s="30" t="n">
        <f aca="false">IF(K$5&gt;='P15 TBM Input'!$E$62,1,0)*K$8</f>
        <v>1</v>
      </c>
      <c r="L59" s="30" t="n">
        <f aca="false">IF(L$5&gt;='P15 TBM Input'!$E$62,1,0)*L$8</f>
        <v>1</v>
      </c>
      <c r="M59" s="30" t="n">
        <f aca="false">IF(M$5&gt;='P15 TBM Input'!$E$62,1,0)*M$8</f>
        <v>1</v>
      </c>
      <c r="N59" s="30" t="n">
        <f aca="false">IF(N$5&gt;='P15 TBM Input'!$E$62,1,0)*N$8</f>
        <v>1</v>
      </c>
      <c r="O59" s="30" t="n">
        <f aca="false">IF(O$5&gt;='P15 TBM Input'!$E$62,1,0)*O$8</f>
        <v>1</v>
      </c>
      <c r="P59" s="30" t="n">
        <f aca="false">IF(P$5&gt;='P15 TBM Input'!$E$62,1,0)*P$8</f>
        <v>1</v>
      </c>
      <c r="Q59" s="30" t="n">
        <f aca="false">IF(Q$5&gt;='P15 TBM Input'!$E$62,1,0)*Q$8</f>
        <v>1</v>
      </c>
      <c r="R59" s="30" t="n">
        <f aca="false">IF(R$5&gt;='P15 TBM Input'!$E$62,1,0)*R$8</f>
        <v>1</v>
      </c>
      <c r="S59" s="30" t="n">
        <f aca="false">IF(S$5&gt;='P15 TBM Input'!$E$62,1,0)*S$8</f>
        <v>1</v>
      </c>
    </row>
    <row r="60" customFormat="false" ht="15" hidden="false" customHeight="false" outlineLevel="0" collapsed="false">
      <c r="B60" s="24" t="s">
        <v>1334</v>
      </c>
      <c r="C60" s="25" t="s">
        <v>135</v>
      </c>
      <c r="F60" s="29" t="n">
        <f aca="false">MAX(F$5,'P15 TBM Input'!$E$62)</f>
        <v>2027</v>
      </c>
      <c r="G60" s="29" t="n">
        <f aca="false">MAX(G$5,'P15 TBM Input'!$E$62)</f>
        <v>2027</v>
      </c>
      <c r="H60" s="29" t="n">
        <f aca="false">MAX(H$5,'P15 TBM Input'!$E$62)</f>
        <v>2027</v>
      </c>
      <c r="I60" s="29" t="n">
        <f aca="false">MAX(I$5,'P15 TBM Input'!$E$62)</f>
        <v>2027</v>
      </c>
      <c r="J60" s="29" t="n">
        <f aca="false">MAX(J$5,'P15 TBM Input'!$E$62)</f>
        <v>2027</v>
      </c>
      <c r="K60" s="29" t="n">
        <f aca="false">MAX(K$5,'P15 TBM Input'!$E$62)</f>
        <v>2028</v>
      </c>
      <c r="L60" s="29" t="n">
        <f aca="false">MAX(L$5,'P15 TBM Input'!$E$62)</f>
        <v>2029</v>
      </c>
      <c r="M60" s="29" t="n">
        <f aca="false">MAX(M$5,'P15 TBM Input'!$E$62)</f>
        <v>2030</v>
      </c>
      <c r="N60" s="29" t="n">
        <f aca="false">MAX(N$5,'P15 TBM Input'!$E$62)</f>
        <v>2031</v>
      </c>
      <c r="O60" s="29" t="n">
        <f aca="false">MAX(O$5,'P15 TBM Input'!$E$62)</f>
        <v>2032</v>
      </c>
      <c r="P60" s="29" t="n">
        <f aca="false">MAX(P$5,'P15 TBM Input'!$E$62)</f>
        <v>2033</v>
      </c>
      <c r="Q60" s="29" t="n">
        <f aca="false">MAX(Q$5,'P15 TBM Input'!$E$62)</f>
        <v>2034</v>
      </c>
      <c r="R60" s="29" t="n">
        <f aca="false">MAX(R$5,'P15 TBM Input'!$E$62)</f>
        <v>2035</v>
      </c>
      <c r="S60" s="29" t="n">
        <f aca="false">MAX(S$5,'P15 TBM Input'!$E$62)</f>
        <v>2036</v>
      </c>
    </row>
    <row r="61" customFormat="false" ht="15" hidden="false" customHeight="false" outlineLevel="0" collapsed="false">
      <c r="B61" s="24" t="s">
        <v>1335</v>
      </c>
      <c r="C61" s="25" t="s">
        <v>170</v>
      </c>
      <c r="E61" s="47" t="n">
        <f aca="false">SUM(F61:S61)</f>
        <v>292.95</v>
      </c>
      <c r="F61" s="47" t="n">
        <f aca="false">IF('Global Inputs'!$E$33=1,SUM($F$57:$S$57)*'P15 TBM Input'!$E$64/'P15 TBM Input'!$E$65*F59,SUMPRODUCT($F$57:$S$57,--($F$60:$S$60&lt;=F$5),--(F$5&lt;$F$60:$S$60+'P15 TBM Input'!$E$65))*'P15 TBM Input'!$E$64/'P15 TBM Input'!$E$65)</f>
        <v>0</v>
      </c>
      <c r="G61" s="47" t="n">
        <f aca="false">IF('Global Inputs'!$E$33=1,SUM($F$57:$S$57)*'P15 TBM Input'!$E$64/'P15 TBM Input'!$E$65*G59,SUMPRODUCT($F$57:$S$57,--($F$60:$S$60&lt;=G$5),--(G$5&lt;$F$60:$S$60+'P15 TBM Input'!$E$65))*'P15 TBM Input'!$E$64/'P15 TBM Input'!$E$65)</f>
        <v>0</v>
      </c>
      <c r="H61" s="47" t="n">
        <f aca="false">IF('Global Inputs'!$E$33=1,SUM($F$57:$S$57)*'P15 TBM Input'!$E$64/'P15 TBM Input'!$E$65*H59,SUMPRODUCT($F$57:$S$57,--($F$60:$S$60&lt;=H$5),--(H$5&lt;$F$60:$S$60+'P15 TBM Input'!$E$65))*'P15 TBM Input'!$E$64/'P15 TBM Input'!$E$65)</f>
        <v>0</v>
      </c>
      <c r="I61" s="47" t="n">
        <f aca="false">IF('Global Inputs'!$E$33=1,SUM($F$57:$S$57)*'P15 TBM Input'!$E$64/'P15 TBM Input'!$E$65*I59,SUMPRODUCT($F$57:$S$57,--($F$60:$S$60&lt;=I$5),--(I$5&lt;$F$60:$S$60+'P15 TBM Input'!$E$65))*'P15 TBM Input'!$E$64/'P15 TBM Input'!$E$65)</f>
        <v>0</v>
      </c>
      <c r="J61" s="47" t="n">
        <f aca="false">IF('Global Inputs'!$E$33=1,SUM($F$57:$S$57)*'P15 TBM Input'!$E$64/'P15 TBM Input'!$E$65*J59,SUMPRODUCT($F$57:$S$57,--($F$60:$S$60&lt;=J$5),--(J$5&lt;$F$60:$S$60+'P15 TBM Input'!$E$65))*'P15 TBM Input'!$E$64/'P15 TBM Input'!$E$65)</f>
        <v>29.295</v>
      </c>
      <c r="K61" s="47" t="n">
        <f aca="false">IF('Global Inputs'!$E$33=1,SUM($F$57:$S$57)*'P15 TBM Input'!$E$64/'P15 TBM Input'!$E$65*K59,SUMPRODUCT($F$57:$S$57,--($F$60:$S$60&lt;=K$5),--(K$5&lt;$F$60:$S$60+'P15 TBM Input'!$E$65))*'P15 TBM Input'!$E$64/'P15 TBM Input'!$E$65)</f>
        <v>29.295</v>
      </c>
      <c r="L61" s="47" t="n">
        <f aca="false">IF('Global Inputs'!$E$33=1,SUM($F$57:$S$57)*'P15 TBM Input'!$E$64/'P15 TBM Input'!$E$65*L59,SUMPRODUCT($F$57:$S$57,--($F$60:$S$60&lt;=L$5),--(L$5&lt;$F$60:$S$60+'P15 TBM Input'!$E$65))*'P15 TBM Input'!$E$64/'P15 TBM Input'!$E$65)</f>
        <v>29.295</v>
      </c>
      <c r="M61" s="47" t="n">
        <f aca="false">IF('Global Inputs'!$E$33=1,SUM($F$57:$S$57)*'P15 TBM Input'!$E$64/'P15 TBM Input'!$E$65*M59,SUMPRODUCT($F$57:$S$57,--($F$60:$S$60&lt;=M$5),--(M$5&lt;$F$60:$S$60+'P15 TBM Input'!$E$65))*'P15 TBM Input'!$E$64/'P15 TBM Input'!$E$65)</f>
        <v>29.295</v>
      </c>
      <c r="N61" s="47" t="n">
        <f aca="false">IF('Global Inputs'!$E$33=1,SUM($F$57:$S$57)*'P15 TBM Input'!$E$64/'P15 TBM Input'!$E$65*N59,SUMPRODUCT($F$57:$S$57,--($F$60:$S$60&lt;=N$5),--(N$5&lt;$F$60:$S$60+'P15 TBM Input'!$E$65))*'P15 TBM Input'!$E$64/'P15 TBM Input'!$E$65)</f>
        <v>29.295</v>
      </c>
      <c r="O61" s="47" t="n">
        <f aca="false">IF('Global Inputs'!$E$33=1,SUM($F$57:$S$57)*'P15 TBM Input'!$E$64/'P15 TBM Input'!$E$65*O59,SUMPRODUCT($F$57:$S$57,--($F$60:$S$60&lt;=O$5),--(O$5&lt;$F$60:$S$60+'P15 TBM Input'!$E$65))*'P15 TBM Input'!$E$64/'P15 TBM Input'!$E$65)</f>
        <v>29.295</v>
      </c>
      <c r="P61" s="47" t="n">
        <f aca="false">IF('Global Inputs'!$E$33=1,SUM($F$57:$S$57)*'P15 TBM Input'!$E$64/'P15 TBM Input'!$E$65*P59,SUMPRODUCT($F$57:$S$57,--($F$60:$S$60&lt;=P$5),--(P$5&lt;$F$60:$S$60+'P15 TBM Input'!$E$65))*'P15 TBM Input'!$E$64/'P15 TBM Input'!$E$65)</f>
        <v>29.295</v>
      </c>
      <c r="Q61" s="47" t="n">
        <f aca="false">IF('Global Inputs'!$E$33=1,SUM($F$57:$S$57)*'P15 TBM Input'!$E$64/'P15 TBM Input'!$E$65*Q59,SUMPRODUCT($F$57:$S$57,--($F$60:$S$60&lt;=Q$5),--(Q$5&lt;$F$60:$S$60+'P15 TBM Input'!$E$65))*'P15 TBM Input'!$E$64/'P15 TBM Input'!$E$65)</f>
        <v>29.295</v>
      </c>
      <c r="R61" s="47" t="n">
        <f aca="false">IF('Global Inputs'!$E$33=1,SUM($F$57:$S$57)*'P15 TBM Input'!$E$64/'P15 TBM Input'!$E$65*R59,SUMPRODUCT($F$57:$S$57,--($F$60:$S$60&lt;=R$5),--(R$5&lt;$F$60:$S$60+'P15 TBM Input'!$E$65))*'P15 TBM Input'!$E$64/'P15 TBM Input'!$E$65)</f>
        <v>29.295</v>
      </c>
      <c r="S61" s="47" t="n">
        <f aca="false">IF('Global Inputs'!$E$33=1,SUM($F$57:$S$57)*'P15 TBM Input'!$E$64/'P15 TBM Input'!$E$65*S59,SUMPRODUCT($F$57:$S$57,--($F$60:$S$60&lt;=S$5),--(S$5&lt;$F$60:$S$60+'P15 TBM Input'!$E$65))*'P15 TBM Input'!$E$64/'P15 TBM Input'!$E$65)</f>
        <v>29.295</v>
      </c>
      <c r="T61" s="5" t="s">
        <v>1336</v>
      </c>
    </row>
    <row r="62" customFormat="false" ht="15" hidden="false" customHeight="false" outlineLevel="0" collapsed="false">
      <c r="B62" s="24" t="s">
        <v>1337</v>
      </c>
      <c r="C62" s="25" t="s">
        <v>170</v>
      </c>
      <c r="E62" s="47" t="n">
        <f aca="false">SUM(F62:S62)</f>
        <v>65.1</v>
      </c>
      <c r="F62" s="47" t="n">
        <f aca="false">IF('Global Inputs'!$E$33=1,SUM($F$57:$S$57)*(1-'P15 TBM Input'!$E$64)/'P15 TBM Input'!$E$66*F59,SUMPRODUCT($F$57:$S$57,--($F$60:$S$60&lt;=F$5),--(F$5&lt;$F$60:$S$60+'P15 TBM Input'!$E$66))*(1-'P15 TBM Input'!$E$64)/'P15 TBM Input'!$E$66)</f>
        <v>0</v>
      </c>
      <c r="G62" s="47" t="n">
        <f aca="false">IF('Global Inputs'!$E$33=1,SUM($F$57:$S$57)*(1-'P15 TBM Input'!$E$64)/'P15 TBM Input'!$E$66*G59,SUMPRODUCT($F$57:$S$57,--($F$60:$S$60&lt;=G$5),--(G$5&lt;$F$60:$S$60+'P15 TBM Input'!$E$66))*(1-'P15 TBM Input'!$E$64)/'P15 TBM Input'!$E$66)</f>
        <v>0</v>
      </c>
      <c r="H62" s="47" t="n">
        <f aca="false">IF('Global Inputs'!$E$33=1,SUM($F$57:$S$57)*(1-'P15 TBM Input'!$E$64)/'P15 TBM Input'!$E$66*H59,SUMPRODUCT($F$57:$S$57,--($F$60:$S$60&lt;=H$5),--(H$5&lt;$F$60:$S$60+'P15 TBM Input'!$E$66))*(1-'P15 TBM Input'!$E$64)/'P15 TBM Input'!$E$66)</f>
        <v>0</v>
      </c>
      <c r="I62" s="47" t="n">
        <f aca="false">IF('Global Inputs'!$E$33=1,SUM($F$57:$S$57)*(1-'P15 TBM Input'!$E$64)/'P15 TBM Input'!$E$66*I59,SUMPRODUCT($F$57:$S$57,--($F$60:$S$60&lt;=I$5),--(I$5&lt;$F$60:$S$60+'P15 TBM Input'!$E$66))*(1-'P15 TBM Input'!$E$64)/'P15 TBM Input'!$E$66)</f>
        <v>0</v>
      </c>
      <c r="J62" s="47" t="n">
        <f aca="false">IF('Global Inputs'!$E$33=1,SUM($F$57:$S$57)*(1-'P15 TBM Input'!$E$64)/'P15 TBM Input'!$E$66*J59,SUMPRODUCT($F$57:$S$57,--($F$60:$S$60&lt;=J$5),--(J$5&lt;$F$60:$S$60+'P15 TBM Input'!$E$66))*(1-'P15 TBM Input'!$E$64)/'P15 TBM Input'!$E$66)</f>
        <v>8.1375</v>
      </c>
      <c r="K62" s="47" t="n">
        <f aca="false">IF('Global Inputs'!$E$33=1,SUM($F$57:$S$57)*(1-'P15 TBM Input'!$E$64)/'P15 TBM Input'!$E$66*K59,SUMPRODUCT($F$57:$S$57,--($F$60:$S$60&lt;=K$5),--(K$5&lt;$F$60:$S$60+'P15 TBM Input'!$E$66))*(1-'P15 TBM Input'!$E$64)/'P15 TBM Input'!$E$66)</f>
        <v>8.1375</v>
      </c>
      <c r="L62" s="47" t="n">
        <f aca="false">IF('Global Inputs'!$E$33=1,SUM($F$57:$S$57)*(1-'P15 TBM Input'!$E$64)/'P15 TBM Input'!$E$66*L59,SUMPRODUCT($F$57:$S$57,--($F$60:$S$60&lt;=L$5),--(L$5&lt;$F$60:$S$60+'P15 TBM Input'!$E$66))*(1-'P15 TBM Input'!$E$64)/'P15 TBM Input'!$E$66)</f>
        <v>8.1375</v>
      </c>
      <c r="M62" s="47" t="n">
        <f aca="false">IF('Global Inputs'!$E$33=1,SUM($F$57:$S$57)*(1-'P15 TBM Input'!$E$64)/'P15 TBM Input'!$E$66*M59,SUMPRODUCT($F$57:$S$57,--($F$60:$S$60&lt;=M$5),--(M$5&lt;$F$60:$S$60+'P15 TBM Input'!$E$66))*(1-'P15 TBM Input'!$E$64)/'P15 TBM Input'!$E$66)</f>
        <v>8.1375</v>
      </c>
      <c r="N62" s="47" t="n">
        <f aca="false">IF('Global Inputs'!$E$33=1,SUM($F$57:$S$57)*(1-'P15 TBM Input'!$E$64)/'P15 TBM Input'!$E$66*N59,SUMPRODUCT($F$57:$S$57,--($F$60:$S$60&lt;=N$5),--(N$5&lt;$F$60:$S$60+'P15 TBM Input'!$E$66))*(1-'P15 TBM Input'!$E$64)/'P15 TBM Input'!$E$66)</f>
        <v>8.1375</v>
      </c>
      <c r="O62" s="47" t="n">
        <f aca="false">IF('Global Inputs'!$E$33=1,SUM($F$57:$S$57)*(1-'P15 TBM Input'!$E$64)/'P15 TBM Input'!$E$66*O59,SUMPRODUCT($F$57:$S$57,--($F$60:$S$60&lt;=O$5),--(O$5&lt;$F$60:$S$60+'P15 TBM Input'!$E$66))*(1-'P15 TBM Input'!$E$64)/'P15 TBM Input'!$E$66)</f>
        <v>8.1375</v>
      </c>
      <c r="P62" s="47" t="n">
        <f aca="false">IF('Global Inputs'!$E$33=1,SUM($F$57:$S$57)*(1-'P15 TBM Input'!$E$64)/'P15 TBM Input'!$E$66*P59,SUMPRODUCT($F$57:$S$57,--($F$60:$S$60&lt;=P$5),--(P$5&lt;$F$60:$S$60+'P15 TBM Input'!$E$66))*(1-'P15 TBM Input'!$E$64)/'P15 TBM Input'!$E$66)</f>
        <v>8.1375</v>
      </c>
      <c r="Q62" s="47" t="n">
        <f aca="false">IF('Global Inputs'!$E$33=1,SUM($F$57:$S$57)*(1-'P15 TBM Input'!$E$64)/'P15 TBM Input'!$E$66*Q59,SUMPRODUCT($F$57:$S$57,--($F$60:$S$60&lt;=Q$5),--(Q$5&lt;$F$60:$S$60+'P15 TBM Input'!$E$66))*(1-'P15 TBM Input'!$E$64)/'P15 TBM Input'!$E$66)</f>
        <v>8.1375</v>
      </c>
      <c r="R62" s="47" t="n">
        <f aca="false">IF('Global Inputs'!$E$33=1,SUM($F$57:$S$57)*(1-'P15 TBM Input'!$E$64)/'P15 TBM Input'!$E$66*R59,SUMPRODUCT($F$57:$S$57,--($F$60:$S$60&lt;=R$5),--(R$5&lt;$F$60:$S$60+'P15 TBM Input'!$E$66))*(1-'P15 TBM Input'!$E$64)/'P15 TBM Input'!$E$66)</f>
        <v>0</v>
      </c>
      <c r="S62" s="47" t="n">
        <f aca="false">IF('Global Inputs'!$E$33=1,SUM($F$57:$S$57)*(1-'P15 TBM Input'!$E$64)/'P15 TBM Input'!$E$66*S59,SUMPRODUCT($F$57:$S$57,--($F$60:$S$60&lt;=S$5),--(S$5&lt;$F$60:$S$60+'P15 TBM Input'!$E$66))*(1-'P15 TBM Input'!$E$64)/'P15 TBM Input'!$E$66)</f>
        <v>0</v>
      </c>
    </row>
    <row r="63" customFormat="false" ht="15" hidden="false" customHeight="false" outlineLevel="0" collapsed="false">
      <c r="B63" s="24" t="s">
        <v>1338</v>
      </c>
      <c r="C63" s="25" t="s">
        <v>170</v>
      </c>
      <c r="E63" s="47" t="n">
        <f aca="false">SUM(F63:S63)</f>
        <v>358.05</v>
      </c>
      <c r="F63" s="47" t="n">
        <f aca="false">F61+F62</f>
        <v>0</v>
      </c>
      <c r="G63" s="47" t="n">
        <f aca="false">G61+G62</f>
        <v>0</v>
      </c>
      <c r="H63" s="47" t="n">
        <f aca="false">H61+H62</f>
        <v>0</v>
      </c>
      <c r="I63" s="47" t="n">
        <f aca="false">I61+I62</f>
        <v>0</v>
      </c>
      <c r="J63" s="47" t="n">
        <f aca="false">J61+J62</f>
        <v>37.4325</v>
      </c>
      <c r="K63" s="47" t="n">
        <f aca="false">K61+K62</f>
        <v>37.4325</v>
      </c>
      <c r="L63" s="47" t="n">
        <f aca="false">L61+L62</f>
        <v>37.4325</v>
      </c>
      <c r="M63" s="47" t="n">
        <f aca="false">M61+M62</f>
        <v>37.4325</v>
      </c>
      <c r="N63" s="47" t="n">
        <f aca="false">N61+N62</f>
        <v>37.4325</v>
      </c>
      <c r="O63" s="47" t="n">
        <f aca="false">O61+O62</f>
        <v>37.4325</v>
      </c>
      <c r="P63" s="47" t="n">
        <f aca="false">P61+P62</f>
        <v>37.4325</v>
      </c>
      <c r="Q63" s="47" t="n">
        <f aca="false">Q61+Q62</f>
        <v>37.4325</v>
      </c>
      <c r="R63" s="47" t="n">
        <f aca="false">R61+R62</f>
        <v>29.295</v>
      </c>
      <c r="S63" s="47" t="n">
        <f aca="false">S61+S62</f>
        <v>29.295</v>
      </c>
    </row>
    <row r="64" customFormat="false" ht="15" hidden="false" customHeight="false" outlineLevel="0" collapsed="false">
      <c r="B64" s="24" t="s">
        <v>1339</v>
      </c>
      <c r="C64" s="25" t="s">
        <v>170</v>
      </c>
      <c r="F64" s="47" t="n">
        <f aca="false">F57</f>
        <v>0</v>
      </c>
      <c r="G64" s="47" t="n">
        <f aca="false">F64+G57-G63</f>
        <v>0</v>
      </c>
      <c r="H64" s="47" t="n">
        <f aca="false">G64+H57-H63</f>
        <v>455.7</v>
      </c>
      <c r="I64" s="47" t="n">
        <f aca="false">H64+I57-I63</f>
        <v>651</v>
      </c>
      <c r="J64" s="47" t="n">
        <f aca="false">I64+J57-J63</f>
        <v>613.5675</v>
      </c>
      <c r="K64" s="47" t="n">
        <f aca="false">J64+K57-K63</f>
        <v>576.135</v>
      </c>
      <c r="L64" s="47" t="n">
        <f aca="false">K64+L57-L63</f>
        <v>538.7025</v>
      </c>
      <c r="M64" s="47" t="n">
        <f aca="false">L64+M57-M63</f>
        <v>501.27</v>
      </c>
      <c r="N64" s="47" t="n">
        <f aca="false">M64+N57-N63</f>
        <v>463.8375</v>
      </c>
      <c r="O64" s="47" t="n">
        <f aca="false">N64+O57-O63</f>
        <v>426.405</v>
      </c>
      <c r="P64" s="47" t="n">
        <f aca="false">O64+P57-P63</f>
        <v>388.9725</v>
      </c>
      <c r="Q64" s="47" t="n">
        <f aca="false">P64+Q57-Q63</f>
        <v>351.54</v>
      </c>
      <c r="R64" s="47" t="n">
        <f aca="false">Q64+R57-R63</f>
        <v>322.245</v>
      </c>
      <c r="S64" s="47" t="n">
        <f aca="false">R64+S57-S63</f>
        <v>292.95</v>
      </c>
    </row>
    <row r="65" customFormat="false" ht="15" hidden="false" customHeight="false" outlineLevel="0" collapsed="false">
      <c r="B65" s="24" t="s">
        <v>1340</v>
      </c>
      <c r="C65" s="25" t="s">
        <v>143</v>
      </c>
      <c r="F65" s="30" t="n">
        <f aca="false">IF(F57&gt;0,1,0)</f>
        <v>0</v>
      </c>
      <c r="G65" s="30" t="n">
        <f aca="false">IF(AND(G58&gt;0,F58=0),1,0)</f>
        <v>0</v>
      </c>
      <c r="H65" s="30" t="n">
        <f aca="false">IF(AND(H58&gt;0,G58=0),1,0)</f>
        <v>1</v>
      </c>
      <c r="I65" s="30" t="n">
        <f aca="false">IF(AND(I58&gt;0,H58=0),1,0)</f>
        <v>0</v>
      </c>
      <c r="J65" s="30" t="n">
        <f aca="false">IF(AND(J58&gt;0,I58=0),1,0)</f>
        <v>0</v>
      </c>
      <c r="K65" s="30" t="n">
        <f aca="false">IF(AND(K58&gt;0,J58=0),1,0)</f>
        <v>0</v>
      </c>
      <c r="L65" s="30" t="n">
        <f aca="false">IF(AND(L58&gt;0,K58=0),1,0)</f>
        <v>0</v>
      </c>
      <c r="M65" s="30" t="n">
        <f aca="false">IF(AND(M58&gt;0,L58=0),1,0)</f>
        <v>0</v>
      </c>
      <c r="N65" s="30" t="n">
        <f aca="false">IF(AND(N58&gt;0,M58=0),1,0)</f>
        <v>0</v>
      </c>
      <c r="O65" s="30" t="n">
        <f aca="false">IF(AND(O58&gt;0,N58=0),1,0)</f>
        <v>0</v>
      </c>
      <c r="P65" s="30" t="n">
        <f aca="false">IF(AND(P58&gt;0,O58=0),1,0)</f>
        <v>0</v>
      </c>
      <c r="Q65" s="30" t="n">
        <f aca="false">IF(AND(Q58&gt;0,P58=0),1,0)</f>
        <v>0</v>
      </c>
      <c r="R65" s="30" t="n">
        <f aca="false">IF(AND(R58&gt;0,Q58=0),1,0)</f>
        <v>0</v>
      </c>
      <c r="S65" s="30" t="n">
        <f aca="false">IF(AND(S58&gt;0,R58=0),1,0)</f>
        <v>0</v>
      </c>
    </row>
    <row r="66" customFormat="false" ht="15" hidden="false" customHeight="false" outlineLevel="0" collapsed="false">
      <c r="B66" s="69" t="s">
        <v>1094</v>
      </c>
      <c r="C66" s="25" t="s">
        <v>170</v>
      </c>
      <c r="E66" s="70" t="n">
        <f aca="false">SUM(F66:S66)</f>
        <v>358.05</v>
      </c>
      <c r="F66" s="68" t="n">
        <f aca="false">F63</f>
        <v>0</v>
      </c>
      <c r="G66" s="68" t="n">
        <f aca="false">G63</f>
        <v>0</v>
      </c>
      <c r="H66" s="68" t="n">
        <f aca="false">H63</f>
        <v>0</v>
      </c>
      <c r="I66" s="68" t="n">
        <f aca="false">I63</f>
        <v>0</v>
      </c>
      <c r="J66" s="68" t="n">
        <f aca="false">J63</f>
        <v>37.4325</v>
      </c>
      <c r="K66" s="68" t="n">
        <f aca="false">K63</f>
        <v>37.4325</v>
      </c>
      <c r="L66" s="68" t="n">
        <f aca="false">L63</f>
        <v>37.4325</v>
      </c>
      <c r="M66" s="68" t="n">
        <f aca="false">M63</f>
        <v>37.4325</v>
      </c>
      <c r="N66" s="68" t="n">
        <f aca="false">N63</f>
        <v>37.4325</v>
      </c>
      <c r="O66" s="68" t="n">
        <f aca="false">O63</f>
        <v>37.4325</v>
      </c>
      <c r="P66" s="68" t="n">
        <f aca="false">P63</f>
        <v>37.4325</v>
      </c>
      <c r="Q66" s="68" t="n">
        <f aca="false">Q63</f>
        <v>37.4325</v>
      </c>
      <c r="R66" s="68" t="n">
        <f aca="false">R63</f>
        <v>29.295</v>
      </c>
      <c r="S66" s="68" t="n">
        <f aca="false">S63</f>
        <v>29.295</v>
      </c>
    </row>
    <row r="68" customFormat="false" ht="15" hidden="false" customHeight="false" outlineLevel="0" collapsed="false">
      <c r="B68" s="22" t="s">
        <v>2508</v>
      </c>
      <c r="C68" s="23"/>
      <c r="D68" s="23"/>
      <c r="E68" s="23"/>
      <c r="F68" s="23"/>
      <c r="G68" s="23"/>
      <c r="H68" s="23"/>
      <c r="I68" s="23"/>
      <c r="J68" s="23"/>
      <c r="K68" s="23"/>
      <c r="L68" s="23"/>
      <c r="M68" s="23"/>
      <c r="N68" s="23"/>
      <c r="O68" s="23"/>
      <c r="P68" s="23"/>
      <c r="Q68" s="23"/>
      <c r="R68" s="23"/>
      <c r="S68" s="23"/>
    </row>
    <row r="69" customFormat="false" ht="15" hidden="false" customHeight="false" outlineLevel="0" collapsed="false">
      <c r="B69" s="24" t="s">
        <v>1096</v>
      </c>
      <c r="C69" s="25" t="s">
        <v>170</v>
      </c>
      <c r="F69" s="47" t="n">
        <f aca="false">0</f>
        <v>0</v>
      </c>
      <c r="G69" s="47" t="n">
        <f aca="false">G40*'Global Inputs'!$E$28/G$7</f>
        <v>0</v>
      </c>
      <c r="H69" s="47" t="n">
        <f aca="false">H40*'Global Inputs'!$E$28/H$7</f>
        <v>0</v>
      </c>
      <c r="I69" s="47" t="n">
        <f aca="false">I40*'Global Inputs'!$E$28/I$7</f>
        <v>0</v>
      </c>
      <c r="J69" s="47" t="n">
        <f aca="false">J40*'Global Inputs'!$E$28/J$7</f>
        <v>0</v>
      </c>
      <c r="K69" s="47" t="n">
        <f aca="false">K40*'Global Inputs'!$E$28/K$7</f>
        <v>0</v>
      </c>
      <c r="L69" s="47" t="n">
        <f aca="false">L40*'Global Inputs'!$E$28/L$7</f>
        <v>22.5469371357023</v>
      </c>
      <c r="M69" s="47" t="n">
        <f aca="false">M40*'Global Inputs'!$E$28/M$7</f>
        <v>46.202695890411</v>
      </c>
      <c r="N69" s="47" t="n">
        <f aca="false">N40*'Global Inputs'!$E$28/N$7</f>
        <v>47.5887767671233</v>
      </c>
      <c r="O69" s="47" t="n">
        <f aca="false">O40*'Global Inputs'!$E$28/O$7</f>
        <v>48.8825153704918</v>
      </c>
      <c r="P69" s="47" t="n">
        <f aca="false">P40*'Global Inputs'!$E$28/P$7</f>
        <v>50.4869332722411</v>
      </c>
      <c r="Q69" s="47" t="n">
        <f aca="false">Q40*'Global Inputs'!$E$28/Q$7</f>
        <v>52.0015412704083</v>
      </c>
      <c r="R69" s="47" t="n">
        <f aca="false">R40*'Global Inputs'!$E$28/R$7</f>
        <v>53.5615875085206</v>
      </c>
      <c r="S69" s="47" t="n">
        <f aca="false">S40*'Global Inputs'!$E$28/S$7</f>
        <v>55.0177017044489</v>
      </c>
    </row>
    <row r="70" customFormat="false" ht="15" hidden="false" customHeight="false" outlineLevel="0" collapsed="false">
      <c r="B70" s="24" t="s">
        <v>1098</v>
      </c>
      <c r="C70" s="25" t="s">
        <v>170</v>
      </c>
      <c r="F70" s="47" t="n">
        <f aca="false">0</f>
        <v>0</v>
      </c>
      <c r="G70" s="47" t="n">
        <f aca="false">G49*'Global Inputs'!$E$29/G$7</f>
        <v>0</v>
      </c>
      <c r="H70" s="47" t="n">
        <f aca="false">H49*'Global Inputs'!$E$29/H$7</f>
        <v>0</v>
      </c>
      <c r="I70" s="47" t="n">
        <f aca="false">I49*'Global Inputs'!$E$29/I$7</f>
        <v>0</v>
      </c>
      <c r="J70" s="47" t="n">
        <f aca="false">J49*'Global Inputs'!$E$29/J$7</f>
        <v>0</v>
      </c>
      <c r="K70" s="47" t="n">
        <f aca="false">K49*'Global Inputs'!$E$29/K$7</f>
        <v>0</v>
      </c>
      <c r="L70" s="47" t="n">
        <f aca="false">L49*'Global Inputs'!$E$29/L$7</f>
        <v>4.31482031663272</v>
      </c>
      <c r="M70" s="47" t="n">
        <f aca="false">M49*'Global Inputs'!$E$29/M$7</f>
        <v>8.89204874521886</v>
      </c>
      <c r="N70" s="47" t="n">
        <f aca="false">N49*'Global Inputs'!$E$29/N$7</f>
        <v>9.17178905638082</v>
      </c>
      <c r="O70" s="47" t="n">
        <f aca="false">O49*'Global Inputs'!$E$29/O$7</f>
        <v>9.41139194062615</v>
      </c>
      <c r="P70" s="47" t="n">
        <f aca="false">P49*'Global Inputs'!$E$29/P$7</f>
        <v>9.73445285794313</v>
      </c>
      <c r="Q70" s="47" t="n">
        <f aca="false">Q49*'Global Inputs'!$E$29/Q$7</f>
        <v>10.0415044968404</v>
      </c>
      <c r="R70" s="47" t="n">
        <f aca="false">R49*'Global Inputs'!$E$29/R$7</f>
        <v>10.3586760001503</v>
      </c>
      <c r="S70" s="47" t="n">
        <f aca="false">S49*'Global Inputs'!$E$29/S$7</f>
        <v>10.6571277115166</v>
      </c>
    </row>
    <row r="71" customFormat="false" ht="15" hidden="false" customHeight="false" outlineLevel="0" collapsed="false">
      <c r="B71" s="24" t="s">
        <v>1099</v>
      </c>
      <c r="C71" s="25" t="s">
        <v>170</v>
      </c>
      <c r="F71" s="47" t="n">
        <f aca="false">F69-F70</f>
        <v>0</v>
      </c>
      <c r="G71" s="47" t="n">
        <f aca="false">G69-G70</f>
        <v>0</v>
      </c>
      <c r="H71" s="47" t="n">
        <f aca="false">H69-H70</f>
        <v>0</v>
      </c>
      <c r="I71" s="47" t="n">
        <f aca="false">I69-I70</f>
        <v>0</v>
      </c>
      <c r="J71" s="47" t="n">
        <f aca="false">J69-J70</f>
        <v>0</v>
      </c>
      <c r="K71" s="47" t="n">
        <f aca="false">K69-K70</f>
        <v>0</v>
      </c>
      <c r="L71" s="47" t="n">
        <f aca="false">L69-L70</f>
        <v>18.2321168190695</v>
      </c>
      <c r="M71" s="47" t="n">
        <f aca="false">M69-M70</f>
        <v>37.3106471451921</v>
      </c>
      <c r="N71" s="47" t="n">
        <f aca="false">N69-N70</f>
        <v>38.4169877107425</v>
      </c>
      <c r="O71" s="47" t="n">
        <f aca="false">O69-O70</f>
        <v>39.4711234298657</v>
      </c>
      <c r="P71" s="47" t="n">
        <f aca="false">P69-P70</f>
        <v>40.752480414298</v>
      </c>
      <c r="Q71" s="47" t="n">
        <f aca="false">Q69-Q70</f>
        <v>41.960036773568</v>
      </c>
      <c r="R71" s="47" t="n">
        <f aca="false">R69-R70</f>
        <v>43.2029115083703</v>
      </c>
      <c r="S71" s="47" t="n">
        <f aca="false">S69-S70</f>
        <v>44.3605739929324</v>
      </c>
    </row>
    <row r="72" customFormat="false" ht="15" hidden="false" customHeight="false" outlineLevel="0" collapsed="false">
      <c r="B72" s="24" t="s">
        <v>1100</v>
      </c>
      <c r="C72" s="25" t="s">
        <v>170</v>
      </c>
      <c r="E72" s="47" t="n">
        <f aca="false">SUM(F72:S72)</f>
        <v>44.3605739929324</v>
      </c>
      <c r="F72" s="47" t="n">
        <f aca="false">0</f>
        <v>0</v>
      </c>
      <c r="G72" s="47" t="n">
        <f aca="false">G71-F71</f>
        <v>0</v>
      </c>
      <c r="H72" s="47" t="n">
        <f aca="false">H71-G71</f>
        <v>0</v>
      </c>
      <c r="I72" s="47" t="n">
        <f aca="false">I71-H71</f>
        <v>0</v>
      </c>
      <c r="J72" s="47" t="n">
        <f aca="false">J71-I71</f>
        <v>0</v>
      </c>
      <c r="K72" s="47" t="n">
        <f aca="false">K71-J71</f>
        <v>0</v>
      </c>
      <c r="L72" s="47" t="n">
        <f aca="false">L71-K71</f>
        <v>18.2321168190695</v>
      </c>
      <c r="M72" s="47" t="n">
        <f aca="false">M71-L71</f>
        <v>19.0785303261226</v>
      </c>
      <c r="N72" s="47" t="n">
        <f aca="false">N71-M71</f>
        <v>1.10634056555038</v>
      </c>
      <c r="O72" s="47" t="n">
        <f aca="false">O71-N71</f>
        <v>1.0541357191232</v>
      </c>
      <c r="P72" s="47" t="n">
        <f aca="false">P71-O71</f>
        <v>1.28135698443231</v>
      </c>
      <c r="Q72" s="47" t="n">
        <f aca="false">Q71-P71</f>
        <v>1.20755635926999</v>
      </c>
      <c r="R72" s="47" t="n">
        <f aca="false">R71-Q71</f>
        <v>1.24287473480238</v>
      </c>
      <c r="S72" s="47" t="n">
        <f aca="false">S71-R71</f>
        <v>1.15766248456204</v>
      </c>
    </row>
  </sheetData>
  <hyperlinks>
    <hyperlink ref="C3" r:id="rId1" location="'P15%20TBM%20Input'!A1" display="Input"/>
    <hyperlink ref="D3" r:id="rId2" location="'P15%20TBM%20Calc'!A1" display="Calc"/>
    <hyperlink ref="E3" r:id="rId3" location="'P15%20TBM%20Output'!A1" display="Output"/>
    <hyperlink ref="F3" r:id="rId4" location="'Navigation'!A1" display="Navigation"/>
    <hyperlink ref="G3" r:id="rId5" location="'Global%20Inputs'!A1" display="Global Inputs"/>
    <hyperlink ref="H3" r:id="rId6" location="'Project%20Summary'!A1" display="Project Summary"/>
    <hyperlink ref="I3" r:id="rId7" location="'Funding%20Requirement'!A1" display="Funding"/>
    <hyperlink ref="J3" r:id="rId8" location="'FSL%20Financials%20—%20Without%20BUMN'!A1" display="FSL w/o BUMN"/>
    <hyperlink ref="K3" r:id="rId9" location="'FSL%20Financials%20—%20With%20BUMN'!A1" display="FSL w/ BUMN"/>
    <hyperlink ref="L3" r:id="rId10" location="'Valuation%20—%20Without%20BUMN'!A1" display="Val w/o BUMN"/>
    <hyperlink ref="M3" r:id="rId11" location="'Valuation%20—%20With%20BUMN'!A1" display="Val w/ BUMN"/>
    <hyperlink ref="N3" r:id="rId12" location="'Checks'!A1" display="Checks"/>
    <hyperlink ref="O3" r:id="rId13" location="'Model%20Flow'!A1" display="Model Flow"/>
  </hyperlink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9D08E"/>
    <pageSetUpPr fitToPage="true"/>
  </sheetPr>
  <dimension ref="B1:U6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5" ySplit="9" topLeftCell="F10" activePane="bottomRight" state="frozen"/>
      <selection pane="topLeft" activeCell="A1" activeCellId="0" sqref="A1"/>
      <selection pane="topRight" activeCell="F1" activeCellId="0" sqref="F1"/>
      <selection pane="bottomLeft" activeCell="A10" activeCellId="0" sqref="A10"/>
      <selection pane="bottomRigh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66"/>
    <col collapsed="false" customWidth="true" hidden="false" outlineLevel="0" max="3" min="3" style="0" width="11"/>
    <col collapsed="false" customWidth="true" hidden="false" outlineLevel="0" max="4" min="4" style="0" width="12"/>
    <col collapsed="false" customWidth="true" hidden="false" outlineLevel="0" max="5" min="5" style="0" width="13"/>
    <col collapsed="false" customWidth="true" hidden="false" outlineLevel="0" max="19" min="6" style="0" width="11.5"/>
    <col collapsed="false" customWidth="true" hidden="false" outlineLevel="0" max="20" min="20" style="0" width="40"/>
    <col collapsed="false" customWidth="true" hidden="false" outlineLevel="0" max="21" min="21" style="0" width="48"/>
  </cols>
  <sheetData>
    <row r="1" customFormat="false" ht="21.75" hidden="false" customHeight="true" outlineLevel="0" collapsed="false">
      <c r="B1" s="1" t="s">
        <v>2509</v>
      </c>
    </row>
    <row r="2" customFormat="false" ht="15" hidden="false" customHeight="false" outlineLevel="0" collapsed="false">
      <c r="B2" s="2" t="s">
        <v>1102</v>
      </c>
    </row>
    <row r="3" customFormat="false" ht="15" hidden="false" customHeight="false" outlineLevel="0" collapsed="false">
      <c r="B3" s="5" t="s">
        <v>112</v>
      </c>
      <c r="C3" s="17" t="s">
        <v>27</v>
      </c>
      <c r="D3" s="17" t="s">
        <v>28</v>
      </c>
      <c r="E3" s="17" t="s">
        <v>29</v>
      </c>
      <c r="F3" s="17" t="s">
        <v>113</v>
      </c>
      <c r="G3" s="17" t="s">
        <v>5</v>
      </c>
      <c r="H3" s="17" t="s">
        <v>7</v>
      </c>
      <c r="I3" s="17" t="s">
        <v>114</v>
      </c>
      <c r="J3" s="17" t="s">
        <v>115</v>
      </c>
      <c r="K3" s="17" t="s">
        <v>116</v>
      </c>
      <c r="L3" s="17" t="s">
        <v>117</v>
      </c>
      <c r="M3" s="17" t="s">
        <v>118</v>
      </c>
      <c r="N3" s="17" t="s">
        <v>21</v>
      </c>
      <c r="O3" s="17" t="s">
        <v>3</v>
      </c>
    </row>
    <row r="5" customFormat="false" ht="15" hidden="false" customHeight="false" outlineLevel="0" collapsed="false">
      <c r="B5" s="6" t="s">
        <v>119</v>
      </c>
      <c r="C5" s="6" t="s">
        <v>120</v>
      </c>
      <c r="D5" s="6" t="s">
        <v>121</v>
      </c>
      <c r="E5" s="6" t="s">
        <v>122</v>
      </c>
      <c r="F5" s="18" t="n">
        <f aca="false">'Global Inputs'!F$5</f>
        <v>2023</v>
      </c>
      <c r="G5" s="18" t="n">
        <f aca="false">'Global Inputs'!G$5</f>
        <v>2024</v>
      </c>
      <c r="H5" s="18" t="n">
        <f aca="false">'Global Inputs'!H$5</f>
        <v>2025</v>
      </c>
      <c r="I5" s="18" t="n">
        <f aca="false">'Global Inputs'!I$5</f>
        <v>2026</v>
      </c>
      <c r="J5" s="18" t="n">
        <f aca="false">'Global Inputs'!J$5</f>
        <v>2027</v>
      </c>
      <c r="K5" s="18" t="n">
        <f aca="false">'Global Inputs'!K$5</f>
        <v>2028</v>
      </c>
      <c r="L5" s="18" t="n">
        <f aca="false">'Global Inputs'!L$5</f>
        <v>2029</v>
      </c>
      <c r="M5" s="18" t="n">
        <f aca="false">'Global Inputs'!M$5</f>
        <v>2030</v>
      </c>
      <c r="N5" s="18" t="n">
        <f aca="false">'Global Inputs'!N$5</f>
        <v>2031</v>
      </c>
      <c r="O5" s="18" t="n">
        <f aca="false">'Global Inputs'!O$5</f>
        <v>2032</v>
      </c>
      <c r="P5" s="18" t="n">
        <f aca="false">'Global Inputs'!P$5</f>
        <v>2033</v>
      </c>
      <c r="Q5" s="18" t="n">
        <f aca="false">'Global Inputs'!Q$5</f>
        <v>2034</v>
      </c>
      <c r="R5" s="18" t="n">
        <f aca="false">'Global Inputs'!R$5</f>
        <v>2035</v>
      </c>
      <c r="S5" s="18" t="n">
        <f aca="false">'Global Inputs'!S$5</f>
        <v>2036</v>
      </c>
      <c r="T5" s="6" t="s">
        <v>123</v>
      </c>
      <c r="U5" s="6" t="s">
        <v>124</v>
      </c>
    </row>
    <row r="6" customFormat="false" ht="15" hidden="false" customHeight="false" outlineLevel="0" collapsed="false">
      <c r="B6" s="19" t="s">
        <v>125</v>
      </c>
      <c r="F6" s="20" t="n">
        <f aca="false">'Global Inputs'!F$6</f>
        <v>45291</v>
      </c>
      <c r="G6" s="20" t="n">
        <f aca="false">'Global Inputs'!G$6</f>
        <v>45657</v>
      </c>
      <c r="H6" s="20" t="n">
        <f aca="false">'Global Inputs'!H$6</f>
        <v>46022</v>
      </c>
      <c r="I6" s="20" t="n">
        <f aca="false">'Global Inputs'!I$6</f>
        <v>46387</v>
      </c>
      <c r="J6" s="20" t="n">
        <f aca="false">'Global Inputs'!J$6</f>
        <v>46752</v>
      </c>
      <c r="K6" s="20" t="n">
        <f aca="false">'Global Inputs'!K$6</f>
        <v>47118</v>
      </c>
      <c r="L6" s="20" t="n">
        <f aca="false">'Global Inputs'!L$6</f>
        <v>47483</v>
      </c>
      <c r="M6" s="20" t="n">
        <f aca="false">'Global Inputs'!M$6</f>
        <v>47848</v>
      </c>
      <c r="N6" s="20" t="n">
        <f aca="false">'Global Inputs'!N$6</f>
        <v>48213</v>
      </c>
      <c r="O6" s="20" t="n">
        <f aca="false">'Global Inputs'!O$6</f>
        <v>48579</v>
      </c>
      <c r="P6" s="20" t="n">
        <f aca="false">'Global Inputs'!P$6</f>
        <v>48944</v>
      </c>
      <c r="Q6" s="20" t="n">
        <f aca="false">'Global Inputs'!Q$6</f>
        <v>49309</v>
      </c>
      <c r="R6" s="20" t="n">
        <f aca="false">'Global Inputs'!R$6</f>
        <v>49674</v>
      </c>
      <c r="S6" s="20" t="n">
        <f aca="false">'Global Inputs'!S$6</f>
        <v>50040</v>
      </c>
    </row>
    <row r="7" customFormat="false" ht="15" hidden="false" customHeight="false" outlineLevel="0" collapsed="false">
      <c r="B7" s="19" t="s">
        <v>126</v>
      </c>
      <c r="F7" s="21" t="n">
        <f aca="false">'Global Inputs'!F$7</f>
        <v>365</v>
      </c>
      <c r="G7" s="21" t="n">
        <f aca="false">'Global Inputs'!G$7</f>
        <v>366</v>
      </c>
      <c r="H7" s="21" t="n">
        <f aca="false">'Global Inputs'!H$7</f>
        <v>365</v>
      </c>
      <c r="I7" s="21" t="n">
        <f aca="false">'Global Inputs'!I$7</f>
        <v>365</v>
      </c>
      <c r="J7" s="21" t="n">
        <f aca="false">'Global Inputs'!J$7</f>
        <v>365</v>
      </c>
      <c r="K7" s="21" t="n">
        <f aca="false">'Global Inputs'!K$7</f>
        <v>366</v>
      </c>
      <c r="L7" s="21" t="n">
        <f aca="false">'Global Inputs'!L$7</f>
        <v>365</v>
      </c>
      <c r="M7" s="21" t="n">
        <f aca="false">'Global Inputs'!M$7</f>
        <v>365</v>
      </c>
      <c r="N7" s="21" t="n">
        <f aca="false">'Global Inputs'!N$7</f>
        <v>365</v>
      </c>
      <c r="O7" s="21" t="n">
        <f aca="false">'Global Inputs'!O$7</f>
        <v>366</v>
      </c>
      <c r="P7" s="21" t="n">
        <f aca="false">'Global Inputs'!P$7</f>
        <v>365</v>
      </c>
      <c r="Q7" s="21" t="n">
        <f aca="false">'Global Inputs'!Q$7</f>
        <v>365</v>
      </c>
      <c r="R7" s="21" t="n">
        <f aca="false">'Global Inputs'!R$7</f>
        <v>365</v>
      </c>
      <c r="S7" s="21" t="n">
        <f aca="false">'Global Inputs'!S$7</f>
        <v>366</v>
      </c>
    </row>
    <row r="8" customFormat="false" ht="15" hidden="false" customHeight="false" outlineLevel="0" collapsed="false">
      <c r="B8" s="19" t="s">
        <v>127</v>
      </c>
      <c r="F8" s="21" t="n">
        <f aca="false">'Global Inputs'!F$8</f>
        <v>0</v>
      </c>
      <c r="G8" s="21" t="n">
        <f aca="false">'Global Inputs'!G$8</f>
        <v>1</v>
      </c>
      <c r="H8" s="21" t="n">
        <f aca="false">'Global Inputs'!H$8</f>
        <v>1</v>
      </c>
      <c r="I8" s="21" t="n">
        <f aca="false">'Global Inputs'!I$8</f>
        <v>1</v>
      </c>
      <c r="J8" s="21" t="n">
        <f aca="false">'Global Inputs'!J$8</f>
        <v>1</v>
      </c>
      <c r="K8" s="21" t="n">
        <f aca="false">'Global Inputs'!K$8</f>
        <v>1</v>
      </c>
      <c r="L8" s="21" t="n">
        <f aca="false">'Global Inputs'!L$8</f>
        <v>1</v>
      </c>
      <c r="M8" s="21" t="n">
        <f aca="false">'Global Inputs'!M$8</f>
        <v>1</v>
      </c>
      <c r="N8" s="21" t="n">
        <f aca="false">'Global Inputs'!N$8</f>
        <v>1</v>
      </c>
      <c r="O8" s="21" t="n">
        <f aca="false">'Global Inputs'!O$8</f>
        <v>1</v>
      </c>
      <c r="P8" s="21" t="n">
        <f aca="false">'Global Inputs'!P$8</f>
        <v>1</v>
      </c>
      <c r="Q8" s="21" t="n">
        <f aca="false">'Global Inputs'!Q$8</f>
        <v>1</v>
      </c>
      <c r="R8" s="21" t="n">
        <f aca="false">'Global Inputs'!R$8</f>
        <v>1</v>
      </c>
      <c r="S8" s="21" t="n">
        <f aca="false">'Global Inputs'!S$8</f>
        <v>1</v>
      </c>
    </row>
    <row r="10" customFormat="false" ht="15" hidden="false" customHeight="false" outlineLevel="0" collapsed="false">
      <c r="B10" s="22" t="s">
        <v>1103</v>
      </c>
      <c r="C10" s="23"/>
      <c r="D10" s="23"/>
      <c r="E10" s="23"/>
      <c r="F10" s="23"/>
      <c r="G10" s="23"/>
      <c r="H10" s="23"/>
      <c r="I10" s="23"/>
      <c r="J10" s="23"/>
      <c r="K10" s="23"/>
      <c r="L10" s="23"/>
      <c r="M10" s="23"/>
      <c r="N10" s="23"/>
      <c r="O10" s="23"/>
      <c r="P10" s="23"/>
      <c r="Q10" s="23"/>
      <c r="R10" s="23"/>
      <c r="S10" s="23"/>
    </row>
    <row r="11" customFormat="false" ht="15" hidden="false" customHeight="false" outlineLevel="0" collapsed="false">
      <c r="B11" s="24" t="s">
        <v>345</v>
      </c>
      <c r="C11" s="25" t="s">
        <v>170</v>
      </c>
      <c r="E11" s="47" t="n">
        <f aca="false">SUM(F11:S11)</f>
        <v>3054.42825939193</v>
      </c>
      <c r="F11" s="47" t="n">
        <f aca="false">'P15 TBM Calc'!F40</f>
        <v>0</v>
      </c>
      <c r="G11" s="47" t="n">
        <f aca="false">'P15 TBM Calc'!G40</f>
        <v>0</v>
      </c>
      <c r="H11" s="47" t="n">
        <f aca="false">'P15 TBM Calc'!H40</f>
        <v>0</v>
      </c>
      <c r="I11" s="47" t="n">
        <f aca="false">'P15 TBM Calc'!I40</f>
        <v>0</v>
      </c>
      <c r="J11" s="47" t="n">
        <f aca="false">'P15 TBM Calc'!J40</f>
        <v>0</v>
      </c>
      <c r="K11" s="47" t="n">
        <f aca="false">'P15 TBM Calc'!K40</f>
        <v>0</v>
      </c>
      <c r="L11" s="47" t="n">
        <f aca="false">'P15 TBM Calc'!L40</f>
        <v>182.880712322918</v>
      </c>
      <c r="M11" s="47" t="n">
        <f aca="false">'P15 TBM Calc'!M40</f>
        <v>374.7552</v>
      </c>
      <c r="N11" s="47" t="n">
        <f aca="false">'P15 TBM Calc'!N40</f>
        <v>385.997856</v>
      </c>
      <c r="O11" s="47" t="n">
        <f aca="false">'P15 TBM Calc'!O40</f>
        <v>397.57779168</v>
      </c>
      <c r="P11" s="47" t="n">
        <f aca="false">'P15 TBM Calc'!P40</f>
        <v>409.5051254304</v>
      </c>
      <c r="Q11" s="47" t="n">
        <f aca="false">'P15 TBM Calc'!Q40</f>
        <v>421.790279193312</v>
      </c>
      <c r="R11" s="47" t="n">
        <f aca="false">'P15 TBM Calc'!R40</f>
        <v>434.443987569111</v>
      </c>
      <c r="S11" s="47" t="n">
        <f aca="false">'P15 TBM Calc'!S40</f>
        <v>447.477307196185</v>
      </c>
    </row>
    <row r="12" customFormat="false" ht="15" hidden="false" customHeight="false" outlineLevel="0" collapsed="false">
      <c r="B12" s="24" t="s">
        <v>391</v>
      </c>
      <c r="C12" s="25" t="s">
        <v>170</v>
      </c>
      <c r="E12" s="47" t="n">
        <f aca="false">SUM(F12:S12)</f>
        <v>-883.747652679663</v>
      </c>
      <c r="F12" s="47" t="n">
        <f aca="false">-'P15 TBM Calc'!F49</f>
        <v>-0</v>
      </c>
      <c r="G12" s="47" t="n">
        <f aca="false">-'P15 TBM Calc'!G49</f>
        <v>-0</v>
      </c>
      <c r="H12" s="47" t="n">
        <f aca="false">-'P15 TBM Calc'!H49</f>
        <v>-0</v>
      </c>
      <c r="I12" s="47" t="n">
        <f aca="false">-'P15 TBM Calc'!I49</f>
        <v>-0</v>
      </c>
      <c r="J12" s="47" t="n">
        <f aca="false">-'P15 TBM Calc'!J49</f>
        <v>-0</v>
      </c>
      <c r="K12" s="47" t="n">
        <f aca="false">-'P15 TBM Calc'!K49</f>
        <v>-0</v>
      </c>
      <c r="L12" s="47" t="n">
        <f aca="false">-'P15 TBM Calc'!L49</f>
        <v>-52.4969805190314</v>
      </c>
      <c r="M12" s="47" t="n">
        <f aca="false">-'P15 TBM Calc'!M49</f>
        <v>-108.186593066829</v>
      </c>
      <c r="N12" s="47" t="n">
        <f aca="false">-'P15 TBM Calc'!N49</f>
        <v>-111.590100185967</v>
      </c>
      <c r="O12" s="47" t="n">
        <f aca="false">-'P15 TBM Calc'!O49</f>
        <v>-114.818981675639</v>
      </c>
      <c r="P12" s="47" t="n">
        <f aca="false">-'P15 TBM Calc'!P49</f>
        <v>-118.435843104975</v>
      </c>
      <c r="Q12" s="47" t="n">
        <f aca="false">-'P15 TBM Calc'!Q49</f>
        <v>-122.171638044891</v>
      </c>
      <c r="R12" s="47" t="n">
        <f aca="false">-'P15 TBM Calc'!R49</f>
        <v>-126.030558001828</v>
      </c>
      <c r="S12" s="47" t="n">
        <f aca="false">-'P15 TBM Calc'!S49</f>
        <v>-130.016958080502</v>
      </c>
    </row>
    <row r="13" customFormat="false" ht="15" hidden="false" customHeight="false" outlineLevel="0" collapsed="false">
      <c r="B13" s="69" t="s">
        <v>392</v>
      </c>
      <c r="C13" s="25" t="s">
        <v>170</v>
      </c>
      <c r="E13" s="70" t="n">
        <f aca="false">SUM(F13:S13)</f>
        <v>2170.68060671226</v>
      </c>
      <c r="F13" s="68" t="n">
        <f aca="false">F11+F12</f>
        <v>0</v>
      </c>
      <c r="G13" s="68" t="n">
        <f aca="false">G11+G12</f>
        <v>0</v>
      </c>
      <c r="H13" s="68" t="n">
        <f aca="false">H11+H12</f>
        <v>0</v>
      </c>
      <c r="I13" s="68" t="n">
        <f aca="false">I11+I12</f>
        <v>0</v>
      </c>
      <c r="J13" s="68" t="n">
        <f aca="false">J11+J12</f>
        <v>0</v>
      </c>
      <c r="K13" s="68" t="n">
        <f aca="false">K11+K12</f>
        <v>0</v>
      </c>
      <c r="L13" s="68" t="n">
        <f aca="false">L11+L12</f>
        <v>130.383731803887</v>
      </c>
      <c r="M13" s="68" t="n">
        <f aca="false">M11+M12</f>
        <v>266.568606933171</v>
      </c>
      <c r="N13" s="68" t="n">
        <f aca="false">N11+N12</f>
        <v>274.407755814033</v>
      </c>
      <c r="O13" s="68" t="n">
        <f aca="false">O11+O12</f>
        <v>282.758810004361</v>
      </c>
      <c r="P13" s="68" t="n">
        <f aca="false">P11+P12</f>
        <v>291.069282325425</v>
      </c>
      <c r="Q13" s="68" t="n">
        <f aca="false">Q11+Q12</f>
        <v>299.618641148421</v>
      </c>
      <c r="R13" s="68" t="n">
        <f aca="false">R11+R12</f>
        <v>308.413429567283</v>
      </c>
      <c r="S13" s="68" t="n">
        <f aca="false">S11+S12</f>
        <v>317.460349115683</v>
      </c>
    </row>
    <row r="14" customFormat="false" ht="15" hidden="false" customHeight="false" outlineLevel="0" collapsed="false">
      <c r="B14" s="24" t="s">
        <v>393</v>
      </c>
      <c r="C14" s="25" t="s">
        <v>170</v>
      </c>
      <c r="E14" s="47" t="n">
        <f aca="false">SUM(F14:S14)</f>
        <v>-549.797086690547</v>
      </c>
      <c r="F14" s="47" t="n">
        <f aca="false">-'P15 TBM Calc'!F52</f>
        <v>-0</v>
      </c>
      <c r="G14" s="47" t="n">
        <f aca="false">-'P15 TBM Calc'!G52</f>
        <v>-0</v>
      </c>
      <c r="H14" s="47" t="n">
        <f aca="false">-'P15 TBM Calc'!H52</f>
        <v>-0</v>
      </c>
      <c r="I14" s="47" t="n">
        <f aca="false">-'P15 TBM Calc'!I52</f>
        <v>-0</v>
      </c>
      <c r="J14" s="47" t="n">
        <f aca="false">-'P15 TBM Calc'!J52</f>
        <v>-0</v>
      </c>
      <c r="K14" s="47" t="n">
        <f aca="false">-'P15 TBM Calc'!K52</f>
        <v>-0</v>
      </c>
      <c r="L14" s="47" t="n">
        <f aca="false">-'P15 TBM Calc'!L52</f>
        <v>-32.9185282181253</v>
      </c>
      <c r="M14" s="47" t="n">
        <f aca="false">-'P15 TBM Calc'!M52</f>
        <v>-67.455936</v>
      </c>
      <c r="N14" s="47" t="n">
        <f aca="false">-'P15 TBM Calc'!N52</f>
        <v>-69.47961408</v>
      </c>
      <c r="O14" s="47" t="n">
        <f aca="false">-'P15 TBM Calc'!O52</f>
        <v>-71.5640025024</v>
      </c>
      <c r="P14" s="47" t="n">
        <f aca="false">-'P15 TBM Calc'!P52</f>
        <v>-73.710922577472</v>
      </c>
      <c r="Q14" s="47" t="n">
        <f aca="false">-'P15 TBM Calc'!Q52</f>
        <v>-75.9222502547962</v>
      </c>
      <c r="R14" s="47" t="n">
        <f aca="false">-'P15 TBM Calc'!R52</f>
        <v>-78.1999177624401</v>
      </c>
      <c r="S14" s="47" t="n">
        <f aca="false">-'P15 TBM Calc'!S52</f>
        <v>-80.5459152953133</v>
      </c>
    </row>
    <row r="15" customFormat="false" ht="15" hidden="false" customHeight="false" outlineLevel="0" collapsed="false">
      <c r="B15" s="69" t="s">
        <v>346</v>
      </c>
      <c r="C15" s="25" t="s">
        <v>170</v>
      </c>
      <c r="E15" s="70" t="n">
        <f aca="false">SUM(F15:S15)</f>
        <v>1620.88352002172</v>
      </c>
      <c r="F15" s="68" t="n">
        <f aca="false">F13+F14</f>
        <v>0</v>
      </c>
      <c r="G15" s="68" t="n">
        <f aca="false">G13+G14</f>
        <v>0</v>
      </c>
      <c r="H15" s="68" t="n">
        <f aca="false">H13+H14</f>
        <v>0</v>
      </c>
      <c r="I15" s="68" t="n">
        <f aca="false">I13+I14</f>
        <v>0</v>
      </c>
      <c r="J15" s="68" t="n">
        <f aca="false">J13+J14</f>
        <v>0</v>
      </c>
      <c r="K15" s="68" t="n">
        <f aca="false">K13+K14</f>
        <v>0</v>
      </c>
      <c r="L15" s="68" t="n">
        <f aca="false">L13+L14</f>
        <v>97.4652035857615</v>
      </c>
      <c r="M15" s="68" t="n">
        <f aca="false">M13+M14</f>
        <v>199.11267093317</v>
      </c>
      <c r="N15" s="68" t="n">
        <f aca="false">N13+N14</f>
        <v>204.928141734033</v>
      </c>
      <c r="O15" s="68" t="n">
        <f aca="false">O13+O14</f>
        <v>211.194807501961</v>
      </c>
      <c r="P15" s="68" t="n">
        <f aca="false">P13+P14</f>
        <v>217.358359747953</v>
      </c>
      <c r="Q15" s="68" t="n">
        <f aca="false">Q13+Q14</f>
        <v>223.696390893625</v>
      </c>
      <c r="R15" s="68" t="n">
        <f aca="false">R13+R14</f>
        <v>230.213511804843</v>
      </c>
      <c r="S15" s="68" t="n">
        <f aca="false">S13+S14</f>
        <v>236.914433820369</v>
      </c>
    </row>
    <row r="16" customFormat="false" ht="15" hidden="false" customHeight="false" outlineLevel="0" collapsed="false">
      <c r="B16" s="24" t="s">
        <v>349</v>
      </c>
      <c r="C16" s="25" t="s">
        <v>170</v>
      </c>
      <c r="E16" s="47" t="n">
        <f aca="false">SUM(F16:S16)</f>
        <v>-358.05</v>
      </c>
      <c r="F16" s="47" t="n">
        <f aca="false">-'P15 TBM Calc'!F66</f>
        <v>-0</v>
      </c>
      <c r="G16" s="47" t="n">
        <f aca="false">-'P15 TBM Calc'!G66</f>
        <v>-0</v>
      </c>
      <c r="H16" s="47" t="n">
        <f aca="false">-'P15 TBM Calc'!H66</f>
        <v>-0</v>
      </c>
      <c r="I16" s="47" t="n">
        <f aca="false">-'P15 TBM Calc'!I66</f>
        <v>-0</v>
      </c>
      <c r="J16" s="47" t="n">
        <f aca="false">-'P15 TBM Calc'!J66</f>
        <v>-37.4325</v>
      </c>
      <c r="K16" s="47" t="n">
        <f aca="false">-'P15 TBM Calc'!K66</f>
        <v>-37.4325</v>
      </c>
      <c r="L16" s="47" t="n">
        <f aca="false">-'P15 TBM Calc'!L66</f>
        <v>-37.4325</v>
      </c>
      <c r="M16" s="47" t="n">
        <f aca="false">-'P15 TBM Calc'!M66</f>
        <v>-37.4325</v>
      </c>
      <c r="N16" s="47" t="n">
        <f aca="false">-'P15 TBM Calc'!N66</f>
        <v>-37.4325</v>
      </c>
      <c r="O16" s="47" t="n">
        <f aca="false">-'P15 TBM Calc'!O66</f>
        <v>-37.4325</v>
      </c>
      <c r="P16" s="47" t="n">
        <f aca="false">-'P15 TBM Calc'!P66</f>
        <v>-37.4325</v>
      </c>
      <c r="Q16" s="47" t="n">
        <f aca="false">-'P15 TBM Calc'!Q66</f>
        <v>-37.4325</v>
      </c>
      <c r="R16" s="47" t="n">
        <f aca="false">-'P15 TBM Calc'!R66</f>
        <v>-29.295</v>
      </c>
      <c r="S16" s="47" t="n">
        <f aca="false">-'P15 TBM Calc'!S66</f>
        <v>-29.295</v>
      </c>
    </row>
    <row r="17" customFormat="false" ht="15" hidden="false" customHeight="false" outlineLevel="0" collapsed="false">
      <c r="B17" s="69" t="s">
        <v>347</v>
      </c>
      <c r="C17" s="25" t="s">
        <v>170</v>
      </c>
      <c r="E17" s="70" t="n">
        <f aca="false">SUM(F17:S17)</f>
        <v>1262.83352002172</v>
      </c>
      <c r="F17" s="68" t="n">
        <f aca="false">F15+F16</f>
        <v>0</v>
      </c>
      <c r="G17" s="68" t="n">
        <f aca="false">G15+G16</f>
        <v>0</v>
      </c>
      <c r="H17" s="68" t="n">
        <f aca="false">H15+H16</f>
        <v>0</v>
      </c>
      <c r="I17" s="68" t="n">
        <f aca="false">I15+I16</f>
        <v>0</v>
      </c>
      <c r="J17" s="68" t="n">
        <f aca="false">J15+J16</f>
        <v>-37.4325</v>
      </c>
      <c r="K17" s="68" t="n">
        <f aca="false">K15+K16</f>
        <v>-37.4325</v>
      </c>
      <c r="L17" s="68" t="n">
        <f aca="false">L15+L16</f>
        <v>60.0327035857615</v>
      </c>
      <c r="M17" s="68" t="n">
        <f aca="false">M15+M16</f>
        <v>161.68017093317</v>
      </c>
      <c r="N17" s="68" t="n">
        <f aca="false">N15+N16</f>
        <v>167.495641734033</v>
      </c>
      <c r="O17" s="68" t="n">
        <f aca="false">O15+O16</f>
        <v>173.762307501961</v>
      </c>
      <c r="P17" s="68" t="n">
        <f aca="false">P15+P16</f>
        <v>179.925859747953</v>
      </c>
      <c r="Q17" s="68" t="n">
        <f aca="false">Q15+Q16</f>
        <v>186.263890893625</v>
      </c>
      <c r="R17" s="68" t="n">
        <f aca="false">R15+R16</f>
        <v>200.918511804843</v>
      </c>
      <c r="S17" s="68" t="n">
        <f aca="false">S15+S16</f>
        <v>207.619433820369</v>
      </c>
    </row>
    <row r="18" customFormat="false" ht="15" hidden="false" customHeight="false" outlineLevel="0" collapsed="false">
      <c r="B18" s="24" t="s">
        <v>1104</v>
      </c>
      <c r="C18" s="25" t="s">
        <v>170</v>
      </c>
      <c r="E18" s="47" t="n">
        <f aca="false">SUM(F18:S18)</f>
        <v>-294.293674404778</v>
      </c>
      <c r="F18" s="47" t="n">
        <f aca="false">-MAX(0,F17)*'Global Inputs'!$E$27</f>
        <v>-0</v>
      </c>
      <c r="G18" s="47" t="n">
        <f aca="false">-MAX(0,G17)*'Global Inputs'!$E$27</f>
        <v>-0</v>
      </c>
      <c r="H18" s="47" t="n">
        <f aca="false">-MAX(0,H17)*'Global Inputs'!$E$27</f>
        <v>-0</v>
      </c>
      <c r="I18" s="47" t="n">
        <f aca="false">-MAX(0,I17)*'Global Inputs'!$E$27</f>
        <v>-0</v>
      </c>
      <c r="J18" s="47" t="n">
        <f aca="false">-MAX(0,J17)*'Global Inputs'!$E$27</f>
        <v>-0</v>
      </c>
      <c r="K18" s="47" t="n">
        <f aca="false">-MAX(0,K17)*'Global Inputs'!$E$27</f>
        <v>-0</v>
      </c>
      <c r="L18" s="47" t="n">
        <f aca="false">-MAX(0,L17)*'Global Inputs'!$E$27</f>
        <v>-13.2071947888675</v>
      </c>
      <c r="M18" s="47" t="n">
        <f aca="false">-MAX(0,M17)*'Global Inputs'!$E$27</f>
        <v>-35.5696376052975</v>
      </c>
      <c r="N18" s="47" t="n">
        <f aca="false">-MAX(0,N17)*'Global Inputs'!$E$27</f>
        <v>-36.8490411814873</v>
      </c>
      <c r="O18" s="47" t="n">
        <f aca="false">-MAX(0,O17)*'Global Inputs'!$E$27</f>
        <v>-38.2277076504314</v>
      </c>
      <c r="P18" s="47" t="n">
        <f aca="false">-MAX(0,P17)*'Global Inputs'!$E$27</f>
        <v>-39.5836891445497</v>
      </c>
      <c r="Q18" s="47" t="n">
        <f aca="false">-MAX(0,Q17)*'Global Inputs'!$E$27</f>
        <v>-40.9780559965974</v>
      </c>
      <c r="R18" s="47" t="n">
        <f aca="false">-MAX(0,R17)*'Global Inputs'!$E$27</f>
        <v>-44.2020725970655</v>
      </c>
      <c r="S18" s="47" t="n">
        <f aca="false">-MAX(0,S17)*'Global Inputs'!$E$27</f>
        <v>-45.6762754404813</v>
      </c>
    </row>
    <row r="19" customFormat="false" ht="15" hidden="false" customHeight="false" outlineLevel="0" collapsed="false">
      <c r="B19" s="69" t="s">
        <v>1105</v>
      </c>
      <c r="C19" s="25" t="s">
        <v>170</v>
      </c>
      <c r="E19" s="70" t="n">
        <f aca="false">SUM(F19:S19)</f>
        <v>968.539845616939</v>
      </c>
      <c r="F19" s="68" t="n">
        <f aca="false">F17+F18</f>
        <v>0</v>
      </c>
      <c r="G19" s="68" t="n">
        <f aca="false">G17+G18</f>
        <v>0</v>
      </c>
      <c r="H19" s="68" t="n">
        <f aca="false">H17+H18</f>
        <v>0</v>
      </c>
      <c r="I19" s="68" t="n">
        <f aca="false">I17+I18</f>
        <v>0</v>
      </c>
      <c r="J19" s="68" t="n">
        <f aca="false">J17+J18</f>
        <v>-37.4325</v>
      </c>
      <c r="K19" s="68" t="n">
        <f aca="false">K17+K18</f>
        <v>-37.4325</v>
      </c>
      <c r="L19" s="68" t="n">
        <f aca="false">L17+L18</f>
        <v>46.825508796894</v>
      </c>
      <c r="M19" s="68" t="n">
        <f aca="false">M17+M18</f>
        <v>126.110533327873</v>
      </c>
      <c r="N19" s="68" t="n">
        <f aca="false">N17+N18</f>
        <v>130.646600552546</v>
      </c>
      <c r="O19" s="68" t="n">
        <f aca="false">O17+O18</f>
        <v>135.53459985153</v>
      </c>
      <c r="P19" s="68" t="n">
        <f aca="false">P17+P18</f>
        <v>140.342170603404</v>
      </c>
      <c r="Q19" s="68" t="n">
        <f aca="false">Q17+Q18</f>
        <v>145.285834897027</v>
      </c>
      <c r="R19" s="68" t="n">
        <f aca="false">R17+R18</f>
        <v>156.716439207778</v>
      </c>
      <c r="S19" s="68" t="n">
        <f aca="false">S17+S18</f>
        <v>161.943158379888</v>
      </c>
    </row>
    <row r="20" customFormat="false" ht="15" hidden="false" customHeight="false" outlineLevel="0" collapsed="false">
      <c r="B20" s="24" t="s">
        <v>402</v>
      </c>
      <c r="C20" s="25" t="s">
        <v>160</v>
      </c>
      <c r="F20" s="49" t="n">
        <f aca="false">IF(F11=0,0,F15/F11)</f>
        <v>0</v>
      </c>
      <c r="G20" s="49" t="n">
        <f aca="false">IF(G11=0,0,G15/G11)</f>
        <v>0</v>
      </c>
      <c r="H20" s="49" t="n">
        <f aca="false">IF(H11=0,0,H15/H11)</f>
        <v>0</v>
      </c>
      <c r="I20" s="49" t="n">
        <f aca="false">IF(I11=0,0,I15/I11)</f>
        <v>0</v>
      </c>
      <c r="J20" s="49" t="n">
        <f aca="false">IF(J11=0,0,J15/J11)</f>
        <v>0</v>
      </c>
      <c r="K20" s="49" t="n">
        <f aca="false">IF(K11=0,0,K15/K11)</f>
        <v>0</v>
      </c>
      <c r="L20" s="49" t="n">
        <f aca="false">IF(L11=0,0,L15/L11)</f>
        <v>0.532944137999989</v>
      </c>
      <c r="M20" s="49" t="n">
        <f aca="false">IF(M11=0,0,M15/M11)</f>
        <v>0.531313964244313</v>
      </c>
      <c r="N20" s="49" t="n">
        <f aca="false">IF(N11=0,0,N15/N11)</f>
        <v>0.530904870450973</v>
      </c>
      <c r="O20" s="49" t="n">
        <f aca="false">IF(O11=0,0,O15/O11)</f>
        <v>0.53120373401527</v>
      </c>
      <c r="P20" s="49" t="n">
        <f aca="false">IF(P11=0,0,P15/P11)</f>
        <v>0.530783001847667</v>
      </c>
      <c r="Q20" s="49" t="n">
        <f aca="false">IF(Q11=0,0,Q15/Q11)</f>
        <v>0.530349801615749</v>
      </c>
      <c r="R20" s="49" t="n">
        <f aca="false">IF(R11=0,0,R15/R11)</f>
        <v>0.52990378136657</v>
      </c>
      <c r="S20" s="49" t="n">
        <f aca="false">IF(S11=0,0,S15/S11)</f>
        <v>0.529444577435299</v>
      </c>
    </row>
    <row r="21" customFormat="false" ht="15" hidden="false" customHeight="false" outlineLevel="0" collapsed="false">
      <c r="B21" s="24" t="s">
        <v>1106</v>
      </c>
      <c r="C21" s="25" t="s">
        <v>160</v>
      </c>
      <c r="F21" s="49" t="n">
        <f aca="false">IF(F11=0,0,F17/F11)</f>
        <v>0</v>
      </c>
      <c r="G21" s="49" t="n">
        <f aca="false">IF(G11=0,0,G17/G11)</f>
        <v>0</v>
      </c>
      <c r="H21" s="49" t="n">
        <f aca="false">IF(H11=0,0,H17/H11)</f>
        <v>0</v>
      </c>
      <c r="I21" s="49" t="n">
        <f aca="false">IF(I11=0,0,I17/I11)</f>
        <v>0</v>
      </c>
      <c r="J21" s="49" t="n">
        <f aca="false">IF(J11=0,0,J17/J11)</f>
        <v>0</v>
      </c>
      <c r="K21" s="49" t="n">
        <f aca="false">IF(K11=0,0,K17/K11)</f>
        <v>0</v>
      </c>
      <c r="L21" s="49" t="n">
        <f aca="false">IF(L11=0,0,L17/L11)</f>
        <v>0.328261536294543</v>
      </c>
      <c r="M21" s="49" t="n">
        <f aca="false">IF(M11=0,0,M17/M11)</f>
        <v>0.431428759182449</v>
      </c>
      <c r="N21" s="49" t="n">
        <f aca="false">IF(N11=0,0,N17/N11)</f>
        <v>0.433928943206445</v>
      </c>
      <c r="O21" s="49" t="n">
        <f aca="false">IF(O11=0,0,O17/O11)</f>
        <v>0.43705234834097</v>
      </c>
      <c r="P21" s="49" t="n">
        <f aca="false">IF(P11=0,0,P17/P11)</f>
        <v>0.439373889542522</v>
      </c>
      <c r="Q21" s="49" t="n">
        <f aca="false">IF(Q11=0,0,Q17/Q11)</f>
        <v>0.44160309063988</v>
      </c>
      <c r="R21" s="49" t="n">
        <f aca="false">IF(R11=0,0,R17/R11)</f>
        <v>0.462472764162448</v>
      </c>
      <c r="S21" s="49" t="n">
        <f aca="false">IF(S11=0,0,S17/S11)</f>
        <v>0.463977570441006</v>
      </c>
    </row>
    <row r="23" customFormat="false" ht="15" hidden="false" customHeight="false" outlineLevel="0" collapsed="false">
      <c r="B23" s="22" t="s">
        <v>1107</v>
      </c>
      <c r="C23" s="23"/>
      <c r="D23" s="23"/>
      <c r="E23" s="23"/>
      <c r="F23" s="23"/>
      <c r="G23" s="23"/>
      <c r="H23" s="23"/>
      <c r="I23" s="23"/>
      <c r="J23" s="23"/>
      <c r="K23" s="23"/>
      <c r="L23" s="23"/>
      <c r="M23" s="23"/>
      <c r="N23" s="23"/>
      <c r="O23" s="23"/>
      <c r="P23" s="23"/>
      <c r="Q23" s="23"/>
      <c r="R23" s="23"/>
      <c r="S23" s="23"/>
    </row>
    <row r="24" customFormat="false" ht="15" hidden="false" customHeight="false" outlineLevel="0" collapsed="false">
      <c r="B24" s="24" t="s">
        <v>456</v>
      </c>
      <c r="C24" s="25" t="s">
        <v>170</v>
      </c>
      <c r="E24" s="47" t="n">
        <f aca="false">SUM(F24:S24)</f>
        <v>968.539845616939</v>
      </c>
      <c r="F24" s="47" t="n">
        <f aca="false">F19</f>
        <v>0</v>
      </c>
      <c r="G24" s="47" t="n">
        <f aca="false">G19</f>
        <v>0</v>
      </c>
      <c r="H24" s="47" t="n">
        <f aca="false">H19</f>
        <v>0</v>
      </c>
      <c r="I24" s="47" t="n">
        <f aca="false">I19</f>
        <v>0</v>
      </c>
      <c r="J24" s="47" t="n">
        <f aca="false">J19</f>
        <v>-37.4325</v>
      </c>
      <c r="K24" s="47" t="n">
        <f aca="false">K19</f>
        <v>-37.4325</v>
      </c>
      <c r="L24" s="47" t="n">
        <f aca="false">L19</f>
        <v>46.825508796894</v>
      </c>
      <c r="M24" s="47" t="n">
        <f aca="false">M19</f>
        <v>126.110533327873</v>
      </c>
      <c r="N24" s="47" t="n">
        <f aca="false">N19</f>
        <v>130.646600552546</v>
      </c>
      <c r="O24" s="47" t="n">
        <f aca="false">O19</f>
        <v>135.53459985153</v>
      </c>
      <c r="P24" s="47" t="n">
        <f aca="false">P19</f>
        <v>140.342170603404</v>
      </c>
      <c r="Q24" s="47" t="n">
        <f aca="false">Q19</f>
        <v>145.285834897027</v>
      </c>
      <c r="R24" s="47" t="n">
        <f aca="false">R19</f>
        <v>156.716439207778</v>
      </c>
      <c r="S24" s="47" t="n">
        <f aca="false">S19</f>
        <v>161.943158379888</v>
      </c>
    </row>
    <row r="25" customFormat="false" ht="15" hidden="false" customHeight="false" outlineLevel="0" collapsed="false">
      <c r="B25" s="24" t="s">
        <v>419</v>
      </c>
      <c r="C25" s="25" t="s">
        <v>170</v>
      </c>
      <c r="E25" s="47" t="n">
        <f aca="false">SUM(F25:S25)</f>
        <v>358.05</v>
      </c>
      <c r="F25" s="47" t="n">
        <f aca="false">-F16</f>
        <v>0</v>
      </c>
      <c r="G25" s="47" t="n">
        <f aca="false">-G16</f>
        <v>0</v>
      </c>
      <c r="H25" s="47" t="n">
        <f aca="false">-H16</f>
        <v>0</v>
      </c>
      <c r="I25" s="47" t="n">
        <f aca="false">-I16</f>
        <v>0</v>
      </c>
      <c r="J25" s="47" t="n">
        <f aca="false">-J16</f>
        <v>37.4325</v>
      </c>
      <c r="K25" s="47" t="n">
        <f aca="false">-K16</f>
        <v>37.4325</v>
      </c>
      <c r="L25" s="47" t="n">
        <f aca="false">-L16</f>
        <v>37.4325</v>
      </c>
      <c r="M25" s="47" t="n">
        <f aca="false">-M16</f>
        <v>37.4325</v>
      </c>
      <c r="N25" s="47" t="n">
        <f aca="false">-N16</f>
        <v>37.4325</v>
      </c>
      <c r="O25" s="47" t="n">
        <f aca="false">-O16</f>
        <v>37.4325</v>
      </c>
      <c r="P25" s="47" t="n">
        <f aca="false">-P16</f>
        <v>37.4325</v>
      </c>
      <c r="Q25" s="47" t="n">
        <f aca="false">-Q16</f>
        <v>37.4325</v>
      </c>
      <c r="R25" s="47" t="n">
        <f aca="false">-R16</f>
        <v>29.295</v>
      </c>
      <c r="S25" s="47" t="n">
        <f aca="false">-S16</f>
        <v>29.295</v>
      </c>
    </row>
    <row r="26" customFormat="false" ht="15" hidden="false" customHeight="false" outlineLevel="0" collapsed="false">
      <c r="B26" s="24" t="s">
        <v>1108</v>
      </c>
      <c r="C26" s="25" t="s">
        <v>170</v>
      </c>
      <c r="E26" s="47" t="n">
        <f aca="false">SUM(F26:S26)</f>
        <v>-651</v>
      </c>
      <c r="F26" s="47" t="n">
        <f aca="false">-'P15 TBM Calc'!F57</f>
        <v>-0</v>
      </c>
      <c r="G26" s="47" t="n">
        <f aca="false">-'P15 TBM Calc'!G57</f>
        <v>-0</v>
      </c>
      <c r="H26" s="47" t="n">
        <f aca="false">-'P15 TBM Calc'!H57</f>
        <v>-455.7</v>
      </c>
      <c r="I26" s="47" t="n">
        <f aca="false">-'P15 TBM Calc'!I57</f>
        <v>-195.3</v>
      </c>
      <c r="J26" s="47" t="n">
        <f aca="false">-'P15 TBM Calc'!J57</f>
        <v>-0</v>
      </c>
      <c r="K26" s="47" t="n">
        <f aca="false">-'P15 TBM Calc'!K57</f>
        <v>-0</v>
      </c>
      <c r="L26" s="47" t="n">
        <f aca="false">-'P15 TBM Calc'!L57</f>
        <v>-0</v>
      </c>
      <c r="M26" s="47" t="n">
        <f aca="false">-'P15 TBM Calc'!M57</f>
        <v>-0</v>
      </c>
      <c r="N26" s="47" t="n">
        <f aca="false">-'P15 TBM Calc'!N57</f>
        <v>-0</v>
      </c>
      <c r="O26" s="47" t="n">
        <f aca="false">-'P15 TBM Calc'!O57</f>
        <v>-0</v>
      </c>
      <c r="P26" s="47" t="n">
        <f aca="false">-'P15 TBM Calc'!P57</f>
        <v>-0</v>
      </c>
      <c r="Q26" s="47" t="n">
        <f aca="false">-'P15 TBM Calc'!Q57</f>
        <v>-0</v>
      </c>
      <c r="R26" s="47" t="n">
        <f aca="false">-'P15 TBM Calc'!R57</f>
        <v>-0</v>
      </c>
      <c r="S26" s="47" t="n">
        <f aca="false">-'P15 TBM Calc'!S57</f>
        <v>-0</v>
      </c>
    </row>
    <row r="27" customFormat="false" ht="15" hidden="false" customHeight="false" outlineLevel="0" collapsed="false">
      <c r="B27" s="24" t="s">
        <v>651</v>
      </c>
      <c r="C27" s="25" t="s">
        <v>170</v>
      </c>
      <c r="E27" s="47" t="n">
        <f aca="false">SUM(F27:S27)</f>
        <v>-44.3605739929324</v>
      </c>
      <c r="F27" s="47" t="n">
        <f aca="false">-'P15 TBM Calc'!F72</f>
        <v>-0</v>
      </c>
      <c r="G27" s="47" t="n">
        <f aca="false">-'P15 TBM Calc'!G72</f>
        <v>-0</v>
      </c>
      <c r="H27" s="47" t="n">
        <f aca="false">-'P15 TBM Calc'!H72</f>
        <v>-0</v>
      </c>
      <c r="I27" s="47" t="n">
        <f aca="false">-'P15 TBM Calc'!I72</f>
        <v>-0</v>
      </c>
      <c r="J27" s="47" t="n">
        <f aca="false">-'P15 TBM Calc'!J72</f>
        <v>-0</v>
      </c>
      <c r="K27" s="47" t="n">
        <f aca="false">-'P15 TBM Calc'!K72</f>
        <v>-0</v>
      </c>
      <c r="L27" s="47" t="n">
        <f aca="false">-'P15 TBM Calc'!L72</f>
        <v>-18.2321168190695</v>
      </c>
      <c r="M27" s="47" t="n">
        <f aca="false">-'P15 TBM Calc'!M72</f>
        <v>-19.0785303261226</v>
      </c>
      <c r="N27" s="47" t="n">
        <f aca="false">-'P15 TBM Calc'!N72</f>
        <v>-1.10634056555038</v>
      </c>
      <c r="O27" s="47" t="n">
        <f aca="false">-'P15 TBM Calc'!O72</f>
        <v>-1.0541357191232</v>
      </c>
      <c r="P27" s="47" t="n">
        <f aca="false">-'P15 TBM Calc'!P72</f>
        <v>-1.28135698443231</v>
      </c>
      <c r="Q27" s="47" t="n">
        <f aca="false">-'P15 TBM Calc'!Q72</f>
        <v>-1.20755635926999</v>
      </c>
      <c r="R27" s="47" t="n">
        <f aca="false">-'P15 TBM Calc'!R72</f>
        <v>-1.24287473480238</v>
      </c>
      <c r="S27" s="47" t="n">
        <f aca="false">-'P15 TBM Calc'!S72</f>
        <v>-1.15766248456204</v>
      </c>
    </row>
    <row r="28" customFormat="false" ht="15" hidden="false" customHeight="false" outlineLevel="0" collapsed="false">
      <c r="B28" s="69" t="s">
        <v>1109</v>
      </c>
      <c r="C28" s="25" t="s">
        <v>170</v>
      </c>
      <c r="E28" s="70" t="n">
        <f aca="false">SUM(F28:S28)</f>
        <v>631.229271624007</v>
      </c>
      <c r="F28" s="68" t="n">
        <f aca="false">F24+F25+F26+F27</f>
        <v>0</v>
      </c>
      <c r="G28" s="68" t="n">
        <f aca="false">G24+G25+G26+G27</f>
        <v>0</v>
      </c>
      <c r="H28" s="68" t="n">
        <f aca="false">H24+H25+H26+H27</f>
        <v>-455.7</v>
      </c>
      <c r="I28" s="68" t="n">
        <f aca="false">I24+I25+I26+I27</f>
        <v>-195.3</v>
      </c>
      <c r="J28" s="68" t="n">
        <f aca="false">J24+J25+J26+J27</f>
        <v>0</v>
      </c>
      <c r="K28" s="68" t="n">
        <f aca="false">K24+K25+K26+K27</f>
        <v>0</v>
      </c>
      <c r="L28" s="68" t="n">
        <f aca="false">L24+L25+L26+L27</f>
        <v>66.0258919778245</v>
      </c>
      <c r="M28" s="68" t="n">
        <f aca="false">M24+M25+M26+M27</f>
        <v>144.46450300175</v>
      </c>
      <c r="N28" s="68" t="n">
        <f aca="false">N24+N25+N26+N27</f>
        <v>166.972759986996</v>
      </c>
      <c r="O28" s="68" t="n">
        <f aca="false">O24+O25+O26+O27</f>
        <v>171.912964132406</v>
      </c>
      <c r="P28" s="68" t="n">
        <f aca="false">P24+P25+P26+P27</f>
        <v>176.493313618971</v>
      </c>
      <c r="Q28" s="68" t="n">
        <f aca="false">Q24+Q25+Q26+Q27</f>
        <v>181.510778537757</v>
      </c>
      <c r="R28" s="68" t="n">
        <f aca="false">R24+R25+R26+R27</f>
        <v>184.768564472975</v>
      </c>
      <c r="S28" s="68" t="n">
        <f aca="false">S24+S25+S26+S27</f>
        <v>190.080495895326</v>
      </c>
    </row>
    <row r="29" customFormat="false" ht="15" hidden="false" customHeight="false" outlineLevel="0" collapsed="false">
      <c r="B29" s="24" t="s">
        <v>354</v>
      </c>
      <c r="C29" s="25" t="s">
        <v>170</v>
      </c>
      <c r="F29" s="47" t="n">
        <f aca="false">SUM($F$28:F28)</f>
        <v>0</v>
      </c>
      <c r="G29" s="47" t="n">
        <f aca="false">SUM($F$28:G28)</f>
        <v>0</v>
      </c>
      <c r="H29" s="47" t="n">
        <f aca="false">SUM($F$28:H28)</f>
        <v>-455.7</v>
      </c>
      <c r="I29" s="47" t="n">
        <f aca="false">SUM($F$28:I28)</f>
        <v>-651</v>
      </c>
      <c r="J29" s="47" t="n">
        <f aca="false">SUM($F$28:J28)</f>
        <v>-651</v>
      </c>
      <c r="K29" s="47" t="n">
        <f aca="false">SUM($F$28:K28)</f>
        <v>-651</v>
      </c>
      <c r="L29" s="47" t="n">
        <f aca="false">SUM($F$28:L28)</f>
        <v>-584.974108022176</v>
      </c>
      <c r="M29" s="47" t="n">
        <f aca="false">SUM($F$28:M28)</f>
        <v>-440.509605020425</v>
      </c>
      <c r="N29" s="47" t="n">
        <f aca="false">SUM($F$28:N28)</f>
        <v>-273.53684503343</v>
      </c>
      <c r="O29" s="47" t="n">
        <f aca="false">SUM($F$28:O28)</f>
        <v>-101.623880901023</v>
      </c>
      <c r="P29" s="47" t="n">
        <f aca="false">SUM($F$28:P28)</f>
        <v>74.8694327179482</v>
      </c>
      <c r="Q29" s="47" t="n">
        <f aca="false">SUM($F$28:Q28)</f>
        <v>256.380211255705</v>
      </c>
      <c r="R29" s="47" t="n">
        <f aca="false">SUM($F$28:R28)</f>
        <v>441.148775728681</v>
      </c>
      <c r="S29" s="47" t="n">
        <f aca="false">SUM($F$28:S28)</f>
        <v>631.229271624007</v>
      </c>
    </row>
    <row r="30" customFormat="false" ht="15" hidden="false" customHeight="false" outlineLevel="0" collapsed="false">
      <c r="B30" s="24" t="s">
        <v>1110</v>
      </c>
      <c r="C30" s="25" t="s">
        <v>170</v>
      </c>
      <c r="E30" s="47" t="n">
        <f aca="false">SUM(F30:S30)</f>
        <v>1282.22927162401</v>
      </c>
      <c r="F30" s="47" t="n">
        <f aca="false">F28*'Global Inputs'!F16</f>
        <v>0</v>
      </c>
      <c r="G30" s="47" t="n">
        <f aca="false">G28*'Global Inputs'!G16</f>
        <v>0</v>
      </c>
      <c r="H30" s="47" t="n">
        <f aca="false">H28*'Global Inputs'!H16</f>
        <v>-0</v>
      </c>
      <c r="I30" s="47" t="n">
        <f aca="false">I28*'Global Inputs'!I16</f>
        <v>-0</v>
      </c>
      <c r="J30" s="47" t="n">
        <f aca="false">J28*'Global Inputs'!J16</f>
        <v>0</v>
      </c>
      <c r="K30" s="47" t="n">
        <f aca="false">K28*'Global Inputs'!K16</f>
        <v>0</v>
      </c>
      <c r="L30" s="47" t="n">
        <f aca="false">L28*'Global Inputs'!L16</f>
        <v>66.0258919778245</v>
      </c>
      <c r="M30" s="47" t="n">
        <f aca="false">M28*'Global Inputs'!M16</f>
        <v>144.46450300175</v>
      </c>
      <c r="N30" s="47" t="n">
        <f aca="false">N28*'Global Inputs'!N16</f>
        <v>166.972759986996</v>
      </c>
      <c r="O30" s="47" t="n">
        <f aca="false">O28*'Global Inputs'!O16</f>
        <v>171.912964132406</v>
      </c>
      <c r="P30" s="47" t="n">
        <f aca="false">P28*'Global Inputs'!P16</f>
        <v>176.493313618971</v>
      </c>
      <c r="Q30" s="47" t="n">
        <f aca="false">Q28*'Global Inputs'!Q16</f>
        <v>181.510778537757</v>
      </c>
      <c r="R30" s="47" t="n">
        <f aca="false">R28*'Global Inputs'!R16</f>
        <v>184.768564472975</v>
      </c>
      <c r="S30" s="47" t="n">
        <f aca="false">S28*'Global Inputs'!S16</f>
        <v>190.080495895326</v>
      </c>
    </row>
    <row r="31" customFormat="false" ht="15" hidden="false" customHeight="false" outlineLevel="0" collapsed="false">
      <c r="B31" s="24" t="s">
        <v>1111</v>
      </c>
      <c r="C31" s="25" t="s">
        <v>170</v>
      </c>
      <c r="E31" s="47" t="n">
        <f aca="false">SUM(F31:S31)</f>
        <v>651</v>
      </c>
      <c r="F31" s="47" t="n">
        <f aca="false">MAX(0,-F28)</f>
        <v>-0</v>
      </c>
      <c r="G31" s="47" t="n">
        <f aca="false">MAX(0,-G28)</f>
        <v>-0</v>
      </c>
      <c r="H31" s="47" t="n">
        <f aca="false">MAX(0,-H28)</f>
        <v>455.7</v>
      </c>
      <c r="I31" s="47" t="n">
        <f aca="false">MAX(0,-I28)</f>
        <v>195.3</v>
      </c>
      <c r="J31" s="47" t="n">
        <f aca="false">MAX(0,-J28)</f>
        <v>-0</v>
      </c>
      <c r="K31" s="47" t="n">
        <f aca="false">MAX(0,-K28)</f>
        <v>-0</v>
      </c>
      <c r="L31" s="47" t="n">
        <f aca="false">MAX(0,-L28)</f>
        <v>0</v>
      </c>
      <c r="M31" s="47" t="n">
        <f aca="false">MAX(0,-M28)</f>
        <v>0</v>
      </c>
      <c r="N31" s="47" t="n">
        <f aca="false">MAX(0,-N28)</f>
        <v>0</v>
      </c>
      <c r="O31" s="47" t="n">
        <f aca="false">MAX(0,-O28)</f>
        <v>0</v>
      </c>
      <c r="P31" s="47" t="n">
        <f aca="false">MAX(0,-P28)</f>
        <v>0</v>
      </c>
      <c r="Q31" s="47" t="n">
        <f aca="false">MAX(0,-Q28)</f>
        <v>0</v>
      </c>
      <c r="R31" s="47" t="n">
        <f aca="false">MAX(0,-R28)</f>
        <v>0</v>
      </c>
      <c r="S31" s="47" t="n">
        <f aca="false">MAX(0,-S28)</f>
        <v>0</v>
      </c>
    </row>
    <row r="33" customFormat="false" ht="15" hidden="false" customHeight="false" outlineLevel="0" collapsed="false">
      <c r="B33" s="22" t="s">
        <v>1112</v>
      </c>
      <c r="C33" s="23"/>
      <c r="D33" s="23"/>
      <c r="E33" s="23"/>
      <c r="F33" s="23"/>
      <c r="G33" s="23"/>
      <c r="H33" s="23"/>
      <c r="I33" s="23"/>
      <c r="J33" s="23"/>
      <c r="K33" s="23"/>
      <c r="L33" s="23"/>
      <c r="M33" s="23"/>
      <c r="N33" s="23"/>
      <c r="O33" s="23"/>
      <c r="P33" s="23"/>
      <c r="Q33" s="23"/>
      <c r="R33" s="23"/>
      <c r="S33" s="23"/>
    </row>
    <row r="34" customFormat="false" ht="15" hidden="false" customHeight="false" outlineLevel="0" collapsed="false">
      <c r="B34" s="24" t="s">
        <v>1113</v>
      </c>
      <c r="C34" s="25" t="s">
        <v>240</v>
      </c>
      <c r="E34" s="44" t="n">
        <f aca="false">SUM(F34:S34)</f>
        <v>40.0245926836766</v>
      </c>
      <c r="F34" s="44" t="n">
        <f aca="false">'P15 TBM Calc'!F55</f>
        <v>0</v>
      </c>
      <c r="G34" s="44" t="n">
        <f aca="false">'P15 TBM Calc'!G55</f>
        <v>0</v>
      </c>
      <c r="H34" s="44" t="n">
        <f aca="false">'P15 TBM Calc'!H55</f>
        <v>28.0172148785736</v>
      </c>
      <c r="I34" s="44" t="n">
        <f aca="false">'P15 TBM Calc'!I55</f>
        <v>12.007377805103</v>
      </c>
      <c r="J34" s="44" t="n">
        <f aca="false">'P15 TBM Calc'!J55</f>
        <v>0</v>
      </c>
      <c r="K34" s="44" t="n">
        <f aca="false">'P15 TBM Calc'!K55</f>
        <v>0</v>
      </c>
      <c r="L34" s="44" t="n">
        <f aca="false">'P15 TBM Calc'!L55</f>
        <v>0</v>
      </c>
      <c r="M34" s="44" t="n">
        <f aca="false">'P15 TBM Calc'!M55</f>
        <v>0</v>
      </c>
      <c r="N34" s="44" t="n">
        <f aca="false">'P15 TBM Calc'!N55</f>
        <v>0</v>
      </c>
      <c r="O34" s="44" t="n">
        <f aca="false">'P15 TBM Calc'!O55</f>
        <v>0</v>
      </c>
      <c r="P34" s="44" t="n">
        <f aca="false">'P15 TBM Calc'!P55</f>
        <v>0</v>
      </c>
      <c r="Q34" s="44" t="n">
        <f aca="false">'P15 TBM Calc'!Q55</f>
        <v>0</v>
      </c>
      <c r="R34" s="44" t="n">
        <f aca="false">'P15 TBM Calc'!R55</f>
        <v>0</v>
      </c>
      <c r="S34" s="44" t="n">
        <f aca="false">'P15 TBM Calc'!S55</f>
        <v>0</v>
      </c>
    </row>
    <row r="35" customFormat="false" ht="15" hidden="false" customHeight="false" outlineLevel="0" collapsed="false">
      <c r="B35" s="24" t="s">
        <v>1114</v>
      </c>
      <c r="C35" s="25" t="s">
        <v>170</v>
      </c>
      <c r="E35" s="47" t="n">
        <f aca="false">SUM(F35:S35)</f>
        <v>651</v>
      </c>
      <c r="F35" s="47" t="n">
        <f aca="false">'P15 TBM Calc'!F57</f>
        <v>0</v>
      </c>
      <c r="G35" s="47" t="n">
        <f aca="false">'P15 TBM Calc'!G57</f>
        <v>0</v>
      </c>
      <c r="H35" s="47" t="n">
        <f aca="false">'P15 TBM Calc'!H57</f>
        <v>455.7</v>
      </c>
      <c r="I35" s="47" t="n">
        <f aca="false">'P15 TBM Calc'!I57</f>
        <v>195.3</v>
      </c>
      <c r="J35" s="47" t="n">
        <f aca="false">'P15 TBM Calc'!J57</f>
        <v>0</v>
      </c>
      <c r="K35" s="47" t="n">
        <f aca="false">'P15 TBM Calc'!K57</f>
        <v>0</v>
      </c>
      <c r="L35" s="47" t="n">
        <f aca="false">'P15 TBM Calc'!L57</f>
        <v>0</v>
      </c>
      <c r="M35" s="47" t="n">
        <f aca="false">'P15 TBM Calc'!M57</f>
        <v>0</v>
      </c>
      <c r="N35" s="47" t="n">
        <f aca="false">'P15 TBM Calc'!N57</f>
        <v>0</v>
      </c>
      <c r="O35" s="47" t="n">
        <f aca="false">'P15 TBM Calc'!O57</f>
        <v>0</v>
      </c>
      <c r="P35" s="47" t="n">
        <f aca="false">'P15 TBM Calc'!P57</f>
        <v>0</v>
      </c>
      <c r="Q35" s="47" t="n">
        <f aca="false">'P15 TBM Calc'!Q57</f>
        <v>0</v>
      </c>
      <c r="R35" s="47" t="n">
        <f aca="false">'P15 TBM Calc'!R57</f>
        <v>0</v>
      </c>
      <c r="S35" s="47" t="n">
        <f aca="false">'P15 TBM Calc'!S57</f>
        <v>0</v>
      </c>
    </row>
    <row r="36" customFormat="false" ht="15" hidden="false" customHeight="false" outlineLevel="0" collapsed="false">
      <c r="B36" s="24" t="s">
        <v>1115</v>
      </c>
      <c r="C36" s="25" t="s">
        <v>170</v>
      </c>
      <c r="F36" s="47" t="n">
        <f aca="false">'P15 TBM Calc'!F64</f>
        <v>0</v>
      </c>
      <c r="G36" s="47" t="n">
        <f aca="false">'P15 TBM Calc'!G64</f>
        <v>0</v>
      </c>
      <c r="H36" s="47" t="n">
        <f aca="false">'P15 TBM Calc'!H64</f>
        <v>455.7</v>
      </c>
      <c r="I36" s="47" t="n">
        <f aca="false">'P15 TBM Calc'!I64</f>
        <v>651</v>
      </c>
      <c r="J36" s="47" t="n">
        <f aca="false">'P15 TBM Calc'!J64</f>
        <v>613.5675</v>
      </c>
      <c r="K36" s="47" t="n">
        <f aca="false">'P15 TBM Calc'!K64</f>
        <v>576.135</v>
      </c>
      <c r="L36" s="47" t="n">
        <f aca="false">'P15 TBM Calc'!L64</f>
        <v>538.7025</v>
      </c>
      <c r="M36" s="47" t="n">
        <f aca="false">'P15 TBM Calc'!M64</f>
        <v>501.27</v>
      </c>
      <c r="N36" s="47" t="n">
        <f aca="false">'P15 TBM Calc'!N64</f>
        <v>463.8375</v>
      </c>
      <c r="O36" s="47" t="n">
        <f aca="false">'P15 TBM Calc'!O64</f>
        <v>426.405</v>
      </c>
      <c r="P36" s="47" t="n">
        <f aca="false">'P15 TBM Calc'!P64</f>
        <v>388.9725</v>
      </c>
      <c r="Q36" s="47" t="n">
        <f aca="false">'P15 TBM Calc'!Q64</f>
        <v>351.54</v>
      </c>
      <c r="R36" s="47" t="n">
        <f aca="false">'P15 TBM Calc'!R64</f>
        <v>322.245</v>
      </c>
      <c r="S36" s="47" t="n">
        <f aca="false">'P15 TBM Calc'!S64</f>
        <v>292.95</v>
      </c>
    </row>
    <row r="37" customFormat="false" ht="15" hidden="false" customHeight="false" outlineLevel="0" collapsed="false">
      <c r="B37" s="24" t="s">
        <v>463</v>
      </c>
      <c r="C37" s="25" t="s">
        <v>170</v>
      </c>
      <c r="F37" s="47" t="n">
        <f aca="false">'P15 TBM Calc'!F69</f>
        <v>0</v>
      </c>
      <c r="G37" s="47" t="n">
        <f aca="false">'P15 TBM Calc'!G69</f>
        <v>0</v>
      </c>
      <c r="H37" s="47" t="n">
        <f aca="false">'P15 TBM Calc'!H69</f>
        <v>0</v>
      </c>
      <c r="I37" s="47" t="n">
        <f aca="false">'P15 TBM Calc'!I69</f>
        <v>0</v>
      </c>
      <c r="J37" s="47" t="n">
        <f aca="false">'P15 TBM Calc'!J69</f>
        <v>0</v>
      </c>
      <c r="K37" s="47" t="n">
        <f aca="false">'P15 TBM Calc'!K69</f>
        <v>0</v>
      </c>
      <c r="L37" s="47" t="n">
        <f aca="false">'P15 TBM Calc'!L69</f>
        <v>22.5469371357023</v>
      </c>
      <c r="M37" s="47" t="n">
        <f aca="false">'P15 TBM Calc'!M69</f>
        <v>46.202695890411</v>
      </c>
      <c r="N37" s="47" t="n">
        <f aca="false">'P15 TBM Calc'!N69</f>
        <v>47.5887767671233</v>
      </c>
      <c r="O37" s="47" t="n">
        <f aca="false">'P15 TBM Calc'!O69</f>
        <v>48.8825153704918</v>
      </c>
      <c r="P37" s="47" t="n">
        <f aca="false">'P15 TBM Calc'!P69</f>
        <v>50.4869332722411</v>
      </c>
      <c r="Q37" s="47" t="n">
        <f aca="false">'P15 TBM Calc'!Q69</f>
        <v>52.0015412704083</v>
      </c>
      <c r="R37" s="47" t="n">
        <f aca="false">'P15 TBM Calc'!R69</f>
        <v>53.5615875085206</v>
      </c>
      <c r="S37" s="47" t="n">
        <f aca="false">'P15 TBM Calc'!S69</f>
        <v>55.0177017044489</v>
      </c>
    </row>
    <row r="38" customFormat="false" ht="15" hidden="false" customHeight="false" outlineLevel="0" collapsed="false">
      <c r="B38" s="24" t="s">
        <v>1116</v>
      </c>
      <c r="C38" s="25" t="s">
        <v>170</v>
      </c>
      <c r="F38" s="47" t="n">
        <f aca="false">-'P15 TBM Calc'!F70</f>
        <v>-0</v>
      </c>
      <c r="G38" s="47" t="n">
        <f aca="false">-'P15 TBM Calc'!G70</f>
        <v>-0</v>
      </c>
      <c r="H38" s="47" t="n">
        <f aca="false">-'P15 TBM Calc'!H70</f>
        <v>-0</v>
      </c>
      <c r="I38" s="47" t="n">
        <f aca="false">-'P15 TBM Calc'!I70</f>
        <v>-0</v>
      </c>
      <c r="J38" s="47" t="n">
        <f aca="false">-'P15 TBM Calc'!J70</f>
        <v>-0</v>
      </c>
      <c r="K38" s="47" t="n">
        <f aca="false">-'P15 TBM Calc'!K70</f>
        <v>-0</v>
      </c>
      <c r="L38" s="47" t="n">
        <f aca="false">-'P15 TBM Calc'!L70</f>
        <v>-4.31482031663272</v>
      </c>
      <c r="M38" s="47" t="n">
        <f aca="false">-'P15 TBM Calc'!M70</f>
        <v>-8.89204874521886</v>
      </c>
      <c r="N38" s="47" t="n">
        <f aca="false">-'P15 TBM Calc'!N70</f>
        <v>-9.17178905638082</v>
      </c>
      <c r="O38" s="47" t="n">
        <f aca="false">-'P15 TBM Calc'!O70</f>
        <v>-9.41139194062615</v>
      </c>
      <c r="P38" s="47" t="n">
        <f aca="false">-'P15 TBM Calc'!P70</f>
        <v>-9.73445285794313</v>
      </c>
      <c r="Q38" s="47" t="n">
        <f aca="false">-'P15 TBM Calc'!Q70</f>
        <v>-10.0415044968404</v>
      </c>
      <c r="R38" s="47" t="n">
        <f aca="false">-'P15 TBM Calc'!R70</f>
        <v>-10.3586760001503</v>
      </c>
      <c r="S38" s="47" t="n">
        <f aca="false">-'P15 TBM Calc'!S70</f>
        <v>-10.6571277115166</v>
      </c>
    </row>
    <row r="39" customFormat="false" ht="15" hidden="false" customHeight="false" outlineLevel="0" collapsed="false">
      <c r="B39" s="69" t="s">
        <v>1117</v>
      </c>
      <c r="C39" s="25" t="s">
        <v>170</v>
      </c>
      <c r="F39" s="68" t="n">
        <f aca="false">F36+F37+F38</f>
        <v>0</v>
      </c>
      <c r="G39" s="68" t="n">
        <f aca="false">G36+G37+G38</f>
        <v>0</v>
      </c>
      <c r="H39" s="68" t="n">
        <f aca="false">H36+H37+H38</f>
        <v>455.7</v>
      </c>
      <c r="I39" s="68" t="n">
        <f aca="false">I36+I37+I38</f>
        <v>651</v>
      </c>
      <c r="J39" s="68" t="n">
        <f aca="false">J36+J37+J38</f>
        <v>613.5675</v>
      </c>
      <c r="K39" s="68" t="n">
        <f aca="false">K36+K37+K38</f>
        <v>576.135</v>
      </c>
      <c r="L39" s="68" t="n">
        <f aca="false">L36+L37+L38</f>
        <v>556.93461681907</v>
      </c>
      <c r="M39" s="68" t="n">
        <f aca="false">M36+M37+M38</f>
        <v>538.580647145192</v>
      </c>
      <c r="N39" s="68" t="n">
        <f aca="false">N36+N37+N38</f>
        <v>502.254487710742</v>
      </c>
      <c r="O39" s="68" t="n">
        <f aca="false">O36+O37+O38</f>
        <v>465.876123429866</v>
      </c>
      <c r="P39" s="68" t="n">
        <f aca="false">P36+P37+P38</f>
        <v>429.724980414298</v>
      </c>
      <c r="Q39" s="68" t="n">
        <f aca="false">Q36+Q37+Q38</f>
        <v>393.500036773568</v>
      </c>
      <c r="R39" s="68" t="n">
        <f aca="false">R36+R37+R38</f>
        <v>365.44791150837</v>
      </c>
      <c r="S39" s="68" t="n">
        <f aca="false">S36+S37+S38</f>
        <v>337.310573992932</v>
      </c>
    </row>
    <row r="41" customFormat="false" ht="15" hidden="false" customHeight="false" outlineLevel="0" collapsed="false">
      <c r="B41" s="22" t="s">
        <v>1119</v>
      </c>
      <c r="C41" s="23"/>
      <c r="D41" s="23"/>
      <c r="E41" s="23"/>
      <c r="F41" s="23"/>
      <c r="G41" s="23"/>
      <c r="H41" s="23"/>
      <c r="I41" s="23"/>
      <c r="J41" s="23"/>
      <c r="K41" s="23"/>
      <c r="L41" s="23"/>
      <c r="M41" s="23"/>
      <c r="N41" s="23"/>
      <c r="O41" s="23"/>
      <c r="P41" s="23"/>
      <c r="Q41" s="23"/>
      <c r="R41" s="23"/>
      <c r="S41" s="23"/>
    </row>
    <row r="42" customFormat="false" ht="15" hidden="false" customHeight="false" outlineLevel="0" collapsed="false">
      <c r="B42" s="24" t="s">
        <v>1120</v>
      </c>
      <c r="C42" s="25" t="s">
        <v>143</v>
      </c>
      <c r="F42" s="30" t="n">
        <f aca="false">0</f>
        <v>0</v>
      </c>
      <c r="G42" s="30" t="n">
        <f aca="false">MIN(1,F42+F43)</f>
        <v>0</v>
      </c>
      <c r="H42" s="30" t="n">
        <f aca="false">MIN(1,G42+G43)</f>
        <v>0</v>
      </c>
      <c r="I42" s="30" t="n">
        <f aca="false">MIN(1,H42+H43)</f>
        <v>0</v>
      </c>
      <c r="J42" s="30" t="n">
        <f aca="false">MIN(1,I42+I43)</f>
        <v>0</v>
      </c>
      <c r="K42" s="30" t="n">
        <f aca="false">MIN(1,J42+J43)</f>
        <v>0</v>
      </c>
      <c r="L42" s="30" t="n">
        <f aca="false">MIN(1,K42+K43)</f>
        <v>0</v>
      </c>
      <c r="M42" s="30" t="n">
        <f aca="false">MIN(1,L42+L43)</f>
        <v>0</v>
      </c>
      <c r="N42" s="30" t="n">
        <f aca="false">MIN(1,M42+M43)</f>
        <v>0</v>
      </c>
      <c r="O42" s="30" t="n">
        <f aca="false">MIN(1,N42+N43)</f>
        <v>0</v>
      </c>
      <c r="P42" s="30" t="n">
        <f aca="false">MIN(1,O42+O43)</f>
        <v>0</v>
      </c>
      <c r="Q42" s="30" t="n">
        <f aca="false">MIN(1,P42+P43)</f>
        <v>1</v>
      </c>
      <c r="R42" s="30" t="n">
        <f aca="false">MIN(1,Q42+Q43)</f>
        <v>1</v>
      </c>
      <c r="S42" s="30" t="n">
        <f aca="false">MIN(1,R42+R43)</f>
        <v>1</v>
      </c>
    </row>
    <row r="43" customFormat="false" ht="15" hidden="false" customHeight="false" outlineLevel="0" collapsed="false">
      <c r="B43" s="24" t="s">
        <v>1121</v>
      </c>
      <c r="C43" s="25" t="s">
        <v>143</v>
      </c>
      <c r="F43" s="30" t="n">
        <f aca="false">0</f>
        <v>0</v>
      </c>
      <c r="G43" s="30" t="n">
        <f aca="false">IF(AND(G29&gt;=0,F29&lt;0,G42=0),1,0)</f>
        <v>0</v>
      </c>
      <c r="H43" s="30" t="n">
        <f aca="false">IF(AND(H29&gt;=0,G29&lt;0,H42=0),1,0)</f>
        <v>0</v>
      </c>
      <c r="I43" s="30" t="n">
        <f aca="false">IF(AND(I29&gt;=0,H29&lt;0,I42=0),1,0)</f>
        <v>0</v>
      </c>
      <c r="J43" s="30" t="n">
        <f aca="false">IF(AND(J29&gt;=0,I29&lt;0,J42=0),1,0)</f>
        <v>0</v>
      </c>
      <c r="K43" s="30" t="n">
        <f aca="false">IF(AND(K29&gt;=0,J29&lt;0,K42=0),1,0)</f>
        <v>0</v>
      </c>
      <c r="L43" s="30" t="n">
        <f aca="false">IF(AND(L29&gt;=0,K29&lt;0,L42=0),1,0)</f>
        <v>0</v>
      </c>
      <c r="M43" s="30" t="n">
        <f aca="false">IF(AND(M29&gt;=0,L29&lt;0,M42=0),1,0)</f>
        <v>0</v>
      </c>
      <c r="N43" s="30" t="n">
        <f aca="false">IF(AND(N29&gt;=0,M29&lt;0,N42=0),1,0)</f>
        <v>0</v>
      </c>
      <c r="O43" s="30" t="n">
        <f aca="false">IF(AND(O29&gt;=0,N29&lt;0,O42=0),1,0)</f>
        <v>0</v>
      </c>
      <c r="P43" s="30" t="n">
        <f aca="false">IF(AND(P29&gt;=0,O29&lt;0,P42=0),1,0)</f>
        <v>1</v>
      </c>
      <c r="Q43" s="30" t="n">
        <f aca="false">IF(AND(Q29&gt;=0,P29&lt;0,Q42=0),1,0)</f>
        <v>0</v>
      </c>
      <c r="R43" s="30" t="n">
        <f aca="false">IF(AND(R29&gt;=0,Q29&lt;0,R42=0),1,0)</f>
        <v>0</v>
      </c>
      <c r="S43" s="30" t="n">
        <f aca="false">IF(AND(S29&gt;=0,R29&lt;0,S42=0),1,0)</f>
        <v>0</v>
      </c>
    </row>
    <row r="44" customFormat="false" ht="15" hidden="false" customHeight="false" outlineLevel="0" collapsed="false">
      <c r="B44" s="24" t="s">
        <v>1122</v>
      </c>
      <c r="C44" s="25" t="s">
        <v>170</v>
      </c>
      <c r="F44" s="47" t="n">
        <f aca="false">IF(F$5='Global Inputs'!$E$14,F28*(1+'Global Inputs'!$E$54)/('Global Inputs'!$E$53-'Global Inputs'!$E$54),0)</f>
        <v>0</v>
      </c>
      <c r="G44" s="47" t="n">
        <f aca="false">IF(G$5='Global Inputs'!$E$14,G28*(1+'Global Inputs'!$E$54)/('Global Inputs'!$E$53-'Global Inputs'!$E$54),0)</f>
        <v>0</v>
      </c>
      <c r="H44" s="47" t="n">
        <f aca="false">IF(H$5='Global Inputs'!$E$14,H28*(1+'Global Inputs'!$E$54)/('Global Inputs'!$E$53-'Global Inputs'!$E$54),0)</f>
        <v>0</v>
      </c>
      <c r="I44" s="47" t="n">
        <f aca="false">IF(I$5='Global Inputs'!$E$14,I28*(1+'Global Inputs'!$E$54)/('Global Inputs'!$E$53-'Global Inputs'!$E$54),0)</f>
        <v>0</v>
      </c>
      <c r="J44" s="47" t="n">
        <f aca="false">IF(J$5='Global Inputs'!$E$14,J28*(1+'Global Inputs'!$E$54)/('Global Inputs'!$E$53-'Global Inputs'!$E$54),0)</f>
        <v>0</v>
      </c>
      <c r="K44" s="47" t="n">
        <f aca="false">IF(K$5='Global Inputs'!$E$14,K28*(1+'Global Inputs'!$E$54)/('Global Inputs'!$E$53-'Global Inputs'!$E$54),0)</f>
        <v>0</v>
      </c>
      <c r="L44" s="47" t="n">
        <f aca="false">IF(L$5='Global Inputs'!$E$14,L28*(1+'Global Inputs'!$E$54)/('Global Inputs'!$E$53-'Global Inputs'!$E$54),0)</f>
        <v>0</v>
      </c>
      <c r="M44" s="47" t="n">
        <f aca="false">IF(M$5='Global Inputs'!$E$14,M28*(1+'Global Inputs'!$E$54)/('Global Inputs'!$E$53-'Global Inputs'!$E$54),0)</f>
        <v>0</v>
      </c>
      <c r="N44" s="47" t="n">
        <f aca="false">IF(N$5='Global Inputs'!$E$14,N28*(1+'Global Inputs'!$E$54)/('Global Inputs'!$E$53-'Global Inputs'!$E$54),0)</f>
        <v>0</v>
      </c>
      <c r="O44" s="47" t="n">
        <f aca="false">IF(O$5='Global Inputs'!$E$14,O28*(1+'Global Inputs'!$E$54)/('Global Inputs'!$E$53-'Global Inputs'!$E$54),0)</f>
        <v>0</v>
      </c>
      <c r="P44" s="47" t="n">
        <f aca="false">IF(P$5='Global Inputs'!$E$14,P28*(1+'Global Inputs'!$E$54)/('Global Inputs'!$E$53-'Global Inputs'!$E$54),0)</f>
        <v>0</v>
      </c>
      <c r="Q44" s="47" t="n">
        <f aca="false">IF(Q$5='Global Inputs'!$E$14,Q28*(1+'Global Inputs'!$E$54)/('Global Inputs'!$E$53-'Global Inputs'!$E$54),0)</f>
        <v>0</v>
      </c>
      <c r="R44" s="47" t="n">
        <f aca="false">IF(R$5='Global Inputs'!$E$14,R28*(1+'Global Inputs'!$E$54)/('Global Inputs'!$E$53-'Global Inputs'!$E$54),0)</f>
        <v>0</v>
      </c>
      <c r="S44" s="47" t="n">
        <f aca="false">IF(S$5='Global Inputs'!$E$14,S28*(1+'Global Inputs'!$E$54)/('Global Inputs'!$E$53-'Global Inputs'!$E$54),0)</f>
        <v>2208.11645855987</v>
      </c>
    </row>
    <row r="45" customFormat="false" ht="15" hidden="false" customHeight="false" outlineLevel="0" collapsed="false">
      <c r="B45" s="24" t="s">
        <v>1123</v>
      </c>
      <c r="C45" s="25" t="s">
        <v>170</v>
      </c>
      <c r="F45" s="47" t="n">
        <f aca="false">F28+F44</f>
        <v>0</v>
      </c>
      <c r="G45" s="47" t="n">
        <f aca="false">G28+G44</f>
        <v>0</v>
      </c>
      <c r="H45" s="47" t="n">
        <f aca="false">H28+H44</f>
        <v>-455.7</v>
      </c>
      <c r="I45" s="47" t="n">
        <f aca="false">I28+I44</f>
        <v>-195.3</v>
      </c>
      <c r="J45" s="47" t="n">
        <f aca="false">J28+J44</f>
        <v>0</v>
      </c>
      <c r="K45" s="47" t="n">
        <f aca="false">K28+K44</f>
        <v>0</v>
      </c>
      <c r="L45" s="47" t="n">
        <f aca="false">L28+L44</f>
        <v>66.0258919778245</v>
      </c>
      <c r="M45" s="47" t="n">
        <f aca="false">M28+M44</f>
        <v>144.46450300175</v>
      </c>
      <c r="N45" s="47" t="n">
        <f aca="false">N28+N44</f>
        <v>166.972759986996</v>
      </c>
      <c r="O45" s="47" t="n">
        <f aca="false">O28+O44</f>
        <v>171.912964132406</v>
      </c>
      <c r="P45" s="47" t="n">
        <f aca="false">P28+P44</f>
        <v>176.493313618971</v>
      </c>
      <c r="Q45" s="47" t="n">
        <f aca="false">Q28+Q44</f>
        <v>181.510778537757</v>
      </c>
      <c r="R45" s="47" t="n">
        <f aca="false">R28+R44</f>
        <v>184.768564472975</v>
      </c>
      <c r="S45" s="47" t="n">
        <f aca="false">S28+S44</f>
        <v>2398.19695445519</v>
      </c>
    </row>
    <row r="46" customFormat="false" ht="15" hidden="false" customHeight="false" outlineLevel="0" collapsed="false">
      <c r="B46" s="24" t="s">
        <v>1124</v>
      </c>
      <c r="C46" s="25" t="s">
        <v>170</v>
      </c>
      <c r="E46" s="47" t="n">
        <f aca="false">SUM(F46:S46)</f>
        <v>1325.73155834362</v>
      </c>
      <c r="F46" s="47" t="n">
        <f aca="false">F45*'Global Inputs'!F18</f>
        <v>0</v>
      </c>
      <c r="G46" s="47" t="n">
        <f aca="false">G45*'Global Inputs'!G18</f>
        <v>0</v>
      </c>
      <c r="H46" s="47" t="n">
        <f aca="false">H45*'Global Inputs'!H18</f>
        <v>-0</v>
      </c>
      <c r="I46" s="47" t="n">
        <f aca="false">I45*'Global Inputs'!I18</f>
        <v>-0</v>
      </c>
      <c r="J46" s="47" t="n">
        <f aca="false">J45*'Global Inputs'!J18</f>
        <v>0</v>
      </c>
      <c r="K46" s="47" t="n">
        <f aca="false">K45*'Global Inputs'!K18</f>
        <v>0</v>
      </c>
      <c r="L46" s="47" t="n">
        <f aca="false">L45*'Global Inputs'!L18</f>
        <v>47.1643643934448</v>
      </c>
      <c r="M46" s="47" t="n">
        <f aca="false">M45*'Global Inputs'!M18</f>
        <v>92.248807320061</v>
      </c>
      <c r="N46" s="47" t="n">
        <f aca="false">N45*'Global Inputs'!N18</f>
        <v>95.3114641276834</v>
      </c>
      <c r="O46" s="47" t="n">
        <f aca="false">O45*'Global Inputs'!O18</f>
        <v>87.7219034288424</v>
      </c>
      <c r="P46" s="47" t="n">
        <f aca="false">P45*'Global Inputs'!P18</f>
        <v>80.5058756429381</v>
      </c>
      <c r="Q46" s="47" t="n">
        <f aca="false">Q45*'Global Inputs'!Q18</f>
        <v>74.0119153972731</v>
      </c>
      <c r="R46" s="47" t="n">
        <f aca="false">R45*'Global Inputs'!R18</f>
        <v>67.3483890192433</v>
      </c>
      <c r="S46" s="47" t="n">
        <f aca="false">S45*'Global Inputs'!S18</f>
        <v>781.418839014133</v>
      </c>
    </row>
    <row r="47" customFormat="false" ht="15" hidden="false" customHeight="false" outlineLevel="0" collapsed="false">
      <c r="B47" s="24" t="s">
        <v>1125</v>
      </c>
      <c r="C47" s="25" t="s">
        <v>170</v>
      </c>
      <c r="E47" s="47" t="n">
        <f aca="false">SUM($F$46:$S$46)</f>
        <v>1325.73155834362</v>
      </c>
    </row>
    <row r="48" customFormat="false" ht="15" hidden="false" customHeight="false" outlineLevel="0" collapsed="false">
      <c r="B48" s="24" t="s">
        <v>1126</v>
      </c>
      <c r="C48" s="25" t="s">
        <v>170</v>
      </c>
      <c r="E48" s="47" t="n">
        <f aca="false">SUMPRODUCT($F$28:$S$28,'Global Inputs'!$F$18:$S$18)</f>
        <v>606.247782730273</v>
      </c>
    </row>
    <row r="49" customFormat="false" ht="15" hidden="false" customHeight="false" outlineLevel="0" collapsed="false">
      <c r="B49" s="24" t="s">
        <v>1831</v>
      </c>
      <c r="C49" s="25" t="s">
        <v>160</v>
      </c>
      <c r="E49" s="49" t="n">
        <f aca="false">IFERROR(IRR($F$28:$S$28),"n/a")</f>
        <v>0.0954224247774238</v>
      </c>
    </row>
    <row r="50" customFormat="false" ht="15" hidden="false" customHeight="false" outlineLevel="0" collapsed="false">
      <c r="B50" s="24" t="s">
        <v>1832</v>
      </c>
      <c r="C50" s="25" t="s">
        <v>160</v>
      </c>
      <c r="E50" s="49" t="n">
        <f aca="false">IFERROR(IRR($F$45:$S$45),"n/a")</f>
        <v>0.200929174795725</v>
      </c>
    </row>
    <row r="51" customFormat="false" ht="15" hidden="false" customHeight="false" outlineLevel="0" collapsed="false">
      <c r="B51" s="24" t="s">
        <v>1128</v>
      </c>
      <c r="C51" s="25" t="s">
        <v>160</v>
      </c>
      <c r="E51" s="49" t="str">
        <f aca="false">"= project IRR (no project-level debt in v29; corporate LT loan is not project debt)"</f>
        <v>= project IRR (no project-level debt in v29; corporate LT loan is not project debt)</v>
      </c>
    </row>
    <row r="52" customFormat="false" ht="15" hidden="false" customHeight="false" outlineLevel="0" collapsed="false">
      <c r="B52" s="24" t="s">
        <v>1129</v>
      </c>
      <c r="C52" s="25" t="s">
        <v>135</v>
      </c>
      <c r="E52" s="29" t="n">
        <f aca="false">IF(SUM($F$43:$S$43)=0,"not within horizon",SUMPRODUCT($F$43:$S$43,'Global Inputs'!$F$15:$S$15))</f>
        <v>2033</v>
      </c>
    </row>
    <row r="53" customFormat="false" ht="15" hidden="false" customHeight="false" outlineLevel="0" collapsed="false">
      <c r="B53" s="24" t="s">
        <v>1130</v>
      </c>
      <c r="C53" s="25" t="s">
        <v>135</v>
      </c>
      <c r="E53" s="29" t="n">
        <f aca="false">IF(SUM('P15 TBM Calc'!$F$55:$S$55)=0,"n/a",SUMPRODUCT('P15 TBM Calc'!$F$65:$S$65,'Global Inputs'!$F$15:$S$15))</f>
        <v>2025</v>
      </c>
    </row>
    <row r="54" customFormat="false" ht="15" hidden="false" customHeight="false" outlineLevel="0" collapsed="false">
      <c r="B54" s="24" t="s">
        <v>1131</v>
      </c>
      <c r="C54" s="25" t="s">
        <v>240</v>
      </c>
      <c r="E54" s="44" t="n">
        <f aca="false">'P15 TBM Input'!$E$53</f>
        <v>40.0245926836766</v>
      </c>
    </row>
    <row r="55" customFormat="false" ht="15" hidden="false" customHeight="false" outlineLevel="0" collapsed="false">
      <c r="B55" s="24" t="s">
        <v>1132</v>
      </c>
      <c r="C55" s="25" t="s">
        <v>240</v>
      </c>
      <c r="E55" s="44" t="n">
        <f aca="false">'P15 TBM Input'!$E$59</f>
        <v>0</v>
      </c>
    </row>
    <row r="57" customFormat="false" ht="15" hidden="false" customHeight="false" outlineLevel="0" collapsed="false">
      <c r="B57" s="22" t="s">
        <v>1133</v>
      </c>
      <c r="C57" s="23"/>
      <c r="D57" s="23"/>
      <c r="E57" s="23"/>
      <c r="F57" s="23"/>
      <c r="G57" s="23"/>
      <c r="H57" s="23"/>
      <c r="I57" s="23"/>
      <c r="J57" s="23"/>
      <c r="K57" s="23"/>
      <c r="L57" s="23"/>
      <c r="M57" s="23"/>
      <c r="N57" s="23"/>
      <c r="O57" s="23"/>
      <c r="P57" s="23"/>
      <c r="Q57" s="23"/>
      <c r="R57" s="23"/>
      <c r="S57" s="23"/>
    </row>
    <row r="58" customFormat="false" ht="15" hidden="false" customHeight="false" outlineLevel="0" collapsed="false">
      <c r="B58" s="24" t="s">
        <v>1134</v>
      </c>
      <c r="C58" s="25" t="s">
        <v>180</v>
      </c>
      <c r="E58" s="29" t="n">
        <f aca="false">'P15 TBM Input'!$E$22*IF('P15 TBM Input'!$E$23=1,1,0)</f>
        <v>0</v>
      </c>
    </row>
    <row r="59" customFormat="false" ht="15" hidden="false" customHeight="false" outlineLevel="0" collapsed="false">
      <c r="B59" s="24" t="s">
        <v>1135</v>
      </c>
      <c r="C59" s="25" t="s">
        <v>180</v>
      </c>
      <c r="E59" s="29" t="n">
        <f aca="false">'P15 TBM Input'!$E$22</f>
        <v>0</v>
      </c>
    </row>
    <row r="60" customFormat="false" ht="15" hidden="false" customHeight="false" outlineLevel="0" collapsed="false">
      <c r="B60" s="24" t="s">
        <v>897</v>
      </c>
      <c r="C60" s="25" t="s">
        <v>160</v>
      </c>
      <c r="E60" s="49" t="n">
        <f aca="false">'P15 TBM Input'!$E$24</f>
        <v>1</v>
      </c>
    </row>
  </sheetData>
  <hyperlinks>
    <hyperlink ref="C3" r:id="rId1" location="'P15%20TBM%20Input'!A1" display="Input"/>
    <hyperlink ref="D3" r:id="rId2" location="'P15%20TBM%20Calc'!A1" display="Calc"/>
    <hyperlink ref="E3" r:id="rId3" location="'P15%20TBM%20Output'!A1" display="Output"/>
    <hyperlink ref="F3" r:id="rId4" location="'Navigation'!A1" display="Navigation"/>
    <hyperlink ref="G3" r:id="rId5" location="'Global%20Inputs'!A1" display="Global Inputs"/>
    <hyperlink ref="H3" r:id="rId6" location="'Project%20Summary'!A1" display="Project Summary"/>
    <hyperlink ref="I3" r:id="rId7" location="'Funding%20Requirement'!A1" display="Funding"/>
    <hyperlink ref="J3" r:id="rId8" location="'FSL%20Financials%20—%20Without%20BUMN'!A1" display="FSL w/o BUMN"/>
    <hyperlink ref="K3" r:id="rId9" location="'FSL%20Financials%20—%20With%20BUMN'!A1" display="FSL w/ BUMN"/>
    <hyperlink ref="L3" r:id="rId10" location="'Valuation%20—%20Without%20BUMN'!A1" display="Val w/o BUMN"/>
    <hyperlink ref="M3" r:id="rId11" location="'Valuation%20—%20With%20BUMN'!A1" display="Val w/ BUMN"/>
    <hyperlink ref="N3" r:id="rId12" location="'Checks'!A1" display="Checks"/>
    <hyperlink ref="O3" r:id="rId13" location="'Model%20Flow'!A1" display="Model Flow"/>
  </hyperlink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D966"/>
    <pageSetUpPr fitToPage="true"/>
  </sheetPr>
  <dimension ref="B1:Z7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5" ySplit="9" topLeftCell="F10" activePane="bottomRight" state="frozen"/>
      <selection pane="topLeft" activeCell="A1" activeCellId="0" sqref="A1"/>
      <selection pane="topRight" activeCell="F1" activeCellId="0" sqref="F1"/>
      <selection pane="bottomLeft" activeCell="A10" activeCellId="0" sqref="A10"/>
      <selection pane="bottomRigh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66"/>
    <col collapsed="false" customWidth="true" hidden="false" outlineLevel="0" max="3" min="3" style="0" width="11"/>
    <col collapsed="false" customWidth="true" hidden="false" outlineLevel="0" max="4" min="4" style="0" width="12"/>
    <col collapsed="false" customWidth="true" hidden="false" outlineLevel="0" max="5" min="5" style="0" width="13"/>
    <col collapsed="false" customWidth="true" hidden="false" outlineLevel="0" max="19" min="6" style="0" width="11.5"/>
    <col collapsed="false" customWidth="true" hidden="false" outlineLevel="0" max="20" min="20" style="0" width="40"/>
    <col collapsed="false" customWidth="true" hidden="false" outlineLevel="0" max="21" min="21" style="0" width="48"/>
    <col collapsed="false" customWidth="true" hidden="false" outlineLevel="0" max="22" min="22" style="0" width="52"/>
    <col collapsed="false" customWidth="true" hidden="false" outlineLevel="0" max="23" min="23" style="0" width="16"/>
    <col collapsed="false" customWidth="true" hidden="false" outlineLevel="0" max="24" min="24" style="0" width="30"/>
    <col collapsed="false" customWidth="true" hidden="false" outlineLevel="0" max="25" min="25" style="0" width="34"/>
    <col collapsed="false" customWidth="true" hidden="false" outlineLevel="0" max="26" min="26" style="0" width="52"/>
  </cols>
  <sheetData>
    <row r="1" customFormat="false" ht="21.75" hidden="false" customHeight="true" outlineLevel="0" collapsed="false">
      <c r="B1" s="1" t="s">
        <v>2510</v>
      </c>
    </row>
    <row r="2" customFormat="false" ht="15" hidden="false" customHeight="false" outlineLevel="0" collapsed="false">
      <c r="B2" s="2" t="s">
        <v>2511</v>
      </c>
    </row>
    <row r="3" customFormat="false" ht="15" hidden="false" customHeight="false" outlineLevel="0" collapsed="false">
      <c r="B3" s="5" t="s">
        <v>112</v>
      </c>
      <c r="C3" s="17" t="s">
        <v>27</v>
      </c>
      <c r="D3" s="17" t="s">
        <v>28</v>
      </c>
      <c r="E3" s="17" t="s">
        <v>29</v>
      </c>
      <c r="F3" s="17" t="s">
        <v>113</v>
      </c>
      <c r="G3" s="17" t="s">
        <v>5</v>
      </c>
      <c r="H3" s="17" t="s">
        <v>7</v>
      </c>
      <c r="I3" s="17" t="s">
        <v>114</v>
      </c>
      <c r="J3" s="17" t="s">
        <v>115</v>
      </c>
      <c r="K3" s="17" t="s">
        <v>116</v>
      </c>
      <c r="L3" s="17" t="s">
        <v>117</v>
      </c>
      <c r="M3" s="17" t="s">
        <v>118</v>
      </c>
      <c r="N3" s="17" t="s">
        <v>21</v>
      </c>
      <c r="O3" s="17" t="s">
        <v>3</v>
      </c>
    </row>
    <row r="5" customFormat="false" ht="15" hidden="false" customHeight="false" outlineLevel="0" collapsed="false">
      <c r="B5" s="6" t="s">
        <v>119</v>
      </c>
      <c r="C5" s="6" t="s">
        <v>120</v>
      </c>
      <c r="D5" s="6" t="s">
        <v>121</v>
      </c>
      <c r="E5" s="6" t="s">
        <v>122</v>
      </c>
      <c r="F5" s="18" t="n">
        <f aca="false">'Global Inputs'!F$5</f>
        <v>2023</v>
      </c>
      <c r="G5" s="18" t="n">
        <f aca="false">'Global Inputs'!G$5</f>
        <v>2024</v>
      </c>
      <c r="H5" s="18" t="n">
        <f aca="false">'Global Inputs'!H$5</f>
        <v>2025</v>
      </c>
      <c r="I5" s="18" t="n">
        <f aca="false">'Global Inputs'!I$5</f>
        <v>2026</v>
      </c>
      <c r="J5" s="18" t="n">
        <f aca="false">'Global Inputs'!J$5</f>
        <v>2027</v>
      </c>
      <c r="K5" s="18" t="n">
        <f aca="false">'Global Inputs'!K$5</f>
        <v>2028</v>
      </c>
      <c r="L5" s="18" t="n">
        <f aca="false">'Global Inputs'!L$5</f>
        <v>2029</v>
      </c>
      <c r="M5" s="18" t="n">
        <f aca="false">'Global Inputs'!M$5</f>
        <v>2030</v>
      </c>
      <c r="N5" s="18" t="n">
        <f aca="false">'Global Inputs'!N$5</f>
        <v>2031</v>
      </c>
      <c r="O5" s="18" t="n">
        <f aca="false">'Global Inputs'!O$5</f>
        <v>2032</v>
      </c>
      <c r="P5" s="18" t="n">
        <f aca="false">'Global Inputs'!P$5</f>
        <v>2033</v>
      </c>
      <c r="Q5" s="18" t="n">
        <f aca="false">'Global Inputs'!Q$5</f>
        <v>2034</v>
      </c>
      <c r="R5" s="18" t="n">
        <f aca="false">'Global Inputs'!R$5</f>
        <v>2035</v>
      </c>
      <c r="S5" s="18" t="n">
        <f aca="false">'Global Inputs'!S$5</f>
        <v>2036</v>
      </c>
      <c r="T5" s="6" t="s">
        <v>123</v>
      </c>
      <c r="U5" s="6" t="s">
        <v>124</v>
      </c>
      <c r="V5" s="6" t="s">
        <v>2512</v>
      </c>
      <c r="W5" s="6" t="s">
        <v>2513</v>
      </c>
      <c r="X5" s="6" t="s">
        <v>2514</v>
      </c>
      <c r="Y5" s="6" t="s">
        <v>2515</v>
      </c>
      <c r="Z5" s="6" t="s">
        <v>2516</v>
      </c>
    </row>
    <row r="6" customFormat="false" ht="15" hidden="false" customHeight="false" outlineLevel="0" collapsed="false">
      <c r="B6" s="19" t="s">
        <v>125</v>
      </c>
      <c r="F6" s="20" t="n">
        <f aca="false">'Global Inputs'!F$6</f>
        <v>45291</v>
      </c>
      <c r="G6" s="20" t="n">
        <f aca="false">'Global Inputs'!G$6</f>
        <v>45657</v>
      </c>
      <c r="H6" s="20" t="n">
        <f aca="false">'Global Inputs'!H$6</f>
        <v>46022</v>
      </c>
      <c r="I6" s="20" t="n">
        <f aca="false">'Global Inputs'!I$6</f>
        <v>46387</v>
      </c>
      <c r="J6" s="20" t="n">
        <f aca="false">'Global Inputs'!J$6</f>
        <v>46752</v>
      </c>
      <c r="K6" s="20" t="n">
        <f aca="false">'Global Inputs'!K$6</f>
        <v>47118</v>
      </c>
      <c r="L6" s="20" t="n">
        <f aca="false">'Global Inputs'!L$6</f>
        <v>47483</v>
      </c>
      <c r="M6" s="20" t="n">
        <f aca="false">'Global Inputs'!M$6</f>
        <v>47848</v>
      </c>
      <c r="N6" s="20" t="n">
        <f aca="false">'Global Inputs'!N$6</f>
        <v>48213</v>
      </c>
      <c r="O6" s="20" t="n">
        <f aca="false">'Global Inputs'!O$6</f>
        <v>48579</v>
      </c>
      <c r="P6" s="20" t="n">
        <f aca="false">'Global Inputs'!P$6</f>
        <v>48944</v>
      </c>
      <c r="Q6" s="20" t="n">
        <f aca="false">'Global Inputs'!Q$6</f>
        <v>49309</v>
      </c>
      <c r="R6" s="20" t="n">
        <f aca="false">'Global Inputs'!R$6</f>
        <v>49674</v>
      </c>
      <c r="S6" s="20" t="n">
        <f aca="false">'Global Inputs'!S$6</f>
        <v>50040</v>
      </c>
    </row>
    <row r="7" customFormat="false" ht="15" hidden="false" customHeight="false" outlineLevel="0" collapsed="false">
      <c r="B7" s="19" t="s">
        <v>126</v>
      </c>
      <c r="F7" s="21" t="n">
        <f aca="false">'Global Inputs'!F$7</f>
        <v>365</v>
      </c>
      <c r="G7" s="21" t="n">
        <f aca="false">'Global Inputs'!G$7</f>
        <v>366</v>
      </c>
      <c r="H7" s="21" t="n">
        <f aca="false">'Global Inputs'!H$7</f>
        <v>365</v>
      </c>
      <c r="I7" s="21" t="n">
        <f aca="false">'Global Inputs'!I$7</f>
        <v>365</v>
      </c>
      <c r="J7" s="21" t="n">
        <f aca="false">'Global Inputs'!J$7</f>
        <v>365</v>
      </c>
      <c r="K7" s="21" t="n">
        <f aca="false">'Global Inputs'!K$7</f>
        <v>366</v>
      </c>
      <c r="L7" s="21" t="n">
        <f aca="false">'Global Inputs'!L$7</f>
        <v>365</v>
      </c>
      <c r="M7" s="21" t="n">
        <f aca="false">'Global Inputs'!M$7</f>
        <v>365</v>
      </c>
      <c r="N7" s="21" t="n">
        <f aca="false">'Global Inputs'!N$7</f>
        <v>365</v>
      </c>
      <c r="O7" s="21" t="n">
        <f aca="false">'Global Inputs'!O$7</f>
        <v>366</v>
      </c>
      <c r="P7" s="21" t="n">
        <f aca="false">'Global Inputs'!P$7</f>
        <v>365</v>
      </c>
      <c r="Q7" s="21" t="n">
        <f aca="false">'Global Inputs'!Q$7</f>
        <v>365</v>
      </c>
      <c r="R7" s="21" t="n">
        <f aca="false">'Global Inputs'!R$7</f>
        <v>365</v>
      </c>
      <c r="S7" s="21" t="n">
        <f aca="false">'Global Inputs'!S$7</f>
        <v>366</v>
      </c>
    </row>
    <row r="8" customFormat="false" ht="15" hidden="false" customHeight="false" outlineLevel="0" collapsed="false">
      <c r="B8" s="19" t="s">
        <v>127</v>
      </c>
      <c r="F8" s="21" t="n">
        <f aca="false">'Global Inputs'!F$8</f>
        <v>0</v>
      </c>
      <c r="G8" s="21" t="n">
        <f aca="false">'Global Inputs'!G$8</f>
        <v>1</v>
      </c>
      <c r="H8" s="21" t="n">
        <f aca="false">'Global Inputs'!H$8</f>
        <v>1</v>
      </c>
      <c r="I8" s="21" t="n">
        <f aca="false">'Global Inputs'!I$8</f>
        <v>1</v>
      </c>
      <c r="J8" s="21" t="n">
        <f aca="false">'Global Inputs'!J$8</f>
        <v>1</v>
      </c>
      <c r="K8" s="21" t="n">
        <f aca="false">'Global Inputs'!K$8</f>
        <v>1</v>
      </c>
      <c r="L8" s="21" t="n">
        <f aca="false">'Global Inputs'!L$8</f>
        <v>1</v>
      </c>
      <c r="M8" s="21" t="n">
        <f aca="false">'Global Inputs'!M$8</f>
        <v>1</v>
      </c>
      <c r="N8" s="21" t="n">
        <f aca="false">'Global Inputs'!N$8</f>
        <v>1</v>
      </c>
      <c r="O8" s="21" t="n">
        <f aca="false">'Global Inputs'!O$8</f>
        <v>1</v>
      </c>
      <c r="P8" s="21" t="n">
        <f aca="false">'Global Inputs'!P$8</f>
        <v>1</v>
      </c>
      <c r="Q8" s="21" t="n">
        <f aca="false">'Global Inputs'!Q$8</f>
        <v>1</v>
      </c>
      <c r="R8" s="21" t="n">
        <f aca="false">'Global Inputs'!R$8</f>
        <v>1</v>
      </c>
      <c r="S8" s="21" t="n">
        <f aca="false">'Global Inputs'!S$8</f>
        <v>1</v>
      </c>
    </row>
    <row r="10" customFormat="false" ht="15" hidden="false" customHeight="false" outlineLevel="0" collapsed="false">
      <c r="B10" s="22" t="s">
        <v>878</v>
      </c>
      <c r="C10" s="23"/>
      <c r="D10" s="23"/>
      <c r="E10" s="23"/>
      <c r="F10" s="23"/>
      <c r="G10" s="23"/>
      <c r="H10" s="23"/>
      <c r="I10" s="23"/>
      <c r="J10" s="23"/>
      <c r="K10" s="23"/>
      <c r="L10" s="23"/>
      <c r="M10" s="23"/>
      <c r="N10" s="23"/>
      <c r="O10" s="23"/>
      <c r="P10" s="23"/>
      <c r="Q10" s="23"/>
      <c r="R10" s="23"/>
      <c r="S10" s="23"/>
    </row>
    <row r="11" customFormat="false" ht="15" hidden="false" customHeight="false" outlineLevel="0" collapsed="false">
      <c r="B11" s="24" t="s">
        <v>879</v>
      </c>
      <c r="E11" s="24" t="s">
        <v>2517</v>
      </c>
    </row>
    <row r="12" customFormat="false" ht="15" hidden="false" customHeight="false" outlineLevel="0" collapsed="false">
      <c r="B12" s="24" t="s">
        <v>25</v>
      </c>
      <c r="E12" s="24" t="s">
        <v>2518</v>
      </c>
    </row>
    <row r="13" customFormat="false" ht="15" hidden="false" customHeight="false" outlineLevel="0" collapsed="false">
      <c r="B13" s="24" t="s">
        <v>882</v>
      </c>
      <c r="E13" s="24" t="s">
        <v>2519</v>
      </c>
    </row>
    <row r="14" customFormat="false" ht="15" hidden="false" customHeight="false" outlineLevel="0" collapsed="false">
      <c r="B14" s="24" t="s">
        <v>275</v>
      </c>
      <c r="E14" s="24" t="s">
        <v>302</v>
      </c>
    </row>
    <row r="15" customFormat="false" ht="15" hidden="false" customHeight="false" outlineLevel="0" collapsed="false">
      <c r="B15" s="24" t="s">
        <v>386</v>
      </c>
      <c r="E15" s="24" t="s">
        <v>70</v>
      </c>
    </row>
    <row r="16" customFormat="false" ht="15" hidden="false" customHeight="false" outlineLevel="0" collapsed="false">
      <c r="B16" s="24" t="s">
        <v>884</v>
      </c>
      <c r="E16" s="24" t="s">
        <v>2520</v>
      </c>
    </row>
    <row r="17" customFormat="false" ht="15" hidden="false" customHeight="false" outlineLevel="0" collapsed="false">
      <c r="B17" s="24" t="s">
        <v>886</v>
      </c>
      <c r="E17" s="24" t="s">
        <v>2521</v>
      </c>
    </row>
    <row r="18" customFormat="false" ht="15" hidden="false" customHeight="false" outlineLevel="0" collapsed="false">
      <c r="B18" s="24" t="s">
        <v>888</v>
      </c>
      <c r="E18" s="24" t="s">
        <v>2522</v>
      </c>
    </row>
    <row r="19" customFormat="false" ht="15" hidden="false" customHeight="false" outlineLevel="0" collapsed="false">
      <c r="B19" s="24" t="s">
        <v>890</v>
      </c>
      <c r="E19" s="24" t="s">
        <v>2523</v>
      </c>
    </row>
    <row r="21" customFormat="false" ht="15" hidden="false" customHeight="false" outlineLevel="0" collapsed="false">
      <c r="B21" s="22" t="s">
        <v>892</v>
      </c>
      <c r="C21" s="23"/>
      <c r="D21" s="23"/>
      <c r="E21" s="23"/>
      <c r="F21" s="23"/>
      <c r="G21" s="23"/>
      <c r="H21" s="23"/>
      <c r="I21" s="23"/>
      <c r="J21" s="23"/>
      <c r="K21" s="23"/>
      <c r="L21" s="23"/>
      <c r="M21" s="23"/>
      <c r="N21" s="23"/>
      <c r="O21" s="23"/>
      <c r="P21" s="23"/>
      <c r="Q21" s="23"/>
      <c r="R21" s="23"/>
      <c r="S21" s="23"/>
    </row>
    <row r="22" customFormat="false" ht="15" hidden="false" customHeight="false" outlineLevel="0" collapsed="false">
      <c r="B22" s="24" t="s">
        <v>893</v>
      </c>
      <c r="C22" s="25" t="s">
        <v>180</v>
      </c>
      <c r="D22" s="25" t="s">
        <v>894</v>
      </c>
      <c r="E22" s="65" t="n">
        <f aca="false">'Global Inputs'!$E$102</f>
        <v>0</v>
      </c>
      <c r="T22" s="5" t="s">
        <v>895</v>
      </c>
    </row>
    <row r="23" customFormat="false" ht="15" hidden="false" customHeight="false" outlineLevel="0" collapsed="false">
      <c r="B23" s="24" t="s">
        <v>896</v>
      </c>
      <c r="C23" s="25" t="s">
        <v>175</v>
      </c>
      <c r="D23" s="25" t="s">
        <v>894</v>
      </c>
      <c r="E23" s="65" t="n">
        <f aca="false">'Global Inputs'!$F$102</f>
        <v>1</v>
      </c>
      <c r="T23" s="5" t="s">
        <v>895</v>
      </c>
    </row>
    <row r="24" customFormat="false" ht="15" hidden="false" customHeight="false" outlineLevel="0" collapsed="false">
      <c r="B24" s="24" t="s">
        <v>897</v>
      </c>
      <c r="C24" s="25" t="s">
        <v>160</v>
      </c>
      <c r="D24" s="25" t="s">
        <v>894</v>
      </c>
      <c r="E24" s="67" t="n">
        <f aca="false">'Global Inputs'!$G$102</f>
        <v>1</v>
      </c>
      <c r="T24" s="5" t="s">
        <v>895</v>
      </c>
    </row>
    <row r="25" customFormat="false" ht="15" hidden="false" customHeight="false" outlineLevel="0" collapsed="false">
      <c r="B25" s="111" t="s">
        <v>2524</v>
      </c>
      <c r="C25" s="112" t="s">
        <v>135</v>
      </c>
      <c r="D25" s="113" t="s">
        <v>315</v>
      </c>
      <c r="E25" s="114" t="n">
        <v>2029</v>
      </c>
      <c r="F25" s="13"/>
      <c r="G25" s="13"/>
      <c r="H25" s="13"/>
      <c r="I25" s="13"/>
      <c r="J25" s="13"/>
      <c r="K25" s="13"/>
      <c r="L25" s="13"/>
      <c r="M25" s="13"/>
      <c r="N25" s="13"/>
      <c r="O25" s="13"/>
      <c r="P25" s="13"/>
      <c r="Q25" s="13"/>
      <c r="R25" s="13"/>
      <c r="S25" s="13"/>
      <c r="T25" s="5" t="s">
        <v>2525</v>
      </c>
      <c r="U25" s="5" t="s">
        <v>2526</v>
      </c>
    </row>
    <row r="27" customFormat="false" ht="15" hidden="false" customHeight="false" outlineLevel="0" collapsed="false">
      <c r="B27" s="22" t="s">
        <v>2527</v>
      </c>
      <c r="C27" s="23"/>
      <c r="D27" s="23"/>
      <c r="E27" s="23"/>
      <c r="F27" s="23"/>
      <c r="G27" s="23"/>
      <c r="H27" s="23"/>
      <c r="I27" s="23"/>
      <c r="J27" s="23"/>
      <c r="K27" s="23"/>
      <c r="L27" s="23"/>
      <c r="M27" s="23"/>
      <c r="N27" s="23"/>
      <c r="O27" s="23"/>
      <c r="P27" s="23"/>
      <c r="Q27" s="23"/>
      <c r="R27" s="23"/>
      <c r="S27" s="23"/>
    </row>
    <row r="28" customFormat="false" ht="19.4" hidden="false" customHeight="false" outlineLevel="0" collapsed="false">
      <c r="B28" s="111" t="s">
        <v>2528</v>
      </c>
      <c r="C28" s="112" t="s">
        <v>900</v>
      </c>
      <c r="D28" s="113" t="s">
        <v>315</v>
      </c>
      <c r="E28" s="115" t="n">
        <v>1000000</v>
      </c>
      <c r="F28" s="13"/>
      <c r="G28" s="13"/>
      <c r="H28" s="13"/>
      <c r="I28" s="13"/>
      <c r="J28" s="13"/>
      <c r="K28" s="13"/>
      <c r="L28" s="13"/>
      <c r="M28" s="13"/>
      <c r="N28" s="13"/>
      <c r="O28" s="13"/>
      <c r="P28" s="13"/>
      <c r="Q28" s="13"/>
      <c r="R28" s="13"/>
      <c r="S28" s="13"/>
      <c r="T28" s="5" t="s">
        <v>2525</v>
      </c>
      <c r="V28" s="116" t="s">
        <v>2529</v>
      </c>
      <c r="W28" s="117" t="s">
        <v>2530</v>
      </c>
      <c r="X28" s="118" t="s">
        <v>2525</v>
      </c>
      <c r="Y28" s="117" t="s">
        <v>2531</v>
      </c>
      <c r="Z28" s="116" t="s">
        <v>2532</v>
      </c>
    </row>
    <row r="29" customFormat="false" ht="19.4" hidden="false" customHeight="false" outlineLevel="0" collapsed="false">
      <c r="B29" s="111" t="s">
        <v>2533</v>
      </c>
      <c r="C29" s="112" t="s">
        <v>160</v>
      </c>
      <c r="D29" s="113" t="s">
        <v>315</v>
      </c>
      <c r="E29" s="13"/>
      <c r="F29" s="13"/>
      <c r="G29" s="119" t="n">
        <v>0</v>
      </c>
      <c r="H29" s="119" t="n">
        <v>0</v>
      </c>
      <c r="I29" s="119" t="n">
        <v>0</v>
      </c>
      <c r="J29" s="119" t="n">
        <v>0</v>
      </c>
      <c r="K29" s="119" t="n">
        <v>0</v>
      </c>
      <c r="L29" s="119" t="n">
        <v>0.55</v>
      </c>
      <c r="M29" s="119" t="n">
        <v>0.65</v>
      </c>
      <c r="N29" s="119" t="n">
        <v>0.75</v>
      </c>
      <c r="O29" s="119" t="n">
        <v>0.8</v>
      </c>
      <c r="P29" s="119" t="n">
        <v>0.8</v>
      </c>
      <c r="Q29" s="119" t="n">
        <v>0.8</v>
      </c>
      <c r="R29" s="119" t="n">
        <v>0.8</v>
      </c>
      <c r="S29" s="119" t="n">
        <v>0.8</v>
      </c>
      <c r="T29" s="5" t="s">
        <v>2525</v>
      </c>
      <c r="V29" s="116" t="s">
        <v>2534</v>
      </c>
      <c r="W29" s="117" t="s">
        <v>2535</v>
      </c>
      <c r="X29" s="118" t="s">
        <v>2525</v>
      </c>
      <c r="Y29" s="117" t="s">
        <v>2536</v>
      </c>
      <c r="Z29" s="116" t="s">
        <v>2537</v>
      </c>
    </row>
    <row r="30" customFormat="false" ht="19.4" hidden="false" customHeight="false" outlineLevel="0" collapsed="false">
      <c r="B30" s="111" t="s">
        <v>2538</v>
      </c>
      <c r="C30" s="112" t="s">
        <v>160</v>
      </c>
      <c r="D30" s="113" t="s">
        <v>315</v>
      </c>
      <c r="E30" s="13"/>
      <c r="F30" s="13"/>
      <c r="G30" s="119" t="n">
        <v>0</v>
      </c>
      <c r="H30" s="119" t="n">
        <v>0</v>
      </c>
      <c r="I30" s="119" t="n">
        <v>0</v>
      </c>
      <c r="J30" s="119" t="n">
        <v>0</v>
      </c>
      <c r="K30" s="119" t="n">
        <v>0</v>
      </c>
      <c r="L30" s="119" t="n">
        <v>0.5</v>
      </c>
      <c r="M30" s="119" t="n">
        <v>0.5</v>
      </c>
      <c r="N30" s="119" t="n">
        <v>0.5</v>
      </c>
      <c r="O30" s="119" t="n">
        <v>0.5</v>
      </c>
      <c r="P30" s="119" t="n">
        <v>0.5</v>
      </c>
      <c r="Q30" s="119" t="n">
        <v>0.5</v>
      </c>
      <c r="R30" s="119" t="n">
        <v>0.5</v>
      </c>
      <c r="S30" s="119" t="n">
        <v>0.5</v>
      </c>
      <c r="T30" s="5" t="s">
        <v>2525</v>
      </c>
      <c r="V30" s="116" t="s">
        <v>2539</v>
      </c>
      <c r="W30" s="117" t="s">
        <v>2535</v>
      </c>
      <c r="X30" s="118" t="s">
        <v>2525</v>
      </c>
      <c r="Y30" s="117" t="s">
        <v>2540</v>
      </c>
      <c r="Z30" s="116" t="s">
        <v>2541</v>
      </c>
    </row>
    <row r="31" customFormat="false" ht="19.4" hidden="false" customHeight="false" outlineLevel="0" collapsed="false">
      <c r="B31" s="111" t="s">
        <v>2542</v>
      </c>
      <c r="C31" s="112" t="s">
        <v>1940</v>
      </c>
      <c r="D31" s="113" t="s">
        <v>315</v>
      </c>
      <c r="E31" s="120" t="n">
        <v>1.5</v>
      </c>
      <c r="F31" s="13"/>
      <c r="G31" s="13"/>
      <c r="H31" s="13"/>
      <c r="I31" s="13"/>
      <c r="J31" s="13"/>
      <c r="K31" s="13"/>
      <c r="L31" s="13"/>
      <c r="M31" s="13"/>
      <c r="N31" s="13"/>
      <c r="O31" s="13"/>
      <c r="P31" s="13"/>
      <c r="Q31" s="13"/>
      <c r="R31" s="13"/>
      <c r="S31" s="13"/>
      <c r="T31" s="5" t="s">
        <v>2525</v>
      </c>
      <c r="V31" s="116" t="s">
        <v>2543</v>
      </c>
      <c r="W31" s="117" t="s">
        <v>2530</v>
      </c>
      <c r="X31" s="118" t="s">
        <v>2525</v>
      </c>
      <c r="Y31" s="117" t="s">
        <v>2544</v>
      </c>
      <c r="Z31" s="116" t="s">
        <v>2545</v>
      </c>
    </row>
    <row r="32" customFormat="false" ht="19.4" hidden="false" customHeight="false" outlineLevel="0" collapsed="false">
      <c r="B32" s="111" t="s">
        <v>2546</v>
      </c>
      <c r="C32" s="112" t="s">
        <v>160</v>
      </c>
      <c r="D32" s="113" t="s">
        <v>315</v>
      </c>
      <c r="E32" s="13"/>
      <c r="F32" s="13"/>
      <c r="G32" s="119" t="n">
        <v>0</v>
      </c>
      <c r="H32" s="119" t="n">
        <v>0</v>
      </c>
      <c r="I32" s="119" t="n">
        <v>0</v>
      </c>
      <c r="J32" s="119" t="n">
        <v>0</v>
      </c>
      <c r="K32" s="119" t="n">
        <v>0</v>
      </c>
      <c r="L32" s="119" t="n">
        <v>0.3</v>
      </c>
      <c r="M32" s="119" t="n">
        <v>0.3</v>
      </c>
      <c r="N32" s="119" t="n">
        <v>0.3</v>
      </c>
      <c r="O32" s="119" t="n">
        <v>0.3</v>
      </c>
      <c r="P32" s="119" t="n">
        <v>0.3</v>
      </c>
      <c r="Q32" s="119" t="n">
        <v>0.3</v>
      </c>
      <c r="R32" s="119" t="n">
        <v>0.3</v>
      </c>
      <c r="S32" s="119" t="n">
        <v>0.3</v>
      </c>
      <c r="T32" s="5" t="s">
        <v>2525</v>
      </c>
      <c r="V32" s="116" t="s">
        <v>2547</v>
      </c>
      <c r="W32" s="117" t="s">
        <v>2535</v>
      </c>
      <c r="X32" s="118" t="s">
        <v>2525</v>
      </c>
      <c r="Y32" s="117" t="s">
        <v>2548</v>
      </c>
      <c r="Z32" s="116" t="s">
        <v>2549</v>
      </c>
    </row>
    <row r="33" customFormat="false" ht="15" hidden="false" customHeight="false" outlineLevel="0" collapsed="false">
      <c r="B33" s="22" t="s">
        <v>2550</v>
      </c>
      <c r="C33" s="23"/>
      <c r="D33" s="23"/>
      <c r="E33" s="23"/>
      <c r="F33" s="23"/>
      <c r="G33" s="23"/>
      <c r="H33" s="23"/>
      <c r="I33" s="23"/>
      <c r="J33" s="23"/>
      <c r="K33" s="23"/>
      <c r="L33" s="23"/>
      <c r="M33" s="23"/>
      <c r="N33" s="23"/>
      <c r="O33" s="23"/>
      <c r="P33" s="23"/>
      <c r="Q33" s="23"/>
      <c r="R33" s="23"/>
      <c r="S33" s="23"/>
    </row>
    <row r="34" customFormat="false" ht="19.4" hidden="false" customHeight="false" outlineLevel="0" collapsed="false">
      <c r="B34" s="111" t="s">
        <v>2551</v>
      </c>
      <c r="C34" s="112" t="s">
        <v>905</v>
      </c>
      <c r="D34" s="113" t="s">
        <v>315</v>
      </c>
      <c r="E34" s="13"/>
      <c r="F34" s="13"/>
      <c r="G34" s="115" t="n">
        <v>0</v>
      </c>
      <c r="H34" s="115" t="n">
        <v>0</v>
      </c>
      <c r="I34" s="115" t="n">
        <v>0</v>
      </c>
      <c r="J34" s="115" t="n">
        <v>0</v>
      </c>
      <c r="K34" s="115" t="n">
        <v>0</v>
      </c>
      <c r="L34" s="115" t="n">
        <v>45000</v>
      </c>
      <c r="M34" s="115" t="n">
        <v>46350</v>
      </c>
      <c r="N34" s="115" t="n">
        <v>47740.5</v>
      </c>
      <c r="O34" s="115" t="n">
        <v>49172.715</v>
      </c>
      <c r="P34" s="115" t="n">
        <v>50647.8965</v>
      </c>
      <c r="Q34" s="115" t="n">
        <v>52167.3333</v>
      </c>
      <c r="R34" s="115" t="n">
        <v>53732.3533</v>
      </c>
      <c r="S34" s="115" t="n">
        <v>55344.3239</v>
      </c>
      <c r="T34" s="5" t="s">
        <v>2525</v>
      </c>
      <c r="V34" s="116" t="s">
        <v>2552</v>
      </c>
      <c r="W34" s="117" t="s">
        <v>2535</v>
      </c>
      <c r="X34" s="118" t="s">
        <v>2525</v>
      </c>
      <c r="Y34" s="117" t="s">
        <v>2553</v>
      </c>
      <c r="Z34" s="116" t="s">
        <v>2554</v>
      </c>
    </row>
    <row r="35" customFormat="false" ht="15" hidden="false" customHeight="false" outlineLevel="0" collapsed="false">
      <c r="B35" s="111" t="s">
        <v>2555</v>
      </c>
      <c r="C35" s="112" t="s">
        <v>1943</v>
      </c>
      <c r="D35" s="113" t="s">
        <v>315</v>
      </c>
      <c r="E35" s="13"/>
      <c r="F35" s="13"/>
      <c r="G35" s="115" t="n">
        <v>0</v>
      </c>
      <c r="H35" s="115" t="n">
        <v>0</v>
      </c>
      <c r="I35" s="115" t="n">
        <v>0</v>
      </c>
      <c r="J35" s="115" t="n">
        <v>0</v>
      </c>
      <c r="K35" s="115" t="n">
        <v>0</v>
      </c>
      <c r="L35" s="115" t="n">
        <v>12000</v>
      </c>
      <c r="M35" s="115" t="n">
        <v>12360</v>
      </c>
      <c r="N35" s="115" t="n">
        <v>12730.8</v>
      </c>
      <c r="O35" s="115" t="n">
        <v>13112.724</v>
      </c>
      <c r="P35" s="115" t="n">
        <v>13506.1057</v>
      </c>
      <c r="Q35" s="115" t="n">
        <v>13911.2889</v>
      </c>
      <c r="R35" s="115" t="n">
        <v>14328.6276</v>
      </c>
      <c r="S35" s="115" t="n">
        <v>14758.4864</v>
      </c>
      <c r="T35" s="5" t="s">
        <v>2525</v>
      </c>
      <c r="V35" s="116" t="s">
        <v>2556</v>
      </c>
      <c r="W35" s="117" t="s">
        <v>2535</v>
      </c>
      <c r="X35" s="118" t="s">
        <v>2525</v>
      </c>
      <c r="Y35" s="117" t="s">
        <v>2544</v>
      </c>
      <c r="Z35" s="116" t="s">
        <v>2557</v>
      </c>
    </row>
    <row r="36" customFormat="false" ht="15" hidden="false" customHeight="false" outlineLevel="0" collapsed="false">
      <c r="B36" s="111" t="s">
        <v>2558</v>
      </c>
      <c r="C36" s="112" t="s">
        <v>905</v>
      </c>
      <c r="D36" s="113" t="s">
        <v>315</v>
      </c>
      <c r="E36" s="13"/>
      <c r="F36" s="13"/>
      <c r="G36" s="115" t="n">
        <v>0</v>
      </c>
      <c r="H36" s="115" t="n">
        <v>0</v>
      </c>
      <c r="I36" s="115" t="n">
        <v>0</v>
      </c>
      <c r="J36" s="115" t="n">
        <v>0</v>
      </c>
      <c r="K36" s="115" t="n">
        <v>0</v>
      </c>
      <c r="L36" s="115" t="n">
        <v>9000</v>
      </c>
      <c r="M36" s="115" t="n">
        <v>9270</v>
      </c>
      <c r="N36" s="115" t="n">
        <v>9548.1</v>
      </c>
      <c r="O36" s="115" t="n">
        <v>9834.543</v>
      </c>
      <c r="P36" s="115" t="n">
        <v>10129.5793</v>
      </c>
      <c r="Q36" s="115" t="n">
        <v>10433.4667</v>
      </c>
      <c r="R36" s="115" t="n">
        <v>10746.4707</v>
      </c>
      <c r="S36" s="115" t="n">
        <v>11068.8648</v>
      </c>
      <c r="T36" s="5" t="s">
        <v>2525</v>
      </c>
      <c r="V36" s="116" t="s">
        <v>2559</v>
      </c>
      <c r="W36" s="117" t="s">
        <v>2535</v>
      </c>
      <c r="X36" s="118" t="s">
        <v>2525</v>
      </c>
      <c r="Y36" s="117" t="s">
        <v>2548</v>
      </c>
      <c r="Z36" s="116" t="s">
        <v>2560</v>
      </c>
    </row>
    <row r="37" customFormat="false" ht="15" hidden="false" customHeight="false" outlineLevel="0" collapsed="false">
      <c r="B37" s="22" t="s">
        <v>2561</v>
      </c>
      <c r="C37" s="23"/>
      <c r="D37" s="23"/>
      <c r="E37" s="23"/>
      <c r="F37" s="23"/>
      <c r="G37" s="23"/>
      <c r="H37" s="23"/>
      <c r="I37" s="23"/>
      <c r="J37" s="23"/>
      <c r="K37" s="23"/>
      <c r="L37" s="23"/>
      <c r="M37" s="23"/>
      <c r="N37" s="23"/>
      <c r="O37" s="23"/>
      <c r="P37" s="23"/>
      <c r="Q37" s="23"/>
      <c r="R37" s="23"/>
      <c r="S37" s="23"/>
    </row>
    <row r="38" customFormat="false" ht="19.4" hidden="false" customHeight="false" outlineLevel="0" collapsed="false">
      <c r="B38" s="111" t="s">
        <v>2562</v>
      </c>
      <c r="C38" s="112" t="s">
        <v>160</v>
      </c>
      <c r="D38" s="113" t="s">
        <v>315</v>
      </c>
      <c r="E38" s="119" t="n">
        <v>1</v>
      </c>
      <c r="F38" s="13"/>
      <c r="G38" s="13"/>
      <c r="H38" s="13"/>
      <c r="I38" s="13"/>
      <c r="J38" s="13"/>
      <c r="K38" s="13"/>
      <c r="L38" s="13"/>
      <c r="M38" s="13"/>
      <c r="N38" s="13"/>
      <c r="O38" s="13"/>
      <c r="P38" s="13"/>
      <c r="Q38" s="13"/>
      <c r="R38" s="13"/>
      <c r="S38" s="13"/>
      <c r="T38" s="5" t="s">
        <v>2525</v>
      </c>
      <c r="V38" s="116" t="s">
        <v>2563</v>
      </c>
      <c r="W38" s="117" t="s">
        <v>2530</v>
      </c>
      <c r="X38" s="118" t="s">
        <v>2525</v>
      </c>
      <c r="Y38" s="117" t="s">
        <v>2564</v>
      </c>
      <c r="Z38" s="116" t="s">
        <v>2565</v>
      </c>
    </row>
    <row r="39" customFormat="false" ht="15" hidden="false" customHeight="false" outlineLevel="0" collapsed="false">
      <c r="B39" s="22" t="s">
        <v>2566</v>
      </c>
      <c r="C39" s="23"/>
      <c r="D39" s="23"/>
      <c r="E39" s="23"/>
      <c r="F39" s="23"/>
      <c r="G39" s="23"/>
      <c r="H39" s="23"/>
      <c r="I39" s="23"/>
      <c r="J39" s="23"/>
      <c r="K39" s="23"/>
      <c r="L39" s="23"/>
      <c r="M39" s="23"/>
      <c r="N39" s="23"/>
      <c r="O39" s="23"/>
      <c r="P39" s="23"/>
      <c r="Q39" s="23"/>
      <c r="R39" s="23"/>
      <c r="S39" s="23"/>
    </row>
    <row r="40" customFormat="false" ht="19.4" hidden="false" customHeight="false" outlineLevel="0" collapsed="false">
      <c r="B40" s="111" t="s">
        <v>2567</v>
      </c>
      <c r="C40" s="112" t="s">
        <v>160</v>
      </c>
      <c r="D40" s="113" t="s">
        <v>315</v>
      </c>
      <c r="E40" s="13"/>
      <c r="F40" s="13"/>
      <c r="G40" s="119" t="n">
        <v>0</v>
      </c>
      <c r="H40" s="119" t="n">
        <v>0</v>
      </c>
      <c r="I40" s="119" t="n">
        <v>0</v>
      </c>
      <c r="J40" s="119" t="n">
        <v>0</v>
      </c>
      <c r="K40" s="119" t="n">
        <v>0</v>
      </c>
      <c r="L40" s="119" t="n">
        <v>0.05</v>
      </c>
      <c r="M40" s="119" t="n">
        <v>0.05</v>
      </c>
      <c r="N40" s="119" t="n">
        <v>0.05</v>
      </c>
      <c r="O40" s="119" t="n">
        <v>0.05</v>
      </c>
      <c r="P40" s="119" t="n">
        <v>0.05</v>
      </c>
      <c r="Q40" s="119" t="n">
        <v>0.05</v>
      </c>
      <c r="R40" s="119" t="n">
        <v>0.05</v>
      </c>
      <c r="S40" s="119" t="n">
        <v>0.05</v>
      </c>
      <c r="T40" s="5" t="s">
        <v>2525</v>
      </c>
      <c r="V40" s="116" t="s">
        <v>2568</v>
      </c>
      <c r="W40" s="117" t="s">
        <v>2535</v>
      </c>
      <c r="X40" s="118" t="s">
        <v>2525</v>
      </c>
      <c r="Y40" s="117" t="s">
        <v>2569</v>
      </c>
      <c r="Z40" s="116" t="s">
        <v>2570</v>
      </c>
    </row>
    <row r="41" customFormat="false" ht="19.4" hidden="false" customHeight="false" outlineLevel="0" collapsed="false">
      <c r="B41" s="111" t="s">
        <v>2571</v>
      </c>
      <c r="C41" s="112" t="s">
        <v>905</v>
      </c>
      <c r="D41" s="113" t="s">
        <v>315</v>
      </c>
      <c r="E41" s="13"/>
      <c r="F41" s="13"/>
      <c r="G41" s="115" t="n">
        <v>0</v>
      </c>
      <c r="H41" s="115" t="n">
        <v>0</v>
      </c>
      <c r="I41" s="115" t="n">
        <v>0</v>
      </c>
      <c r="J41" s="115" t="n">
        <v>0</v>
      </c>
      <c r="K41" s="115" t="n">
        <v>0</v>
      </c>
      <c r="L41" s="115" t="n">
        <v>8500</v>
      </c>
      <c r="M41" s="115" t="n">
        <v>8755</v>
      </c>
      <c r="N41" s="115" t="n">
        <v>9017.65</v>
      </c>
      <c r="O41" s="115" t="n">
        <v>9288.1795</v>
      </c>
      <c r="P41" s="115" t="n">
        <v>9566.8249</v>
      </c>
      <c r="Q41" s="115" t="n">
        <v>9853.8296</v>
      </c>
      <c r="R41" s="115" t="n">
        <v>10149.4445</v>
      </c>
      <c r="S41" s="115" t="n">
        <v>10453.9279</v>
      </c>
      <c r="T41" s="5" t="s">
        <v>2525</v>
      </c>
      <c r="V41" s="116" t="s">
        <v>2572</v>
      </c>
      <c r="W41" s="117" t="s">
        <v>2535</v>
      </c>
      <c r="X41" s="118" t="s">
        <v>2525</v>
      </c>
      <c r="Y41" s="117" t="s">
        <v>2569</v>
      </c>
      <c r="Z41" s="116" t="s">
        <v>2573</v>
      </c>
    </row>
    <row r="42" customFormat="false" ht="15" hidden="false" customHeight="false" outlineLevel="0" collapsed="false">
      <c r="B42" s="22" t="s">
        <v>2574</v>
      </c>
      <c r="C42" s="23"/>
      <c r="D42" s="23"/>
      <c r="E42" s="23"/>
      <c r="F42" s="23"/>
      <c r="G42" s="23"/>
      <c r="H42" s="23"/>
      <c r="I42" s="23"/>
      <c r="J42" s="23"/>
      <c r="K42" s="23"/>
      <c r="L42" s="23"/>
      <c r="M42" s="23"/>
      <c r="N42" s="23"/>
      <c r="O42" s="23"/>
      <c r="P42" s="23"/>
      <c r="Q42" s="23"/>
      <c r="R42" s="23"/>
      <c r="S42" s="23"/>
    </row>
    <row r="43" customFormat="false" ht="19.4" hidden="false" customHeight="false" outlineLevel="0" collapsed="false">
      <c r="B43" s="111" t="s">
        <v>2575</v>
      </c>
      <c r="C43" s="112" t="s">
        <v>2576</v>
      </c>
      <c r="D43" s="113" t="s">
        <v>315</v>
      </c>
      <c r="E43" s="13"/>
      <c r="F43" s="13"/>
      <c r="G43" s="115" t="n">
        <v>0</v>
      </c>
      <c r="H43" s="115" t="n">
        <v>0</v>
      </c>
      <c r="I43" s="115" t="n">
        <v>0</v>
      </c>
      <c r="J43" s="115" t="n">
        <v>0</v>
      </c>
      <c r="K43" s="115" t="n">
        <v>0</v>
      </c>
      <c r="L43" s="115" t="n">
        <v>40</v>
      </c>
      <c r="M43" s="115" t="n">
        <v>40</v>
      </c>
      <c r="N43" s="115" t="n">
        <v>40</v>
      </c>
      <c r="O43" s="115" t="n">
        <v>40</v>
      </c>
      <c r="P43" s="115" t="n">
        <v>40</v>
      </c>
      <c r="Q43" s="115" t="n">
        <v>40</v>
      </c>
      <c r="R43" s="115" t="n">
        <v>40</v>
      </c>
      <c r="S43" s="115" t="n">
        <v>40</v>
      </c>
      <c r="T43" s="5" t="s">
        <v>2525</v>
      </c>
      <c r="V43" s="116" t="s">
        <v>2577</v>
      </c>
      <c r="W43" s="117" t="s">
        <v>2535</v>
      </c>
      <c r="X43" s="118" t="s">
        <v>2525</v>
      </c>
      <c r="Y43" s="117" t="s">
        <v>2578</v>
      </c>
      <c r="Z43" s="116" t="s">
        <v>2579</v>
      </c>
    </row>
    <row r="44" customFormat="false" ht="15" hidden="false" customHeight="false" outlineLevel="0" collapsed="false">
      <c r="B44" s="111" t="s">
        <v>2580</v>
      </c>
      <c r="C44" s="112" t="s">
        <v>2581</v>
      </c>
      <c r="D44" s="113" t="s">
        <v>315</v>
      </c>
      <c r="E44" s="13"/>
      <c r="F44" s="13"/>
      <c r="G44" s="115" t="n">
        <v>0</v>
      </c>
      <c r="H44" s="115" t="n">
        <v>0</v>
      </c>
      <c r="I44" s="115" t="n">
        <v>0</v>
      </c>
      <c r="J44" s="115" t="n">
        <v>0</v>
      </c>
      <c r="K44" s="115" t="n">
        <v>0</v>
      </c>
      <c r="L44" s="115" t="n">
        <v>150</v>
      </c>
      <c r="M44" s="115" t="n">
        <v>157.5</v>
      </c>
      <c r="N44" s="115" t="n">
        <v>165.375</v>
      </c>
      <c r="O44" s="115" t="n">
        <v>173.6438</v>
      </c>
      <c r="P44" s="115" t="n">
        <v>182.3259</v>
      </c>
      <c r="Q44" s="115" t="n">
        <v>191.4422</v>
      </c>
      <c r="R44" s="115" t="n">
        <v>201.0143</v>
      </c>
      <c r="S44" s="115" t="n">
        <v>211.0651</v>
      </c>
      <c r="T44" s="5" t="s">
        <v>2525</v>
      </c>
      <c r="V44" s="116" t="s">
        <v>2582</v>
      </c>
      <c r="W44" s="117" t="s">
        <v>2535</v>
      </c>
      <c r="X44" s="118" t="s">
        <v>2525</v>
      </c>
      <c r="Y44" s="117" t="s">
        <v>2583</v>
      </c>
      <c r="Z44" s="116" t="s">
        <v>2584</v>
      </c>
    </row>
    <row r="45" customFormat="false" ht="15" hidden="false" customHeight="false" outlineLevel="0" collapsed="false">
      <c r="B45" s="111" t="s">
        <v>2585</v>
      </c>
      <c r="C45" s="112" t="s">
        <v>2586</v>
      </c>
      <c r="D45" s="113" t="s">
        <v>315</v>
      </c>
      <c r="E45" s="13"/>
      <c r="F45" s="13"/>
      <c r="G45" s="121" t="n">
        <v>0</v>
      </c>
      <c r="H45" s="121" t="n">
        <v>0</v>
      </c>
      <c r="I45" s="121" t="n">
        <v>0</v>
      </c>
      <c r="J45" s="121" t="n">
        <v>0</v>
      </c>
      <c r="K45" s="121" t="n">
        <v>0</v>
      </c>
      <c r="L45" s="121" t="n">
        <v>2.5</v>
      </c>
      <c r="M45" s="121" t="n">
        <v>2.575</v>
      </c>
      <c r="N45" s="121" t="n">
        <v>2.6522</v>
      </c>
      <c r="O45" s="121" t="n">
        <v>2.7318</v>
      </c>
      <c r="P45" s="121" t="n">
        <v>2.8138</v>
      </c>
      <c r="Q45" s="121" t="n">
        <v>2.8982</v>
      </c>
      <c r="R45" s="121" t="n">
        <v>2.9851</v>
      </c>
      <c r="S45" s="121" t="n">
        <v>3.0747</v>
      </c>
      <c r="T45" s="5" t="s">
        <v>2525</v>
      </c>
      <c r="V45" s="116" t="s">
        <v>2587</v>
      </c>
      <c r="W45" s="117" t="s">
        <v>2535</v>
      </c>
      <c r="X45" s="118" t="s">
        <v>2525</v>
      </c>
      <c r="Y45" s="117" t="s">
        <v>2588</v>
      </c>
      <c r="Z45" s="116" t="s">
        <v>2589</v>
      </c>
    </row>
    <row r="46" customFormat="false" ht="15" hidden="false" customHeight="false" outlineLevel="0" collapsed="false">
      <c r="B46" s="111" t="s">
        <v>2590</v>
      </c>
      <c r="C46" s="112" t="s">
        <v>160</v>
      </c>
      <c r="D46" s="113" t="s">
        <v>315</v>
      </c>
      <c r="E46" s="13"/>
      <c r="F46" s="13"/>
      <c r="G46" s="119" t="n">
        <v>0</v>
      </c>
      <c r="H46" s="119" t="n">
        <v>0</v>
      </c>
      <c r="I46" s="119" t="n">
        <v>0</v>
      </c>
      <c r="J46" s="119" t="n">
        <v>0</v>
      </c>
      <c r="K46" s="119" t="n">
        <v>0</v>
      </c>
      <c r="L46" s="119" t="n">
        <v>0.015</v>
      </c>
      <c r="M46" s="119" t="n">
        <v>0.015</v>
      </c>
      <c r="N46" s="119" t="n">
        <v>0.015</v>
      </c>
      <c r="O46" s="119" t="n">
        <v>0.015</v>
      </c>
      <c r="P46" s="119" t="n">
        <v>0.015</v>
      </c>
      <c r="Q46" s="119" t="n">
        <v>0.015</v>
      </c>
      <c r="R46" s="119" t="n">
        <v>0.015</v>
      </c>
      <c r="S46" s="119" t="n">
        <v>0.015</v>
      </c>
      <c r="T46" s="5" t="s">
        <v>2525</v>
      </c>
      <c r="V46" s="116" t="s">
        <v>2591</v>
      </c>
      <c r="W46" s="117" t="s">
        <v>2535</v>
      </c>
      <c r="X46" s="118" t="s">
        <v>2525</v>
      </c>
      <c r="Y46" s="117" t="s">
        <v>2569</v>
      </c>
      <c r="Z46" s="116" t="s">
        <v>2592</v>
      </c>
    </row>
    <row r="47" customFormat="false" ht="15" hidden="false" customHeight="false" outlineLevel="0" collapsed="false">
      <c r="B47" s="111" t="s">
        <v>2593</v>
      </c>
      <c r="C47" s="112" t="s">
        <v>160</v>
      </c>
      <c r="D47" s="113" t="s">
        <v>315</v>
      </c>
      <c r="E47" s="13"/>
      <c r="F47" s="13"/>
      <c r="G47" s="119" t="n">
        <v>0</v>
      </c>
      <c r="H47" s="119" t="n">
        <v>0</v>
      </c>
      <c r="I47" s="119" t="n">
        <v>0</v>
      </c>
      <c r="J47" s="119" t="n">
        <v>0</v>
      </c>
      <c r="K47" s="119" t="n">
        <v>0</v>
      </c>
      <c r="L47" s="119" t="n">
        <v>0.005</v>
      </c>
      <c r="M47" s="119" t="n">
        <v>0.005</v>
      </c>
      <c r="N47" s="119" t="n">
        <v>0.005</v>
      </c>
      <c r="O47" s="119" t="n">
        <v>0.005</v>
      </c>
      <c r="P47" s="119" t="n">
        <v>0.005</v>
      </c>
      <c r="Q47" s="119" t="n">
        <v>0.005</v>
      </c>
      <c r="R47" s="119" t="n">
        <v>0.005</v>
      </c>
      <c r="S47" s="119" t="n">
        <v>0.005</v>
      </c>
      <c r="T47" s="5" t="s">
        <v>2525</v>
      </c>
      <c r="V47" s="116" t="s">
        <v>2594</v>
      </c>
      <c r="W47" s="117" t="s">
        <v>2535</v>
      </c>
      <c r="X47" s="118" t="s">
        <v>2525</v>
      </c>
      <c r="Y47" s="117" t="s">
        <v>2569</v>
      </c>
      <c r="Z47" s="116" t="s">
        <v>2595</v>
      </c>
    </row>
    <row r="48" customFormat="false" ht="15" hidden="false" customHeight="false" outlineLevel="0" collapsed="false">
      <c r="B48" s="22" t="s">
        <v>2596</v>
      </c>
      <c r="C48" s="23"/>
      <c r="D48" s="23"/>
      <c r="E48" s="23"/>
      <c r="F48" s="23"/>
      <c r="G48" s="23"/>
      <c r="H48" s="23"/>
      <c r="I48" s="23"/>
      <c r="J48" s="23"/>
      <c r="K48" s="23"/>
      <c r="L48" s="23"/>
      <c r="M48" s="23"/>
      <c r="N48" s="23"/>
      <c r="O48" s="23"/>
      <c r="P48" s="23"/>
      <c r="Q48" s="23"/>
      <c r="R48" s="23"/>
      <c r="S48" s="23"/>
    </row>
    <row r="49" customFormat="false" ht="15" hidden="false" customHeight="false" outlineLevel="0" collapsed="false">
      <c r="B49" s="111" t="s">
        <v>2597</v>
      </c>
      <c r="C49" s="112" t="s">
        <v>170</v>
      </c>
      <c r="D49" s="113" t="s">
        <v>315</v>
      </c>
      <c r="E49" s="120" t="n">
        <v>1.5</v>
      </c>
      <c r="F49" s="13"/>
      <c r="G49" s="13"/>
      <c r="H49" s="13"/>
      <c r="I49" s="13"/>
      <c r="J49" s="13"/>
      <c r="K49" s="13"/>
      <c r="L49" s="13"/>
      <c r="M49" s="13"/>
      <c r="N49" s="13"/>
      <c r="O49" s="13"/>
      <c r="P49" s="13"/>
      <c r="Q49" s="13"/>
      <c r="R49" s="13"/>
      <c r="S49" s="13"/>
      <c r="T49" s="5" t="s">
        <v>2525</v>
      </c>
      <c r="V49" s="116" t="s">
        <v>2598</v>
      </c>
      <c r="W49" s="117" t="s">
        <v>2530</v>
      </c>
      <c r="X49" s="118" t="s">
        <v>2525</v>
      </c>
      <c r="Y49" s="117" t="s">
        <v>2599</v>
      </c>
      <c r="Z49" s="116" t="s">
        <v>2600</v>
      </c>
    </row>
    <row r="50" customFormat="false" ht="15" hidden="false" customHeight="false" outlineLevel="0" collapsed="false">
      <c r="B50" s="22" t="s">
        <v>2601</v>
      </c>
      <c r="C50" s="23"/>
      <c r="D50" s="23"/>
      <c r="E50" s="23"/>
      <c r="F50" s="23"/>
      <c r="G50" s="23"/>
      <c r="H50" s="23"/>
      <c r="I50" s="23"/>
      <c r="J50" s="23"/>
      <c r="K50" s="23"/>
      <c r="L50" s="23"/>
      <c r="M50" s="23"/>
      <c r="N50" s="23"/>
      <c r="O50" s="23"/>
      <c r="P50" s="23"/>
      <c r="Q50" s="23"/>
      <c r="R50" s="23"/>
      <c r="S50" s="23"/>
    </row>
    <row r="51" customFormat="false" ht="19.4" hidden="false" customHeight="false" outlineLevel="0" collapsed="false">
      <c r="B51" s="111" t="s">
        <v>2602</v>
      </c>
      <c r="C51" s="112" t="s">
        <v>160</v>
      </c>
      <c r="D51" s="113" t="s">
        <v>315</v>
      </c>
      <c r="E51" s="119" t="n">
        <v>0.5</v>
      </c>
      <c r="F51" s="13"/>
      <c r="G51" s="13"/>
      <c r="H51" s="13"/>
      <c r="I51" s="13"/>
      <c r="J51" s="13"/>
      <c r="K51" s="13"/>
      <c r="L51" s="13"/>
      <c r="M51" s="13"/>
      <c r="N51" s="13"/>
      <c r="O51" s="13"/>
      <c r="P51" s="13"/>
      <c r="Q51" s="13"/>
      <c r="R51" s="13"/>
      <c r="S51" s="13"/>
      <c r="T51" s="5" t="s">
        <v>2525</v>
      </c>
      <c r="V51" s="116" t="s">
        <v>2603</v>
      </c>
      <c r="W51" s="117" t="s">
        <v>2530</v>
      </c>
      <c r="X51" s="118" t="s">
        <v>2525</v>
      </c>
      <c r="Y51" s="117" t="s">
        <v>2604</v>
      </c>
      <c r="Z51" s="116" t="s">
        <v>2605</v>
      </c>
    </row>
    <row r="52" customFormat="false" ht="15" hidden="false" customHeight="false" outlineLevel="0" collapsed="false">
      <c r="B52" s="111" t="s">
        <v>2606</v>
      </c>
      <c r="C52" s="112" t="s">
        <v>160</v>
      </c>
      <c r="D52" s="113" t="s">
        <v>315</v>
      </c>
      <c r="E52" s="13"/>
      <c r="F52" s="13"/>
      <c r="G52" s="122" t="n">
        <v>0.105</v>
      </c>
      <c r="H52" s="122" t="n">
        <v>0.105</v>
      </c>
      <c r="I52" s="122" t="n">
        <v>0.105</v>
      </c>
      <c r="J52" s="122" t="n">
        <v>0.105</v>
      </c>
      <c r="K52" s="122" t="n">
        <v>0.105</v>
      </c>
      <c r="L52" s="122" t="n">
        <v>0.105</v>
      </c>
      <c r="M52" s="122" t="n">
        <v>0.105</v>
      </c>
      <c r="N52" s="122" t="n">
        <v>0.105</v>
      </c>
      <c r="O52" s="122" t="n">
        <v>0.105</v>
      </c>
      <c r="P52" s="122" t="n">
        <v>0.105</v>
      </c>
      <c r="Q52" s="122" t="n">
        <v>0.105</v>
      </c>
      <c r="R52" s="122" t="n">
        <v>0.105</v>
      </c>
      <c r="S52" s="122" t="n">
        <v>0.105</v>
      </c>
      <c r="T52" s="5" t="s">
        <v>2525</v>
      </c>
      <c r="V52" s="116" t="s">
        <v>2607</v>
      </c>
      <c r="W52" s="117" t="s">
        <v>2535</v>
      </c>
      <c r="X52" s="118" t="s">
        <v>2525</v>
      </c>
      <c r="Y52" s="117" t="s">
        <v>2608</v>
      </c>
      <c r="Z52" s="116" t="s">
        <v>2609</v>
      </c>
    </row>
    <row r="53" customFormat="false" ht="15" hidden="false" customHeight="false" outlineLevel="0" collapsed="false">
      <c r="B53" s="111" t="s">
        <v>2610</v>
      </c>
      <c r="C53" s="112" t="s">
        <v>145</v>
      </c>
      <c r="D53" s="113" t="s">
        <v>315</v>
      </c>
      <c r="E53" s="114" t="n">
        <v>7</v>
      </c>
      <c r="F53" s="13"/>
      <c r="G53" s="13"/>
      <c r="H53" s="13"/>
      <c r="I53" s="13"/>
      <c r="J53" s="13"/>
      <c r="K53" s="13"/>
      <c r="L53" s="13"/>
      <c r="M53" s="13"/>
      <c r="N53" s="13"/>
      <c r="O53" s="13"/>
      <c r="P53" s="13"/>
      <c r="Q53" s="13"/>
      <c r="R53" s="13"/>
      <c r="S53" s="13"/>
      <c r="T53" s="5" t="s">
        <v>2525</v>
      </c>
      <c r="V53" s="116" t="s">
        <v>2611</v>
      </c>
      <c r="W53" s="117" t="s">
        <v>2530</v>
      </c>
      <c r="X53" s="118" t="s">
        <v>2525</v>
      </c>
      <c r="Y53" s="117" t="s">
        <v>2612</v>
      </c>
    </row>
    <row r="54" customFormat="false" ht="15" hidden="false" customHeight="false" outlineLevel="0" collapsed="false">
      <c r="B54" s="111" t="s">
        <v>2613</v>
      </c>
      <c r="C54" s="112" t="s">
        <v>145</v>
      </c>
      <c r="D54" s="113" t="s">
        <v>315</v>
      </c>
      <c r="E54" s="114" t="n">
        <v>2</v>
      </c>
      <c r="F54" s="13"/>
      <c r="G54" s="13"/>
      <c r="H54" s="13"/>
      <c r="I54" s="13"/>
      <c r="J54" s="13"/>
      <c r="K54" s="13"/>
      <c r="L54" s="13"/>
      <c r="M54" s="13"/>
      <c r="N54" s="13"/>
      <c r="O54" s="13"/>
      <c r="P54" s="13"/>
      <c r="Q54" s="13"/>
      <c r="R54" s="13"/>
      <c r="S54" s="13"/>
      <c r="T54" s="5" t="s">
        <v>2525</v>
      </c>
      <c r="V54" s="116" t="s">
        <v>2614</v>
      </c>
      <c r="W54" s="117" t="s">
        <v>2530</v>
      </c>
      <c r="X54" s="118" t="s">
        <v>2525</v>
      </c>
      <c r="Y54" s="117" t="s">
        <v>2612</v>
      </c>
    </row>
    <row r="56" customFormat="false" ht="15" hidden="false" customHeight="false" outlineLevel="0" collapsed="false">
      <c r="B56" s="22" t="s">
        <v>2438</v>
      </c>
      <c r="C56" s="23"/>
      <c r="D56" s="23"/>
      <c r="E56" s="23"/>
      <c r="F56" s="23"/>
      <c r="G56" s="23"/>
      <c r="H56" s="23"/>
      <c r="I56" s="23"/>
      <c r="J56" s="23"/>
      <c r="K56" s="23"/>
      <c r="L56" s="23"/>
      <c r="M56" s="23"/>
      <c r="N56" s="23"/>
      <c r="O56" s="23"/>
      <c r="P56" s="23"/>
      <c r="Q56" s="23"/>
      <c r="R56" s="23"/>
      <c r="S56" s="23"/>
    </row>
    <row r="57" customFormat="false" ht="15" hidden="false" customHeight="false" outlineLevel="0" collapsed="false">
      <c r="B57" s="24" t="s">
        <v>1287</v>
      </c>
      <c r="C57" s="25" t="s">
        <v>240</v>
      </c>
      <c r="D57" s="26" t="s">
        <v>262</v>
      </c>
      <c r="E57" s="123" t="n">
        <v>10</v>
      </c>
      <c r="T57" s="5" t="s">
        <v>2615</v>
      </c>
      <c r="U57" s="5" t="s">
        <v>2616</v>
      </c>
    </row>
    <row r="58" customFormat="false" ht="15" hidden="false" customHeight="false" outlineLevel="0" collapsed="false">
      <c r="B58" s="111" t="s">
        <v>2617</v>
      </c>
      <c r="C58" s="112" t="s">
        <v>160</v>
      </c>
      <c r="D58" s="113" t="s">
        <v>315</v>
      </c>
      <c r="E58" s="124" t="n">
        <f aca="false">SUM(F58:S58)</f>
        <v>1</v>
      </c>
      <c r="F58" s="119" t="n">
        <v>0</v>
      </c>
      <c r="G58" s="119" t="n">
        <v>0</v>
      </c>
      <c r="H58" s="119" t="n">
        <v>0</v>
      </c>
      <c r="I58" s="119" t="n">
        <v>0</v>
      </c>
      <c r="J58" s="119" t="n">
        <v>0.6</v>
      </c>
      <c r="K58" s="119" t="n">
        <v>0.4</v>
      </c>
      <c r="L58" s="119" t="n">
        <v>0</v>
      </c>
      <c r="M58" s="119" t="n">
        <v>0</v>
      </c>
      <c r="N58" s="119" t="n">
        <v>0</v>
      </c>
      <c r="O58" s="119" t="n">
        <v>0</v>
      </c>
      <c r="P58" s="119" t="n">
        <v>0</v>
      </c>
      <c r="Q58" s="119" t="n">
        <v>0</v>
      </c>
      <c r="R58" s="119" t="n">
        <v>0</v>
      </c>
      <c r="S58" s="119" t="n">
        <v>0</v>
      </c>
      <c r="T58" s="5" t="s">
        <v>2618</v>
      </c>
      <c r="U58" s="5" t="s">
        <v>1292</v>
      </c>
    </row>
    <row r="59" customFormat="false" ht="15" hidden="false" customHeight="false" outlineLevel="0" collapsed="false">
      <c r="B59" s="24" t="s">
        <v>1293</v>
      </c>
      <c r="C59" s="25" t="s">
        <v>240</v>
      </c>
      <c r="E59" s="44" t="n">
        <f aca="false">SUM(F59:S59)</f>
        <v>10</v>
      </c>
      <c r="F59" s="44" t="n">
        <f aca="false">$E$57*F58</f>
        <v>0</v>
      </c>
      <c r="G59" s="44" t="n">
        <f aca="false">$E$57*G58</f>
        <v>0</v>
      </c>
      <c r="H59" s="44" t="n">
        <f aca="false">$E$57*H58</f>
        <v>0</v>
      </c>
      <c r="I59" s="44" t="n">
        <f aca="false">$E$57*I58</f>
        <v>0</v>
      </c>
      <c r="J59" s="44" t="n">
        <f aca="false">$E$57*J58</f>
        <v>6</v>
      </c>
      <c r="K59" s="44" t="n">
        <f aca="false">$E$57*K58</f>
        <v>4</v>
      </c>
      <c r="L59" s="44" t="n">
        <f aca="false">$E$57*L58</f>
        <v>0</v>
      </c>
      <c r="M59" s="44" t="n">
        <f aca="false">$E$57*M58</f>
        <v>0</v>
      </c>
      <c r="N59" s="44" t="n">
        <f aca="false">$E$57*N58</f>
        <v>0</v>
      </c>
      <c r="O59" s="44" t="n">
        <f aca="false">$E$57*O58</f>
        <v>0</v>
      </c>
      <c r="P59" s="44" t="n">
        <f aca="false">$E$57*P58</f>
        <v>0</v>
      </c>
      <c r="Q59" s="44" t="n">
        <f aca="false">$E$57*Q58</f>
        <v>0</v>
      </c>
      <c r="R59" s="44" t="n">
        <f aca="false">$E$57*R58</f>
        <v>0</v>
      </c>
      <c r="S59" s="44" t="n">
        <f aca="false">$E$57*S58</f>
        <v>0</v>
      </c>
    </row>
    <row r="60" customFormat="false" ht="15" hidden="false" customHeight="false" outlineLevel="0" collapsed="false">
      <c r="B60" s="24" t="s">
        <v>1294</v>
      </c>
      <c r="C60" s="25" t="s">
        <v>152</v>
      </c>
      <c r="F60" s="107" t="n">
        <f aca="false">'Global Inputs'!F22</f>
        <v>16265</v>
      </c>
      <c r="G60" s="107" t="n">
        <f aca="false">'Global Inputs'!G22</f>
        <v>16265</v>
      </c>
      <c r="H60" s="107" t="n">
        <f aca="false">'Global Inputs'!H22</f>
        <v>16265</v>
      </c>
      <c r="I60" s="107" t="n">
        <f aca="false">'Global Inputs'!I22</f>
        <v>16265</v>
      </c>
      <c r="J60" s="107" t="n">
        <f aca="false">'Global Inputs'!J22</f>
        <v>16265</v>
      </c>
      <c r="K60" s="107" t="n">
        <f aca="false">'Global Inputs'!K22</f>
        <v>16265</v>
      </c>
      <c r="L60" s="107" t="n">
        <f aca="false">'Global Inputs'!L22</f>
        <v>16265</v>
      </c>
      <c r="M60" s="107" t="n">
        <f aca="false">'Global Inputs'!M22</f>
        <v>16265</v>
      </c>
      <c r="N60" s="107" t="n">
        <f aca="false">'Global Inputs'!N22</f>
        <v>16265</v>
      </c>
      <c r="O60" s="107" t="n">
        <f aca="false">'Global Inputs'!O22</f>
        <v>16265</v>
      </c>
      <c r="P60" s="107" t="n">
        <f aca="false">'Global Inputs'!P22</f>
        <v>16265</v>
      </c>
      <c r="Q60" s="107" t="n">
        <f aca="false">'Global Inputs'!Q22</f>
        <v>16265</v>
      </c>
      <c r="R60" s="107" t="n">
        <f aca="false">'Global Inputs'!R22</f>
        <v>16265</v>
      </c>
      <c r="S60" s="107" t="n">
        <f aca="false">'Global Inputs'!S22</f>
        <v>16265</v>
      </c>
    </row>
    <row r="61" customFormat="false" ht="15" hidden="false" customHeight="false" outlineLevel="0" collapsed="false">
      <c r="B61" s="24" t="s">
        <v>1295</v>
      </c>
      <c r="C61" s="25" t="s">
        <v>170</v>
      </c>
      <c r="E61" s="47" t="n">
        <f aca="false">SUM(F61:S61)</f>
        <v>162.65</v>
      </c>
      <c r="F61" s="47" t="n">
        <f aca="false">F59*F60/1000</f>
        <v>0</v>
      </c>
      <c r="G61" s="47" t="n">
        <f aca="false">G59*G60/1000</f>
        <v>0</v>
      </c>
      <c r="H61" s="47" t="n">
        <f aca="false">H59*H60/1000</f>
        <v>0</v>
      </c>
      <c r="I61" s="47" t="n">
        <f aca="false">I59*I60/1000</f>
        <v>0</v>
      </c>
      <c r="J61" s="47" t="n">
        <f aca="false">J59*J60/1000</f>
        <v>97.59</v>
      </c>
      <c r="K61" s="47" t="n">
        <f aca="false">K59*K60/1000</f>
        <v>65.06</v>
      </c>
      <c r="L61" s="47" t="n">
        <f aca="false">L59*L60/1000</f>
        <v>0</v>
      </c>
      <c r="M61" s="47" t="n">
        <f aca="false">M59*M60/1000</f>
        <v>0</v>
      </c>
      <c r="N61" s="47" t="n">
        <f aca="false">N59*N60/1000</f>
        <v>0</v>
      </c>
      <c r="O61" s="47" t="n">
        <f aca="false">O59*O60/1000</f>
        <v>0</v>
      </c>
      <c r="P61" s="47" t="n">
        <f aca="false">P59*P60/1000</f>
        <v>0</v>
      </c>
      <c r="Q61" s="47" t="n">
        <f aca="false">Q59*Q60/1000</f>
        <v>0</v>
      </c>
      <c r="R61" s="47" t="n">
        <f aca="false">R59*R60/1000</f>
        <v>0</v>
      </c>
      <c r="S61" s="47" t="n">
        <f aca="false">S59*S60/1000</f>
        <v>0</v>
      </c>
    </row>
    <row r="62" customFormat="false" ht="15" hidden="false" customHeight="false" outlineLevel="0" collapsed="false">
      <c r="B62" s="24" t="s">
        <v>1296</v>
      </c>
      <c r="C62" s="25" t="s">
        <v>240</v>
      </c>
      <c r="E62" s="44" t="n">
        <f aca="false">SUMPRODUCT($F$59:$S$59,--('Global Inputs'!$F$15:$S$15&lt;='Global Inputs'!$E$12))</f>
        <v>0</v>
      </c>
    </row>
    <row r="63" customFormat="false" ht="15" hidden="false" customHeight="false" outlineLevel="0" collapsed="false">
      <c r="B63" s="24" t="s">
        <v>1297</v>
      </c>
      <c r="C63" s="25" t="s">
        <v>240</v>
      </c>
      <c r="E63" s="44" t="n">
        <f aca="false">SUMPRODUCT($F$59:$S$59,--('Global Inputs'!$F$15:$S$15&gt;'Global Inputs'!$E$12))</f>
        <v>10</v>
      </c>
    </row>
    <row r="64" customFormat="false" ht="15" hidden="false" customHeight="false" outlineLevel="0" collapsed="false">
      <c r="B64" s="24" t="s">
        <v>1298</v>
      </c>
      <c r="C64" s="25" t="s">
        <v>240</v>
      </c>
      <c r="E64" s="44" t="n">
        <f aca="false">$E$57-SUM($F$59:$S$59)</f>
        <v>0</v>
      </c>
    </row>
    <row r="65" customFormat="false" ht="15" hidden="false" customHeight="false" outlineLevel="0" collapsed="false">
      <c r="B65" s="24" t="s">
        <v>1299</v>
      </c>
      <c r="C65" s="25" t="s">
        <v>527</v>
      </c>
      <c r="E65" s="108" t="str">
        <f aca="false">IF(ABS(SUM($F$58:$S$58)-1)&lt;0.000001,"PASS","CHECK: % not 100%")</f>
        <v>PASS</v>
      </c>
    </row>
    <row r="66" customFormat="false" ht="15" hidden="false" customHeight="false" outlineLevel="0" collapsed="false">
      <c r="B66" s="24" t="s">
        <v>1811</v>
      </c>
      <c r="C66" s="25" t="s">
        <v>135</v>
      </c>
      <c r="D66" s="25" t="s">
        <v>894</v>
      </c>
      <c r="E66" s="65" t="n">
        <f aca="false">$E$25</f>
        <v>2029</v>
      </c>
      <c r="T66" s="5" t="s">
        <v>1812</v>
      </c>
    </row>
    <row r="67" customFormat="false" ht="15" hidden="false" customHeight="false" outlineLevel="0" collapsed="false">
      <c r="B67" s="24" t="s">
        <v>1302</v>
      </c>
      <c r="C67" s="25" t="s">
        <v>180</v>
      </c>
      <c r="D67" s="26" t="s">
        <v>190</v>
      </c>
      <c r="E67" s="39" t="n">
        <v>0</v>
      </c>
      <c r="T67" s="5" t="s">
        <v>1303</v>
      </c>
      <c r="U67" s="5" t="s">
        <v>1304</v>
      </c>
    </row>
    <row r="68" customFormat="false" ht="15" hidden="false" customHeight="false" outlineLevel="0" collapsed="false">
      <c r="B68" s="24" t="s">
        <v>1305</v>
      </c>
      <c r="C68" s="25" t="s">
        <v>160</v>
      </c>
      <c r="D68" s="26" t="s">
        <v>262</v>
      </c>
      <c r="E68" s="51" t="n">
        <v>0.6</v>
      </c>
      <c r="T68" s="5" t="s">
        <v>2525</v>
      </c>
    </row>
    <row r="69" customFormat="false" ht="15" hidden="false" customHeight="false" outlineLevel="0" collapsed="false">
      <c r="B69" s="24" t="s">
        <v>1307</v>
      </c>
      <c r="C69" s="25" t="s">
        <v>145</v>
      </c>
      <c r="D69" s="26" t="s">
        <v>262</v>
      </c>
      <c r="E69" s="125" t="n">
        <v>20</v>
      </c>
      <c r="T69" s="5" t="s">
        <v>2525</v>
      </c>
    </row>
    <row r="70" customFormat="false" ht="15" hidden="false" customHeight="false" outlineLevel="0" collapsed="false">
      <c r="B70" s="24" t="s">
        <v>1309</v>
      </c>
      <c r="C70" s="25" t="s">
        <v>145</v>
      </c>
      <c r="D70" s="26" t="s">
        <v>262</v>
      </c>
      <c r="E70" s="125" t="n">
        <v>10</v>
      </c>
      <c r="T70" s="5" t="s">
        <v>2525</v>
      </c>
    </row>
  </sheetData>
  <hyperlinks>
    <hyperlink ref="C3" r:id="rId1" location="'P19%20Badas%20FS%20Working%20Paper'!A1" display="Input"/>
    <hyperlink ref="D3" r:id="rId2" location="'P19%20Badas%20Calculation'!A1" display="Calc"/>
    <hyperlink ref="E3" r:id="rId3" location="'P19%20Badas%20Output'!A1" display="Output"/>
    <hyperlink ref="F3" r:id="rId4" location="'Navigation'!A1" display="Navigation"/>
    <hyperlink ref="G3" r:id="rId5" location="'Global%20Inputs'!A1" display="Global Inputs"/>
    <hyperlink ref="H3" r:id="rId6" location="'Project%20Summary'!A1" display="Project Summary"/>
    <hyperlink ref="I3" r:id="rId7" location="'Funding%20Requirement'!A1" display="Funding"/>
    <hyperlink ref="J3" r:id="rId8" location="'FSL%20Financials%20—%20Without%20BUMN'!A1" display="FSL w/o BUMN"/>
    <hyperlink ref="K3" r:id="rId9" location="'FSL%20Financials%20—%20With%20BUMN'!A1" display="FSL w/ BUMN"/>
    <hyperlink ref="L3" r:id="rId10" location="'Valuation%20—%20Without%20BUMN'!A1" display="Val w/o BUMN"/>
    <hyperlink ref="M3" r:id="rId11" location="'Valuation%20—%20With%20BUMN'!A1" display="Val w/ BUMN"/>
    <hyperlink ref="N3" r:id="rId12" location="'Checks'!A1" display="Checks"/>
    <hyperlink ref="O3" r:id="rId13" location="'Model%20Flow'!A1" display="Model Flow"/>
  </hyperlink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BFBF"/>
    <pageSetUpPr fitToPage="true"/>
  </sheetPr>
  <dimension ref="B1:U6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5" ySplit="9" topLeftCell="F10" activePane="bottomRight" state="frozen"/>
      <selection pane="topLeft" activeCell="A1" activeCellId="0" sqref="A1"/>
      <selection pane="topRight" activeCell="F1" activeCellId="0" sqref="F1"/>
      <selection pane="bottomLeft" activeCell="A10" activeCellId="0" sqref="A10"/>
      <selection pane="bottomRigh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66"/>
    <col collapsed="false" customWidth="true" hidden="false" outlineLevel="0" max="3" min="3" style="0" width="11"/>
    <col collapsed="false" customWidth="true" hidden="false" outlineLevel="0" max="4" min="4" style="0" width="12"/>
    <col collapsed="false" customWidth="true" hidden="false" outlineLevel="0" max="5" min="5" style="0" width="13"/>
    <col collapsed="false" customWidth="true" hidden="false" outlineLevel="0" max="19" min="6" style="0" width="11.5"/>
    <col collapsed="false" customWidth="true" hidden="false" outlineLevel="0" max="20" min="20" style="0" width="40"/>
    <col collapsed="false" customWidth="true" hidden="false" outlineLevel="0" max="21" min="21" style="0" width="48"/>
  </cols>
  <sheetData>
    <row r="1" customFormat="false" ht="21.75" hidden="false" customHeight="true" outlineLevel="0" collapsed="false">
      <c r="B1" s="1" t="s">
        <v>2619</v>
      </c>
    </row>
    <row r="2" customFormat="false" ht="15" hidden="false" customHeight="false" outlineLevel="0" collapsed="false">
      <c r="B2" s="2" t="s">
        <v>1014</v>
      </c>
    </row>
    <row r="3" customFormat="false" ht="15" hidden="false" customHeight="false" outlineLevel="0" collapsed="false">
      <c r="B3" s="5" t="s">
        <v>112</v>
      </c>
      <c r="C3" s="17" t="s">
        <v>27</v>
      </c>
      <c r="D3" s="17" t="s">
        <v>28</v>
      </c>
      <c r="E3" s="17" t="s">
        <v>29</v>
      </c>
      <c r="F3" s="17" t="s">
        <v>113</v>
      </c>
      <c r="G3" s="17" t="s">
        <v>5</v>
      </c>
      <c r="H3" s="17" t="s">
        <v>7</v>
      </c>
      <c r="I3" s="17" t="s">
        <v>114</v>
      </c>
      <c r="J3" s="17" t="s">
        <v>115</v>
      </c>
      <c r="K3" s="17" t="s">
        <v>116</v>
      </c>
      <c r="L3" s="17" t="s">
        <v>117</v>
      </c>
      <c r="M3" s="17" t="s">
        <v>118</v>
      </c>
      <c r="N3" s="17" t="s">
        <v>21</v>
      </c>
      <c r="O3" s="17" t="s">
        <v>3</v>
      </c>
    </row>
    <row r="5" customFormat="false" ht="15" hidden="false" customHeight="false" outlineLevel="0" collapsed="false">
      <c r="B5" s="6" t="s">
        <v>119</v>
      </c>
      <c r="C5" s="6" t="s">
        <v>120</v>
      </c>
      <c r="D5" s="6" t="s">
        <v>121</v>
      </c>
      <c r="E5" s="6" t="s">
        <v>122</v>
      </c>
      <c r="F5" s="18" t="n">
        <f aca="false">'Global Inputs'!F$5</f>
        <v>2023</v>
      </c>
      <c r="G5" s="18" t="n">
        <f aca="false">'Global Inputs'!G$5</f>
        <v>2024</v>
      </c>
      <c r="H5" s="18" t="n">
        <f aca="false">'Global Inputs'!H$5</f>
        <v>2025</v>
      </c>
      <c r="I5" s="18" t="n">
        <f aca="false">'Global Inputs'!I$5</f>
        <v>2026</v>
      </c>
      <c r="J5" s="18" t="n">
        <f aca="false">'Global Inputs'!J$5</f>
        <v>2027</v>
      </c>
      <c r="K5" s="18" t="n">
        <f aca="false">'Global Inputs'!K$5</f>
        <v>2028</v>
      </c>
      <c r="L5" s="18" t="n">
        <f aca="false">'Global Inputs'!L$5</f>
        <v>2029</v>
      </c>
      <c r="M5" s="18" t="n">
        <f aca="false">'Global Inputs'!M$5</f>
        <v>2030</v>
      </c>
      <c r="N5" s="18" t="n">
        <f aca="false">'Global Inputs'!N$5</f>
        <v>2031</v>
      </c>
      <c r="O5" s="18" t="n">
        <f aca="false">'Global Inputs'!O$5</f>
        <v>2032</v>
      </c>
      <c r="P5" s="18" t="n">
        <f aca="false">'Global Inputs'!P$5</f>
        <v>2033</v>
      </c>
      <c r="Q5" s="18" t="n">
        <f aca="false">'Global Inputs'!Q$5</f>
        <v>2034</v>
      </c>
      <c r="R5" s="18" t="n">
        <f aca="false">'Global Inputs'!R$5</f>
        <v>2035</v>
      </c>
      <c r="S5" s="18" t="n">
        <f aca="false">'Global Inputs'!S$5</f>
        <v>2036</v>
      </c>
      <c r="T5" s="6" t="s">
        <v>123</v>
      </c>
      <c r="U5" s="6" t="s">
        <v>124</v>
      </c>
    </row>
    <row r="6" customFormat="false" ht="15" hidden="false" customHeight="false" outlineLevel="0" collapsed="false">
      <c r="B6" s="19" t="s">
        <v>125</v>
      </c>
      <c r="F6" s="20" t="n">
        <f aca="false">'Global Inputs'!F$6</f>
        <v>45291</v>
      </c>
      <c r="G6" s="20" t="n">
        <f aca="false">'Global Inputs'!G$6</f>
        <v>45657</v>
      </c>
      <c r="H6" s="20" t="n">
        <f aca="false">'Global Inputs'!H$6</f>
        <v>46022</v>
      </c>
      <c r="I6" s="20" t="n">
        <f aca="false">'Global Inputs'!I$6</f>
        <v>46387</v>
      </c>
      <c r="J6" s="20" t="n">
        <f aca="false">'Global Inputs'!J$6</f>
        <v>46752</v>
      </c>
      <c r="K6" s="20" t="n">
        <f aca="false">'Global Inputs'!K$6</f>
        <v>47118</v>
      </c>
      <c r="L6" s="20" t="n">
        <f aca="false">'Global Inputs'!L$6</f>
        <v>47483</v>
      </c>
      <c r="M6" s="20" t="n">
        <f aca="false">'Global Inputs'!M$6</f>
        <v>47848</v>
      </c>
      <c r="N6" s="20" t="n">
        <f aca="false">'Global Inputs'!N$6</f>
        <v>48213</v>
      </c>
      <c r="O6" s="20" t="n">
        <f aca="false">'Global Inputs'!O$6</f>
        <v>48579</v>
      </c>
      <c r="P6" s="20" t="n">
        <f aca="false">'Global Inputs'!P$6</f>
        <v>48944</v>
      </c>
      <c r="Q6" s="20" t="n">
        <f aca="false">'Global Inputs'!Q$6</f>
        <v>49309</v>
      </c>
      <c r="R6" s="20" t="n">
        <f aca="false">'Global Inputs'!R$6</f>
        <v>49674</v>
      </c>
      <c r="S6" s="20" t="n">
        <f aca="false">'Global Inputs'!S$6</f>
        <v>50040</v>
      </c>
    </row>
    <row r="7" customFormat="false" ht="15" hidden="false" customHeight="false" outlineLevel="0" collapsed="false">
      <c r="B7" s="19" t="s">
        <v>126</v>
      </c>
      <c r="F7" s="21" t="n">
        <f aca="false">'Global Inputs'!F$7</f>
        <v>365</v>
      </c>
      <c r="G7" s="21" t="n">
        <f aca="false">'Global Inputs'!G$7</f>
        <v>366</v>
      </c>
      <c r="H7" s="21" t="n">
        <f aca="false">'Global Inputs'!H$7</f>
        <v>365</v>
      </c>
      <c r="I7" s="21" t="n">
        <f aca="false">'Global Inputs'!I$7</f>
        <v>365</v>
      </c>
      <c r="J7" s="21" t="n">
        <f aca="false">'Global Inputs'!J$7</f>
        <v>365</v>
      </c>
      <c r="K7" s="21" t="n">
        <f aca="false">'Global Inputs'!K$7</f>
        <v>366</v>
      </c>
      <c r="L7" s="21" t="n">
        <f aca="false">'Global Inputs'!L$7</f>
        <v>365</v>
      </c>
      <c r="M7" s="21" t="n">
        <f aca="false">'Global Inputs'!M$7</f>
        <v>365</v>
      </c>
      <c r="N7" s="21" t="n">
        <f aca="false">'Global Inputs'!N$7</f>
        <v>365</v>
      </c>
      <c r="O7" s="21" t="n">
        <f aca="false">'Global Inputs'!O$7</f>
        <v>366</v>
      </c>
      <c r="P7" s="21" t="n">
        <f aca="false">'Global Inputs'!P$7</f>
        <v>365</v>
      </c>
      <c r="Q7" s="21" t="n">
        <f aca="false">'Global Inputs'!Q$7</f>
        <v>365</v>
      </c>
      <c r="R7" s="21" t="n">
        <f aca="false">'Global Inputs'!R$7</f>
        <v>365</v>
      </c>
      <c r="S7" s="21" t="n">
        <f aca="false">'Global Inputs'!S$7</f>
        <v>366</v>
      </c>
    </row>
    <row r="8" customFormat="false" ht="15" hidden="false" customHeight="false" outlineLevel="0" collapsed="false">
      <c r="B8" s="19" t="s">
        <v>127</v>
      </c>
      <c r="F8" s="21" t="n">
        <f aca="false">'Global Inputs'!F$8</f>
        <v>0</v>
      </c>
      <c r="G8" s="21" t="n">
        <f aca="false">'Global Inputs'!G$8</f>
        <v>1</v>
      </c>
      <c r="H8" s="21" t="n">
        <f aca="false">'Global Inputs'!H$8</f>
        <v>1</v>
      </c>
      <c r="I8" s="21" t="n">
        <f aca="false">'Global Inputs'!I$8</f>
        <v>1</v>
      </c>
      <c r="J8" s="21" t="n">
        <f aca="false">'Global Inputs'!J$8</f>
        <v>1</v>
      </c>
      <c r="K8" s="21" t="n">
        <f aca="false">'Global Inputs'!K$8</f>
        <v>1</v>
      </c>
      <c r="L8" s="21" t="n">
        <f aca="false">'Global Inputs'!L$8</f>
        <v>1</v>
      </c>
      <c r="M8" s="21" t="n">
        <f aca="false">'Global Inputs'!M$8</f>
        <v>1</v>
      </c>
      <c r="N8" s="21" t="n">
        <f aca="false">'Global Inputs'!N$8</f>
        <v>1</v>
      </c>
      <c r="O8" s="21" t="n">
        <f aca="false">'Global Inputs'!O$8</f>
        <v>1</v>
      </c>
      <c r="P8" s="21" t="n">
        <f aca="false">'Global Inputs'!P$8</f>
        <v>1</v>
      </c>
      <c r="Q8" s="21" t="n">
        <f aca="false">'Global Inputs'!Q$8</f>
        <v>1</v>
      </c>
      <c r="R8" s="21" t="n">
        <f aca="false">'Global Inputs'!R$8</f>
        <v>1</v>
      </c>
      <c r="S8" s="21" t="n">
        <f aca="false">'Global Inputs'!S$8</f>
        <v>1</v>
      </c>
    </row>
    <row r="10" customFormat="false" ht="15" hidden="false" customHeight="false" outlineLevel="0" collapsed="false">
      <c r="B10" s="22" t="s">
        <v>1015</v>
      </c>
      <c r="C10" s="23"/>
      <c r="D10" s="23"/>
      <c r="E10" s="23"/>
      <c r="F10" s="23"/>
      <c r="G10" s="23"/>
      <c r="H10" s="23"/>
      <c r="I10" s="23"/>
      <c r="J10" s="23"/>
      <c r="K10" s="23"/>
      <c r="L10" s="23"/>
      <c r="M10" s="23"/>
      <c r="N10" s="23"/>
      <c r="O10" s="23"/>
      <c r="P10" s="23"/>
      <c r="Q10" s="23"/>
      <c r="R10" s="23"/>
      <c r="S10" s="23"/>
    </row>
    <row r="11" customFormat="false" ht="15" hidden="false" customHeight="false" outlineLevel="0" collapsed="false">
      <c r="B11" s="24" t="s">
        <v>1016</v>
      </c>
      <c r="C11" s="25" t="s">
        <v>143</v>
      </c>
      <c r="F11" s="30" t="n">
        <f aca="false">IF(F$5&gt;='P19 Badas FS Working Paper'!$E$25,1,0)*F$8</f>
        <v>0</v>
      </c>
      <c r="G11" s="30" t="n">
        <f aca="false">IF(G$5&gt;='P19 Badas FS Working Paper'!$E$25,1,0)*G$8</f>
        <v>0</v>
      </c>
      <c r="H11" s="30" t="n">
        <f aca="false">IF(H$5&gt;='P19 Badas FS Working Paper'!$E$25,1,0)*H$8</f>
        <v>0</v>
      </c>
      <c r="I11" s="30" t="n">
        <f aca="false">IF(I$5&gt;='P19 Badas FS Working Paper'!$E$25,1,0)*I$8</f>
        <v>0</v>
      </c>
      <c r="J11" s="30" t="n">
        <f aca="false">IF(J$5&gt;='P19 Badas FS Working Paper'!$E$25,1,0)*J$8</f>
        <v>0</v>
      </c>
      <c r="K11" s="30" t="n">
        <f aca="false">IF(K$5&gt;='P19 Badas FS Working Paper'!$E$25,1,0)*K$8</f>
        <v>0</v>
      </c>
      <c r="L11" s="30" t="n">
        <f aca="false">IF(L$5&gt;='P19 Badas FS Working Paper'!$E$25,1,0)*L$8</f>
        <v>1</v>
      </c>
      <c r="M11" s="30" t="n">
        <f aca="false">IF(M$5&gt;='P19 Badas FS Working Paper'!$E$25,1,0)*M$8</f>
        <v>1</v>
      </c>
      <c r="N11" s="30" t="n">
        <f aca="false">IF(N$5&gt;='P19 Badas FS Working Paper'!$E$25,1,0)*N$8</f>
        <v>1</v>
      </c>
      <c r="O11" s="30" t="n">
        <f aca="false">IF(O$5&gt;='P19 Badas FS Working Paper'!$E$25,1,0)*O$8</f>
        <v>1</v>
      </c>
      <c r="P11" s="30" t="n">
        <f aca="false">IF(P$5&gt;='P19 Badas FS Working Paper'!$E$25,1,0)*P$8</f>
        <v>1</v>
      </c>
      <c r="Q11" s="30" t="n">
        <f aca="false">IF(Q$5&gt;='P19 Badas FS Working Paper'!$E$25,1,0)*Q$8</f>
        <v>1</v>
      </c>
      <c r="R11" s="30" t="n">
        <f aca="false">IF(R$5&gt;='P19 Badas FS Working Paper'!$E$25,1,0)*R$8</f>
        <v>1</v>
      </c>
      <c r="S11" s="30" t="n">
        <f aca="false">IF(S$5&gt;='P19 Badas FS Working Paper'!$E$25,1,0)*S$8</f>
        <v>1</v>
      </c>
    </row>
    <row r="13" customFormat="false" ht="15" hidden="false" customHeight="false" outlineLevel="0" collapsed="false">
      <c r="B13" s="22" t="s">
        <v>2620</v>
      </c>
      <c r="C13" s="23"/>
      <c r="D13" s="23"/>
      <c r="E13" s="23"/>
      <c r="F13" s="23"/>
      <c r="G13" s="23"/>
      <c r="H13" s="23"/>
      <c r="I13" s="23"/>
      <c r="J13" s="23"/>
      <c r="K13" s="23"/>
      <c r="L13" s="23"/>
      <c r="M13" s="23"/>
      <c r="N13" s="23"/>
      <c r="O13" s="23"/>
      <c r="P13" s="23"/>
      <c r="Q13" s="23"/>
      <c r="R13" s="23"/>
      <c r="S13" s="23"/>
    </row>
    <row r="14" customFormat="false" ht="15" hidden="false" customHeight="false" outlineLevel="0" collapsed="false">
      <c r="B14" s="24" t="s">
        <v>2621</v>
      </c>
      <c r="C14" s="25" t="s">
        <v>900</v>
      </c>
      <c r="E14" s="31" t="n">
        <f aca="false">SUM(F14:S14)</f>
        <v>5950000</v>
      </c>
      <c r="F14" s="31" t="n">
        <f aca="false">'P19 Badas FS Working Paper'!$E$28*'P19 Badas FS Working Paper'!F29*F11</f>
        <v>0</v>
      </c>
      <c r="G14" s="31" t="n">
        <f aca="false">'P19 Badas FS Working Paper'!$E$28*'P19 Badas FS Working Paper'!G29*G11</f>
        <v>0</v>
      </c>
      <c r="H14" s="31" t="n">
        <f aca="false">'P19 Badas FS Working Paper'!$E$28*'P19 Badas FS Working Paper'!H29*H11</f>
        <v>0</v>
      </c>
      <c r="I14" s="31" t="n">
        <f aca="false">'P19 Badas FS Working Paper'!$E$28*'P19 Badas FS Working Paper'!I29*I11</f>
        <v>0</v>
      </c>
      <c r="J14" s="31" t="n">
        <f aca="false">'P19 Badas FS Working Paper'!$E$28*'P19 Badas FS Working Paper'!J29*J11</f>
        <v>0</v>
      </c>
      <c r="K14" s="31" t="n">
        <f aca="false">'P19 Badas FS Working Paper'!$E$28*'P19 Badas FS Working Paper'!K29*K11</f>
        <v>0</v>
      </c>
      <c r="L14" s="31" t="n">
        <f aca="false">'P19 Badas FS Working Paper'!$E$28*'P19 Badas FS Working Paper'!L29*L11</f>
        <v>550000</v>
      </c>
      <c r="M14" s="31" t="n">
        <f aca="false">'P19 Badas FS Working Paper'!$E$28*'P19 Badas FS Working Paper'!M29*M11</f>
        <v>650000</v>
      </c>
      <c r="N14" s="31" t="n">
        <f aca="false">'P19 Badas FS Working Paper'!$E$28*'P19 Badas FS Working Paper'!N29*N11</f>
        <v>750000</v>
      </c>
      <c r="O14" s="31" t="n">
        <f aca="false">'P19 Badas FS Working Paper'!$E$28*'P19 Badas FS Working Paper'!O29*O11</f>
        <v>800000</v>
      </c>
      <c r="P14" s="31" t="n">
        <f aca="false">'P19 Badas FS Working Paper'!$E$28*'P19 Badas FS Working Paper'!P29*P11</f>
        <v>800000</v>
      </c>
      <c r="Q14" s="31" t="n">
        <f aca="false">'P19 Badas FS Working Paper'!$E$28*'P19 Badas FS Working Paper'!Q29*Q11</f>
        <v>800000</v>
      </c>
      <c r="R14" s="31" t="n">
        <f aca="false">'P19 Badas FS Working Paper'!$E$28*'P19 Badas FS Working Paper'!R29*R11</f>
        <v>800000</v>
      </c>
      <c r="S14" s="31" t="n">
        <f aca="false">'P19 Badas FS Working Paper'!$E$28*'P19 Badas FS Working Paper'!S29*S11</f>
        <v>800000</v>
      </c>
    </row>
    <row r="15" customFormat="false" ht="15" hidden="false" customHeight="false" outlineLevel="0" collapsed="false">
      <c r="B15" s="24" t="s">
        <v>2622</v>
      </c>
      <c r="C15" s="25" t="s">
        <v>900</v>
      </c>
      <c r="F15" s="31" t="n">
        <f aca="false">F14*'P19 Badas FS Working Paper'!F30</f>
        <v>0</v>
      </c>
      <c r="G15" s="31" t="n">
        <f aca="false">G14*'P19 Badas FS Working Paper'!G30</f>
        <v>0</v>
      </c>
      <c r="H15" s="31" t="n">
        <f aca="false">H14*'P19 Badas FS Working Paper'!H30</f>
        <v>0</v>
      </c>
      <c r="I15" s="31" t="n">
        <f aca="false">I14*'P19 Badas FS Working Paper'!I30</f>
        <v>0</v>
      </c>
      <c r="J15" s="31" t="n">
        <f aca="false">J14*'P19 Badas FS Working Paper'!J30</f>
        <v>0</v>
      </c>
      <c r="K15" s="31" t="n">
        <f aca="false">K14*'P19 Badas FS Working Paper'!K30</f>
        <v>0</v>
      </c>
      <c r="L15" s="31" t="n">
        <f aca="false">L14*'P19 Badas FS Working Paper'!L30</f>
        <v>275000</v>
      </c>
      <c r="M15" s="31" t="n">
        <f aca="false">M14*'P19 Badas FS Working Paper'!M30</f>
        <v>325000</v>
      </c>
      <c r="N15" s="31" t="n">
        <f aca="false">N14*'P19 Badas FS Working Paper'!N30</f>
        <v>375000</v>
      </c>
      <c r="O15" s="31" t="n">
        <f aca="false">O14*'P19 Badas FS Working Paper'!O30</f>
        <v>400000</v>
      </c>
      <c r="P15" s="31" t="n">
        <f aca="false">P14*'P19 Badas FS Working Paper'!P30</f>
        <v>400000</v>
      </c>
      <c r="Q15" s="31" t="n">
        <f aca="false">Q14*'P19 Badas FS Working Paper'!Q30</f>
        <v>400000</v>
      </c>
      <c r="R15" s="31" t="n">
        <f aca="false">R14*'P19 Badas FS Working Paper'!R30</f>
        <v>400000</v>
      </c>
      <c r="S15" s="31" t="n">
        <f aca="false">S14*'P19 Badas FS Working Paper'!S30</f>
        <v>400000</v>
      </c>
    </row>
    <row r="16" customFormat="false" ht="15" hidden="false" customHeight="false" outlineLevel="0" collapsed="false">
      <c r="B16" s="24" t="s">
        <v>2623</v>
      </c>
      <c r="C16" s="25" t="s">
        <v>900</v>
      </c>
      <c r="F16" s="31" t="n">
        <f aca="false">F14*'P19 Badas FS Working Paper'!F32</f>
        <v>0</v>
      </c>
      <c r="G16" s="31" t="n">
        <f aca="false">G14*'P19 Badas FS Working Paper'!G32</f>
        <v>0</v>
      </c>
      <c r="H16" s="31" t="n">
        <f aca="false">H14*'P19 Badas FS Working Paper'!H32</f>
        <v>0</v>
      </c>
      <c r="I16" s="31" t="n">
        <f aca="false">I14*'P19 Badas FS Working Paper'!I32</f>
        <v>0</v>
      </c>
      <c r="J16" s="31" t="n">
        <f aca="false">J14*'P19 Badas FS Working Paper'!J32</f>
        <v>0</v>
      </c>
      <c r="K16" s="31" t="n">
        <f aca="false">K14*'P19 Badas FS Working Paper'!K32</f>
        <v>0</v>
      </c>
      <c r="L16" s="31" t="n">
        <f aca="false">L14*'P19 Badas FS Working Paper'!L32</f>
        <v>165000</v>
      </c>
      <c r="M16" s="31" t="n">
        <f aca="false">M14*'P19 Badas FS Working Paper'!M32</f>
        <v>195000</v>
      </c>
      <c r="N16" s="31" t="n">
        <f aca="false">N14*'P19 Badas FS Working Paper'!N32</f>
        <v>225000</v>
      </c>
      <c r="O16" s="31" t="n">
        <f aca="false">O14*'P19 Badas FS Working Paper'!O32</f>
        <v>240000</v>
      </c>
      <c r="P16" s="31" t="n">
        <f aca="false">P14*'P19 Badas FS Working Paper'!P32</f>
        <v>240000</v>
      </c>
      <c r="Q16" s="31" t="n">
        <f aca="false">Q14*'P19 Badas FS Working Paper'!Q32</f>
        <v>240000</v>
      </c>
      <c r="R16" s="31" t="n">
        <f aca="false">R14*'P19 Badas FS Working Paper'!R32</f>
        <v>240000</v>
      </c>
      <c r="S16" s="31" t="n">
        <f aca="false">S14*'P19 Badas FS Working Paper'!S32</f>
        <v>240000</v>
      </c>
    </row>
    <row r="18" customFormat="false" ht="15" hidden="false" customHeight="false" outlineLevel="0" collapsed="false">
      <c r="B18" s="22" t="s">
        <v>2624</v>
      </c>
      <c r="C18" s="23"/>
      <c r="D18" s="23"/>
      <c r="E18" s="23"/>
      <c r="F18" s="23"/>
      <c r="G18" s="23"/>
      <c r="H18" s="23"/>
      <c r="I18" s="23"/>
      <c r="J18" s="23"/>
      <c r="K18" s="23"/>
      <c r="L18" s="23"/>
      <c r="M18" s="23"/>
      <c r="N18" s="23"/>
      <c r="O18" s="23"/>
      <c r="P18" s="23"/>
      <c r="Q18" s="23"/>
      <c r="R18" s="23"/>
      <c r="S18" s="23"/>
    </row>
    <row r="19" customFormat="false" ht="15" hidden="false" customHeight="false" outlineLevel="0" collapsed="false">
      <c r="B19" s="24" t="s">
        <v>2625</v>
      </c>
      <c r="C19" s="25" t="s">
        <v>170</v>
      </c>
      <c r="E19" s="47" t="n">
        <f aca="false">SUM(F19:S19)</f>
        <v>299.5345726</v>
      </c>
      <c r="F19" s="47" t="n">
        <f aca="false">F14*'P19 Badas FS Working Paper'!F34/10^9</f>
        <v>0</v>
      </c>
      <c r="G19" s="47" t="n">
        <f aca="false">G14*'P19 Badas FS Working Paper'!G34/10^9</f>
        <v>0</v>
      </c>
      <c r="H19" s="47" t="n">
        <f aca="false">H14*'P19 Badas FS Working Paper'!H34/10^9</f>
        <v>0</v>
      </c>
      <c r="I19" s="47" t="n">
        <f aca="false">I14*'P19 Badas FS Working Paper'!I34/10^9</f>
        <v>0</v>
      </c>
      <c r="J19" s="47" t="n">
        <f aca="false">J14*'P19 Badas FS Working Paper'!J34/10^9</f>
        <v>0</v>
      </c>
      <c r="K19" s="47" t="n">
        <f aca="false">K14*'P19 Badas FS Working Paper'!K34/10^9</f>
        <v>0</v>
      </c>
      <c r="L19" s="47" t="n">
        <f aca="false">L14*'P19 Badas FS Working Paper'!L34/10^9</f>
        <v>24.75</v>
      </c>
      <c r="M19" s="47" t="n">
        <f aca="false">M14*'P19 Badas FS Working Paper'!M34/10^9</f>
        <v>30.1275</v>
      </c>
      <c r="N19" s="47" t="n">
        <f aca="false">N14*'P19 Badas FS Working Paper'!N34/10^9</f>
        <v>35.805375</v>
      </c>
      <c r="O19" s="47" t="n">
        <f aca="false">O14*'P19 Badas FS Working Paper'!O34/10^9</f>
        <v>39.338172</v>
      </c>
      <c r="P19" s="47" t="n">
        <f aca="false">P14*'P19 Badas FS Working Paper'!P34/10^9</f>
        <v>40.5183172</v>
      </c>
      <c r="Q19" s="47" t="n">
        <f aca="false">Q14*'P19 Badas FS Working Paper'!Q34/10^9</f>
        <v>41.73386664</v>
      </c>
      <c r="R19" s="47" t="n">
        <f aca="false">R14*'P19 Badas FS Working Paper'!R34/10^9</f>
        <v>42.98588264</v>
      </c>
      <c r="S19" s="47" t="n">
        <f aca="false">S14*'P19 Badas FS Working Paper'!S34/10^9</f>
        <v>44.27545912</v>
      </c>
    </row>
    <row r="20" customFormat="false" ht="15" hidden="false" customHeight="false" outlineLevel="0" collapsed="false">
      <c r="B20" s="24" t="s">
        <v>2626</v>
      </c>
      <c r="C20" s="25" t="s">
        <v>170</v>
      </c>
      <c r="E20" s="47" t="n">
        <f aca="false">SUM(F20:S20)</f>
        <v>59.90691456</v>
      </c>
      <c r="F20" s="47" t="n">
        <f aca="false">F15*'P19 Badas FS Working Paper'!$E$31*'P19 Badas FS Working Paper'!F35/10^9</f>
        <v>0</v>
      </c>
      <c r="G20" s="47" t="n">
        <f aca="false">G15*'P19 Badas FS Working Paper'!$E$31*'P19 Badas FS Working Paper'!G35/10^9</f>
        <v>0</v>
      </c>
      <c r="H20" s="47" t="n">
        <f aca="false">H15*'P19 Badas FS Working Paper'!$E$31*'P19 Badas FS Working Paper'!H35/10^9</f>
        <v>0</v>
      </c>
      <c r="I20" s="47" t="n">
        <f aca="false">I15*'P19 Badas FS Working Paper'!$E$31*'P19 Badas FS Working Paper'!I35/10^9</f>
        <v>0</v>
      </c>
      <c r="J20" s="47" t="n">
        <f aca="false">J15*'P19 Badas FS Working Paper'!$E$31*'P19 Badas FS Working Paper'!J35/10^9</f>
        <v>0</v>
      </c>
      <c r="K20" s="47" t="n">
        <f aca="false">K15*'P19 Badas FS Working Paper'!$E$31*'P19 Badas FS Working Paper'!K35/10^9</f>
        <v>0</v>
      </c>
      <c r="L20" s="47" t="n">
        <f aca="false">L15*'P19 Badas FS Working Paper'!$E$31*'P19 Badas FS Working Paper'!L35/10^9</f>
        <v>4.95</v>
      </c>
      <c r="M20" s="47" t="n">
        <f aca="false">M15*'P19 Badas FS Working Paper'!$E$31*'P19 Badas FS Working Paper'!M35/10^9</f>
        <v>6.0255</v>
      </c>
      <c r="N20" s="47" t="n">
        <f aca="false">N15*'P19 Badas FS Working Paper'!$E$31*'P19 Badas FS Working Paper'!N35/10^9</f>
        <v>7.161075</v>
      </c>
      <c r="O20" s="47" t="n">
        <f aca="false">O15*'P19 Badas FS Working Paper'!$E$31*'P19 Badas FS Working Paper'!O35/10^9</f>
        <v>7.8676344</v>
      </c>
      <c r="P20" s="47" t="n">
        <f aca="false">P15*'P19 Badas FS Working Paper'!$E$31*'P19 Badas FS Working Paper'!P35/10^9</f>
        <v>8.10366342</v>
      </c>
      <c r="Q20" s="47" t="n">
        <f aca="false">Q15*'P19 Badas FS Working Paper'!$E$31*'P19 Badas FS Working Paper'!Q35/10^9</f>
        <v>8.34677334</v>
      </c>
      <c r="R20" s="47" t="n">
        <f aca="false">R15*'P19 Badas FS Working Paper'!$E$31*'P19 Badas FS Working Paper'!R35/10^9</f>
        <v>8.59717656</v>
      </c>
      <c r="S20" s="47" t="n">
        <f aca="false">S15*'P19 Badas FS Working Paper'!$E$31*'P19 Badas FS Working Paper'!S35/10^9</f>
        <v>8.85509184</v>
      </c>
    </row>
    <row r="21" customFormat="false" ht="15" hidden="false" customHeight="false" outlineLevel="0" collapsed="false">
      <c r="B21" s="24" t="s">
        <v>2627</v>
      </c>
      <c r="C21" s="25" t="s">
        <v>170</v>
      </c>
      <c r="E21" s="47" t="n">
        <f aca="false">SUM(F21:S21)</f>
        <v>17.97207438</v>
      </c>
      <c r="F21" s="47" t="n">
        <f aca="false">F16*'P19 Badas FS Working Paper'!F36/10^9</f>
        <v>0</v>
      </c>
      <c r="G21" s="47" t="n">
        <f aca="false">G16*'P19 Badas FS Working Paper'!G36/10^9</f>
        <v>0</v>
      </c>
      <c r="H21" s="47" t="n">
        <f aca="false">H16*'P19 Badas FS Working Paper'!H36/10^9</f>
        <v>0</v>
      </c>
      <c r="I21" s="47" t="n">
        <f aca="false">I16*'P19 Badas FS Working Paper'!I36/10^9</f>
        <v>0</v>
      </c>
      <c r="J21" s="47" t="n">
        <f aca="false">J16*'P19 Badas FS Working Paper'!J36/10^9</f>
        <v>0</v>
      </c>
      <c r="K21" s="47" t="n">
        <f aca="false">K16*'P19 Badas FS Working Paper'!K36/10^9</f>
        <v>0</v>
      </c>
      <c r="L21" s="47" t="n">
        <f aca="false">L16*'P19 Badas FS Working Paper'!L36/10^9</f>
        <v>1.485</v>
      </c>
      <c r="M21" s="47" t="n">
        <f aca="false">M16*'P19 Badas FS Working Paper'!M36/10^9</f>
        <v>1.80765</v>
      </c>
      <c r="N21" s="47" t="n">
        <f aca="false">N16*'P19 Badas FS Working Paper'!N36/10^9</f>
        <v>2.1483225</v>
      </c>
      <c r="O21" s="47" t="n">
        <f aca="false">O16*'P19 Badas FS Working Paper'!O36/10^9</f>
        <v>2.36029032</v>
      </c>
      <c r="P21" s="47" t="n">
        <f aca="false">P16*'P19 Badas FS Working Paper'!P36/10^9</f>
        <v>2.431099032</v>
      </c>
      <c r="Q21" s="47" t="n">
        <f aca="false">Q16*'P19 Badas FS Working Paper'!Q36/10^9</f>
        <v>2.504032008</v>
      </c>
      <c r="R21" s="47" t="n">
        <f aca="false">R16*'P19 Badas FS Working Paper'!R36/10^9</f>
        <v>2.579152968</v>
      </c>
      <c r="S21" s="47" t="n">
        <f aca="false">S16*'P19 Badas FS Working Paper'!S36/10^9</f>
        <v>2.656527552</v>
      </c>
    </row>
    <row r="22" customFormat="false" ht="15" hidden="false" customHeight="false" outlineLevel="0" collapsed="false">
      <c r="B22" s="69" t="s">
        <v>2628</v>
      </c>
      <c r="C22" s="25" t="s">
        <v>170</v>
      </c>
      <c r="E22" s="70" t="n">
        <f aca="false">SUM(F22:S22)</f>
        <v>377.41356154</v>
      </c>
      <c r="F22" s="68" t="n">
        <f aca="false">F19+F20+F21</f>
        <v>0</v>
      </c>
      <c r="G22" s="68" t="n">
        <f aca="false">G19+G20+G21</f>
        <v>0</v>
      </c>
      <c r="H22" s="68" t="n">
        <f aca="false">H19+H20+H21</f>
        <v>0</v>
      </c>
      <c r="I22" s="68" t="n">
        <f aca="false">I19+I20+I21</f>
        <v>0</v>
      </c>
      <c r="J22" s="68" t="n">
        <f aca="false">J19+J20+J21</f>
        <v>0</v>
      </c>
      <c r="K22" s="68" t="n">
        <f aca="false">K19+K20+K21</f>
        <v>0</v>
      </c>
      <c r="L22" s="68" t="n">
        <f aca="false">L19+L20+L21</f>
        <v>31.185</v>
      </c>
      <c r="M22" s="68" t="n">
        <f aca="false">M19+M20+M21</f>
        <v>37.96065</v>
      </c>
      <c r="N22" s="68" t="n">
        <f aca="false">N19+N20+N21</f>
        <v>45.1147725</v>
      </c>
      <c r="O22" s="68" t="n">
        <f aca="false">O19+O20+O21</f>
        <v>49.56609672</v>
      </c>
      <c r="P22" s="68" t="n">
        <f aca="false">P19+P20+P21</f>
        <v>51.053079652</v>
      </c>
      <c r="Q22" s="68" t="n">
        <f aca="false">Q19+Q20+Q21</f>
        <v>52.584671988</v>
      </c>
      <c r="R22" s="68" t="n">
        <f aca="false">R19+R20+R21</f>
        <v>54.162212168</v>
      </c>
      <c r="S22" s="68" t="n">
        <f aca="false">S19+S20+S21</f>
        <v>55.787078512</v>
      </c>
    </row>
    <row r="23" customFormat="false" ht="15" hidden="false" customHeight="false" outlineLevel="0" collapsed="false">
      <c r="B23" s="69" t="s">
        <v>2629</v>
      </c>
      <c r="C23" s="25" t="s">
        <v>170</v>
      </c>
      <c r="E23" s="70" t="n">
        <f aca="false">SUM(F23:S23)</f>
        <v>377.41356154</v>
      </c>
      <c r="F23" s="68" t="n">
        <f aca="false">F22*'P19 Badas FS Working Paper'!$E$38</f>
        <v>0</v>
      </c>
      <c r="G23" s="68" t="n">
        <f aca="false">G22*'P19 Badas FS Working Paper'!$E$38</f>
        <v>0</v>
      </c>
      <c r="H23" s="68" t="n">
        <f aca="false">H22*'P19 Badas FS Working Paper'!$E$38</f>
        <v>0</v>
      </c>
      <c r="I23" s="68" t="n">
        <f aca="false">I22*'P19 Badas FS Working Paper'!$E$38</f>
        <v>0</v>
      </c>
      <c r="J23" s="68" t="n">
        <f aca="false">J22*'P19 Badas FS Working Paper'!$E$38</f>
        <v>0</v>
      </c>
      <c r="K23" s="68" t="n">
        <f aca="false">K22*'P19 Badas FS Working Paper'!$E$38</f>
        <v>0</v>
      </c>
      <c r="L23" s="68" t="n">
        <f aca="false">L22*'P19 Badas FS Working Paper'!$E$38</f>
        <v>31.185</v>
      </c>
      <c r="M23" s="68" t="n">
        <f aca="false">M22*'P19 Badas FS Working Paper'!$E$38</f>
        <v>37.96065</v>
      </c>
      <c r="N23" s="68" t="n">
        <f aca="false">N22*'P19 Badas FS Working Paper'!$E$38</f>
        <v>45.1147725</v>
      </c>
      <c r="O23" s="68" t="n">
        <f aca="false">O22*'P19 Badas FS Working Paper'!$E$38</f>
        <v>49.56609672</v>
      </c>
      <c r="P23" s="68" t="n">
        <f aca="false">P22*'P19 Badas FS Working Paper'!$E$38</f>
        <v>51.053079652</v>
      </c>
      <c r="Q23" s="68" t="n">
        <f aca="false">Q22*'P19 Badas FS Working Paper'!$E$38</f>
        <v>52.584671988</v>
      </c>
      <c r="R23" s="68" t="n">
        <f aca="false">R22*'P19 Badas FS Working Paper'!$E$38</f>
        <v>54.162212168</v>
      </c>
      <c r="S23" s="68" t="n">
        <f aca="false">S22*'P19 Badas FS Working Paper'!$E$38</f>
        <v>55.787078512</v>
      </c>
    </row>
    <row r="25" customFormat="false" ht="15" hidden="false" customHeight="false" outlineLevel="0" collapsed="false">
      <c r="B25" s="22" t="s">
        <v>2630</v>
      </c>
      <c r="C25" s="23"/>
      <c r="D25" s="23"/>
      <c r="E25" s="23"/>
      <c r="F25" s="23"/>
      <c r="G25" s="23"/>
      <c r="H25" s="23"/>
      <c r="I25" s="23"/>
      <c r="J25" s="23"/>
      <c r="K25" s="23"/>
      <c r="L25" s="23"/>
      <c r="M25" s="23"/>
      <c r="N25" s="23"/>
      <c r="O25" s="23"/>
      <c r="P25" s="23"/>
      <c r="Q25" s="23"/>
      <c r="R25" s="23"/>
      <c r="S25" s="23"/>
    </row>
    <row r="26" customFormat="false" ht="15" hidden="false" customHeight="false" outlineLevel="0" collapsed="false">
      <c r="B26" s="24" t="s">
        <v>2631</v>
      </c>
      <c r="C26" s="25" t="s">
        <v>170</v>
      </c>
      <c r="E26" s="47" t="n">
        <f aca="false">SUM(F26:S26)</f>
        <v>56.57875262</v>
      </c>
      <c r="F26" s="47" t="n">
        <f aca="false">F14*'P19 Badas FS Working Paper'!F41/10^9</f>
        <v>0</v>
      </c>
      <c r="G26" s="47" t="n">
        <f aca="false">G14*'P19 Badas FS Working Paper'!G41/10^9</f>
        <v>0</v>
      </c>
      <c r="H26" s="47" t="n">
        <f aca="false">H14*'P19 Badas FS Working Paper'!H41/10^9</f>
        <v>0</v>
      </c>
      <c r="I26" s="47" t="n">
        <f aca="false">I14*'P19 Badas FS Working Paper'!I41/10^9</f>
        <v>0</v>
      </c>
      <c r="J26" s="47" t="n">
        <f aca="false">J14*'P19 Badas FS Working Paper'!J41/10^9</f>
        <v>0</v>
      </c>
      <c r="K26" s="47" t="n">
        <f aca="false">K14*'P19 Badas FS Working Paper'!K41/10^9</f>
        <v>0</v>
      </c>
      <c r="L26" s="47" t="n">
        <f aca="false">L14*'P19 Badas FS Working Paper'!L41/10^9</f>
        <v>4.675</v>
      </c>
      <c r="M26" s="47" t="n">
        <f aca="false">M14*'P19 Badas FS Working Paper'!M41/10^9</f>
        <v>5.69075</v>
      </c>
      <c r="N26" s="47" t="n">
        <f aca="false">N14*'P19 Badas FS Working Paper'!N41/10^9</f>
        <v>6.7632375</v>
      </c>
      <c r="O26" s="47" t="n">
        <f aca="false">O14*'P19 Badas FS Working Paper'!O41/10^9</f>
        <v>7.4305436</v>
      </c>
      <c r="P26" s="47" t="n">
        <f aca="false">P14*'P19 Badas FS Working Paper'!P41/10^9</f>
        <v>7.65345992</v>
      </c>
      <c r="Q26" s="47" t="n">
        <f aca="false">Q14*'P19 Badas FS Working Paper'!Q41/10^9</f>
        <v>7.88306368</v>
      </c>
      <c r="R26" s="47" t="n">
        <f aca="false">R14*'P19 Badas FS Working Paper'!R41/10^9</f>
        <v>8.1195556</v>
      </c>
      <c r="S26" s="47" t="n">
        <f aca="false">S14*'P19 Badas FS Working Paper'!S41/10^9</f>
        <v>8.36314232</v>
      </c>
    </row>
    <row r="27" customFormat="false" ht="15" hidden="false" customHeight="false" outlineLevel="0" collapsed="false">
      <c r="B27" s="24" t="s">
        <v>2632</v>
      </c>
      <c r="C27" s="25" t="s">
        <v>170</v>
      </c>
      <c r="E27" s="47" t="n">
        <f aca="false">SUM(F27:S27)</f>
        <v>18.870678077</v>
      </c>
      <c r="F27" s="47" t="n">
        <f aca="false">F22*'P19 Badas FS Working Paper'!F40</f>
        <v>0</v>
      </c>
      <c r="G27" s="47" t="n">
        <f aca="false">G22*'P19 Badas FS Working Paper'!G40</f>
        <v>0</v>
      </c>
      <c r="H27" s="47" t="n">
        <f aca="false">H22*'P19 Badas FS Working Paper'!H40</f>
        <v>0</v>
      </c>
      <c r="I27" s="47" t="n">
        <f aca="false">I22*'P19 Badas FS Working Paper'!I40</f>
        <v>0</v>
      </c>
      <c r="J27" s="47" t="n">
        <f aca="false">J22*'P19 Badas FS Working Paper'!J40</f>
        <v>0</v>
      </c>
      <c r="K27" s="47" t="n">
        <f aca="false">K22*'P19 Badas FS Working Paper'!K40</f>
        <v>0</v>
      </c>
      <c r="L27" s="47" t="n">
        <f aca="false">L22*'P19 Badas FS Working Paper'!L40</f>
        <v>1.55925</v>
      </c>
      <c r="M27" s="47" t="n">
        <f aca="false">M22*'P19 Badas FS Working Paper'!M40</f>
        <v>1.8980325</v>
      </c>
      <c r="N27" s="47" t="n">
        <f aca="false">N22*'P19 Badas FS Working Paper'!N40</f>
        <v>2.255738625</v>
      </c>
      <c r="O27" s="47" t="n">
        <f aca="false">O22*'P19 Badas FS Working Paper'!O40</f>
        <v>2.478304836</v>
      </c>
      <c r="P27" s="47" t="n">
        <f aca="false">P22*'P19 Badas FS Working Paper'!P40</f>
        <v>2.5526539826</v>
      </c>
      <c r="Q27" s="47" t="n">
        <f aca="false">Q22*'P19 Badas FS Working Paper'!Q40</f>
        <v>2.6292335994</v>
      </c>
      <c r="R27" s="47" t="n">
        <f aca="false">R22*'P19 Badas FS Working Paper'!R40</f>
        <v>2.7081106084</v>
      </c>
      <c r="S27" s="47" t="n">
        <f aca="false">S22*'P19 Badas FS Working Paper'!S40</f>
        <v>2.7893539256</v>
      </c>
    </row>
    <row r="28" customFormat="false" ht="15" hidden="false" customHeight="false" outlineLevel="0" collapsed="false">
      <c r="B28" s="24" t="s">
        <v>2633</v>
      </c>
      <c r="C28" s="25" t="s">
        <v>170</v>
      </c>
      <c r="E28" s="47" t="n">
        <f aca="false">SUM(F28:S28)</f>
        <v>19.518</v>
      </c>
      <c r="F28" s="47" t="n">
        <f aca="false">SUM($F$48:$S$48)*'P19 Badas FS Working Paper'!F46*F50</f>
        <v>0</v>
      </c>
      <c r="G28" s="47" t="n">
        <f aca="false">SUM($F$48:$S$48)*'P19 Badas FS Working Paper'!G46*G50</f>
        <v>0</v>
      </c>
      <c r="H28" s="47" t="n">
        <f aca="false">SUM($F$48:$S$48)*'P19 Badas FS Working Paper'!H46*H50</f>
        <v>0</v>
      </c>
      <c r="I28" s="47" t="n">
        <f aca="false">SUM($F$48:$S$48)*'P19 Badas FS Working Paper'!I46*I50</f>
        <v>0</v>
      </c>
      <c r="J28" s="47" t="n">
        <f aca="false">SUM($F$48:$S$48)*'P19 Badas FS Working Paper'!J46*J50</f>
        <v>0</v>
      </c>
      <c r="K28" s="47" t="n">
        <f aca="false">SUM($F$48:$S$48)*'P19 Badas FS Working Paper'!K46*K50</f>
        <v>0</v>
      </c>
      <c r="L28" s="47" t="n">
        <f aca="false">SUM($F$48:$S$48)*'P19 Badas FS Working Paper'!L46*L50</f>
        <v>2.43975</v>
      </c>
      <c r="M28" s="47" t="n">
        <f aca="false">SUM($F$48:$S$48)*'P19 Badas FS Working Paper'!M46*M50</f>
        <v>2.43975</v>
      </c>
      <c r="N28" s="47" t="n">
        <f aca="false">SUM($F$48:$S$48)*'P19 Badas FS Working Paper'!N46*N50</f>
        <v>2.43975</v>
      </c>
      <c r="O28" s="47" t="n">
        <f aca="false">SUM($F$48:$S$48)*'P19 Badas FS Working Paper'!O46*O50</f>
        <v>2.43975</v>
      </c>
      <c r="P28" s="47" t="n">
        <f aca="false">SUM($F$48:$S$48)*'P19 Badas FS Working Paper'!P46*P50</f>
        <v>2.43975</v>
      </c>
      <c r="Q28" s="47" t="n">
        <f aca="false">SUM($F$48:$S$48)*'P19 Badas FS Working Paper'!Q46*Q50</f>
        <v>2.43975</v>
      </c>
      <c r="R28" s="47" t="n">
        <f aca="false">SUM($F$48:$S$48)*'P19 Badas FS Working Paper'!R46*R50</f>
        <v>2.43975</v>
      </c>
      <c r="S28" s="47" t="n">
        <f aca="false">SUM($F$48:$S$48)*'P19 Badas FS Working Paper'!S46*S50</f>
        <v>2.43975</v>
      </c>
    </row>
    <row r="29" customFormat="false" ht="15" hidden="false" customHeight="false" outlineLevel="0" collapsed="false">
      <c r="B29" s="24" t="s">
        <v>2634</v>
      </c>
      <c r="C29" s="25" t="s">
        <v>170</v>
      </c>
      <c r="E29" s="47" t="n">
        <f aca="false">SUM(F29:S29)</f>
        <v>6.506</v>
      </c>
      <c r="F29" s="47" t="n">
        <f aca="false">SUM($F$48:$S$48)*'P19 Badas FS Working Paper'!F47*F50</f>
        <v>0</v>
      </c>
      <c r="G29" s="47" t="n">
        <f aca="false">SUM($F$48:$S$48)*'P19 Badas FS Working Paper'!G47*G50</f>
        <v>0</v>
      </c>
      <c r="H29" s="47" t="n">
        <f aca="false">SUM($F$48:$S$48)*'P19 Badas FS Working Paper'!H47*H50</f>
        <v>0</v>
      </c>
      <c r="I29" s="47" t="n">
        <f aca="false">SUM($F$48:$S$48)*'P19 Badas FS Working Paper'!I47*I50</f>
        <v>0</v>
      </c>
      <c r="J29" s="47" t="n">
        <f aca="false">SUM($F$48:$S$48)*'P19 Badas FS Working Paper'!J47*J50</f>
        <v>0</v>
      </c>
      <c r="K29" s="47" t="n">
        <f aca="false">SUM($F$48:$S$48)*'P19 Badas FS Working Paper'!K47*K50</f>
        <v>0</v>
      </c>
      <c r="L29" s="47" t="n">
        <f aca="false">SUM($F$48:$S$48)*'P19 Badas FS Working Paper'!L47*L50</f>
        <v>0.81325</v>
      </c>
      <c r="M29" s="47" t="n">
        <f aca="false">SUM($F$48:$S$48)*'P19 Badas FS Working Paper'!M47*M50</f>
        <v>0.81325</v>
      </c>
      <c r="N29" s="47" t="n">
        <f aca="false">SUM($F$48:$S$48)*'P19 Badas FS Working Paper'!N47*N50</f>
        <v>0.81325</v>
      </c>
      <c r="O29" s="47" t="n">
        <f aca="false">SUM($F$48:$S$48)*'P19 Badas FS Working Paper'!O47*O50</f>
        <v>0.81325</v>
      </c>
      <c r="P29" s="47" t="n">
        <f aca="false">SUM($F$48:$S$48)*'P19 Badas FS Working Paper'!P47*P50</f>
        <v>0.81325</v>
      </c>
      <c r="Q29" s="47" t="n">
        <f aca="false">SUM($F$48:$S$48)*'P19 Badas FS Working Paper'!Q47*Q50</f>
        <v>0.81325</v>
      </c>
      <c r="R29" s="47" t="n">
        <f aca="false">SUM($F$48:$S$48)*'P19 Badas FS Working Paper'!R47*R50</f>
        <v>0.81325</v>
      </c>
      <c r="S29" s="47" t="n">
        <f aca="false">SUM($F$48:$S$48)*'P19 Badas FS Working Paper'!S47*S50</f>
        <v>0.81325</v>
      </c>
    </row>
    <row r="30" customFormat="false" ht="15" hidden="false" customHeight="false" outlineLevel="0" collapsed="false">
      <c r="B30" s="69" t="s">
        <v>1059</v>
      </c>
      <c r="C30" s="25" t="s">
        <v>170</v>
      </c>
      <c r="E30" s="70" t="n">
        <f aca="false">SUM(F30:S30)</f>
        <v>101.473430697</v>
      </c>
      <c r="F30" s="68" t="n">
        <f aca="false">F26+F27+F28+F29</f>
        <v>0</v>
      </c>
      <c r="G30" s="68" t="n">
        <f aca="false">G26+G27+G28+G29</f>
        <v>0</v>
      </c>
      <c r="H30" s="68" t="n">
        <f aca="false">H26+H27+H28+H29</f>
        <v>0</v>
      </c>
      <c r="I30" s="68" t="n">
        <f aca="false">I26+I27+I28+I29</f>
        <v>0</v>
      </c>
      <c r="J30" s="68" t="n">
        <f aca="false">J26+J27+J28+J29</f>
        <v>0</v>
      </c>
      <c r="K30" s="68" t="n">
        <f aca="false">K26+K27+K28+K29</f>
        <v>0</v>
      </c>
      <c r="L30" s="68" t="n">
        <f aca="false">L26+L27+L28+L29</f>
        <v>9.48725</v>
      </c>
      <c r="M30" s="68" t="n">
        <f aca="false">M26+M27+M28+M29</f>
        <v>10.8417825</v>
      </c>
      <c r="N30" s="68" t="n">
        <f aca="false">N26+N27+N28+N29</f>
        <v>12.271976125</v>
      </c>
      <c r="O30" s="68" t="n">
        <f aca="false">O26+O27+O28+O29</f>
        <v>13.161848436</v>
      </c>
      <c r="P30" s="68" t="n">
        <f aca="false">P26+P27+P28+P29</f>
        <v>13.4591139026</v>
      </c>
      <c r="Q30" s="68" t="n">
        <f aca="false">Q26+Q27+Q28+Q29</f>
        <v>13.7652972794</v>
      </c>
      <c r="R30" s="68" t="n">
        <f aca="false">R26+R27+R28+R29</f>
        <v>14.0806662084</v>
      </c>
      <c r="S30" s="68" t="n">
        <f aca="false">S26+S27+S28+S29</f>
        <v>14.4054962456</v>
      </c>
    </row>
    <row r="32" customFormat="false" ht="15" hidden="false" customHeight="false" outlineLevel="0" collapsed="false">
      <c r="B32" s="22" t="s">
        <v>2635</v>
      </c>
      <c r="C32" s="23"/>
      <c r="D32" s="23"/>
      <c r="E32" s="23"/>
      <c r="F32" s="23"/>
      <c r="G32" s="23"/>
      <c r="H32" s="23"/>
      <c r="I32" s="23"/>
      <c r="J32" s="23"/>
      <c r="K32" s="23"/>
      <c r="L32" s="23"/>
      <c r="M32" s="23"/>
      <c r="N32" s="23"/>
      <c r="O32" s="23"/>
      <c r="P32" s="23"/>
      <c r="Q32" s="23"/>
      <c r="R32" s="23"/>
      <c r="S32" s="23"/>
    </row>
    <row r="33" customFormat="false" ht="15" hidden="false" customHeight="false" outlineLevel="0" collapsed="false">
      <c r="B33" s="24" t="s">
        <v>2636</v>
      </c>
      <c r="C33" s="25" t="s">
        <v>170</v>
      </c>
      <c r="E33" s="47" t="n">
        <f aca="false">SUM(F33:S33)</f>
        <v>57.294652</v>
      </c>
      <c r="F33" s="47" t="n">
        <f aca="false">'P19 Badas FS Working Paper'!F43*'P19 Badas FS Working Paper'!F44/1000*F$8</f>
        <v>0</v>
      </c>
      <c r="G33" s="47" t="n">
        <f aca="false">'P19 Badas FS Working Paper'!G43*'P19 Badas FS Working Paper'!G44/1000*G$8</f>
        <v>0</v>
      </c>
      <c r="H33" s="47" t="n">
        <f aca="false">'P19 Badas FS Working Paper'!H43*'P19 Badas FS Working Paper'!H44/1000*H$8</f>
        <v>0</v>
      </c>
      <c r="I33" s="47" t="n">
        <f aca="false">'P19 Badas FS Working Paper'!I43*'P19 Badas FS Working Paper'!I44/1000*I$8</f>
        <v>0</v>
      </c>
      <c r="J33" s="47" t="n">
        <f aca="false">'P19 Badas FS Working Paper'!J43*'P19 Badas FS Working Paper'!J44/1000*J$8</f>
        <v>0</v>
      </c>
      <c r="K33" s="47" t="n">
        <f aca="false">'P19 Badas FS Working Paper'!K43*'P19 Badas FS Working Paper'!K44/1000*K$8</f>
        <v>0</v>
      </c>
      <c r="L33" s="47" t="n">
        <f aca="false">'P19 Badas FS Working Paper'!L43*'P19 Badas FS Working Paper'!L44/1000*L$8</f>
        <v>6</v>
      </c>
      <c r="M33" s="47" t="n">
        <f aca="false">'P19 Badas FS Working Paper'!M43*'P19 Badas FS Working Paper'!M44/1000*M$8</f>
        <v>6.3</v>
      </c>
      <c r="N33" s="47" t="n">
        <f aca="false">'P19 Badas FS Working Paper'!N43*'P19 Badas FS Working Paper'!N44/1000*N$8</f>
        <v>6.615</v>
      </c>
      <c r="O33" s="47" t="n">
        <f aca="false">'P19 Badas FS Working Paper'!O43*'P19 Badas FS Working Paper'!O44/1000*O$8</f>
        <v>6.945752</v>
      </c>
      <c r="P33" s="47" t="n">
        <f aca="false">'P19 Badas FS Working Paper'!P43*'P19 Badas FS Working Paper'!P44/1000*P$8</f>
        <v>7.293036</v>
      </c>
      <c r="Q33" s="47" t="n">
        <f aca="false">'P19 Badas FS Working Paper'!Q43*'P19 Badas FS Working Paper'!Q44/1000*Q$8</f>
        <v>7.657688</v>
      </c>
      <c r="R33" s="47" t="n">
        <f aca="false">'P19 Badas FS Working Paper'!R43*'P19 Badas FS Working Paper'!R44/1000*R$8</f>
        <v>8.040572</v>
      </c>
      <c r="S33" s="47" t="n">
        <f aca="false">'P19 Badas FS Working Paper'!S43*'P19 Badas FS Working Paper'!S44/1000*S$8</f>
        <v>8.442604</v>
      </c>
    </row>
    <row r="34" customFormat="false" ht="15" hidden="false" customHeight="false" outlineLevel="0" collapsed="false">
      <c r="B34" s="24" t="s">
        <v>2637</v>
      </c>
      <c r="C34" s="25" t="s">
        <v>170</v>
      </c>
      <c r="E34" s="47" t="n">
        <f aca="false">SUM(F34:S34)</f>
        <v>22.2308</v>
      </c>
      <c r="F34" s="47" t="n">
        <f aca="false">'P19 Badas FS Working Paper'!F45*F$8</f>
        <v>0</v>
      </c>
      <c r="G34" s="47" t="n">
        <f aca="false">'P19 Badas FS Working Paper'!G45*G$8</f>
        <v>0</v>
      </c>
      <c r="H34" s="47" t="n">
        <f aca="false">'P19 Badas FS Working Paper'!H45*H$8</f>
        <v>0</v>
      </c>
      <c r="I34" s="47" t="n">
        <f aca="false">'P19 Badas FS Working Paper'!I45*I$8</f>
        <v>0</v>
      </c>
      <c r="J34" s="47" t="n">
        <f aca="false">'P19 Badas FS Working Paper'!J45*J$8</f>
        <v>0</v>
      </c>
      <c r="K34" s="47" t="n">
        <f aca="false">'P19 Badas FS Working Paper'!K45*K$8</f>
        <v>0</v>
      </c>
      <c r="L34" s="47" t="n">
        <f aca="false">'P19 Badas FS Working Paper'!L45*L$8</f>
        <v>2.5</v>
      </c>
      <c r="M34" s="47" t="n">
        <f aca="false">'P19 Badas FS Working Paper'!M45*M$8</f>
        <v>2.575</v>
      </c>
      <c r="N34" s="47" t="n">
        <f aca="false">'P19 Badas FS Working Paper'!N45*N$8</f>
        <v>2.6522</v>
      </c>
      <c r="O34" s="47" t="n">
        <f aca="false">'P19 Badas FS Working Paper'!O45*O$8</f>
        <v>2.7318</v>
      </c>
      <c r="P34" s="47" t="n">
        <f aca="false">'P19 Badas FS Working Paper'!P45*P$8</f>
        <v>2.8138</v>
      </c>
      <c r="Q34" s="47" t="n">
        <f aca="false">'P19 Badas FS Working Paper'!Q45*Q$8</f>
        <v>2.8982</v>
      </c>
      <c r="R34" s="47" t="n">
        <f aca="false">'P19 Badas FS Working Paper'!R45*R$8</f>
        <v>2.9851</v>
      </c>
      <c r="S34" s="47" t="n">
        <f aca="false">'P19 Badas FS Working Paper'!S45*S$8</f>
        <v>3.0747</v>
      </c>
    </row>
    <row r="35" customFormat="false" ht="15" hidden="false" customHeight="false" outlineLevel="0" collapsed="false">
      <c r="B35" s="24" t="s">
        <v>2638</v>
      </c>
      <c r="C35" s="25" t="s">
        <v>170</v>
      </c>
      <c r="E35" s="47" t="n">
        <f aca="false">SUM(F35:S35)</f>
        <v>1.5</v>
      </c>
      <c r="F35" s="47" t="n">
        <f aca="false">IF(F$5='P19 Badas FS Working Paper'!$E$25-1,'P19 Badas FS Working Paper'!$E$49,0)</f>
        <v>0</v>
      </c>
      <c r="G35" s="47" t="n">
        <f aca="false">IF(G$5='P19 Badas FS Working Paper'!$E$25-1,'P19 Badas FS Working Paper'!$E$49,0)</f>
        <v>0</v>
      </c>
      <c r="H35" s="47" t="n">
        <f aca="false">IF(H$5='P19 Badas FS Working Paper'!$E$25-1,'P19 Badas FS Working Paper'!$E$49,0)</f>
        <v>0</v>
      </c>
      <c r="I35" s="47" t="n">
        <f aca="false">IF(I$5='P19 Badas FS Working Paper'!$E$25-1,'P19 Badas FS Working Paper'!$E$49,0)</f>
        <v>0</v>
      </c>
      <c r="J35" s="47" t="n">
        <f aca="false">IF(J$5='P19 Badas FS Working Paper'!$E$25-1,'P19 Badas FS Working Paper'!$E$49,0)</f>
        <v>0</v>
      </c>
      <c r="K35" s="47" t="n">
        <f aca="false">IF(K$5='P19 Badas FS Working Paper'!$E$25-1,'P19 Badas FS Working Paper'!$E$49,0)</f>
        <v>1.5</v>
      </c>
      <c r="L35" s="47" t="n">
        <f aca="false">IF(L$5='P19 Badas FS Working Paper'!$E$25-1,'P19 Badas FS Working Paper'!$E$49,0)</f>
        <v>0</v>
      </c>
      <c r="M35" s="47" t="n">
        <f aca="false">IF(M$5='P19 Badas FS Working Paper'!$E$25-1,'P19 Badas FS Working Paper'!$E$49,0)</f>
        <v>0</v>
      </c>
      <c r="N35" s="47" t="n">
        <f aca="false">IF(N$5='P19 Badas FS Working Paper'!$E$25-1,'P19 Badas FS Working Paper'!$E$49,0)</f>
        <v>0</v>
      </c>
      <c r="O35" s="47" t="n">
        <f aca="false">IF(O$5='P19 Badas FS Working Paper'!$E$25-1,'P19 Badas FS Working Paper'!$E$49,0)</f>
        <v>0</v>
      </c>
      <c r="P35" s="47" t="n">
        <f aca="false">IF(P$5='P19 Badas FS Working Paper'!$E$25-1,'P19 Badas FS Working Paper'!$E$49,0)</f>
        <v>0</v>
      </c>
      <c r="Q35" s="47" t="n">
        <f aca="false">IF(Q$5='P19 Badas FS Working Paper'!$E$25-1,'P19 Badas FS Working Paper'!$E$49,0)</f>
        <v>0</v>
      </c>
      <c r="R35" s="47" t="n">
        <f aca="false">IF(R$5='P19 Badas FS Working Paper'!$E$25-1,'P19 Badas FS Working Paper'!$E$49,0)</f>
        <v>0</v>
      </c>
      <c r="S35" s="47" t="n">
        <f aca="false">IF(S$5='P19 Badas FS Working Paper'!$E$25-1,'P19 Badas FS Working Paper'!$E$49,0)</f>
        <v>0</v>
      </c>
    </row>
    <row r="36" customFormat="false" ht="15" hidden="false" customHeight="false" outlineLevel="0" collapsed="false">
      <c r="B36" s="69" t="s">
        <v>1328</v>
      </c>
      <c r="C36" s="25" t="s">
        <v>170</v>
      </c>
      <c r="E36" s="70" t="n">
        <f aca="false">SUM(F36:S36)</f>
        <v>81.025452</v>
      </c>
      <c r="F36" s="68" t="n">
        <f aca="false">F33+F34+F35</f>
        <v>0</v>
      </c>
      <c r="G36" s="68" t="n">
        <f aca="false">G33+G34+G35</f>
        <v>0</v>
      </c>
      <c r="H36" s="68" t="n">
        <f aca="false">H33+H34+H35</f>
        <v>0</v>
      </c>
      <c r="I36" s="68" t="n">
        <f aca="false">I33+I34+I35</f>
        <v>0</v>
      </c>
      <c r="J36" s="68" t="n">
        <f aca="false">J33+J34+J35</f>
        <v>0</v>
      </c>
      <c r="K36" s="68" t="n">
        <f aca="false">K33+K34+K35</f>
        <v>1.5</v>
      </c>
      <c r="L36" s="68" t="n">
        <f aca="false">L33+L34+L35</f>
        <v>8.5</v>
      </c>
      <c r="M36" s="68" t="n">
        <f aca="false">M33+M34+M35</f>
        <v>8.875</v>
      </c>
      <c r="N36" s="68" t="n">
        <f aca="false">N33+N34+N35</f>
        <v>9.2672</v>
      </c>
      <c r="O36" s="68" t="n">
        <f aca="false">O33+O34+O35</f>
        <v>9.677552</v>
      </c>
      <c r="P36" s="68" t="n">
        <f aca="false">P33+P34+P35</f>
        <v>10.106836</v>
      </c>
      <c r="Q36" s="68" t="n">
        <f aca="false">Q33+Q34+Q35</f>
        <v>10.555888</v>
      </c>
      <c r="R36" s="68" t="n">
        <f aca="false">R33+R34+R35</f>
        <v>11.025672</v>
      </c>
      <c r="S36" s="68" t="n">
        <f aca="false">S33+S34+S35</f>
        <v>11.517304</v>
      </c>
    </row>
    <row r="38" customFormat="false" ht="15" hidden="false" customHeight="false" outlineLevel="0" collapsed="false">
      <c r="B38" s="22" t="s">
        <v>2639</v>
      </c>
      <c r="C38" s="23"/>
      <c r="D38" s="23"/>
      <c r="E38" s="23"/>
      <c r="F38" s="23"/>
      <c r="G38" s="23"/>
      <c r="H38" s="23"/>
      <c r="I38" s="23"/>
      <c r="J38" s="23"/>
      <c r="K38" s="23"/>
      <c r="L38" s="23"/>
      <c r="M38" s="23"/>
      <c r="N38" s="23"/>
      <c r="O38" s="23"/>
      <c r="P38" s="23"/>
      <c r="Q38" s="23"/>
      <c r="R38" s="23"/>
      <c r="S38" s="23"/>
    </row>
    <row r="39" customFormat="false" ht="15" hidden="false" customHeight="false" outlineLevel="0" collapsed="false">
      <c r="B39" s="24" t="s">
        <v>2640</v>
      </c>
      <c r="C39" s="25" t="s">
        <v>170</v>
      </c>
      <c r="E39" s="47" t="n">
        <f aca="false">SUM(F39:S39)</f>
        <v>81.325</v>
      </c>
      <c r="F39" s="47" t="n">
        <f aca="false">F48*'P19 Badas FS Working Paper'!$E$51</f>
        <v>0</v>
      </c>
      <c r="G39" s="47" t="n">
        <f aca="false">G48*'P19 Badas FS Working Paper'!$E$51</f>
        <v>0</v>
      </c>
      <c r="H39" s="47" t="n">
        <f aca="false">H48*'P19 Badas FS Working Paper'!$E$51</f>
        <v>0</v>
      </c>
      <c r="I39" s="47" t="n">
        <f aca="false">I48*'P19 Badas FS Working Paper'!$E$51</f>
        <v>0</v>
      </c>
      <c r="J39" s="47" t="n">
        <f aca="false">J48*'P19 Badas FS Working Paper'!$E$51</f>
        <v>48.795</v>
      </c>
      <c r="K39" s="47" t="n">
        <f aca="false">K48*'P19 Badas FS Working Paper'!$E$51</f>
        <v>32.53</v>
      </c>
      <c r="L39" s="47" t="n">
        <f aca="false">L48*'P19 Badas FS Working Paper'!$E$51</f>
        <v>0</v>
      </c>
      <c r="M39" s="47" t="n">
        <f aca="false">M48*'P19 Badas FS Working Paper'!$E$51</f>
        <v>0</v>
      </c>
      <c r="N39" s="47" t="n">
        <f aca="false">N48*'P19 Badas FS Working Paper'!$E$51</f>
        <v>0</v>
      </c>
      <c r="O39" s="47" t="n">
        <f aca="false">O48*'P19 Badas FS Working Paper'!$E$51</f>
        <v>0</v>
      </c>
      <c r="P39" s="47" t="n">
        <f aca="false">P48*'P19 Badas FS Working Paper'!$E$51</f>
        <v>0</v>
      </c>
      <c r="Q39" s="47" t="n">
        <f aca="false">Q48*'P19 Badas FS Working Paper'!$E$51</f>
        <v>0</v>
      </c>
      <c r="R39" s="47" t="n">
        <f aca="false">R48*'P19 Badas FS Working Paper'!$E$51</f>
        <v>0</v>
      </c>
      <c r="S39" s="47" t="n">
        <f aca="false">S48*'P19 Badas FS Working Paper'!$E$51</f>
        <v>0</v>
      </c>
    </row>
    <row r="40" customFormat="false" ht="15" hidden="false" customHeight="false" outlineLevel="0" collapsed="false">
      <c r="B40" s="24" t="s">
        <v>2641</v>
      </c>
      <c r="C40" s="25" t="s">
        <v>170</v>
      </c>
      <c r="F40" s="47" t="n">
        <f aca="false">0</f>
        <v>0</v>
      </c>
      <c r="G40" s="47" t="n">
        <f aca="false">F42</f>
        <v>0</v>
      </c>
      <c r="H40" s="47" t="n">
        <f aca="false">G42</f>
        <v>0</v>
      </c>
      <c r="I40" s="47" t="n">
        <f aca="false">H42</f>
        <v>0</v>
      </c>
      <c r="J40" s="47" t="n">
        <f aca="false">I42</f>
        <v>0</v>
      </c>
      <c r="K40" s="47" t="n">
        <f aca="false">J42</f>
        <v>48.795</v>
      </c>
      <c r="L40" s="47" t="n">
        <f aca="false">K42</f>
        <v>81.325</v>
      </c>
      <c r="M40" s="47" t="n">
        <f aca="false">L42</f>
        <v>81.325</v>
      </c>
      <c r="N40" s="47" t="n">
        <f aca="false">M42</f>
        <v>71.566</v>
      </c>
      <c r="O40" s="47" t="n">
        <f aca="false">N42</f>
        <v>55.301</v>
      </c>
      <c r="P40" s="47" t="n">
        <f aca="false">O42</f>
        <v>39.036</v>
      </c>
      <c r="Q40" s="47" t="n">
        <f aca="false">P42</f>
        <v>22.771</v>
      </c>
      <c r="R40" s="47" t="n">
        <f aca="false">Q42</f>
        <v>6.506</v>
      </c>
      <c r="S40" s="47" t="n">
        <f aca="false">R42</f>
        <v>0</v>
      </c>
    </row>
    <row r="41" customFormat="false" ht="15" hidden="false" customHeight="false" outlineLevel="0" collapsed="false">
      <c r="B41" s="24" t="s">
        <v>2642</v>
      </c>
      <c r="C41" s="25" t="s">
        <v>170</v>
      </c>
      <c r="E41" s="47" t="n">
        <f aca="false">SUM(F41:S41)</f>
        <v>81.325</v>
      </c>
      <c r="F41" s="47" t="n">
        <f aca="false">0</f>
        <v>0</v>
      </c>
      <c r="G41" s="47" t="n">
        <f aca="false">SUMPRODUCT($F$39:$S$39,--('Global Inputs'!$F$15:$S$15+'P19 Badas FS Working Paper'!$E$54&lt;G$5),--(G$5&lt;='Global Inputs'!$F$15:$S$15+'P19 Badas FS Working Paper'!$E$53))/('P19 Badas FS Working Paper'!$E$53-'P19 Badas FS Working Paper'!$E$54)</f>
        <v>0</v>
      </c>
      <c r="H41" s="47" t="n">
        <f aca="false">SUMPRODUCT($F$39:$S$39,--('Global Inputs'!$F$15:$S$15+'P19 Badas FS Working Paper'!$E$54&lt;H$5),--(H$5&lt;='Global Inputs'!$F$15:$S$15+'P19 Badas FS Working Paper'!$E$53))/('P19 Badas FS Working Paper'!$E$53-'P19 Badas FS Working Paper'!$E$54)</f>
        <v>0</v>
      </c>
      <c r="I41" s="47" t="n">
        <f aca="false">SUMPRODUCT($F$39:$S$39,--('Global Inputs'!$F$15:$S$15+'P19 Badas FS Working Paper'!$E$54&lt;I$5),--(I$5&lt;='Global Inputs'!$F$15:$S$15+'P19 Badas FS Working Paper'!$E$53))/('P19 Badas FS Working Paper'!$E$53-'P19 Badas FS Working Paper'!$E$54)</f>
        <v>0</v>
      </c>
      <c r="J41" s="47" t="n">
        <f aca="false">SUMPRODUCT($F$39:$S$39,--('Global Inputs'!$F$15:$S$15+'P19 Badas FS Working Paper'!$E$54&lt;J$5),--(J$5&lt;='Global Inputs'!$F$15:$S$15+'P19 Badas FS Working Paper'!$E$53))/('P19 Badas FS Working Paper'!$E$53-'P19 Badas FS Working Paper'!$E$54)</f>
        <v>0</v>
      </c>
      <c r="K41" s="47" t="n">
        <f aca="false">SUMPRODUCT($F$39:$S$39,--('Global Inputs'!$F$15:$S$15+'P19 Badas FS Working Paper'!$E$54&lt;K$5),--(K$5&lt;='Global Inputs'!$F$15:$S$15+'P19 Badas FS Working Paper'!$E$53))/('P19 Badas FS Working Paper'!$E$53-'P19 Badas FS Working Paper'!$E$54)</f>
        <v>0</v>
      </c>
      <c r="L41" s="47" t="n">
        <f aca="false">SUMPRODUCT($F$39:$S$39,--('Global Inputs'!$F$15:$S$15+'P19 Badas FS Working Paper'!$E$54&lt;L$5),--(L$5&lt;='Global Inputs'!$F$15:$S$15+'P19 Badas FS Working Paper'!$E$53))/('P19 Badas FS Working Paper'!$E$53-'P19 Badas FS Working Paper'!$E$54)</f>
        <v>0</v>
      </c>
      <c r="M41" s="47" t="n">
        <f aca="false">SUMPRODUCT($F$39:$S$39,--('Global Inputs'!$F$15:$S$15+'P19 Badas FS Working Paper'!$E$54&lt;M$5),--(M$5&lt;='Global Inputs'!$F$15:$S$15+'P19 Badas FS Working Paper'!$E$53))/('P19 Badas FS Working Paper'!$E$53-'P19 Badas FS Working Paper'!$E$54)</f>
        <v>9.759</v>
      </c>
      <c r="N41" s="47" t="n">
        <f aca="false">SUMPRODUCT($F$39:$S$39,--('Global Inputs'!$F$15:$S$15+'P19 Badas FS Working Paper'!$E$54&lt;N$5),--(N$5&lt;='Global Inputs'!$F$15:$S$15+'P19 Badas FS Working Paper'!$E$53))/('P19 Badas FS Working Paper'!$E$53-'P19 Badas FS Working Paper'!$E$54)</f>
        <v>16.265</v>
      </c>
      <c r="O41" s="47" t="n">
        <f aca="false">SUMPRODUCT($F$39:$S$39,--('Global Inputs'!$F$15:$S$15+'P19 Badas FS Working Paper'!$E$54&lt;O$5),--(O$5&lt;='Global Inputs'!$F$15:$S$15+'P19 Badas FS Working Paper'!$E$53))/('P19 Badas FS Working Paper'!$E$53-'P19 Badas FS Working Paper'!$E$54)</f>
        <v>16.265</v>
      </c>
      <c r="P41" s="47" t="n">
        <f aca="false">SUMPRODUCT($F$39:$S$39,--('Global Inputs'!$F$15:$S$15+'P19 Badas FS Working Paper'!$E$54&lt;P$5),--(P$5&lt;='Global Inputs'!$F$15:$S$15+'P19 Badas FS Working Paper'!$E$53))/('P19 Badas FS Working Paper'!$E$53-'P19 Badas FS Working Paper'!$E$54)</f>
        <v>16.265</v>
      </c>
      <c r="Q41" s="47" t="n">
        <f aca="false">SUMPRODUCT($F$39:$S$39,--('Global Inputs'!$F$15:$S$15+'P19 Badas FS Working Paper'!$E$54&lt;Q$5),--(Q$5&lt;='Global Inputs'!$F$15:$S$15+'P19 Badas FS Working Paper'!$E$53))/('P19 Badas FS Working Paper'!$E$53-'P19 Badas FS Working Paper'!$E$54)</f>
        <v>16.265</v>
      </c>
      <c r="R41" s="47" t="n">
        <f aca="false">SUMPRODUCT($F$39:$S$39,--('Global Inputs'!$F$15:$S$15+'P19 Badas FS Working Paper'!$E$54&lt;R$5),--(R$5&lt;='Global Inputs'!$F$15:$S$15+'P19 Badas FS Working Paper'!$E$53))/('P19 Badas FS Working Paper'!$E$53-'P19 Badas FS Working Paper'!$E$54)</f>
        <v>6.506</v>
      </c>
      <c r="S41" s="47" t="n">
        <f aca="false">SUMPRODUCT($F$39:$S$39,--('Global Inputs'!$F$15:$S$15+'P19 Badas FS Working Paper'!$E$54&lt;S$5),--(S$5&lt;='Global Inputs'!$F$15:$S$15+'P19 Badas FS Working Paper'!$E$53))/('P19 Badas FS Working Paper'!$E$53-'P19 Badas FS Working Paper'!$E$54)</f>
        <v>0</v>
      </c>
    </row>
    <row r="42" customFormat="false" ht="15" hidden="false" customHeight="false" outlineLevel="0" collapsed="false">
      <c r="B42" s="24" t="s">
        <v>2643</v>
      </c>
      <c r="C42" s="25" t="s">
        <v>170</v>
      </c>
      <c r="F42" s="47" t="n">
        <f aca="false">F39</f>
        <v>0</v>
      </c>
      <c r="G42" s="47" t="n">
        <f aca="false">G40+G39-G41</f>
        <v>0</v>
      </c>
      <c r="H42" s="47" t="n">
        <f aca="false">H40+H39-H41</f>
        <v>0</v>
      </c>
      <c r="I42" s="47" t="n">
        <f aca="false">I40+I39-I41</f>
        <v>0</v>
      </c>
      <c r="J42" s="47" t="n">
        <f aca="false">J40+J39-J41</f>
        <v>48.795</v>
      </c>
      <c r="K42" s="47" t="n">
        <f aca="false">K40+K39-K41</f>
        <v>81.325</v>
      </c>
      <c r="L42" s="47" t="n">
        <f aca="false">L40+L39-L41</f>
        <v>81.325</v>
      </c>
      <c r="M42" s="47" t="n">
        <f aca="false">M40+M39-M41</f>
        <v>71.566</v>
      </c>
      <c r="N42" s="47" t="n">
        <f aca="false">N40+N39-N41</f>
        <v>55.301</v>
      </c>
      <c r="O42" s="47" t="n">
        <f aca="false">O40+O39-O41</f>
        <v>39.036</v>
      </c>
      <c r="P42" s="47" t="n">
        <f aca="false">P40+P39-P41</f>
        <v>22.771</v>
      </c>
      <c r="Q42" s="47" t="n">
        <f aca="false">Q40+Q39-Q41</f>
        <v>6.506</v>
      </c>
      <c r="R42" s="47" t="n">
        <f aca="false">R40+R39-R41</f>
        <v>0</v>
      </c>
      <c r="S42" s="47" t="n">
        <f aca="false">S40+S39-S41</f>
        <v>0</v>
      </c>
    </row>
    <row r="43" customFormat="false" ht="15" hidden="false" customHeight="false" outlineLevel="0" collapsed="false">
      <c r="B43" s="24" t="s">
        <v>2644</v>
      </c>
      <c r="C43" s="25" t="s">
        <v>170</v>
      </c>
      <c r="E43" s="47" t="n">
        <f aca="false">SUM(F43:S43)</f>
        <v>42.695625</v>
      </c>
      <c r="F43" s="47" t="n">
        <f aca="false">0</f>
        <v>0</v>
      </c>
      <c r="G43" s="47" t="n">
        <f aca="false">'P19 Badas FS Working Paper'!G52*G40</f>
        <v>0</v>
      </c>
      <c r="H43" s="47" t="n">
        <f aca="false">'P19 Badas FS Working Paper'!H52*H40</f>
        <v>0</v>
      </c>
      <c r="I43" s="47" t="n">
        <f aca="false">'P19 Badas FS Working Paper'!I52*I40</f>
        <v>0</v>
      </c>
      <c r="J43" s="47" t="n">
        <f aca="false">'P19 Badas FS Working Paper'!J52*J40</f>
        <v>0</v>
      </c>
      <c r="K43" s="47" t="n">
        <f aca="false">'P19 Badas FS Working Paper'!K52*K40</f>
        <v>5.123475</v>
      </c>
      <c r="L43" s="47" t="n">
        <f aca="false">'P19 Badas FS Working Paper'!L52*L40</f>
        <v>8.539125</v>
      </c>
      <c r="M43" s="47" t="n">
        <f aca="false">'P19 Badas FS Working Paper'!M52*M40</f>
        <v>8.539125</v>
      </c>
      <c r="N43" s="47" t="n">
        <f aca="false">'P19 Badas FS Working Paper'!N52*N40</f>
        <v>7.51443</v>
      </c>
      <c r="O43" s="47" t="n">
        <f aca="false">'P19 Badas FS Working Paper'!O52*O40</f>
        <v>5.806605</v>
      </c>
      <c r="P43" s="47" t="n">
        <f aca="false">'P19 Badas FS Working Paper'!P52*P40</f>
        <v>4.09878</v>
      </c>
      <c r="Q43" s="47" t="n">
        <f aca="false">'P19 Badas FS Working Paper'!Q52*Q40</f>
        <v>2.390955</v>
      </c>
      <c r="R43" s="47" t="n">
        <f aca="false">'P19 Badas FS Working Paper'!R52*R40</f>
        <v>0.68313</v>
      </c>
      <c r="S43" s="47" t="n">
        <f aca="false">'P19 Badas FS Working Paper'!S52*S40</f>
        <v>0</v>
      </c>
    </row>
    <row r="45" customFormat="false" ht="15" hidden="false" customHeight="false" outlineLevel="0" collapsed="false">
      <c r="B45" s="22" t="s">
        <v>1989</v>
      </c>
      <c r="C45" s="23"/>
      <c r="D45" s="23"/>
      <c r="E45" s="23"/>
      <c r="F45" s="23"/>
      <c r="G45" s="23"/>
      <c r="H45" s="23"/>
      <c r="I45" s="23"/>
      <c r="J45" s="23"/>
      <c r="K45" s="23"/>
      <c r="L45" s="23"/>
      <c r="M45" s="23"/>
      <c r="N45" s="23"/>
      <c r="O45" s="23"/>
      <c r="P45" s="23"/>
      <c r="Q45" s="23"/>
      <c r="R45" s="23"/>
      <c r="S45" s="23"/>
    </row>
    <row r="46" customFormat="false" ht="15" hidden="false" customHeight="false" outlineLevel="0" collapsed="false">
      <c r="B46" s="24" t="s">
        <v>1330</v>
      </c>
      <c r="C46" s="25" t="s">
        <v>240</v>
      </c>
      <c r="E46" s="44" t="n">
        <f aca="false">SUM(F46:S46)</f>
        <v>10</v>
      </c>
      <c r="F46" s="44" t="n">
        <f aca="false">'P19 Badas FS Working Paper'!F59</f>
        <v>0</v>
      </c>
      <c r="G46" s="44" t="n">
        <f aca="false">'P19 Badas FS Working Paper'!G59</f>
        <v>0</v>
      </c>
      <c r="H46" s="44" t="n">
        <f aca="false">'P19 Badas FS Working Paper'!H59</f>
        <v>0</v>
      </c>
      <c r="I46" s="44" t="n">
        <f aca="false">'P19 Badas FS Working Paper'!I59</f>
        <v>0</v>
      </c>
      <c r="J46" s="44" t="n">
        <f aca="false">'P19 Badas FS Working Paper'!J59</f>
        <v>6</v>
      </c>
      <c r="K46" s="44" t="n">
        <f aca="false">'P19 Badas FS Working Paper'!K59</f>
        <v>4</v>
      </c>
      <c r="L46" s="44" t="n">
        <f aca="false">'P19 Badas FS Working Paper'!L59</f>
        <v>0</v>
      </c>
      <c r="M46" s="44" t="n">
        <f aca="false">'P19 Badas FS Working Paper'!M59</f>
        <v>0</v>
      </c>
      <c r="N46" s="44" t="n">
        <f aca="false">'P19 Badas FS Working Paper'!N59</f>
        <v>0</v>
      </c>
      <c r="O46" s="44" t="n">
        <f aca="false">'P19 Badas FS Working Paper'!O59</f>
        <v>0</v>
      </c>
      <c r="P46" s="44" t="n">
        <f aca="false">'P19 Badas FS Working Paper'!P59</f>
        <v>0</v>
      </c>
      <c r="Q46" s="44" t="n">
        <f aca="false">'P19 Badas FS Working Paper'!Q59</f>
        <v>0</v>
      </c>
      <c r="R46" s="44" t="n">
        <f aca="false">'P19 Badas FS Working Paper'!R59</f>
        <v>0</v>
      </c>
      <c r="S46" s="44" t="n">
        <f aca="false">'P19 Badas FS Working Paper'!S59</f>
        <v>0</v>
      </c>
    </row>
    <row r="47" customFormat="false" ht="15" hidden="false" customHeight="false" outlineLevel="0" collapsed="false">
      <c r="B47" s="24" t="s">
        <v>1331</v>
      </c>
      <c r="C47" s="25" t="s">
        <v>152</v>
      </c>
      <c r="F47" s="34" t="n">
        <f aca="false">'Global Inputs'!F22</f>
        <v>16265</v>
      </c>
      <c r="G47" s="34" t="n">
        <f aca="false">'Global Inputs'!G22</f>
        <v>16265</v>
      </c>
      <c r="H47" s="34" t="n">
        <f aca="false">'Global Inputs'!H22</f>
        <v>16265</v>
      </c>
      <c r="I47" s="34" t="n">
        <f aca="false">'Global Inputs'!I22</f>
        <v>16265</v>
      </c>
      <c r="J47" s="34" t="n">
        <f aca="false">'Global Inputs'!J22</f>
        <v>16265</v>
      </c>
      <c r="K47" s="34" t="n">
        <f aca="false">'Global Inputs'!K22</f>
        <v>16265</v>
      </c>
      <c r="L47" s="34" t="n">
        <f aca="false">'Global Inputs'!L22</f>
        <v>16265</v>
      </c>
      <c r="M47" s="34" t="n">
        <f aca="false">'Global Inputs'!M22</f>
        <v>16265</v>
      </c>
      <c r="N47" s="34" t="n">
        <f aca="false">'Global Inputs'!N22</f>
        <v>16265</v>
      </c>
      <c r="O47" s="34" t="n">
        <f aca="false">'Global Inputs'!O22</f>
        <v>16265</v>
      </c>
      <c r="P47" s="34" t="n">
        <f aca="false">'Global Inputs'!P22</f>
        <v>16265</v>
      </c>
      <c r="Q47" s="34" t="n">
        <f aca="false">'Global Inputs'!Q22</f>
        <v>16265</v>
      </c>
      <c r="R47" s="34" t="n">
        <f aca="false">'Global Inputs'!R22</f>
        <v>16265</v>
      </c>
      <c r="S47" s="34" t="n">
        <f aca="false">'Global Inputs'!S22</f>
        <v>16265</v>
      </c>
    </row>
    <row r="48" customFormat="false" ht="15" hidden="false" customHeight="false" outlineLevel="0" collapsed="false">
      <c r="B48" s="24" t="s">
        <v>351</v>
      </c>
      <c r="C48" s="25" t="s">
        <v>170</v>
      </c>
      <c r="E48" s="47" t="n">
        <f aca="false">SUM(F48:S48)</f>
        <v>162.65</v>
      </c>
      <c r="F48" s="47" t="n">
        <f aca="false">'P19 Badas FS Working Paper'!F61</f>
        <v>0</v>
      </c>
      <c r="G48" s="47" t="n">
        <f aca="false">'P19 Badas FS Working Paper'!G61</f>
        <v>0</v>
      </c>
      <c r="H48" s="47" t="n">
        <f aca="false">'P19 Badas FS Working Paper'!H61</f>
        <v>0</v>
      </c>
      <c r="I48" s="47" t="n">
        <f aca="false">'P19 Badas FS Working Paper'!I61</f>
        <v>0</v>
      </c>
      <c r="J48" s="47" t="n">
        <f aca="false">'P19 Badas FS Working Paper'!J61</f>
        <v>97.59</v>
      </c>
      <c r="K48" s="47" t="n">
        <f aca="false">'P19 Badas FS Working Paper'!K61</f>
        <v>65.06</v>
      </c>
      <c r="L48" s="47" t="n">
        <f aca="false">'P19 Badas FS Working Paper'!L61</f>
        <v>0</v>
      </c>
      <c r="M48" s="47" t="n">
        <f aca="false">'P19 Badas FS Working Paper'!M61</f>
        <v>0</v>
      </c>
      <c r="N48" s="47" t="n">
        <f aca="false">'P19 Badas FS Working Paper'!N61</f>
        <v>0</v>
      </c>
      <c r="O48" s="47" t="n">
        <f aca="false">'P19 Badas FS Working Paper'!O61</f>
        <v>0</v>
      </c>
      <c r="P48" s="47" t="n">
        <f aca="false">'P19 Badas FS Working Paper'!P61</f>
        <v>0</v>
      </c>
      <c r="Q48" s="47" t="n">
        <f aca="false">'P19 Badas FS Working Paper'!Q61</f>
        <v>0</v>
      </c>
      <c r="R48" s="47" t="n">
        <f aca="false">'P19 Badas FS Working Paper'!R61</f>
        <v>0</v>
      </c>
      <c r="S48" s="47" t="n">
        <f aca="false">'P19 Badas FS Working Paper'!S61</f>
        <v>0</v>
      </c>
    </row>
    <row r="49" customFormat="false" ht="15" hidden="false" customHeight="false" outlineLevel="0" collapsed="false">
      <c r="B49" s="24" t="s">
        <v>1332</v>
      </c>
      <c r="C49" s="25" t="s">
        <v>170</v>
      </c>
      <c r="F49" s="47" t="n">
        <f aca="false">SUM($F$48:F48)</f>
        <v>0</v>
      </c>
      <c r="G49" s="47" t="n">
        <f aca="false">SUM($F$48:G48)</f>
        <v>0</v>
      </c>
      <c r="H49" s="47" t="n">
        <f aca="false">SUM($F$48:H48)</f>
        <v>0</v>
      </c>
      <c r="I49" s="47" t="n">
        <f aca="false">SUM($F$48:I48)</f>
        <v>0</v>
      </c>
      <c r="J49" s="47" t="n">
        <f aca="false">SUM($F$48:J48)</f>
        <v>97.59</v>
      </c>
      <c r="K49" s="47" t="n">
        <f aca="false">SUM($F$48:K48)</f>
        <v>162.65</v>
      </c>
      <c r="L49" s="47" t="n">
        <f aca="false">SUM($F$48:L48)</f>
        <v>162.65</v>
      </c>
      <c r="M49" s="47" t="n">
        <f aca="false">SUM($F$48:M48)</f>
        <v>162.65</v>
      </c>
      <c r="N49" s="47" t="n">
        <f aca="false">SUM($F$48:N48)</f>
        <v>162.65</v>
      </c>
      <c r="O49" s="47" t="n">
        <f aca="false">SUM($F$48:O48)</f>
        <v>162.65</v>
      </c>
      <c r="P49" s="47" t="n">
        <f aca="false">SUM($F$48:P48)</f>
        <v>162.65</v>
      </c>
      <c r="Q49" s="47" t="n">
        <f aca="false">SUM($F$48:Q48)</f>
        <v>162.65</v>
      </c>
      <c r="R49" s="47" t="n">
        <f aca="false">SUM($F$48:R48)</f>
        <v>162.65</v>
      </c>
      <c r="S49" s="47" t="n">
        <f aca="false">SUM($F$48:S48)</f>
        <v>162.65</v>
      </c>
    </row>
    <row r="50" customFormat="false" ht="15" hidden="false" customHeight="false" outlineLevel="0" collapsed="false">
      <c r="B50" s="24" t="s">
        <v>1333</v>
      </c>
      <c r="C50" s="25" t="s">
        <v>143</v>
      </c>
      <c r="F50" s="30" t="n">
        <f aca="false">IF(F$5&gt;='P19 Badas FS Working Paper'!$E$66,1,0)*F$8</f>
        <v>0</v>
      </c>
      <c r="G50" s="30" t="n">
        <f aca="false">IF(G$5&gt;='P19 Badas FS Working Paper'!$E$66,1,0)*G$8</f>
        <v>0</v>
      </c>
      <c r="H50" s="30" t="n">
        <f aca="false">IF(H$5&gt;='P19 Badas FS Working Paper'!$E$66,1,0)*H$8</f>
        <v>0</v>
      </c>
      <c r="I50" s="30" t="n">
        <f aca="false">IF(I$5&gt;='P19 Badas FS Working Paper'!$E$66,1,0)*I$8</f>
        <v>0</v>
      </c>
      <c r="J50" s="30" t="n">
        <f aca="false">IF(J$5&gt;='P19 Badas FS Working Paper'!$E$66,1,0)*J$8</f>
        <v>0</v>
      </c>
      <c r="K50" s="30" t="n">
        <f aca="false">IF(K$5&gt;='P19 Badas FS Working Paper'!$E$66,1,0)*K$8</f>
        <v>0</v>
      </c>
      <c r="L50" s="30" t="n">
        <f aca="false">IF(L$5&gt;='P19 Badas FS Working Paper'!$E$66,1,0)*L$8</f>
        <v>1</v>
      </c>
      <c r="M50" s="30" t="n">
        <f aca="false">IF(M$5&gt;='P19 Badas FS Working Paper'!$E$66,1,0)*M$8</f>
        <v>1</v>
      </c>
      <c r="N50" s="30" t="n">
        <f aca="false">IF(N$5&gt;='P19 Badas FS Working Paper'!$E$66,1,0)*N$8</f>
        <v>1</v>
      </c>
      <c r="O50" s="30" t="n">
        <f aca="false">IF(O$5&gt;='P19 Badas FS Working Paper'!$E$66,1,0)*O$8</f>
        <v>1</v>
      </c>
      <c r="P50" s="30" t="n">
        <f aca="false">IF(P$5&gt;='P19 Badas FS Working Paper'!$E$66,1,0)*P$8</f>
        <v>1</v>
      </c>
      <c r="Q50" s="30" t="n">
        <f aca="false">IF(Q$5&gt;='P19 Badas FS Working Paper'!$E$66,1,0)*Q$8</f>
        <v>1</v>
      </c>
      <c r="R50" s="30" t="n">
        <f aca="false">IF(R$5&gt;='P19 Badas FS Working Paper'!$E$66,1,0)*R$8</f>
        <v>1</v>
      </c>
      <c r="S50" s="30" t="n">
        <f aca="false">IF(S$5&gt;='P19 Badas FS Working Paper'!$E$66,1,0)*S$8</f>
        <v>1</v>
      </c>
    </row>
    <row r="51" customFormat="false" ht="15" hidden="false" customHeight="false" outlineLevel="0" collapsed="false">
      <c r="B51" s="24" t="s">
        <v>1334</v>
      </c>
      <c r="C51" s="25" t="s">
        <v>135</v>
      </c>
      <c r="F51" s="29" t="n">
        <f aca="false">MAX(F$5,'P19 Badas FS Working Paper'!$E$66)</f>
        <v>2029</v>
      </c>
      <c r="G51" s="29" t="n">
        <f aca="false">MAX(G$5,'P19 Badas FS Working Paper'!$E$66)</f>
        <v>2029</v>
      </c>
      <c r="H51" s="29" t="n">
        <f aca="false">MAX(H$5,'P19 Badas FS Working Paper'!$E$66)</f>
        <v>2029</v>
      </c>
      <c r="I51" s="29" t="n">
        <f aca="false">MAX(I$5,'P19 Badas FS Working Paper'!$E$66)</f>
        <v>2029</v>
      </c>
      <c r="J51" s="29" t="n">
        <f aca="false">MAX(J$5,'P19 Badas FS Working Paper'!$E$66)</f>
        <v>2029</v>
      </c>
      <c r="K51" s="29" t="n">
        <f aca="false">MAX(K$5,'P19 Badas FS Working Paper'!$E$66)</f>
        <v>2029</v>
      </c>
      <c r="L51" s="29" t="n">
        <f aca="false">MAX(L$5,'P19 Badas FS Working Paper'!$E$66)</f>
        <v>2029</v>
      </c>
      <c r="M51" s="29" t="n">
        <f aca="false">MAX(M$5,'P19 Badas FS Working Paper'!$E$66)</f>
        <v>2030</v>
      </c>
      <c r="N51" s="29" t="n">
        <f aca="false">MAX(N$5,'P19 Badas FS Working Paper'!$E$66)</f>
        <v>2031</v>
      </c>
      <c r="O51" s="29" t="n">
        <f aca="false">MAX(O$5,'P19 Badas FS Working Paper'!$E$66)</f>
        <v>2032</v>
      </c>
      <c r="P51" s="29" t="n">
        <f aca="false">MAX(P$5,'P19 Badas FS Working Paper'!$E$66)</f>
        <v>2033</v>
      </c>
      <c r="Q51" s="29" t="n">
        <f aca="false">MAX(Q$5,'P19 Badas FS Working Paper'!$E$66)</f>
        <v>2034</v>
      </c>
      <c r="R51" s="29" t="n">
        <f aca="false">MAX(R$5,'P19 Badas FS Working Paper'!$E$66)</f>
        <v>2035</v>
      </c>
      <c r="S51" s="29" t="n">
        <f aca="false">MAX(S$5,'P19 Badas FS Working Paper'!$E$66)</f>
        <v>2036</v>
      </c>
    </row>
    <row r="52" customFormat="false" ht="15" hidden="false" customHeight="false" outlineLevel="0" collapsed="false">
      <c r="B52" s="24" t="s">
        <v>1335</v>
      </c>
      <c r="C52" s="25" t="s">
        <v>170</v>
      </c>
      <c r="E52" s="47" t="n">
        <f aca="false">SUM(F52:S52)</f>
        <v>39.036</v>
      </c>
      <c r="F52" s="47" t="n">
        <f aca="false">IF('Global Inputs'!$E$33=1,SUM($F$48:$S$48)*'P19 Badas FS Working Paper'!$E$68/'P19 Badas FS Working Paper'!$E$69*F50,SUMPRODUCT($F$48:$S$48,--($F$51:$S$51&lt;=F$5),--(F$5&lt;$F$51:$S$51+'P19 Badas FS Working Paper'!$E$69))*'P19 Badas FS Working Paper'!$E$68/'P19 Badas FS Working Paper'!$E$69)</f>
        <v>0</v>
      </c>
      <c r="G52" s="47" t="n">
        <f aca="false">IF('Global Inputs'!$E$33=1,SUM($F$48:$S$48)*'P19 Badas FS Working Paper'!$E$68/'P19 Badas FS Working Paper'!$E$69*G50,SUMPRODUCT($F$48:$S$48,--($F$51:$S$51&lt;=G$5),--(G$5&lt;$F$51:$S$51+'P19 Badas FS Working Paper'!$E$69))*'P19 Badas FS Working Paper'!$E$68/'P19 Badas FS Working Paper'!$E$69)</f>
        <v>0</v>
      </c>
      <c r="H52" s="47" t="n">
        <f aca="false">IF('Global Inputs'!$E$33=1,SUM($F$48:$S$48)*'P19 Badas FS Working Paper'!$E$68/'P19 Badas FS Working Paper'!$E$69*H50,SUMPRODUCT($F$48:$S$48,--($F$51:$S$51&lt;=H$5),--(H$5&lt;$F$51:$S$51+'P19 Badas FS Working Paper'!$E$69))*'P19 Badas FS Working Paper'!$E$68/'P19 Badas FS Working Paper'!$E$69)</f>
        <v>0</v>
      </c>
      <c r="I52" s="47" t="n">
        <f aca="false">IF('Global Inputs'!$E$33=1,SUM($F$48:$S$48)*'P19 Badas FS Working Paper'!$E$68/'P19 Badas FS Working Paper'!$E$69*I50,SUMPRODUCT($F$48:$S$48,--($F$51:$S$51&lt;=I$5),--(I$5&lt;$F$51:$S$51+'P19 Badas FS Working Paper'!$E$69))*'P19 Badas FS Working Paper'!$E$68/'P19 Badas FS Working Paper'!$E$69)</f>
        <v>0</v>
      </c>
      <c r="J52" s="47" t="n">
        <f aca="false">IF('Global Inputs'!$E$33=1,SUM($F$48:$S$48)*'P19 Badas FS Working Paper'!$E$68/'P19 Badas FS Working Paper'!$E$69*J50,SUMPRODUCT($F$48:$S$48,--($F$51:$S$51&lt;=J$5),--(J$5&lt;$F$51:$S$51+'P19 Badas FS Working Paper'!$E$69))*'P19 Badas FS Working Paper'!$E$68/'P19 Badas FS Working Paper'!$E$69)</f>
        <v>0</v>
      </c>
      <c r="K52" s="47" t="n">
        <f aca="false">IF('Global Inputs'!$E$33=1,SUM($F$48:$S$48)*'P19 Badas FS Working Paper'!$E$68/'P19 Badas FS Working Paper'!$E$69*K50,SUMPRODUCT($F$48:$S$48,--($F$51:$S$51&lt;=K$5),--(K$5&lt;$F$51:$S$51+'P19 Badas FS Working Paper'!$E$69))*'P19 Badas FS Working Paper'!$E$68/'P19 Badas FS Working Paper'!$E$69)</f>
        <v>0</v>
      </c>
      <c r="L52" s="47" t="n">
        <f aca="false">IF('Global Inputs'!$E$33=1,SUM($F$48:$S$48)*'P19 Badas FS Working Paper'!$E$68/'P19 Badas FS Working Paper'!$E$69*L50,SUMPRODUCT($F$48:$S$48,--($F$51:$S$51&lt;=L$5),--(L$5&lt;$F$51:$S$51+'P19 Badas FS Working Paper'!$E$69))*'P19 Badas FS Working Paper'!$E$68/'P19 Badas FS Working Paper'!$E$69)</f>
        <v>4.8795</v>
      </c>
      <c r="M52" s="47" t="n">
        <f aca="false">IF('Global Inputs'!$E$33=1,SUM($F$48:$S$48)*'P19 Badas FS Working Paper'!$E$68/'P19 Badas FS Working Paper'!$E$69*M50,SUMPRODUCT($F$48:$S$48,--($F$51:$S$51&lt;=M$5),--(M$5&lt;$F$51:$S$51+'P19 Badas FS Working Paper'!$E$69))*'P19 Badas FS Working Paper'!$E$68/'P19 Badas FS Working Paper'!$E$69)</f>
        <v>4.8795</v>
      </c>
      <c r="N52" s="47" t="n">
        <f aca="false">IF('Global Inputs'!$E$33=1,SUM($F$48:$S$48)*'P19 Badas FS Working Paper'!$E$68/'P19 Badas FS Working Paper'!$E$69*N50,SUMPRODUCT($F$48:$S$48,--($F$51:$S$51&lt;=N$5),--(N$5&lt;$F$51:$S$51+'P19 Badas FS Working Paper'!$E$69))*'P19 Badas FS Working Paper'!$E$68/'P19 Badas FS Working Paper'!$E$69)</f>
        <v>4.8795</v>
      </c>
      <c r="O52" s="47" t="n">
        <f aca="false">IF('Global Inputs'!$E$33=1,SUM($F$48:$S$48)*'P19 Badas FS Working Paper'!$E$68/'P19 Badas FS Working Paper'!$E$69*O50,SUMPRODUCT($F$48:$S$48,--($F$51:$S$51&lt;=O$5),--(O$5&lt;$F$51:$S$51+'P19 Badas FS Working Paper'!$E$69))*'P19 Badas FS Working Paper'!$E$68/'P19 Badas FS Working Paper'!$E$69)</f>
        <v>4.8795</v>
      </c>
      <c r="P52" s="47" t="n">
        <f aca="false">IF('Global Inputs'!$E$33=1,SUM($F$48:$S$48)*'P19 Badas FS Working Paper'!$E$68/'P19 Badas FS Working Paper'!$E$69*P50,SUMPRODUCT($F$48:$S$48,--($F$51:$S$51&lt;=P$5),--(P$5&lt;$F$51:$S$51+'P19 Badas FS Working Paper'!$E$69))*'P19 Badas FS Working Paper'!$E$68/'P19 Badas FS Working Paper'!$E$69)</f>
        <v>4.8795</v>
      </c>
      <c r="Q52" s="47" t="n">
        <f aca="false">IF('Global Inputs'!$E$33=1,SUM($F$48:$S$48)*'P19 Badas FS Working Paper'!$E$68/'P19 Badas FS Working Paper'!$E$69*Q50,SUMPRODUCT($F$48:$S$48,--($F$51:$S$51&lt;=Q$5),--(Q$5&lt;$F$51:$S$51+'P19 Badas FS Working Paper'!$E$69))*'P19 Badas FS Working Paper'!$E$68/'P19 Badas FS Working Paper'!$E$69)</f>
        <v>4.8795</v>
      </c>
      <c r="R52" s="47" t="n">
        <f aca="false">IF('Global Inputs'!$E$33=1,SUM($F$48:$S$48)*'P19 Badas FS Working Paper'!$E$68/'P19 Badas FS Working Paper'!$E$69*R50,SUMPRODUCT($F$48:$S$48,--($F$51:$S$51&lt;=R$5),--(R$5&lt;$F$51:$S$51+'P19 Badas FS Working Paper'!$E$69))*'P19 Badas FS Working Paper'!$E$68/'P19 Badas FS Working Paper'!$E$69)</f>
        <v>4.8795</v>
      </c>
      <c r="S52" s="47" t="n">
        <f aca="false">IF('Global Inputs'!$E$33=1,SUM($F$48:$S$48)*'P19 Badas FS Working Paper'!$E$68/'P19 Badas FS Working Paper'!$E$69*S50,SUMPRODUCT($F$48:$S$48,--($F$51:$S$51&lt;=S$5),--(S$5&lt;$F$51:$S$51+'P19 Badas FS Working Paper'!$E$69))*'P19 Badas FS Working Paper'!$E$68/'P19 Badas FS Working Paper'!$E$69)</f>
        <v>4.8795</v>
      </c>
      <c r="T52" s="5" t="s">
        <v>1336</v>
      </c>
    </row>
    <row r="53" customFormat="false" ht="15" hidden="false" customHeight="false" outlineLevel="0" collapsed="false">
      <c r="B53" s="24" t="s">
        <v>1337</v>
      </c>
      <c r="C53" s="25" t="s">
        <v>170</v>
      </c>
      <c r="E53" s="47" t="n">
        <f aca="false">SUM(F53:S53)</f>
        <v>52.048</v>
      </c>
      <c r="F53" s="47" t="n">
        <f aca="false">IF('Global Inputs'!$E$33=1,SUM($F$48:$S$48)*(1-'P19 Badas FS Working Paper'!$E$68)/'P19 Badas FS Working Paper'!$E$70*F50,SUMPRODUCT($F$48:$S$48,--($F$51:$S$51&lt;=F$5),--(F$5&lt;$F$51:$S$51+'P19 Badas FS Working Paper'!$E$70))*(1-'P19 Badas FS Working Paper'!$E$68)/'P19 Badas FS Working Paper'!$E$70)</f>
        <v>0</v>
      </c>
      <c r="G53" s="47" t="n">
        <f aca="false">IF('Global Inputs'!$E$33=1,SUM($F$48:$S$48)*(1-'P19 Badas FS Working Paper'!$E$68)/'P19 Badas FS Working Paper'!$E$70*G50,SUMPRODUCT($F$48:$S$48,--($F$51:$S$51&lt;=G$5),--(G$5&lt;$F$51:$S$51+'P19 Badas FS Working Paper'!$E$70))*(1-'P19 Badas FS Working Paper'!$E$68)/'P19 Badas FS Working Paper'!$E$70)</f>
        <v>0</v>
      </c>
      <c r="H53" s="47" t="n">
        <f aca="false">IF('Global Inputs'!$E$33=1,SUM($F$48:$S$48)*(1-'P19 Badas FS Working Paper'!$E$68)/'P19 Badas FS Working Paper'!$E$70*H50,SUMPRODUCT($F$48:$S$48,--($F$51:$S$51&lt;=H$5),--(H$5&lt;$F$51:$S$51+'P19 Badas FS Working Paper'!$E$70))*(1-'P19 Badas FS Working Paper'!$E$68)/'P19 Badas FS Working Paper'!$E$70)</f>
        <v>0</v>
      </c>
      <c r="I53" s="47" t="n">
        <f aca="false">IF('Global Inputs'!$E$33=1,SUM($F$48:$S$48)*(1-'P19 Badas FS Working Paper'!$E$68)/'P19 Badas FS Working Paper'!$E$70*I50,SUMPRODUCT($F$48:$S$48,--($F$51:$S$51&lt;=I$5),--(I$5&lt;$F$51:$S$51+'P19 Badas FS Working Paper'!$E$70))*(1-'P19 Badas FS Working Paper'!$E$68)/'P19 Badas FS Working Paper'!$E$70)</f>
        <v>0</v>
      </c>
      <c r="J53" s="47" t="n">
        <f aca="false">IF('Global Inputs'!$E$33=1,SUM($F$48:$S$48)*(1-'P19 Badas FS Working Paper'!$E$68)/'P19 Badas FS Working Paper'!$E$70*J50,SUMPRODUCT($F$48:$S$48,--($F$51:$S$51&lt;=J$5),--(J$5&lt;$F$51:$S$51+'P19 Badas FS Working Paper'!$E$70))*(1-'P19 Badas FS Working Paper'!$E$68)/'P19 Badas FS Working Paper'!$E$70)</f>
        <v>0</v>
      </c>
      <c r="K53" s="47" t="n">
        <f aca="false">IF('Global Inputs'!$E$33=1,SUM($F$48:$S$48)*(1-'P19 Badas FS Working Paper'!$E$68)/'P19 Badas FS Working Paper'!$E$70*K50,SUMPRODUCT($F$48:$S$48,--($F$51:$S$51&lt;=K$5),--(K$5&lt;$F$51:$S$51+'P19 Badas FS Working Paper'!$E$70))*(1-'P19 Badas FS Working Paper'!$E$68)/'P19 Badas FS Working Paper'!$E$70)</f>
        <v>0</v>
      </c>
      <c r="L53" s="47" t="n">
        <f aca="false">IF('Global Inputs'!$E$33=1,SUM($F$48:$S$48)*(1-'P19 Badas FS Working Paper'!$E$68)/'P19 Badas FS Working Paper'!$E$70*L50,SUMPRODUCT($F$48:$S$48,--($F$51:$S$51&lt;=L$5),--(L$5&lt;$F$51:$S$51+'P19 Badas FS Working Paper'!$E$70))*(1-'P19 Badas FS Working Paper'!$E$68)/'P19 Badas FS Working Paper'!$E$70)</f>
        <v>6.506</v>
      </c>
      <c r="M53" s="47" t="n">
        <f aca="false">IF('Global Inputs'!$E$33=1,SUM($F$48:$S$48)*(1-'P19 Badas FS Working Paper'!$E$68)/'P19 Badas FS Working Paper'!$E$70*M50,SUMPRODUCT($F$48:$S$48,--($F$51:$S$51&lt;=M$5),--(M$5&lt;$F$51:$S$51+'P19 Badas FS Working Paper'!$E$70))*(1-'P19 Badas FS Working Paper'!$E$68)/'P19 Badas FS Working Paper'!$E$70)</f>
        <v>6.506</v>
      </c>
      <c r="N53" s="47" t="n">
        <f aca="false">IF('Global Inputs'!$E$33=1,SUM($F$48:$S$48)*(1-'P19 Badas FS Working Paper'!$E$68)/'P19 Badas FS Working Paper'!$E$70*N50,SUMPRODUCT($F$48:$S$48,--($F$51:$S$51&lt;=N$5),--(N$5&lt;$F$51:$S$51+'P19 Badas FS Working Paper'!$E$70))*(1-'P19 Badas FS Working Paper'!$E$68)/'P19 Badas FS Working Paper'!$E$70)</f>
        <v>6.506</v>
      </c>
      <c r="O53" s="47" t="n">
        <f aca="false">IF('Global Inputs'!$E$33=1,SUM($F$48:$S$48)*(1-'P19 Badas FS Working Paper'!$E$68)/'P19 Badas FS Working Paper'!$E$70*O50,SUMPRODUCT($F$48:$S$48,--($F$51:$S$51&lt;=O$5),--(O$5&lt;$F$51:$S$51+'P19 Badas FS Working Paper'!$E$70))*(1-'P19 Badas FS Working Paper'!$E$68)/'P19 Badas FS Working Paper'!$E$70)</f>
        <v>6.506</v>
      </c>
      <c r="P53" s="47" t="n">
        <f aca="false">IF('Global Inputs'!$E$33=1,SUM($F$48:$S$48)*(1-'P19 Badas FS Working Paper'!$E$68)/'P19 Badas FS Working Paper'!$E$70*P50,SUMPRODUCT($F$48:$S$48,--($F$51:$S$51&lt;=P$5),--(P$5&lt;$F$51:$S$51+'P19 Badas FS Working Paper'!$E$70))*(1-'P19 Badas FS Working Paper'!$E$68)/'P19 Badas FS Working Paper'!$E$70)</f>
        <v>6.506</v>
      </c>
      <c r="Q53" s="47" t="n">
        <f aca="false">IF('Global Inputs'!$E$33=1,SUM($F$48:$S$48)*(1-'P19 Badas FS Working Paper'!$E$68)/'P19 Badas FS Working Paper'!$E$70*Q50,SUMPRODUCT($F$48:$S$48,--($F$51:$S$51&lt;=Q$5),--(Q$5&lt;$F$51:$S$51+'P19 Badas FS Working Paper'!$E$70))*(1-'P19 Badas FS Working Paper'!$E$68)/'P19 Badas FS Working Paper'!$E$70)</f>
        <v>6.506</v>
      </c>
      <c r="R53" s="47" t="n">
        <f aca="false">IF('Global Inputs'!$E$33=1,SUM($F$48:$S$48)*(1-'P19 Badas FS Working Paper'!$E$68)/'P19 Badas FS Working Paper'!$E$70*R50,SUMPRODUCT($F$48:$S$48,--($F$51:$S$51&lt;=R$5),--(R$5&lt;$F$51:$S$51+'P19 Badas FS Working Paper'!$E$70))*(1-'P19 Badas FS Working Paper'!$E$68)/'P19 Badas FS Working Paper'!$E$70)</f>
        <v>6.506</v>
      </c>
      <c r="S53" s="47" t="n">
        <f aca="false">IF('Global Inputs'!$E$33=1,SUM($F$48:$S$48)*(1-'P19 Badas FS Working Paper'!$E$68)/'P19 Badas FS Working Paper'!$E$70*S50,SUMPRODUCT($F$48:$S$48,--($F$51:$S$51&lt;=S$5),--(S$5&lt;$F$51:$S$51+'P19 Badas FS Working Paper'!$E$70))*(1-'P19 Badas FS Working Paper'!$E$68)/'P19 Badas FS Working Paper'!$E$70)</f>
        <v>6.506</v>
      </c>
    </row>
    <row r="54" customFormat="false" ht="15" hidden="false" customHeight="false" outlineLevel="0" collapsed="false">
      <c r="B54" s="24" t="s">
        <v>1338</v>
      </c>
      <c r="C54" s="25" t="s">
        <v>170</v>
      </c>
      <c r="E54" s="47" t="n">
        <f aca="false">SUM(F54:S54)</f>
        <v>91.084</v>
      </c>
      <c r="F54" s="47" t="n">
        <f aca="false">F52+F53</f>
        <v>0</v>
      </c>
      <c r="G54" s="47" t="n">
        <f aca="false">G52+G53</f>
        <v>0</v>
      </c>
      <c r="H54" s="47" t="n">
        <f aca="false">H52+H53</f>
        <v>0</v>
      </c>
      <c r="I54" s="47" t="n">
        <f aca="false">I52+I53</f>
        <v>0</v>
      </c>
      <c r="J54" s="47" t="n">
        <f aca="false">J52+J53</f>
        <v>0</v>
      </c>
      <c r="K54" s="47" t="n">
        <f aca="false">K52+K53</f>
        <v>0</v>
      </c>
      <c r="L54" s="47" t="n">
        <f aca="false">L52+L53</f>
        <v>11.3855</v>
      </c>
      <c r="M54" s="47" t="n">
        <f aca="false">M52+M53</f>
        <v>11.3855</v>
      </c>
      <c r="N54" s="47" t="n">
        <f aca="false">N52+N53</f>
        <v>11.3855</v>
      </c>
      <c r="O54" s="47" t="n">
        <f aca="false">O52+O53</f>
        <v>11.3855</v>
      </c>
      <c r="P54" s="47" t="n">
        <f aca="false">P52+P53</f>
        <v>11.3855</v>
      </c>
      <c r="Q54" s="47" t="n">
        <f aca="false">Q52+Q53</f>
        <v>11.3855</v>
      </c>
      <c r="R54" s="47" t="n">
        <f aca="false">R52+R53</f>
        <v>11.3855</v>
      </c>
      <c r="S54" s="47" t="n">
        <f aca="false">S52+S53</f>
        <v>11.3855</v>
      </c>
    </row>
    <row r="55" customFormat="false" ht="15" hidden="false" customHeight="false" outlineLevel="0" collapsed="false">
      <c r="B55" s="24" t="s">
        <v>1339</v>
      </c>
      <c r="C55" s="25" t="s">
        <v>170</v>
      </c>
      <c r="F55" s="47" t="n">
        <f aca="false">F48</f>
        <v>0</v>
      </c>
      <c r="G55" s="47" t="n">
        <f aca="false">F55+G48-G54</f>
        <v>0</v>
      </c>
      <c r="H55" s="47" t="n">
        <f aca="false">G55+H48-H54</f>
        <v>0</v>
      </c>
      <c r="I55" s="47" t="n">
        <f aca="false">H55+I48-I54</f>
        <v>0</v>
      </c>
      <c r="J55" s="47" t="n">
        <f aca="false">I55+J48-J54</f>
        <v>97.59</v>
      </c>
      <c r="K55" s="47" t="n">
        <f aca="false">J55+K48-K54</f>
        <v>162.65</v>
      </c>
      <c r="L55" s="47" t="n">
        <f aca="false">K55+L48-L54</f>
        <v>151.2645</v>
      </c>
      <c r="M55" s="47" t="n">
        <f aca="false">L55+M48-M54</f>
        <v>139.879</v>
      </c>
      <c r="N55" s="47" t="n">
        <f aca="false">M55+N48-N54</f>
        <v>128.4935</v>
      </c>
      <c r="O55" s="47" t="n">
        <f aca="false">N55+O48-O54</f>
        <v>117.108</v>
      </c>
      <c r="P55" s="47" t="n">
        <f aca="false">O55+P48-P54</f>
        <v>105.7225</v>
      </c>
      <c r="Q55" s="47" t="n">
        <f aca="false">P55+Q48-Q54</f>
        <v>94.337</v>
      </c>
      <c r="R55" s="47" t="n">
        <f aca="false">Q55+R48-R54</f>
        <v>82.9515</v>
      </c>
      <c r="S55" s="47" t="n">
        <f aca="false">R55+S48-S54</f>
        <v>71.566</v>
      </c>
    </row>
    <row r="56" customFormat="false" ht="15" hidden="false" customHeight="false" outlineLevel="0" collapsed="false">
      <c r="B56" s="24" t="s">
        <v>1340</v>
      </c>
      <c r="C56" s="25" t="s">
        <v>143</v>
      </c>
      <c r="F56" s="30" t="n">
        <f aca="false">IF(F48&gt;0,1,0)</f>
        <v>0</v>
      </c>
      <c r="G56" s="30" t="n">
        <f aca="false">IF(AND(G49&gt;0,F49=0),1,0)</f>
        <v>0</v>
      </c>
      <c r="H56" s="30" t="n">
        <f aca="false">IF(AND(H49&gt;0,G49=0),1,0)</f>
        <v>0</v>
      </c>
      <c r="I56" s="30" t="n">
        <f aca="false">IF(AND(I49&gt;0,H49=0),1,0)</f>
        <v>0</v>
      </c>
      <c r="J56" s="30" t="n">
        <f aca="false">IF(AND(J49&gt;0,I49=0),1,0)</f>
        <v>1</v>
      </c>
      <c r="K56" s="30" t="n">
        <f aca="false">IF(AND(K49&gt;0,J49=0),1,0)</f>
        <v>0</v>
      </c>
      <c r="L56" s="30" t="n">
        <f aca="false">IF(AND(L49&gt;0,K49=0),1,0)</f>
        <v>0</v>
      </c>
      <c r="M56" s="30" t="n">
        <f aca="false">IF(AND(M49&gt;0,L49=0),1,0)</f>
        <v>0</v>
      </c>
      <c r="N56" s="30" t="n">
        <f aca="false">IF(AND(N49&gt;0,M49=0),1,0)</f>
        <v>0</v>
      </c>
      <c r="O56" s="30" t="n">
        <f aca="false">IF(AND(O49&gt;0,N49=0),1,0)</f>
        <v>0</v>
      </c>
      <c r="P56" s="30" t="n">
        <f aca="false">IF(AND(P49&gt;0,O49=0),1,0)</f>
        <v>0</v>
      </c>
      <c r="Q56" s="30" t="n">
        <f aca="false">IF(AND(Q49&gt;0,P49=0),1,0)</f>
        <v>0</v>
      </c>
      <c r="R56" s="30" t="n">
        <f aca="false">IF(AND(R49&gt;0,Q49=0),1,0)</f>
        <v>0</v>
      </c>
      <c r="S56" s="30" t="n">
        <f aca="false">IF(AND(S49&gt;0,R49=0),1,0)</f>
        <v>0</v>
      </c>
    </row>
    <row r="57" customFormat="false" ht="15" hidden="false" customHeight="false" outlineLevel="0" collapsed="false">
      <c r="B57" s="69" t="s">
        <v>1094</v>
      </c>
      <c r="C57" s="25" t="s">
        <v>170</v>
      </c>
      <c r="E57" s="70" t="n">
        <f aca="false">SUM(F57:S57)</f>
        <v>91.084</v>
      </c>
      <c r="F57" s="68" t="n">
        <f aca="false">F54</f>
        <v>0</v>
      </c>
      <c r="G57" s="68" t="n">
        <f aca="false">G54</f>
        <v>0</v>
      </c>
      <c r="H57" s="68" t="n">
        <f aca="false">H54</f>
        <v>0</v>
      </c>
      <c r="I57" s="68" t="n">
        <f aca="false">I54</f>
        <v>0</v>
      </c>
      <c r="J57" s="68" t="n">
        <f aca="false">J54</f>
        <v>0</v>
      </c>
      <c r="K57" s="68" t="n">
        <f aca="false">K54</f>
        <v>0</v>
      </c>
      <c r="L57" s="68" t="n">
        <f aca="false">L54</f>
        <v>11.3855</v>
      </c>
      <c r="M57" s="68" t="n">
        <f aca="false">M54</f>
        <v>11.3855</v>
      </c>
      <c r="N57" s="68" t="n">
        <f aca="false">N54</f>
        <v>11.3855</v>
      </c>
      <c r="O57" s="68" t="n">
        <f aca="false">O54</f>
        <v>11.3855</v>
      </c>
      <c r="P57" s="68" t="n">
        <f aca="false">P54</f>
        <v>11.3855</v>
      </c>
      <c r="Q57" s="68" t="n">
        <f aca="false">Q54</f>
        <v>11.3855</v>
      </c>
      <c r="R57" s="68" t="n">
        <f aca="false">R54</f>
        <v>11.3855</v>
      </c>
      <c r="S57" s="68" t="n">
        <f aca="false">S54</f>
        <v>11.3855</v>
      </c>
    </row>
    <row r="59" customFormat="false" ht="15" hidden="false" customHeight="false" outlineLevel="0" collapsed="false">
      <c r="B59" s="22" t="s">
        <v>1990</v>
      </c>
      <c r="C59" s="23"/>
      <c r="D59" s="23"/>
      <c r="E59" s="23"/>
      <c r="F59" s="23"/>
      <c r="G59" s="23"/>
      <c r="H59" s="23"/>
      <c r="I59" s="23"/>
      <c r="J59" s="23"/>
      <c r="K59" s="23"/>
      <c r="L59" s="23"/>
      <c r="M59" s="23"/>
      <c r="N59" s="23"/>
      <c r="O59" s="23"/>
      <c r="P59" s="23"/>
      <c r="Q59" s="23"/>
      <c r="R59" s="23"/>
      <c r="S59" s="23"/>
    </row>
    <row r="60" customFormat="false" ht="15" hidden="false" customHeight="false" outlineLevel="0" collapsed="false">
      <c r="B60" s="24" t="s">
        <v>1096</v>
      </c>
      <c r="C60" s="25" t="s">
        <v>170</v>
      </c>
      <c r="F60" s="47" t="n">
        <f aca="false">0</f>
        <v>0</v>
      </c>
      <c r="G60" s="47" t="n">
        <f aca="false">G23*'Global Inputs'!$E$28/G$7</f>
        <v>0</v>
      </c>
      <c r="H60" s="47" t="n">
        <f aca="false">H23*'Global Inputs'!$E$28/H$7</f>
        <v>0</v>
      </c>
      <c r="I60" s="47" t="n">
        <f aca="false">I23*'Global Inputs'!$E$28/I$7</f>
        <v>0</v>
      </c>
      <c r="J60" s="47" t="n">
        <f aca="false">J23*'Global Inputs'!$E$28/J$7</f>
        <v>0</v>
      </c>
      <c r="K60" s="47" t="n">
        <f aca="false">K23*'Global Inputs'!$E$28/K$7</f>
        <v>0</v>
      </c>
      <c r="L60" s="47" t="n">
        <f aca="false">L23*'Global Inputs'!$E$28/L$7</f>
        <v>3.84472602739726</v>
      </c>
      <c r="M60" s="47" t="n">
        <f aca="false">M23*'Global Inputs'!$E$28/M$7</f>
        <v>4.6800801369863</v>
      </c>
      <c r="N60" s="47" t="n">
        <f aca="false">N23*'Global Inputs'!$E$28/N$7</f>
        <v>5.56209523972603</v>
      </c>
      <c r="O60" s="47" t="n">
        <f aca="false">O23*'Global Inputs'!$E$28/O$7</f>
        <v>6.09419221967213</v>
      </c>
      <c r="P60" s="47" t="n">
        <f aca="false">P23*'Global Inputs'!$E$28/P$7</f>
        <v>6.29421529956164</v>
      </c>
      <c r="Q60" s="47" t="n">
        <f aca="false">Q23*'Global Inputs'!$E$28/Q$7</f>
        <v>6.48304175194521</v>
      </c>
      <c r="R60" s="47" t="n">
        <f aca="false">R23*'Global Inputs'!$E$28/R$7</f>
        <v>6.6775330070137</v>
      </c>
      <c r="S60" s="47" t="n">
        <f aca="false">S23*'Global Inputs'!$E$28/S$7</f>
        <v>6.85906703016394</v>
      </c>
    </row>
    <row r="61" customFormat="false" ht="15" hidden="false" customHeight="false" outlineLevel="0" collapsed="false">
      <c r="B61" s="24" t="s">
        <v>1098</v>
      </c>
      <c r="C61" s="25" t="s">
        <v>170</v>
      </c>
      <c r="F61" s="47" t="n">
        <f aca="false">0</f>
        <v>0</v>
      </c>
      <c r="G61" s="47" t="n">
        <f aca="false">G30*'Global Inputs'!$E$29/G$7</f>
        <v>0</v>
      </c>
      <c r="H61" s="47" t="n">
        <f aca="false">H30*'Global Inputs'!$E$29/H$7</f>
        <v>0</v>
      </c>
      <c r="I61" s="47" t="n">
        <f aca="false">I30*'Global Inputs'!$E$29/I$7</f>
        <v>0</v>
      </c>
      <c r="J61" s="47" t="n">
        <f aca="false">J30*'Global Inputs'!$E$29/J$7</f>
        <v>0</v>
      </c>
      <c r="K61" s="47" t="n">
        <f aca="false">K30*'Global Inputs'!$E$29/K$7</f>
        <v>0</v>
      </c>
      <c r="L61" s="47" t="n">
        <f aca="false">L30*'Global Inputs'!$E$29/L$7</f>
        <v>0.77977397260274</v>
      </c>
      <c r="M61" s="47" t="n">
        <f aca="false">M30*'Global Inputs'!$E$29/M$7</f>
        <v>0.891105410958904</v>
      </c>
      <c r="N61" s="47" t="n">
        <f aca="false">N30*'Global Inputs'!$E$29/N$7</f>
        <v>1.00865557191781</v>
      </c>
      <c r="O61" s="47" t="n">
        <f aca="false">O30*'Global Inputs'!$E$29/O$7</f>
        <v>1.0788400357377</v>
      </c>
      <c r="P61" s="47" t="n">
        <f aca="false">P30*'Global Inputs'!$E$29/P$7</f>
        <v>1.10622853993973</v>
      </c>
      <c r="Q61" s="47" t="n">
        <f aca="false">Q30*'Global Inputs'!$E$29/Q$7</f>
        <v>1.13139429693699</v>
      </c>
      <c r="R61" s="47" t="n">
        <f aca="false">R30*'Global Inputs'!$E$29/R$7</f>
        <v>1.1573150308274</v>
      </c>
      <c r="S61" s="47" t="n">
        <f aca="false">S30*'Global Inputs'!$E$29/S$7</f>
        <v>1.18077838078689</v>
      </c>
    </row>
    <row r="62" customFormat="false" ht="15" hidden="false" customHeight="false" outlineLevel="0" collapsed="false">
      <c r="B62" s="24" t="s">
        <v>1099</v>
      </c>
      <c r="C62" s="25" t="s">
        <v>170</v>
      </c>
      <c r="F62" s="47" t="n">
        <f aca="false">F60-F61</f>
        <v>0</v>
      </c>
      <c r="G62" s="47" t="n">
        <f aca="false">G60-G61</f>
        <v>0</v>
      </c>
      <c r="H62" s="47" t="n">
        <f aca="false">H60-H61</f>
        <v>0</v>
      </c>
      <c r="I62" s="47" t="n">
        <f aca="false">I60-I61</f>
        <v>0</v>
      </c>
      <c r="J62" s="47" t="n">
        <f aca="false">J60-J61</f>
        <v>0</v>
      </c>
      <c r="K62" s="47" t="n">
        <f aca="false">K60-K61</f>
        <v>0</v>
      </c>
      <c r="L62" s="47" t="n">
        <f aca="false">L60-L61</f>
        <v>3.06495205479452</v>
      </c>
      <c r="M62" s="47" t="n">
        <f aca="false">M60-M61</f>
        <v>3.7889747260274</v>
      </c>
      <c r="N62" s="47" t="n">
        <f aca="false">N60-N61</f>
        <v>4.55343966780822</v>
      </c>
      <c r="O62" s="47" t="n">
        <f aca="false">O60-O61</f>
        <v>5.01535218393443</v>
      </c>
      <c r="P62" s="47" t="n">
        <f aca="false">P60-P61</f>
        <v>5.18798675962192</v>
      </c>
      <c r="Q62" s="47" t="n">
        <f aca="false">Q60-Q61</f>
        <v>5.35164745500822</v>
      </c>
      <c r="R62" s="47" t="n">
        <f aca="false">R60-R61</f>
        <v>5.5202179761863</v>
      </c>
      <c r="S62" s="47" t="n">
        <f aca="false">S60-S61</f>
        <v>5.67828864937705</v>
      </c>
    </row>
    <row r="63" customFormat="false" ht="15" hidden="false" customHeight="false" outlineLevel="0" collapsed="false">
      <c r="B63" s="24" t="s">
        <v>1100</v>
      </c>
      <c r="C63" s="25" t="s">
        <v>170</v>
      </c>
      <c r="E63" s="47" t="n">
        <f aca="false">SUM(F63:S63)</f>
        <v>5.67828864937705</v>
      </c>
      <c r="F63" s="47" t="n">
        <f aca="false">0</f>
        <v>0</v>
      </c>
      <c r="G63" s="47" t="n">
        <f aca="false">G62-F62</f>
        <v>0</v>
      </c>
      <c r="H63" s="47" t="n">
        <f aca="false">H62-G62</f>
        <v>0</v>
      </c>
      <c r="I63" s="47" t="n">
        <f aca="false">I62-H62</f>
        <v>0</v>
      </c>
      <c r="J63" s="47" t="n">
        <f aca="false">J62-I62</f>
        <v>0</v>
      </c>
      <c r="K63" s="47" t="n">
        <f aca="false">K62-J62</f>
        <v>0</v>
      </c>
      <c r="L63" s="47" t="n">
        <f aca="false">L62-K62</f>
        <v>3.06495205479452</v>
      </c>
      <c r="M63" s="47" t="n">
        <f aca="false">M62-L62</f>
        <v>0.724022671232877</v>
      </c>
      <c r="N63" s="47" t="n">
        <f aca="false">N62-M62</f>
        <v>0.764464941780821</v>
      </c>
      <c r="O63" s="47" t="n">
        <f aca="false">O62-N62</f>
        <v>0.461912516126208</v>
      </c>
      <c r="P63" s="47" t="n">
        <f aca="false">P62-O62</f>
        <v>0.172634575687491</v>
      </c>
      <c r="Q63" s="47" t="n">
        <f aca="false">Q62-P62</f>
        <v>0.163660695386302</v>
      </c>
      <c r="R63" s="47" t="n">
        <f aca="false">R62-Q62</f>
        <v>0.168570521178082</v>
      </c>
      <c r="S63" s="47" t="n">
        <f aca="false">S62-R62</f>
        <v>0.158070673190749</v>
      </c>
    </row>
  </sheetData>
  <hyperlinks>
    <hyperlink ref="C3" r:id="rId1" location="'P19%20Badas%20FS%20Working%20Paper'!A1" display="Input"/>
    <hyperlink ref="D3" r:id="rId2" location="'P19%20Badas%20Calculation'!A1" display="Calc"/>
    <hyperlink ref="E3" r:id="rId3" location="'P19%20Badas%20Output'!A1" display="Output"/>
    <hyperlink ref="F3" r:id="rId4" location="'Navigation'!A1" display="Navigation"/>
    <hyperlink ref="G3" r:id="rId5" location="'Global%20Inputs'!A1" display="Global Inputs"/>
    <hyperlink ref="H3" r:id="rId6" location="'Project%20Summary'!A1" display="Project Summary"/>
    <hyperlink ref="I3" r:id="rId7" location="'Funding%20Requirement'!A1" display="Funding"/>
    <hyperlink ref="J3" r:id="rId8" location="'FSL%20Financials%20—%20Without%20BUMN'!A1" display="FSL w/o BUMN"/>
    <hyperlink ref="K3" r:id="rId9" location="'FSL%20Financials%20—%20With%20BUMN'!A1" display="FSL w/ BUMN"/>
    <hyperlink ref="L3" r:id="rId10" location="'Valuation%20—%20Without%20BUMN'!A1" display="Val w/o BUMN"/>
    <hyperlink ref="M3" r:id="rId11" location="'Valuation%20—%20With%20BUMN'!A1" display="Val w/ BUMN"/>
    <hyperlink ref="N3" r:id="rId12" location="'Checks'!A1" display="Checks"/>
    <hyperlink ref="O3" r:id="rId13" location="'Model%20Flow'!A1" display="Model Flow"/>
  </hyperlink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9D08E"/>
    <pageSetUpPr fitToPage="true"/>
  </sheetPr>
  <dimension ref="B1:U7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5" ySplit="9" topLeftCell="F10" activePane="bottomRight" state="frozen"/>
      <selection pane="topLeft" activeCell="A1" activeCellId="0" sqref="A1"/>
      <selection pane="topRight" activeCell="F1" activeCellId="0" sqref="F1"/>
      <selection pane="bottomLeft" activeCell="A10" activeCellId="0" sqref="A10"/>
      <selection pane="bottomRigh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66"/>
    <col collapsed="false" customWidth="true" hidden="false" outlineLevel="0" max="3" min="3" style="0" width="11"/>
    <col collapsed="false" customWidth="true" hidden="false" outlineLevel="0" max="4" min="4" style="0" width="12"/>
    <col collapsed="false" customWidth="true" hidden="false" outlineLevel="0" max="5" min="5" style="0" width="13"/>
    <col collapsed="false" customWidth="true" hidden="false" outlineLevel="0" max="19" min="6" style="0" width="11.5"/>
    <col collapsed="false" customWidth="true" hidden="false" outlineLevel="0" max="20" min="20" style="0" width="40"/>
    <col collapsed="false" customWidth="true" hidden="false" outlineLevel="0" max="21" min="21" style="0" width="48"/>
  </cols>
  <sheetData>
    <row r="1" customFormat="false" ht="21.75" hidden="false" customHeight="true" outlineLevel="0" collapsed="false">
      <c r="B1" s="1" t="s">
        <v>2645</v>
      </c>
    </row>
    <row r="2" customFormat="false" ht="15" hidden="false" customHeight="false" outlineLevel="0" collapsed="false">
      <c r="B2" s="2" t="s">
        <v>1102</v>
      </c>
    </row>
    <row r="3" customFormat="false" ht="15" hidden="false" customHeight="false" outlineLevel="0" collapsed="false">
      <c r="B3" s="5" t="s">
        <v>112</v>
      </c>
      <c r="C3" s="17" t="s">
        <v>27</v>
      </c>
      <c r="D3" s="17" t="s">
        <v>28</v>
      </c>
      <c r="E3" s="17" t="s">
        <v>29</v>
      </c>
      <c r="F3" s="17" t="s">
        <v>113</v>
      </c>
      <c r="G3" s="17" t="s">
        <v>5</v>
      </c>
      <c r="H3" s="17" t="s">
        <v>7</v>
      </c>
      <c r="I3" s="17" t="s">
        <v>114</v>
      </c>
      <c r="J3" s="17" t="s">
        <v>115</v>
      </c>
      <c r="K3" s="17" t="s">
        <v>116</v>
      </c>
      <c r="L3" s="17" t="s">
        <v>117</v>
      </c>
      <c r="M3" s="17" t="s">
        <v>118</v>
      </c>
      <c r="N3" s="17" t="s">
        <v>21</v>
      </c>
      <c r="O3" s="17" t="s">
        <v>3</v>
      </c>
    </row>
    <row r="5" customFormat="false" ht="15" hidden="false" customHeight="false" outlineLevel="0" collapsed="false">
      <c r="B5" s="6" t="s">
        <v>119</v>
      </c>
      <c r="C5" s="6" t="s">
        <v>120</v>
      </c>
      <c r="D5" s="6" t="s">
        <v>121</v>
      </c>
      <c r="E5" s="6" t="s">
        <v>122</v>
      </c>
      <c r="F5" s="18" t="n">
        <f aca="false">'Global Inputs'!F$5</f>
        <v>2023</v>
      </c>
      <c r="G5" s="18" t="n">
        <f aca="false">'Global Inputs'!G$5</f>
        <v>2024</v>
      </c>
      <c r="H5" s="18" t="n">
        <f aca="false">'Global Inputs'!H$5</f>
        <v>2025</v>
      </c>
      <c r="I5" s="18" t="n">
        <f aca="false">'Global Inputs'!I$5</f>
        <v>2026</v>
      </c>
      <c r="J5" s="18" t="n">
        <f aca="false">'Global Inputs'!J$5</f>
        <v>2027</v>
      </c>
      <c r="K5" s="18" t="n">
        <f aca="false">'Global Inputs'!K$5</f>
        <v>2028</v>
      </c>
      <c r="L5" s="18" t="n">
        <f aca="false">'Global Inputs'!L$5</f>
        <v>2029</v>
      </c>
      <c r="M5" s="18" t="n">
        <f aca="false">'Global Inputs'!M$5</f>
        <v>2030</v>
      </c>
      <c r="N5" s="18" t="n">
        <f aca="false">'Global Inputs'!N$5</f>
        <v>2031</v>
      </c>
      <c r="O5" s="18" t="n">
        <f aca="false">'Global Inputs'!O$5</f>
        <v>2032</v>
      </c>
      <c r="P5" s="18" t="n">
        <f aca="false">'Global Inputs'!P$5</f>
        <v>2033</v>
      </c>
      <c r="Q5" s="18" t="n">
        <f aca="false">'Global Inputs'!Q$5</f>
        <v>2034</v>
      </c>
      <c r="R5" s="18" t="n">
        <f aca="false">'Global Inputs'!R$5</f>
        <v>2035</v>
      </c>
      <c r="S5" s="18" t="n">
        <f aca="false">'Global Inputs'!S$5</f>
        <v>2036</v>
      </c>
      <c r="T5" s="6" t="s">
        <v>123</v>
      </c>
      <c r="U5" s="6" t="s">
        <v>124</v>
      </c>
    </row>
    <row r="6" customFormat="false" ht="15" hidden="false" customHeight="false" outlineLevel="0" collapsed="false">
      <c r="B6" s="19" t="s">
        <v>125</v>
      </c>
      <c r="F6" s="20" t="n">
        <f aca="false">'Global Inputs'!F$6</f>
        <v>45291</v>
      </c>
      <c r="G6" s="20" t="n">
        <f aca="false">'Global Inputs'!G$6</f>
        <v>45657</v>
      </c>
      <c r="H6" s="20" t="n">
        <f aca="false">'Global Inputs'!H$6</f>
        <v>46022</v>
      </c>
      <c r="I6" s="20" t="n">
        <f aca="false">'Global Inputs'!I$6</f>
        <v>46387</v>
      </c>
      <c r="J6" s="20" t="n">
        <f aca="false">'Global Inputs'!J$6</f>
        <v>46752</v>
      </c>
      <c r="K6" s="20" t="n">
        <f aca="false">'Global Inputs'!K$6</f>
        <v>47118</v>
      </c>
      <c r="L6" s="20" t="n">
        <f aca="false">'Global Inputs'!L$6</f>
        <v>47483</v>
      </c>
      <c r="M6" s="20" t="n">
        <f aca="false">'Global Inputs'!M$6</f>
        <v>47848</v>
      </c>
      <c r="N6" s="20" t="n">
        <f aca="false">'Global Inputs'!N$6</f>
        <v>48213</v>
      </c>
      <c r="O6" s="20" t="n">
        <f aca="false">'Global Inputs'!O$6</f>
        <v>48579</v>
      </c>
      <c r="P6" s="20" t="n">
        <f aca="false">'Global Inputs'!P$6</f>
        <v>48944</v>
      </c>
      <c r="Q6" s="20" t="n">
        <f aca="false">'Global Inputs'!Q$6</f>
        <v>49309</v>
      </c>
      <c r="R6" s="20" t="n">
        <f aca="false">'Global Inputs'!R$6</f>
        <v>49674</v>
      </c>
      <c r="S6" s="20" t="n">
        <f aca="false">'Global Inputs'!S$6</f>
        <v>50040</v>
      </c>
    </row>
    <row r="7" customFormat="false" ht="15" hidden="false" customHeight="false" outlineLevel="0" collapsed="false">
      <c r="B7" s="19" t="s">
        <v>126</v>
      </c>
      <c r="F7" s="21" t="n">
        <f aca="false">'Global Inputs'!F$7</f>
        <v>365</v>
      </c>
      <c r="G7" s="21" t="n">
        <f aca="false">'Global Inputs'!G$7</f>
        <v>366</v>
      </c>
      <c r="H7" s="21" t="n">
        <f aca="false">'Global Inputs'!H$7</f>
        <v>365</v>
      </c>
      <c r="I7" s="21" t="n">
        <f aca="false">'Global Inputs'!I$7</f>
        <v>365</v>
      </c>
      <c r="J7" s="21" t="n">
        <f aca="false">'Global Inputs'!J$7</f>
        <v>365</v>
      </c>
      <c r="K7" s="21" t="n">
        <f aca="false">'Global Inputs'!K$7</f>
        <v>366</v>
      </c>
      <c r="L7" s="21" t="n">
        <f aca="false">'Global Inputs'!L$7</f>
        <v>365</v>
      </c>
      <c r="M7" s="21" t="n">
        <f aca="false">'Global Inputs'!M$7</f>
        <v>365</v>
      </c>
      <c r="N7" s="21" t="n">
        <f aca="false">'Global Inputs'!N$7</f>
        <v>365</v>
      </c>
      <c r="O7" s="21" t="n">
        <f aca="false">'Global Inputs'!O$7</f>
        <v>366</v>
      </c>
      <c r="P7" s="21" t="n">
        <f aca="false">'Global Inputs'!P$7</f>
        <v>365</v>
      </c>
      <c r="Q7" s="21" t="n">
        <f aca="false">'Global Inputs'!Q$7</f>
        <v>365</v>
      </c>
      <c r="R7" s="21" t="n">
        <f aca="false">'Global Inputs'!R$7</f>
        <v>365</v>
      </c>
      <c r="S7" s="21" t="n">
        <f aca="false">'Global Inputs'!S$7</f>
        <v>366</v>
      </c>
    </row>
    <row r="8" customFormat="false" ht="15" hidden="false" customHeight="false" outlineLevel="0" collapsed="false">
      <c r="B8" s="19" t="s">
        <v>127</v>
      </c>
      <c r="F8" s="21" t="n">
        <f aca="false">'Global Inputs'!F$8</f>
        <v>0</v>
      </c>
      <c r="G8" s="21" t="n">
        <f aca="false">'Global Inputs'!G$8</f>
        <v>1</v>
      </c>
      <c r="H8" s="21" t="n">
        <f aca="false">'Global Inputs'!H$8</f>
        <v>1</v>
      </c>
      <c r="I8" s="21" t="n">
        <f aca="false">'Global Inputs'!I$8</f>
        <v>1</v>
      </c>
      <c r="J8" s="21" t="n">
        <f aca="false">'Global Inputs'!J$8</f>
        <v>1</v>
      </c>
      <c r="K8" s="21" t="n">
        <f aca="false">'Global Inputs'!K$8</f>
        <v>1</v>
      </c>
      <c r="L8" s="21" t="n">
        <f aca="false">'Global Inputs'!L$8</f>
        <v>1</v>
      </c>
      <c r="M8" s="21" t="n">
        <f aca="false">'Global Inputs'!M$8</f>
        <v>1</v>
      </c>
      <c r="N8" s="21" t="n">
        <f aca="false">'Global Inputs'!N$8</f>
        <v>1</v>
      </c>
      <c r="O8" s="21" t="n">
        <f aca="false">'Global Inputs'!O$8</f>
        <v>1</v>
      </c>
      <c r="P8" s="21" t="n">
        <f aca="false">'Global Inputs'!P$8</f>
        <v>1</v>
      </c>
      <c r="Q8" s="21" t="n">
        <f aca="false">'Global Inputs'!Q$8</f>
        <v>1</v>
      </c>
      <c r="R8" s="21" t="n">
        <f aca="false">'Global Inputs'!R$8</f>
        <v>1</v>
      </c>
      <c r="S8" s="21" t="n">
        <f aca="false">'Global Inputs'!S$8</f>
        <v>1</v>
      </c>
    </row>
    <row r="10" customFormat="false" ht="15" hidden="false" customHeight="false" outlineLevel="0" collapsed="false">
      <c r="B10" s="22" t="s">
        <v>1103</v>
      </c>
      <c r="C10" s="23"/>
      <c r="D10" s="23"/>
      <c r="E10" s="23"/>
      <c r="F10" s="23"/>
      <c r="G10" s="23"/>
      <c r="H10" s="23"/>
      <c r="I10" s="23"/>
      <c r="J10" s="23"/>
      <c r="K10" s="23"/>
      <c r="L10" s="23"/>
      <c r="M10" s="23"/>
      <c r="N10" s="23"/>
      <c r="O10" s="23"/>
      <c r="P10" s="23"/>
      <c r="Q10" s="23"/>
      <c r="R10" s="23"/>
      <c r="S10" s="23"/>
    </row>
    <row r="11" customFormat="false" ht="15" hidden="false" customHeight="false" outlineLevel="0" collapsed="false">
      <c r="B11" s="24" t="s">
        <v>345</v>
      </c>
      <c r="C11" s="25" t="s">
        <v>170</v>
      </c>
      <c r="E11" s="47" t="n">
        <f aca="false">SUM(F11:S11)</f>
        <v>377.41356154</v>
      </c>
      <c r="F11" s="47" t="n">
        <f aca="false">'P19 Badas Calculation'!F23</f>
        <v>0</v>
      </c>
      <c r="G11" s="47" t="n">
        <f aca="false">'P19 Badas Calculation'!G23</f>
        <v>0</v>
      </c>
      <c r="H11" s="47" t="n">
        <f aca="false">'P19 Badas Calculation'!H23</f>
        <v>0</v>
      </c>
      <c r="I11" s="47" t="n">
        <f aca="false">'P19 Badas Calculation'!I23</f>
        <v>0</v>
      </c>
      <c r="J11" s="47" t="n">
        <f aca="false">'P19 Badas Calculation'!J23</f>
        <v>0</v>
      </c>
      <c r="K11" s="47" t="n">
        <f aca="false">'P19 Badas Calculation'!K23</f>
        <v>0</v>
      </c>
      <c r="L11" s="47" t="n">
        <f aca="false">'P19 Badas Calculation'!L23</f>
        <v>31.185</v>
      </c>
      <c r="M11" s="47" t="n">
        <f aca="false">'P19 Badas Calculation'!M23</f>
        <v>37.96065</v>
      </c>
      <c r="N11" s="47" t="n">
        <f aca="false">'P19 Badas Calculation'!N23</f>
        <v>45.1147725</v>
      </c>
      <c r="O11" s="47" t="n">
        <f aca="false">'P19 Badas Calculation'!O23</f>
        <v>49.56609672</v>
      </c>
      <c r="P11" s="47" t="n">
        <f aca="false">'P19 Badas Calculation'!P23</f>
        <v>51.053079652</v>
      </c>
      <c r="Q11" s="47" t="n">
        <f aca="false">'P19 Badas Calculation'!Q23</f>
        <v>52.584671988</v>
      </c>
      <c r="R11" s="47" t="n">
        <f aca="false">'P19 Badas Calculation'!R23</f>
        <v>54.162212168</v>
      </c>
      <c r="S11" s="47" t="n">
        <f aca="false">'P19 Badas Calculation'!S23</f>
        <v>55.787078512</v>
      </c>
    </row>
    <row r="12" customFormat="false" ht="15" hidden="false" customHeight="false" outlineLevel="0" collapsed="false">
      <c r="B12" s="24" t="s">
        <v>391</v>
      </c>
      <c r="C12" s="25" t="s">
        <v>170</v>
      </c>
      <c r="E12" s="47" t="n">
        <f aca="false">SUM(F12:S12)</f>
        <v>-101.473430697</v>
      </c>
      <c r="F12" s="47" t="n">
        <f aca="false">-'P19 Badas Calculation'!F30</f>
        <v>-0</v>
      </c>
      <c r="G12" s="47" t="n">
        <f aca="false">-'P19 Badas Calculation'!G30</f>
        <v>-0</v>
      </c>
      <c r="H12" s="47" t="n">
        <f aca="false">-'P19 Badas Calculation'!H30</f>
        <v>-0</v>
      </c>
      <c r="I12" s="47" t="n">
        <f aca="false">-'P19 Badas Calculation'!I30</f>
        <v>-0</v>
      </c>
      <c r="J12" s="47" t="n">
        <f aca="false">-'P19 Badas Calculation'!J30</f>
        <v>-0</v>
      </c>
      <c r="K12" s="47" t="n">
        <f aca="false">-'P19 Badas Calculation'!K30</f>
        <v>-0</v>
      </c>
      <c r="L12" s="47" t="n">
        <f aca="false">-'P19 Badas Calculation'!L30</f>
        <v>-9.48725</v>
      </c>
      <c r="M12" s="47" t="n">
        <f aca="false">-'P19 Badas Calculation'!M30</f>
        <v>-10.8417825</v>
      </c>
      <c r="N12" s="47" t="n">
        <f aca="false">-'P19 Badas Calculation'!N30</f>
        <v>-12.271976125</v>
      </c>
      <c r="O12" s="47" t="n">
        <f aca="false">-'P19 Badas Calculation'!O30</f>
        <v>-13.161848436</v>
      </c>
      <c r="P12" s="47" t="n">
        <f aca="false">-'P19 Badas Calculation'!P30</f>
        <v>-13.4591139026</v>
      </c>
      <c r="Q12" s="47" t="n">
        <f aca="false">-'P19 Badas Calculation'!Q30</f>
        <v>-13.7652972794</v>
      </c>
      <c r="R12" s="47" t="n">
        <f aca="false">-'P19 Badas Calculation'!R30</f>
        <v>-14.0806662084</v>
      </c>
      <c r="S12" s="47" t="n">
        <f aca="false">-'P19 Badas Calculation'!S30</f>
        <v>-14.4054962456</v>
      </c>
    </row>
    <row r="13" customFormat="false" ht="15" hidden="false" customHeight="false" outlineLevel="0" collapsed="false">
      <c r="B13" s="69" t="s">
        <v>392</v>
      </c>
      <c r="C13" s="25" t="s">
        <v>170</v>
      </c>
      <c r="E13" s="70" t="n">
        <f aca="false">SUM(F13:S13)</f>
        <v>275.940130843</v>
      </c>
      <c r="F13" s="68" t="n">
        <f aca="false">F11+F12</f>
        <v>0</v>
      </c>
      <c r="G13" s="68" t="n">
        <f aca="false">G11+G12</f>
        <v>0</v>
      </c>
      <c r="H13" s="68" t="n">
        <f aca="false">H11+H12</f>
        <v>0</v>
      </c>
      <c r="I13" s="68" t="n">
        <f aca="false">I11+I12</f>
        <v>0</v>
      </c>
      <c r="J13" s="68" t="n">
        <f aca="false">J11+J12</f>
        <v>0</v>
      </c>
      <c r="K13" s="68" t="n">
        <f aca="false">K11+K12</f>
        <v>0</v>
      </c>
      <c r="L13" s="68" t="n">
        <f aca="false">L11+L12</f>
        <v>21.69775</v>
      </c>
      <c r="M13" s="68" t="n">
        <f aca="false">M11+M12</f>
        <v>27.1188675</v>
      </c>
      <c r="N13" s="68" t="n">
        <f aca="false">N11+N12</f>
        <v>32.842796375</v>
      </c>
      <c r="O13" s="68" t="n">
        <f aca="false">O11+O12</f>
        <v>36.404248284</v>
      </c>
      <c r="P13" s="68" t="n">
        <f aca="false">P11+P12</f>
        <v>37.5939657494</v>
      </c>
      <c r="Q13" s="68" t="n">
        <f aca="false">Q11+Q12</f>
        <v>38.8193747086</v>
      </c>
      <c r="R13" s="68" t="n">
        <f aca="false">R11+R12</f>
        <v>40.0815459596</v>
      </c>
      <c r="S13" s="68" t="n">
        <f aca="false">S11+S12</f>
        <v>41.3815822664</v>
      </c>
    </row>
    <row r="14" customFormat="false" ht="15" hidden="false" customHeight="false" outlineLevel="0" collapsed="false">
      <c r="B14" s="24" t="s">
        <v>393</v>
      </c>
      <c r="C14" s="25" t="s">
        <v>170</v>
      </c>
      <c r="E14" s="47" t="n">
        <f aca="false">SUM(F14:S14)</f>
        <v>-81.025452</v>
      </c>
      <c r="F14" s="47" t="n">
        <f aca="false">-'P19 Badas Calculation'!F36</f>
        <v>-0</v>
      </c>
      <c r="G14" s="47" t="n">
        <f aca="false">-'P19 Badas Calculation'!G36</f>
        <v>-0</v>
      </c>
      <c r="H14" s="47" t="n">
        <f aca="false">-'P19 Badas Calculation'!H36</f>
        <v>-0</v>
      </c>
      <c r="I14" s="47" t="n">
        <f aca="false">-'P19 Badas Calculation'!I36</f>
        <v>-0</v>
      </c>
      <c r="J14" s="47" t="n">
        <f aca="false">-'P19 Badas Calculation'!J36</f>
        <v>-0</v>
      </c>
      <c r="K14" s="47" t="n">
        <f aca="false">-'P19 Badas Calculation'!K36</f>
        <v>-1.5</v>
      </c>
      <c r="L14" s="47" t="n">
        <f aca="false">-'P19 Badas Calculation'!L36</f>
        <v>-8.5</v>
      </c>
      <c r="M14" s="47" t="n">
        <f aca="false">-'P19 Badas Calculation'!M36</f>
        <v>-8.875</v>
      </c>
      <c r="N14" s="47" t="n">
        <f aca="false">-'P19 Badas Calculation'!N36</f>
        <v>-9.2672</v>
      </c>
      <c r="O14" s="47" t="n">
        <f aca="false">-'P19 Badas Calculation'!O36</f>
        <v>-9.677552</v>
      </c>
      <c r="P14" s="47" t="n">
        <f aca="false">-'P19 Badas Calculation'!P36</f>
        <v>-10.106836</v>
      </c>
      <c r="Q14" s="47" t="n">
        <f aca="false">-'P19 Badas Calculation'!Q36</f>
        <v>-10.555888</v>
      </c>
      <c r="R14" s="47" t="n">
        <f aca="false">-'P19 Badas Calculation'!R36</f>
        <v>-11.025672</v>
      </c>
      <c r="S14" s="47" t="n">
        <f aca="false">-'P19 Badas Calculation'!S36</f>
        <v>-11.517304</v>
      </c>
    </row>
    <row r="15" customFormat="false" ht="15" hidden="false" customHeight="false" outlineLevel="0" collapsed="false">
      <c r="B15" s="69" t="s">
        <v>346</v>
      </c>
      <c r="C15" s="25" t="s">
        <v>170</v>
      </c>
      <c r="E15" s="70" t="n">
        <f aca="false">SUM(F15:S15)</f>
        <v>194.914678843</v>
      </c>
      <c r="F15" s="68" t="n">
        <f aca="false">F13+F14</f>
        <v>0</v>
      </c>
      <c r="G15" s="68" t="n">
        <f aca="false">G13+G14</f>
        <v>0</v>
      </c>
      <c r="H15" s="68" t="n">
        <f aca="false">H13+H14</f>
        <v>0</v>
      </c>
      <c r="I15" s="68" t="n">
        <f aca="false">I13+I14</f>
        <v>0</v>
      </c>
      <c r="J15" s="68" t="n">
        <f aca="false">J13+J14</f>
        <v>0</v>
      </c>
      <c r="K15" s="68" t="n">
        <f aca="false">K13+K14</f>
        <v>-1.5</v>
      </c>
      <c r="L15" s="68" t="n">
        <f aca="false">L13+L14</f>
        <v>13.19775</v>
      </c>
      <c r="M15" s="68" t="n">
        <f aca="false">M13+M14</f>
        <v>18.2438675</v>
      </c>
      <c r="N15" s="68" t="n">
        <f aca="false">N13+N14</f>
        <v>23.575596375</v>
      </c>
      <c r="O15" s="68" t="n">
        <f aca="false">O13+O14</f>
        <v>26.726696284</v>
      </c>
      <c r="P15" s="68" t="n">
        <f aca="false">P13+P14</f>
        <v>27.4871297494</v>
      </c>
      <c r="Q15" s="68" t="n">
        <f aca="false">Q13+Q14</f>
        <v>28.2634867086</v>
      </c>
      <c r="R15" s="68" t="n">
        <f aca="false">R13+R14</f>
        <v>29.0558739596</v>
      </c>
      <c r="S15" s="68" t="n">
        <f aca="false">S13+S14</f>
        <v>29.8642782664</v>
      </c>
    </row>
    <row r="16" customFormat="false" ht="15" hidden="false" customHeight="false" outlineLevel="0" collapsed="false">
      <c r="B16" s="24" t="s">
        <v>349</v>
      </c>
      <c r="C16" s="25" t="s">
        <v>170</v>
      </c>
      <c r="E16" s="47" t="n">
        <f aca="false">SUM(F16:S16)</f>
        <v>-91.084</v>
      </c>
      <c r="F16" s="47" t="n">
        <f aca="false">-'P19 Badas Calculation'!F57</f>
        <v>-0</v>
      </c>
      <c r="G16" s="47" t="n">
        <f aca="false">-'P19 Badas Calculation'!G57</f>
        <v>-0</v>
      </c>
      <c r="H16" s="47" t="n">
        <f aca="false">-'P19 Badas Calculation'!H57</f>
        <v>-0</v>
      </c>
      <c r="I16" s="47" t="n">
        <f aca="false">-'P19 Badas Calculation'!I57</f>
        <v>-0</v>
      </c>
      <c r="J16" s="47" t="n">
        <f aca="false">-'P19 Badas Calculation'!J57</f>
        <v>-0</v>
      </c>
      <c r="K16" s="47" t="n">
        <f aca="false">-'P19 Badas Calculation'!K57</f>
        <v>-0</v>
      </c>
      <c r="L16" s="47" t="n">
        <f aca="false">-'P19 Badas Calculation'!L57</f>
        <v>-11.3855</v>
      </c>
      <c r="M16" s="47" t="n">
        <f aca="false">-'P19 Badas Calculation'!M57</f>
        <v>-11.3855</v>
      </c>
      <c r="N16" s="47" t="n">
        <f aca="false">-'P19 Badas Calculation'!N57</f>
        <v>-11.3855</v>
      </c>
      <c r="O16" s="47" t="n">
        <f aca="false">-'P19 Badas Calculation'!O57</f>
        <v>-11.3855</v>
      </c>
      <c r="P16" s="47" t="n">
        <f aca="false">-'P19 Badas Calculation'!P57</f>
        <v>-11.3855</v>
      </c>
      <c r="Q16" s="47" t="n">
        <f aca="false">-'P19 Badas Calculation'!Q57</f>
        <v>-11.3855</v>
      </c>
      <c r="R16" s="47" t="n">
        <f aca="false">-'P19 Badas Calculation'!R57</f>
        <v>-11.3855</v>
      </c>
      <c r="S16" s="47" t="n">
        <f aca="false">-'P19 Badas Calculation'!S57</f>
        <v>-11.3855</v>
      </c>
    </row>
    <row r="17" customFormat="false" ht="15" hidden="false" customHeight="false" outlineLevel="0" collapsed="false">
      <c r="B17" s="69" t="s">
        <v>347</v>
      </c>
      <c r="C17" s="25" t="s">
        <v>170</v>
      </c>
      <c r="E17" s="70" t="n">
        <f aca="false">SUM(F17:S17)</f>
        <v>103.830678843</v>
      </c>
      <c r="F17" s="68" t="n">
        <f aca="false">F15+F16</f>
        <v>0</v>
      </c>
      <c r="G17" s="68" t="n">
        <f aca="false">G15+G16</f>
        <v>0</v>
      </c>
      <c r="H17" s="68" t="n">
        <f aca="false">H15+H16</f>
        <v>0</v>
      </c>
      <c r="I17" s="68" t="n">
        <f aca="false">I15+I16</f>
        <v>0</v>
      </c>
      <c r="J17" s="68" t="n">
        <f aca="false">J15+J16</f>
        <v>0</v>
      </c>
      <c r="K17" s="68" t="n">
        <f aca="false">K15+K16</f>
        <v>-1.5</v>
      </c>
      <c r="L17" s="68" t="n">
        <f aca="false">L15+L16</f>
        <v>1.81225</v>
      </c>
      <c r="M17" s="68" t="n">
        <f aca="false">M15+M16</f>
        <v>6.8583675</v>
      </c>
      <c r="N17" s="68" t="n">
        <f aca="false">N15+N16</f>
        <v>12.190096375</v>
      </c>
      <c r="O17" s="68" t="n">
        <f aca="false">O15+O16</f>
        <v>15.341196284</v>
      </c>
      <c r="P17" s="68" t="n">
        <f aca="false">P15+P16</f>
        <v>16.1016297494</v>
      </c>
      <c r="Q17" s="68" t="n">
        <f aca="false">Q15+Q16</f>
        <v>16.8779867086</v>
      </c>
      <c r="R17" s="68" t="n">
        <f aca="false">R15+R16</f>
        <v>17.6703739596</v>
      </c>
      <c r="S17" s="68" t="n">
        <f aca="false">S15+S16</f>
        <v>18.4787782664</v>
      </c>
    </row>
    <row r="18" customFormat="false" ht="15" hidden="false" customHeight="false" outlineLevel="0" collapsed="false">
      <c r="B18" s="24" t="s">
        <v>1104</v>
      </c>
      <c r="C18" s="25" t="s">
        <v>170</v>
      </c>
      <c r="E18" s="47" t="n">
        <f aca="false">SUM(F18:S18)</f>
        <v>-23.17274934546</v>
      </c>
      <c r="F18" s="47" t="n">
        <f aca="false">-MAX(0,F17)*'Global Inputs'!$E$27</f>
        <v>-0</v>
      </c>
      <c r="G18" s="47" t="n">
        <f aca="false">-MAX(0,G17)*'Global Inputs'!$E$27</f>
        <v>-0</v>
      </c>
      <c r="H18" s="47" t="n">
        <f aca="false">-MAX(0,H17)*'Global Inputs'!$E$27</f>
        <v>-0</v>
      </c>
      <c r="I18" s="47" t="n">
        <f aca="false">-MAX(0,I17)*'Global Inputs'!$E$27</f>
        <v>-0</v>
      </c>
      <c r="J18" s="47" t="n">
        <f aca="false">-MAX(0,J17)*'Global Inputs'!$E$27</f>
        <v>-0</v>
      </c>
      <c r="K18" s="47" t="n">
        <f aca="false">-MAX(0,K17)*'Global Inputs'!$E$27</f>
        <v>-0</v>
      </c>
      <c r="L18" s="47" t="n">
        <f aca="false">-MAX(0,L17)*'Global Inputs'!$E$27</f>
        <v>-0.398695</v>
      </c>
      <c r="M18" s="47" t="n">
        <f aca="false">-MAX(0,M17)*'Global Inputs'!$E$27</f>
        <v>-1.50884085</v>
      </c>
      <c r="N18" s="47" t="n">
        <f aca="false">-MAX(0,N17)*'Global Inputs'!$E$27</f>
        <v>-2.6818212025</v>
      </c>
      <c r="O18" s="47" t="n">
        <f aca="false">-MAX(0,O17)*'Global Inputs'!$E$27</f>
        <v>-3.37506318248</v>
      </c>
      <c r="P18" s="47" t="n">
        <f aca="false">-MAX(0,P17)*'Global Inputs'!$E$27</f>
        <v>-3.542358544868</v>
      </c>
      <c r="Q18" s="47" t="n">
        <f aca="false">-MAX(0,Q17)*'Global Inputs'!$E$27</f>
        <v>-3.713157075892</v>
      </c>
      <c r="R18" s="47" t="n">
        <f aca="false">-MAX(0,R17)*'Global Inputs'!$E$27</f>
        <v>-3.887482271112</v>
      </c>
      <c r="S18" s="47" t="n">
        <f aca="false">-MAX(0,S17)*'Global Inputs'!$E$27</f>
        <v>-4.065331218608</v>
      </c>
    </row>
    <row r="19" customFormat="false" ht="15" hidden="false" customHeight="false" outlineLevel="0" collapsed="false">
      <c r="B19" s="69" t="s">
        <v>1105</v>
      </c>
      <c r="C19" s="25" t="s">
        <v>170</v>
      </c>
      <c r="E19" s="70" t="n">
        <f aca="false">SUM(F19:S19)</f>
        <v>80.65792949754</v>
      </c>
      <c r="F19" s="68" t="n">
        <f aca="false">F17+F18</f>
        <v>0</v>
      </c>
      <c r="G19" s="68" t="n">
        <f aca="false">G17+G18</f>
        <v>0</v>
      </c>
      <c r="H19" s="68" t="n">
        <f aca="false">H17+H18</f>
        <v>0</v>
      </c>
      <c r="I19" s="68" t="n">
        <f aca="false">I17+I18</f>
        <v>0</v>
      </c>
      <c r="J19" s="68" t="n">
        <f aca="false">J17+J18</f>
        <v>0</v>
      </c>
      <c r="K19" s="68" t="n">
        <f aca="false">K17+K18</f>
        <v>-1.5</v>
      </c>
      <c r="L19" s="68" t="n">
        <f aca="false">L17+L18</f>
        <v>1.413555</v>
      </c>
      <c r="M19" s="68" t="n">
        <f aca="false">M17+M18</f>
        <v>5.34952665</v>
      </c>
      <c r="N19" s="68" t="n">
        <f aca="false">N17+N18</f>
        <v>9.50827517249999</v>
      </c>
      <c r="O19" s="68" t="n">
        <f aca="false">O17+O18</f>
        <v>11.96613310152</v>
      </c>
      <c r="P19" s="68" t="n">
        <f aca="false">P17+P18</f>
        <v>12.559271204532</v>
      </c>
      <c r="Q19" s="68" t="n">
        <f aca="false">Q17+Q18</f>
        <v>13.164829632708</v>
      </c>
      <c r="R19" s="68" t="n">
        <f aca="false">R17+R18</f>
        <v>13.782891688488</v>
      </c>
      <c r="S19" s="68" t="n">
        <f aca="false">S17+S18</f>
        <v>14.413447047792</v>
      </c>
    </row>
    <row r="20" customFormat="false" ht="15" hidden="false" customHeight="false" outlineLevel="0" collapsed="false">
      <c r="B20" s="24" t="s">
        <v>402</v>
      </c>
      <c r="C20" s="25" t="s">
        <v>160</v>
      </c>
      <c r="F20" s="49" t="n">
        <f aca="false">IF(F11=0,0,F15/F11)</f>
        <v>0</v>
      </c>
      <c r="G20" s="49" t="n">
        <f aca="false">IF(G11=0,0,G15/G11)</f>
        <v>0</v>
      </c>
      <c r="H20" s="49" t="n">
        <f aca="false">IF(H11=0,0,H15/H11)</f>
        <v>0</v>
      </c>
      <c r="I20" s="49" t="n">
        <f aca="false">IF(I11=0,0,I15/I11)</f>
        <v>0</v>
      </c>
      <c r="J20" s="49" t="n">
        <f aca="false">IF(J11=0,0,J15/J11)</f>
        <v>0</v>
      </c>
      <c r="K20" s="49" t="n">
        <f aca="false">IF(K11=0,0,K15/K11)</f>
        <v>0</v>
      </c>
      <c r="L20" s="49" t="n">
        <f aca="false">IF(L11=0,0,L15/L11)</f>
        <v>0.423208273208273</v>
      </c>
      <c r="M20" s="49" t="n">
        <f aca="false">IF(M11=0,0,M15/M11)</f>
        <v>0.480599449693301</v>
      </c>
      <c r="N20" s="49" t="n">
        <f aca="false">IF(N11=0,0,N15/N11)</f>
        <v>0.522569328594087</v>
      </c>
      <c r="O20" s="49" t="n">
        <f aca="false">IF(O11=0,0,O15/O11)</f>
        <v>0.539213253667718</v>
      </c>
      <c r="P20" s="49" t="n">
        <f aca="false">IF(P11=0,0,P15/P11)</f>
        <v>0.53840297072702</v>
      </c>
      <c r="Q20" s="49" t="n">
        <f aca="false">IF(Q11=0,0,Q15/Q11)</f>
        <v>0.537485271659578</v>
      </c>
      <c r="R20" s="49" t="n">
        <f aca="false">IF(R11=0,0,R15/R11)</f>
        <v>0.536460251465998</v>
      </c>
      <c r="S20" s="49" t="n">
        <f aca="false">IF(S11=0,0,S15/S11)</f>
        <v>0.535326083798708</v>
      </c>
    </row>
    <row r="21" customFormat="false" ht="15" hidden="false" customHeight="false" outlineLevel="0" collapsed="false">
      <c r="B21" s="24" t="s">
        <v>1106</v>
      </c>
      <c r="C21" s="25" t="s">
        <v>160</v>
      </c>
      <c r="F21" s="49" t="n">
        <f aca="false">IF(F11=0,0,F17/F11)</f>
        <v>0</v>
      </c>
      <c r="G21" s="49" t="n">
        <f aca="false">IF(G11=0,0,G17/G11)</f>
        <v>0</v>
      </c>
      <c r="H21" s="49" t="n">
        <f aca="false">IF(H11=0,0,H17/H11)</f>
        <v>0</v>
      </c>
      <c r="I21" s="49" t="n">
        <f aca="false">IF(I11=0,0,I17/I11)</f>
        <v>0</v>
      </c>
      <c r="J21" s="49" t="n">
        <f aca="false">IF(J11=0,0,J17/J11)</f>
        <v>0</v>
      </c>
      <c r="K21" s="49" t="n">
        <f aca="false">IF(K11=0,0,K17/K11)</f>
        <v>0</v>
      </c>
      <c r="L21" s="49" t="n">
        <f aca="false">IF(L11=0,0,L17/L11)</f>
        <v>0.0581128747795414</v>
      </c>
      <c r="M21" s="49" t="n">
        <f aca="false">IF(M11=0,0,M17/M11)</f>
        <v>0.180670444262677</v>
      </c>
      <c r="N21" s="49" t="n">
        <f aca="false">IF(N11=0,0,N17/N11)</f>
        <v>0.270201880658935</v>
      </c>
      <c r="O21" s="49" t="n">
        <f aca="false">IF(O11=0,0,O17/O11)</f>
        <v>0.309509872658781</v>
      </c>
      <c r="P21" s="49" t="n">
        <f aca="false">IF(P11=0,0,P17/P11)</f>
        <v>0.315389979589002</v>
      </c>
      <c r="Q21" s="49" t="n">
        <f aca="false">IF(Q11=0,0,Q17/Q11)</f>
        <v>0.320967804314756</v>
      </c>
      <c r="R21" s="49" t="n">
        <f aca="false">IF(R11=0,0,R17/R11)</f>
        <v>0.32624911820053</v>
      </c>
      <c r="S21" s="49" t="n">
        <f aca="false">IF(S11=0,0,S17/S11)</f>
        <v>0.331237604823224</v>
      </c>
    </row>
    <row r="23" customFormat="false" ht="15" hidden="false" customHeight="false" outlineLevel="0" collapsed="false">
      <c r="B23" s="22" t="s">
        <v>1107</v>
      </c>
      <c r="C23" s="23"/>
      <c r="D23" s="23"/>
      <c r="E23" s="23"/>
      <c r="F23" s="23"/>
      <c r="G23" s="23"/>
      <c r="H23" s="23"/>
      <c r="I23" s="23"/>
      <c r="J23" s="23"/>
      <c r="K23" s="23"/>
      <c r="L23" s="23"/>
      <c r="M23" s="23"/>
      <c r="N23" s="23"/>
      <c r="O23" s="23"/>
      <c r="P23" s="23"/>
      <c r="Q23" s="23"/>
      <c r="R23" s="23"/>
      <c r="S23" s="23"/>
    </row>
    <row r="24" customFormat="false" ht="15" hidden="false" customHeight="false" outlineLevel="0" collapsed="false">
      <c r="B24" s="24" t="s">
        <v>456</v>
      </c>
      <c r="C24" s="25" t="s">
        <v>170</v>
      </c>
      <c r="E24" s="47" t="n">
        <f aca="false">SUM(F24:S24)</f>
        <v>80.65792949754</v>
      </c>
      <c r="F24" s="47" t="n">
        <f aca="false">F19</f>
        <v>0</v>
      </c>
      <c r="G24" s="47" t="n">
        <f aca="false">G19</f>
        <v>0</v>
      </c>
      <c r="H24" s="47" t="n">
        <f aca="false">H19</f>
        <v>0</v>
      </c>
      <c r="I24" s="47" t="n">
        <f aca="false">I19</f>
        <v>0</v>
      </c>
      <c r="J24" s="47" t="n">
        <f aca="false">J19</f>
        <v>0</v>
      </c>
      <c r="K24" s="47" t="n">
        <f aca="false">K19</f>
        <v>-1.5</v>
      </c>
      <c r="L24" s="47" t="n">
        <f aca="false">L19</f>
        <v>1.413555</v>
      </c>
      <c r="M24" s="47" t="n">
        <f aca="false">M19</f>
        <v>5.34952665</v>
      </c>
      <c r="N24" s="47" t="n">
        <f aca="false">N19</f>
        <v>9.50827517249999</v>
      </c>
      <c r="O24" s="47" t="n">
        <f aca="false">O19</f>
        <v>11.96613310152</v>
      </c>
      <c r="P24" s="47" t="n">
        <f aca="false">P19</f>
        <v>12.559271204532</v>
      </c>
      <c r="Q24" s="47" t="n">
        <f aca="false">Q19</f>
        <v>13.164829632708</v>
      </c>
      <c r="R24" s="47" t="n">
        <f aca="false">R19</f>
        <v>13.782891688488</v>
      </c>
      <c r="S24" s="47" t="n">
        <f aca="false">S19</f>
        <v>14.413447047792</v>
      </c>
    </row>
    <row r="25" customFormat="false" ht="15" hidden="false" customHeight="false" outlineLevel="0" collapsed="false">
      <c r="B25" s="24" t="s">
        <v>419</v>
      </c>
      <c r="C25" s="25" t="s">
        <v>170</v>
      </c>
      <c r="E25" s="47" t="n">
        <f aca="false">SUM(F25:S25)</f>
        <v>91.084</v>
      </c>
      <c r="F25" s="47" t="n">
        <f aca="false">-F16</f>
        <v>0</v>
      </c>
      <c r="G25" s="47" t="n">
        <f aca="false">-G16</f>
        <v>0</v>
      </c>
      <c r="H25" s="47" t="n">
        <f aca="false">-H16</f>
        <v>0</v>
      </c>
      <c r="I25" s="47" t="n">
        <f aca="false">-I16</f>
        <v>0</v>
      </c>
      <c r="J25" s="47" t="n">
        <f aca="false">-J16</f>
        <v>0</v>
      </c>
      <c r="K25" s="47" t="n">
        <f aca="false">-K16</f>
        <v>0</v>
      </c>
      <c r="L25" s="47" t="n">
        <f aca="false">-L16</f>
        <v>11.3855</v>
      </c>
      <c r="M25" s="47" t="n">
        <f aca="false">-M16</f>
        <v>11.3855</v>
      </c>
      <c r="N25" s="47" t="n">
        <f aca="false">-N16</f>
        <v>11.3855</v>
      </c>
      <c r="O25" s="47" t="n">
        <f aca="false">-O16</f>
        <v>11.3855</v>
      </c>
      <c r="P25" s="47" t="n">
        <f aca="false">-P16</f>
        <v>11.3855</v>
      </c>
      <c r="Q25" s="47" t="n">
        <f aca="false">-Q16</f>
        <v>11.3855</v>
      </c>
      <c r="R25" s="47" t="n">
        <f aca="false">-R16</f>
        <v>11.3855</v>
      </c>
      <c r="S25" s="47" t="n">
        <f aca="false">-S16</f>
        <v>11.3855</v>
      </c>
    </row>
    <row r="26" customFormat="false" ht="15" hidden="false" customHeight="false" outlineLevel="0" collapsed="false">
      <c r="B26" s="24" t="s">
        <v>1108</v>
      </c>
      <c r="C26" s="25" t="s">
        <v>170</v>
      </c>
      <c r="E26" s="47" t="n">
        <f aca="false">SUM(F26:S26)</f>
        <v>-162.65</v>
      </c>
      <c r="F26" s="47" t="n">
        <f aca="false">-'P19 Badas Calculation'!F48</f>
        <v>-0</v>
      </c>
      <c r="G26" s="47" t="n">
        <f aca="false">-'P19 Badas Calculation'!G48</f>
        <v>-0</v>
      </c>
      <c r="H26" s="47" t="n">
        <f aca="false">-'P19 Badas Calculation'!H48</f>
        <v>-0</v>
      </c>
      <c r="I26" s="47" t="n">
        <f aca="false">-'P19 Badas Calculation'!I48</f>
        <v>-0</v>
      </c>
      <c r="J26" s="47" t="n">
        <f aca="false">-'P19 Badas Calculation'!J48</f>
        <v>-97.59</v>
      </c>
      <c r="K26" s="47" t="n">
        <f aca="false">-'P19 Badas Calculation'!K48</f>
        <v>-65.06</v>
      </c>
      <c r="L26" s="47" t="n">
        <f aca="false">-'P19 Badas Calculation'!L48</f>
        <v>-0</v>
      </c>
      <c r="M26" s="47" t="n">
        <f aca="false">-'P19 Badas Calculation'!M48</f>
        <v>-0</v>
      </c>
      <c r="N26" s="47" t="n">
        <f aca="false">-'P19 Badas Calculation'!N48</f>
        <v>-0</v>
      </c>
      <c r="O26" s="47" t="n">
        <f aca="false">-'P19 Badas Calculation'!O48</f>
        <v>-0</v>
      </c>
      <c r="P26" s="47" t="n">
        <f aca="false">-'P19 Badas Calculation'!P48</f>
        <v>-0</v>
      </c>
      <c r="Q26" s="47" t="n">
        <f aca="false">-'P19 Badas Calculation'!Q48</f>
        <v>-0</v>
      </c>
      <c r="R26" s="47" t="n">
        <f aca="false">-'P19 Badas Calculation'!R48</f>
        <v>-0</v>
      </c>
      <c r="S26" s="47" t="n">
        <f aca="false">-'P19 Badas Calculation'!S48</f>
        <v>-0</v>
      </c>
    </row>
    <row r="27" customFormat="false" ht="15" hidden="false" customHeight="false" outlineLevel="0" collapsed="false">
      <c r="B27" s="24" t="s">
        <v>651</v>
      </c>
      <c r="C27" s="25" t="s">
        <v>170</v>
      </c>
      <c r="E27" s="47" t="n">
        <f aca="false">SUM(F27:S27)</f>
        <v>-5.67828864937705</v>
      </c>
      <c r="F27" s="47" t="n">
        <f aca="false">-'P19 Badas Calculation'!F63</f>
        <v>-0</v>
      </c>
      <c r="G27" s="47" t="n">
        <f aca="false">-'P19 Badas Calculation'!G63</f>
        <v>-0</v>
      </c>
      <c r="H27" s="47" t="n">
        <f aca="false">-'P19 Badas Calculation'!H63</f>
        <v>-0</v>
      </c>
      <c r="I27" s="47" t="n">
        <f aca="false">-'P19 Badas Calculation'!I63</f>
        <v>-0</v>
      </c>
      <c r="J27" s="47" t="n">
        <f aca="false">-'P19 Badas Calculation'!J63</f>
        <v>-0</v>
      </c>
      <c r="K27" s="47" t="n">
        <f aca="false">-'P19 Badas Calculation'!K63</f>
        <v>-0</v>
      </c>
      <c r="L27" s="47" t="n">
        <f aca="false">-'P19 Badas Calculation'!L63</f>
        <v>-3.06495205479452</v>
      </c>
      <c r="M27" s="47" t="n">
        <f aca="false">-'P19 Badas Calculation'!M63</f>
        <v>-0.724022671232877</v>
      </c>
      <c r="N27" s="47" t="n">
        <f aca="false">-'P19 Badas Calculation'!N63</f>
        <v>-0.764464941780821</v>
      </c>
      <c r="O27" s="47" t="n">
        <f aca="false">-'P19 Badas Calculation'!O63</f>
        <v>-0.461912516126208</v>
      </c>
      <c r="P27" s="47" t="n">
        <f aca="false">-'P19 Badas Calculation'!P63</f>
        <v>-0.172634575687491</v>
      </c>
      <c r="Q27" s="47" t="n">
        <f aca="false">-'P19 Badas Calculation'!Q63</f>
        <v>-0.163660695386302</v>
      </c>
      <c r="R27" s="47" t="n">
        <f aca="false">-'P19 Badas Calculation'!R63</f>
        <v>-0.168570521178082</v>
      </c>
      <c r="S27" s="47" t="n">
        <f aca="false">-'P19 Badas Calculation'!S63</f>
        <v>-0.158070673190749</v>
      </c>
    </row>
    <row r="28" customFormat="false" ht="15" hidden="false" customHeight="false" outlineLevel="0" collapsed="false">
      <c r="B28" s="69" t="s">
        <v>1109</v>
      </c>
      <c r="C28" s="25" t="s">
        <v>170</v>
      </c>
      <c r="E28" s="70" t="n">
        <f aca="false">SUM(F28:S28)</f>
        <v>3.41364084816294</v>
      </c>
      <c r="F28" s="68" t="n">
        <f aca="false">F24+F25+F26+F27</f>
        <v>0</v>
      </c>
      <c r="G28" s="68" t="n">
        <f aca="false">G24+G25+G26+G27</f>
        <v>0</v>
      </c>
      <c r="H28" s="68" t="n">
        <f aca="false">H24+H25+H26+H27</f>
        <v>0</v>
      </c>
      <c r="I28" s="68" t="n">
        <f aca="false">I24+I25+I26+I27</f>
        <v>0</v>
      </c>
      <c r="J28" s="68" t="n">
        <f aca="false">J24+J25+J26+J27</f>
        <v>-97.59</v>
      </c>
      <c r="K28" s="68" t="n">
        <f aca="false">K24+K25+K26+K27</f>
        <v>-66.56</v>
      </c>
      <c r="L28" s="68" t="n">
        <f aca="false">L24+L25+L26+L27</f>
        <v>9.73410294520548</v>
      </c>
      <c r="M28" s="68" t="n">
        <f aca="false">M24+M25+M26+M27</f>
        <v>16.0110039787671</v>
      </c>
      <c r="N28" s="68" t="n">
        <f aca="false">N24+N25+N26+N27</f>
        <v>20.1293102307192</v>
      </c>
      <c r="O28" s="68" t="n">
        <f aca="false">O24+O25+O26+O27</f>
        <v>22.8897205853938</v>
      </c>
      <c r="P28" s="68" t="n">
        <f aca="false">P24+P25+P26+P27</f>
        <v>23.7721366288445</v>
      </c>
      <c r="Q28" s="68" t="n">
        <f aca="false">Q24+Q25+Q26+Q27</f>
        <v>24.3866689373217</v>
      </c>
      <c r="R28" s="68" t="n">
        <f aca="false">R24+R25+R26+R27</f>
        <v>24.9998211673099</v>
      </c>
      <c r="S28" s="68" t="n">
        <f aca="false">S24+S25+S26+S27</f>
        <v>25.6408763746013</v>
      </c>
    </row>
    <row r="29" customFormat="false" ht="15" hidden="false" customHeight="false" outlineLevel="0" collapsed="false">
      <c r="B29" s="24" t="s">
        <v>354</v>
      </c>
      <c r="C29" s="25" t="s">
        <v>170</v>
      </c>
      <c r="F29" s="47" t="n">
        <f aca="false">SUM($F$28:F28)</f>
        <v>0</v>
      </c>
      <c r="G29" s="47" t="n">
        <f aca="false">SUM($F$28:G28)</f>
        <v>0</v>
      </c>
      <c r="H29" s="47" t="n">
        <f aca="false">SUM($F$28:H28)</f>
        <v>0</v>
      </c>
      <c r="I29" s="47" t="n">
        <f aca="false">SUM($F$28:I28)</f>
        <v>0</v>
      </c>
      <c r="J29" s="47" t="n">
        <f aca="false">SUM($F$28:J28)</f>
        <v>-97.59</v>
      </c>
      <c r="K29" s="47" t="n">
        <f aca="false">SUM($F$28:K28)</f>
        <v>-164.15</v>
      </c>
      <c r="L29" s="47" t="n">
        <f aca="false">SUM($F$28:L28)</f>
        <v>-154.415897054795</v>
      </c>
      <c r="M29" s="47" t="n">
        <f aca="false">SUM($F$28:M28)</f>
        <v>-138.404893076027</v>
      </c>
      <c r="N29" s="47" t="n">
        <f aca="false">SUM($F$28:N28)</f>
        <v>-118.275582845308</v>
      </c>
      <c r="O29" s="47" t="n">
        <f aca="false">SUM($F$28:O28)</f>
        <v>-95.3858622599145</v>
      </c>
      <c r="P29" s="47" t="n">
        <f aca="false">SUM($F$28:P28)</f>
        <v>-71.6137256310699</v>
      </c>
      <c r="Q29" s="47" t="n">
        <f aca="false">SUM($F$28:Q28)</f>
        <v>-47.2270566937482</v>
      </c>
      <c r="R29" s="47" t="n">
        <f aca="false">SUM($F$28:R28)</f>
        <v>-22.2272355264383</v>
      </c>
      <c r="S29" s="47" t="n">
        <f aca="false">SUM($F$28:S28)</f>
        <v>3.41364084816294</v>
      </c>
    </row>
    <row r="30" customFormat="false" ht="15" hidden="false" customHeight="false" outlineLevel="0" collapsed="false">
      <c r="B30" s="24" t="s">
        <v>1110</v>
      </c>
      <c r="C30" s="25" t="s">
        <v>170</v>
      </c>
      <c r="E30" s="47" t="n">
        <f aca="false">SUM(F30:S30)</f>
        <v>3.41364084816294</v>
      </c>
      <c r="F30" s="47" t="n">
        <f aca="false">F28*'Global Inputs'!F16</f>
        <v>0</v>
      </c>
      <c r="G30" s="47" t="n">
        <f aca="false">G28*'Global Inputs'!G16</f>
        <v>0</v>
      </c>
      <c r="H30" s="47" t="n">
        <f aca="false">H28*'Global Inputs'!H16</f>
        <v>0</v>
      </c>
      <c r="I30" s="47" t="n">
        <f aca="false">I28*'Global Inputs'!I16</f>
        <v>0</v>
      </c>
      <c r="J30" s="47" t="n">
        <f aca="false">J28*'Global Inputs'!J16</f>
        <v>-97.59</v>
      </c>
      <c r="K30" s="47" t="n">
        <f aca="false">K28*'Global Inputs'!K16</f>
        <v>-66.56</v>
      </c>
      <c r="L30" s="47" t="n">
        <f aca="false">L28*'Global Inputs'!L16</f>
        <v>9.73410294520548</v>
      </c>
      <c r="M30" s="47" t="n">
        <f aca="false">M28*'Global Inputs'!M16</f>
        <v>16.0110039787671</v>
      </c>
      <c r="N30" s="47" t="n">
        <f aca="false">N28*'Global Inputs'!N16</f>
        <v>20.1293102307192</v>
      </c>
      <c r="O30" s="47" t="n">
        <f aca="false">O28*'Global Inputs'!O16</f>
        <v>22.8897205853938</v>
      </c>
      <c r="P30" s="47" t="n">
        <f aca="false">P28*'Global Inputs'!P16</f>
        <v>23.7721366288445</v>
      </c>
      <c r="Q30" s="47" t="n">
        <f aca="false">Q28*'Global Inputs'!Q16</f>
        <v>24.3866689373217</v>
      </c>
      <c r="R30" s="47" t="n">
        <f aca="false">R28*'Global Inputs'!R16</f>
        <v>24.9998211673099</v>
      </c>
      <c r="S30" s="47" t="n">
        <f aca="false">S28*'Global Inputs'!S16</f>
        <v>25.6408763746013</v>
      </c>
    </row>
    <row r="31" customFormat="false" ht="15" hidden="false" customHeight="false" outlineLevel="0" collapsed="false">
      <c r="B31" s="24" t="s">
        <v>1111</v>
      </c>
      <c r="C31" s="25" t="s">
        <v>170</v>
      </c>
      <c r="E31" s="47" t="n">
        <f aca="false">SUM(F31:S31)</f>
        <v>164.15</v>
      </c>
      <c r="F31" s="47" t="n">
        <f aca="false">MAX(0,-F28)</f>
        <v>-0</v>
      </c>
      <c r="G31" s="47" t="n">
        <f aca="false">MAX(0,-G28)</f>
        <v>-0</v>
      </c>
      <c r="H31" s="47" t="n">
        <f aca="false">MAX(0,-H28)</f>
        <v>-0</v>
      </c>
      <c r="I31" s="47" t="n">
        <f aca="false">MAX(0,-I28)</f>
        <v>-0</v>
      </c>
      <c r="J31" s="47" t="n">
        <f aca="false">MAX(0,-J28)</f>
        <v>97.59</v>
      </c>
      <c r="K31" s="47" t="n">
        <f aca="false">MAX(0,-K28)</f>
        <v>66.56</v>
      </c>
      <c r="L31" s="47" t="n">
        <f aca="false">MAX(0,-L28)</f>
        <v>0</v>
      </c>
      <c r="M31" s="47" t="n">
        <f aca="false">MAX(0,-M28)</f>
        <v>0</v>
      </c>
      <c r="N31" s="47" t="n">
        <f aca="false">MAX(0,-N28)</f>
        <v>0</v>
      </c>
      <c r="O31" s="47" t="n">
        <f aca="false">MAX(0,-O28)</f>
        <v>0</v>
      </c>
      <c r="P31" s="47" t="n">
        <f aca="false">MAX(0,-P28)</f>
        <v>0</v>
      </c>
      <c r="Q31" s="47" t="n">
        <f aca="false">MAX(0,-Q28)</f>
        <v>0</v>
      </c>
      <c r="R31" s="47" t="n">
        <f aca="false">MAX(0,-R28)</f>
        <v>0</v>
      </c>
      <c r="S31" s="47" t="n">
        <f aca="false">MAX(0,-S28)</f>
        <v>0</v>
      </c>
    </row>
    <row r="33" customFormat="false" ht="15" hidden="false" customHeight="false" outlineLevel="0" collapsed="false">
      <c r="B33" s="22" t="s">
        <v>1112</v>
      </c>
      <c r="C33" s="23"/>
      <c r="D33" s="23"/>
      <c r="E33" s="23"/>
      <c r="F33" s="23"/>
      <c r="G33" s="23"/>
      <c r="H33" s="23"/>
      <c r="I33" s="23"/>
      <c r="J33" s="23"/>
      <c r="K33" s="23"/>
      <c r="L33" s="23"/>
      <c r="M33" s="23"/>
      <c r="N33" s="23"/>
      <c r="O33" s="23"/>
      <c r="P33" s="23"/>
      <c r="Q33" s="23"/>
      <c r="R33" s="23"/>
      <c r="S33" s="23"/>
    </row>
    <row r="34" customFormat="false" ht="15" hidden="false" customHeight="false" outlineLevel="0" collapsed="false">
      <c r="B34" s="24" t="s">
        <v>1113</v>
      </c>
      <c r="C34" s="25" t="s">
        <v>240</v>
      </c>
      <c r="E34" s="44" t="n">
        <f aca="false">SUM(F34:S34)</f>
        <v>10</v>
      </c>
      <c r="F34" s="44" t="n">
        <f aca="false">'P19 Badas Calculation'!F46</f>
        <v>0</v>
      </c>
      <c r="G34" s="44" t="n">
        <f aca="false">'P19 Badas Calculation'!G46</f>
        <v>0</v>
      </c>
      <c r="H34" s="44" t="n">
        <f aca="false">'P19 Badas Calculation'!H46</f>
        <v>0</v>
      </c>
      <c r="I34" s="44" t="n">
        <f aca="false">'P19 Badas Calculation'!I46</f>
        <v>0</v>
      </c>
      <c r="J34" s="44" t="n">
        <f aca="false">'P19 Badas Calculation'!J46</f>
        <v>6</v>
      </c>
      <c r="K34" s="44" t="n">
        <f aca="false">'P19 Badas Calculation'!K46</f>
        <v>4</v>
      </c>
      <c r="L34" s="44" t="n">
        <f aca="false">'P19 Badas Calculation'!L46</f>
        <v>0</v>
      </c>
      <c r="M34" s="44" t="n">
        <f aca="false">'P19 Badas Calculation'!M46</f>
        <v>0</v>
      </c>
      <c r="N34" s="44" t="n">
        <f aca="false">'P19 Badas Calculation'!N46</f>
        <v>0</v>
      </c>
      <c r="O34" s="44" t="n">
        <f aca="false">'P19 Badas Calculation'!O46</f>
        <v>0</v>
      </c>
      <c r="P34" s="44" t="n">
        <f aca="false">'P19 Badas Calculation'!P46</f>
        <v>0</v>
      </c>
      <c r="Q34" s="44" t="n">
        <f aca="false">'P19 Badas Calculation'!Q46</f>
        <v>0</v>
      </c>
      <c r="R34" s="44" t="n">
        <f aca="false">'P19 Badas Calculation'!R46</f>
        <v>0</v>
      </c>
      <c r="S34" s="44" t="n">
        <f aca="false">'P19 Badas Calculation'!S46</f>
        <v>0</v>
      </c>
    </row>
    <row r="35" customFormat="false" ht="15" hidden="false" customHeight="false" outlineLevel="0" collapsed="false">
      <c r="B35" s="24" t="s">
        <v>1114</v>
      </c>
      <c r="C35" s="25" t="s">
        <v>170</v>
      </c>
      <c r="E35" s="47" t="n">
        <f aca="false">SUM(F35:S35)</f>
        <v>162.65</v>
      </c>
      <c r="F35" s="47" t="n">
        <f aca="false">'P19 Badas Calculation'!F48</f>
        <v>0</v>
      </c>
      <c r="G35" s="47" t="n">
        <f aca="false">'P19 Badas Calculation'!G48</f>
        <v>0</v>
      </c>
      <c r="H35" s="47" t="n">
        <f aca="false">'P19 Badas Calculation'!H48</f>
        <v>0</v>
      </c>
      <c r="I35" s="47" t="n">
        <f aca="false">'P19 Badas Calculation'!I48</f>
        <v>0</v>
      </c>
      <c r="J35" s="47" t="n">
        <f aca="false">'P19 Badas Calculation'!J48</f>
        <v>97.59</v>
      </c>
      <c r="K35" s="47" t="n">
        <f aca="false">'P19 Badas Calculation'!K48</f>
        <v>65.06</v>
      </c>
      <c r="L35" s="47" t="n">
        <f aca="false">'P19 Badas Calculation'!L48</f>
        <v>0</v>
      </c>
      <c r="M35" s="47" t="n">
        <f aca="false">'P19 Badas Calculation'!M48</f>
        <v>0</v>
      </c>
      <c r="N35" s="47" t="n">
        <f aca="false">'P19 Badas Calculation'!N48</f>
        <v>0</v>
      </c>
      <c r="O35" s="47" t="n">
        <f aca="false">'P19 Badas Calculation'!O48</f>
        <v>0</v>
      </c>
      <c r="P35" s="47" t="n">
        <f aca="false">'P19 Badas Calculation'!P48</f>
        <v>0</v>
      </c>
      <c r="Q35" s="47" t="n">
        <f aca="false">'P19 Badas Calculation'!Q48</f>
        <v>0</v>
      </c>
      <c r="R35" s="47" t="n">
        <f aca="false">'P19 Badas Calculation'!R48</f>
        <v>0</v>
      </c>
      <c r="S35" s="47" t="n">
        <f aca="false">'P19 Badas Calculation'!S48</f>
        <v>0</v>
      </c>
    </row>
    <row r="36" customFormat="false" ht="15" hidden="false" customHeight="false" outlineLevel="0" collapsed="false">
      <c r="B36" s="24" t="s">
        <v>1115</v>
      </c>
      <c r="C36" s="25" t="s">
        <v>170</v>
      </c>
      <c r="F36" s="47" t="n">
        <f aca="false">'P19 Badas Calculation'!F55</f>
        <v>0</v>
      </c>
      <c r="G36" s="47" t="n">
        <f aca="false">'P19 Badas Calculation'!G55</f>
        <v>0</v>
      </c>
      <c r="H36" s="47" t="n">
        <f aca="false">'P19 Badas Calculation'!H55</f>
        <v>0</v>
      </c>
      <c r="I36" s="47" t="n">
        <f aca="false">'P19 Badas Calculation'!I55</f>
        <v>0</v>
      </c>
      <c r="J36" s="47" t="n">
        <f aca="false">'P19 Badas Calculation'!J55</f>
        <v>97.59</v>
      </c>
      <c r="K36" s="47" t="n">
        <f aca="false">'P19 Badas Calculation'!K55</f>
        <v>162.65</v>
      </c>
      <c r="L36" s="47" t="n">
        <f aca="false">'P19 Badas Calculation'!L55</f>
        <v>151.2645</v>
      </c>
      <c r="M36" s="47" t="n">
        <f aca="false">'P19 Badas Calculation'!M55</f>
        <v>139.879</v>
      </c>
      <c r="N36" s="47" t="n">
        <f aca="false">'P19 Badas Calculation'!N55</f>
        <v>128.4935</v>
      </c>
      <c r="O36" s="47" t="n">
        <f aca="false">'P19 Badas Calculation'!O55</f>
        <v>117.108</v>
      </c>
      <c r="P36" s="47" t="n">
        <f aca="false">'P19 Badas Calculation'!P55</f>
        <v>105.7225</v>
      </c>
      <c r="Q36" s="47" t="n">
        <f aca="false">'P19 Badas Calculation'!Q55</f>
        <v>94.337</v>
      </c>
      <c r="R36" s="47" t="n">
        <f aca="false">'P19 Badas Calculation'!R55</f>
        <v>82.9515</v>
      </c>
      <c r="S36" s="47" t="n">
        <f aca="false">'P19 Badas Calculation'!S55</f>
        <v>71.566</v>
      </c>
    </row>
    <row r="37" customFormat="false" ht="15" hidden="false" customHeight="false" outlineLevel="0" collapsed="false">
      <c r="B37" s="24" t="s">
        <v>463</v>
      </c>
      <c r="C37" s="25" t="s">
        <v>170</v>
      </c>
      <c r="F37" s="47" t="n">
        <f aca="false">'P19 Badas Calculation'!F60</f>
        <v>0</v>
      </c>
      <c r="G37" s="47" t="n">
        <f aca="false">'P19 Badas Calculation'!G60</f>
        <v>0</v>
      </c>
      <c r="H37" s="47" t="n">
        <f aca="false">'P19 Badas Calculation'!H60</f>
        <v>0</v>
      </c>
      <c r="I37" s="47" t="n">
        <f aca="false">'P19 Badas Calculation'!I60</f>
        <v>0</v>
      </c>
      <c r="J37" s="47" t="n">
        <f aca="false">'P19 Badas Calculation'!J60</f>
        <v>0</v>
      </c>
      <c r="K37" s="47" t="n">
        <f aca="false">'P19 Badas Calculation'!K60</f>
        <v>0</v>
      </c>
      <c r="L37" s="47" t="n">
        <f aca="false">'P19 Badas Calculation'!L60</f>
        <v>3.84472602739726</v>
      </c>
      <c r="M37" s="47" t="n">
        <f aca="false">'P19 Badas Calculation'!M60</f>
        <v>4.6800801369863</v>
      </c>
      <c r="N37" s="47" t="n">
        <f aca="false">'P19 Badas Calculation'!N60</f>
        <v>5.56209523972603</v>
      </c>
      <c r="O37" s="47" t="n">
        <f aca="false">'P19 Badas Calculation'!O60</f>
        <v>6.09419221967213</v>
      </c>
      <c r="P37" s="47" t="n">
        <f aca="false">'P19 Badas Calculation'!P60</f>
        <v>6.29421529956164</v>
      </c>
      <c r="Q37" s="47" t="n">
        <f aca="false">'P19 Badas Calculation'!Q60</f>
        <v>6.48304175194521</v>
      </c>
      <c r="R37" s="47" t="n">
        <f aca="false">'P19 Badas Calculation'!R60</f>
        <v>6.6775330070137</v>
      </c>
      <c r="S37" s="47" t="n">
        <f aca="false">'P19 Badas Calculation'!S60</f>
        <v>6.85906703016394</v>
      </c>
    </row>
    <row r="38" customFormat="false" ht="15" hidden="false" customHeight="false" outlineLevel="0" collapsed="false">
      <c r="B38" s="24" t="s">
        <v>1116</v>
      </c>
      <c r="C38" s="25" t="s">
        <v>170</v>
      </c>
      <c r="F38" s="47" t="n">
        <f aca="false">-'P19 Badas Calculation'!F61</f>
        <v>-0</v>
      </c>
      <c r="G38" s="47" t="n">
        <f aca="false">-'P19 Badas Calculation'!G61</f>
        <v>-0</v>
      </c>
      <c r="H38" s="47" t="n">
        <f aca="false">-'P19 Badas Calculation'!H61</f>
        <v>-0</v>
      </c>
      <c r="I38" s="47" t="n">
        <f aca="false">-'P19 Badas Calculation'!I61</f>
        <v>-0</v>
      </c>
      <c r="J38" s="47" t="n">
        <f aca="false">-'P19 Badas Calculation'!J61</f>
        <v>-0</v>
      </c>
      <c r="K38" s="47" t="n">
        <f aca="false">-'P19 Badas Calculation'!K61</f>
        <v>-0</v>
      </c>
      <c r="L38" s="47" t="n">
        <f aca="false">-'P19 Badas Calculation'!L61</f>
        <v>-0.77977397260274</v>
      </c>
      <c r="M38" s="47" t="n">
        <f aca="false">-'P19 Badas Calculation'!M61</f>
        <v>-0.891105410958904</v>
      </c>
      <c r="N38" s="47" t="n">
        <f aca="false">-'P19 Badas Calculation'!N61</f>
        <v>-1.00865557191781</v>
      </c>
      <c r="O38" s="47" t="n">
        <f aca="false">-'P19 Badas Calculation'!O61</f>
        <v>-1.0788400357377</v>
      </c>
      <c r="P38" s="47" t="n">
        <f aca="false">-'P19 Badas Calculation'!P61</f>
        <v>-1.10622853993973</v>
      </c>
      <c r="Q38" s="47" t="n">
        <f aca="false">-'P19 Badas Calculation'!Q61</f>
        <v>-1.13139429693699</v>
      </c>
      <c r="R38" s="47" t="n">
        <f aca="false">-'P19 Badas Calculation'!R61</f>
        <v>-1.1573150308274</v>
      </c>
      <c r="S38" s="47" t="n">
        <f aca="false">-'P19 Badas Calculation'!S61</f>
        <v>-1.18077838078689</v>
      </c>
    </row>
    <row r="39" customFormat="false" ht="15" hidden="false" customHeight="false" outlineLevel="0" collapsed="false">
      <c r="B39" s="69" t="s">
        <v>1117</v>
      </c>
      <c r="C39" s="25" t="s">
        <v>170</v>
      </c>
      <c r="F39" s="68" t="n">
        <f aca="false">F36+F37+F38</f>
        <v>0</v>
      </c>
      <c r="G39" s="68" t="n">
        <f aca="false">G36+G37+G38</f>
        <v>0</v>
      </c>
      <c r="H39" s="68" t="n">
        <f aca="false">H36+H37+H38</f>
        <v>0</v>
      </c>
      <c r="I39" s="68" t="n">
        <f aca="false">I36+I37+I38</f>
        <v>0</v>
      </c>
      <c r="J39" s="68" t="n">
        <f aca="false">J36+J37+J38</f>
        <v>97.59</v>
      </c>
      <c r="K39" s="68" t="n">
        <f aca="false">K36+K37+K38</f>
        <v>162.65</v>
      </c>
      <c r="L39" s="68" t="n">
        <f aca="false">L36+L37+L38</f>
        <v>154.329452054795</v>
      </c>
      <c r="M39" s="68" t="n">
        <f aca="false">M36+M37+M38</f>
        <v>143.667974726027</v>
      </c>
      <c r="N39" s="68" t="n">
        <f aca="false">N36+N37+N38</f>
        <v>133.046939667808</v>
      </c>
      <c r="O39" s="68" t="n">
        <f aca="false">O36+O37+O38</f>
        <v>122.123352183934</v>
      </c>
      <c r="P39" s="68" t="n">
        <f aca="false">P36+P37+P38</f>
        <v>110.910486759622</v>
      </c>
      <c r="Q39" s="68" t="n">
        <f aca="false">Q36+Q37+Q38</f>
        <v>99.6886474550082</v>
      </c>
      <c r="R39" s="68" t="n">
        <f aca="false">R36+R37+R38</f>
        <v>88.4717179761863</v>
      </c>
      <c r="S39" s="68" t="n">
        <f aca="false">S36+S37+S38</f>
        <v>77.244288649377</v>
      </c>
    </row>
    <row r="41" customFormat="false" ht="15" hidden="false" customHeight="false" outlineLevel="0" collapsed="false">
      <c r="B41" s="22" t="s">
        <v>1119</v>
      </c>
      <c r="C41" s="23"/>
      <c r="D41" s="23"/>
      <c r="E41" s="23"/>
      <c r="F41" s="23"/>
      <c r="G41" s="23"/>
      <c r="H41" s="23"/>
      <c r="I41" s="23"/>
      <c r="J41" s="23"/>
      <c r="K41" s="23"/>
      <c r="L41" s="23"/>
      <c r="M41" s="23"/>
      <c r="N41" s="23"/>
      <c r="O41" s="23"/>
      <c r="P41" s="23"/>
      <c r="Q41" s="23"/>
      <c r="R41" s="23"/>
      <c r="S41" s="23"/>
    </row>
    <row r="42" customFormat="false" ht="15" hidden="false" customHeight="false" outlineLevel="0" collapsed="false">
      <c r="B42" s="24" t="s">
        <v>1120</v>
      </c>
      <c r="C42" s="25" t="s">
        <v>143</v>
      </c>
      <c r="F42" s="30" t="n">
        <f aca="false">0</f>
        <v>0</v>
      </c>
      <c r="G42" s="30" t="n">
        <f aca="false">MIN(1,F42+F43)</f>
        <v>0</v>
      </c>
      <c r="H42" s="30" t="n">
        <f aca="false">MIN(1,G42+G43)</f>
        <v>0</v>
      </c>
      <c r="I42" s="30" t="n">
        <f aca="false">MIN(1,H42+H43)</f>
        <v>0</v>
      </c>
      <c r="J42" s="30" t="n">
        <f aca="false">MIN(1,I42+I43)</f>
        <v>0</v>
      </c>
      <c r="K42" s="30" t="n">
        <f aca="false">MIN(1,J42+J43)</f>
        <v>0</v>
      </c>
      <c r="L42" s="30" t="n">
        <f aca="false">MIN(1,K42+K43)</f>
        <v>0</v>
      </c>
      <c r="M42" s="30" t="n">
        <f aca="false">MIN(1,L42+L43)</f>
        <v>0</v>
      </c>
      <c r="N42" s="30" t="n">
        <f aca="false">MIN(1,M42+M43)</f>
        <v>0</v>
      </c>
      <c r="O42" s="30" t="n">
        <f aca="false">MIN(1,N42+N43)</f>
        <v>0</v>
      </c>
      <c r="P42" s="30" t="n">
        <f aca="false">MIN(1,O42+O43)</f>
        <v>0</v>
      </c>
      <c r="Q42" s="30" t="n">
        <f aca="false">MIN(1,P42+P43)</f>
        <v>0</v>
      </c>
      <c r="R42" s="30" t="n">
        <f aca="false">MIN(1,Q42+Q43)</f>
        <v>0</v>
      </c>
      <c r="S42" s="30" t="n">
        <f aca="false">MIN(1,R42+R43)</f>
        <v>0</v>
      </c>
    </row>
    <row r="43" customFormat="false" ht="15" hidden="false" customHeight="false" outlineLevel="0" collapsed="false">
      <c r="B43" s="24" t="s">
        <v>1121</v>
      </c>
      <c r="C43" s="25" t="s">
        <v>143</v>
      </c>
      <c r="F43" s="30" t="n">
        <f aca="false">0</f>
        <v>0</v>
      </c>
      <c r="G43" s="30" t="n">
        <f aca="false">IF(AND(G29&gt;=0,F29&lt;0,G42=0),1,0)</f>
        <v>0</v>
      </c>
      <c r="H43" s="30" t="n">
        <f aca="false">IF(AND(H29&gt;=0,G29&lt;0,H42=0),1,0)</f>
        <v>0</v>
      </c>
      <c r="I43" s="30" t="n">
        <f aca="false">IF(AND(I29&gt;=0,H29&lt;0,I42=0),1,0)</f>
        <v>0</v>
      </c>
      <c r="J43" s="30" t="n">
        <f aca="false">IF(AND(J29&gt;=0,I29&lt;0,J42=0),1,0)</f>
        <v>0</v>
      </c>
      <c r="K43" s="30" t="n">
        <f aca="false">IF(AND(K29&gt;=0,J29&lt;0,K42=0),1,0)</f>
        <v>0</v>
      </c>
      <c r="L43" s="30" t="n">
        <f aca="false">IF(AND(L29&gt;=0,K29&lt;0,L42=0),1,0)</f>
        <v>0</v>
      </c>
      <c r="M43" s="30" t="n">
        <f aca="false">IF(AND(M29&gt;=0,L29&lt;0,M42=0),1,0)</f>
        <v>0</v>
      </c>
      <c r="N43" s="30" t="n">
        <f aca="false">IF(AND(N29&gt;=0,M29&lt;0,N42=0),1,0)</f>
        <v>0</v>
      </c>
      <c r="O43" s="30" t="n">
        <f aca="false">IF(AND(O29&gt;=0,N29&lt;0,O42=0),1,0)</f>
        <v>0</v>
      </c>
      <c r="P43" s="30" t="n">
        <f aca="false">IF(AND(P29&gt;=0,O29&lt;0,P42=0),1,0)</f>
        <v>0</v>
      </c>
      <c r="Q43" s="30" t="n">
        <f aca="false">IF(AND(Q29&gt;=0,P29&lt;0,Q42=0),1,0)</f>
        <v>0</v>
      </c>
      <c r="R43" s="30" t="n">
        <f aca="false">IF(AND(R29&gt;=0,Q29&lt;0,R42=0),1,0)</f>
        <v>0</v>
      </c>
      <c r="S43" s="30" t="n">
        <f aca="false">IF(AND(S29&gt;=0,R29&lt;0,S42=0),1,0)</f>
        <v>1</v>
      </c>
    </row>
    <row r="44" customFormat="false" ht="15" hidden="false" customHeight="false" outlineLevel="0" collapsed="false">
      <c r="B44" s="24" t="s">
        <v>1122</v>
      </c>
      <c r="C44" s="25" t="s">
        <v>170</v>
      </c>
      <c r="F44" s="47" t="n">
        <f aca="false">IF(F$5='Global Inputs'!$E$14,F28*(1+'Global Inputs'!$E$54)/('Global Inputs'!$E$53-'Global Inputs'!$E$54),0)</f>
        <v>0</v>
      </c>
      <c r="G44" s="47" t="n">
        <f aca="false">IF(G$5='Global Inputs'!$E$14,G28*(1+'Global Inputs'!$E$54)/('Global Inputs'!$E$53-'Global Inputs'!$E$54),0)</f>
        <v>0</v>
      </c>
      <c r="H44" s="47" t="n">
        <f aca="false">IF(H$5='Global Inputs'!$E$14,H28*(1+'Global Inputs'!$E$54)/('Global Inputs'!$E$53-'Global Inputs'!$E$54),0)</f>
        <v>0</v>
      </c>
      <c r="I44" s="47" t="n">
        <f aca="false">IF(I$5='Global Inputs'!$E$14,I28*(1+'Global Inputs'!$E$54)/('Global Inputs'!$E$53-'Global Inputs'!$E$54),0)</f>
        <v>0</v>
      </c>
      <c r="J44" s="47" t="n">
        <f aca="false">IF(J$5='Global Inputs'!$E$14,J28*(1+'Global Inputs'!$E$54)/('Global Inputs'!$E$53-'Global Inputs'!$E$54),0)</f>
        <v>0</v>
      </c>
      <c r="K44" s="47" t="n">
        <f aca="false">IF(K$5='Global Inputs'!$E$14,K28*(1+'Global Inputs'!$E$54)/('Global Inputs'!$E$53-'Global Inputs'!$E$54),0)</f>
        <v>0</v>
      </c>
      <c r="L44" s="47" t="n">
        <f aca="false">IF(L$5='Global Inputs'!$E$14,L28*(1+'Global Inputs'!$E$54)/('Global Inputs'!$E$53-'Global Inputs'!$E$54),0)</f>
        <v>0</v>
      </c>
      <c r="M44" s="47" t="n">
        <f aca="false">IF(M$5='Global Inputs'!$E$14,M28*(1+'Global Inputs'!$E$54)/('Global Inputs'!$E$53-'Global Inputs'!$E$54),0)</f>
        <v>0</v>
      </c>
      <c r="N44" s="47" t="n">
        <f aca="false">IF(N$5='Global Inputs'!$E$14,N28*(1+'Global Inputs'!$E$54)/('Global Inputs'!$E$53-'Global Inputs'!$E$54),0)</f>
        <v>0</v>
      </c>
      <c r="O44" s="47" t="n">
        <f aca="false">IF(O$5='Global Inputs'!$E$14,O28*(1+'Global Inputs'!$E$54)/('Global Inputs'!$E$53-'Global Inputs'!$E$54),0)</f>
        <v>0</v>
      </c>
      <c r="P44" s="47" t="n">
        <f aca="false">IF(P$5='Global Inputs'!$E$14,P28*(1+'Global Inputs'!$E$54)/('Global Inputs'!$E$53-'Global Inputs'!$E$54),0)</f>
        <v>0</v>
      </c>
      <c r="Q44" s="47" t="n">
        <f aca="false">IF(Q$5='Global Inputs'!$E$14,Q28*(1+'Global Inputs'!$E$54)/('Global Inputs'!$E$53-'Global Inputs'!$E$54),0)</f>
        <v>0</v>
      </c>
      <c r="R44" s="47" t="n">
        <f aca="false">IF(R$5='Global Inputs'!$E$14,R28*(1+'Global Inputs'!$E$54)/('Global Inputs'!$E$53-'Global Inputs'!$E$54),0)</f>
        <v>0</v>
      </c>
      <c r="S44" s="47" t="n">
        <f aca="false">IF(S$5='Global Inputs'!$E$14,S28*(1+'Global Inputs'!$E$54)/('Global Inputs'!$E$53-'Global Inputs'!$E$54),0)</f>
        <v>297.863496556924</v>
      </c>
    </row>
    <row r="45" customFormat="false" ht="15" hidden="false" customHeight="false" outlineLevel="0" collapsed="false">
      <c r="B45" s="24" t="s">
        <v>1123</v>
      </c>
      <c r="C45" s="25" t="s">
        <v>170</v>
      </c>
      <c r="F45" s="47" t="n">
        <f aca="false">F28+F44</f>
        <v>0</v>
      </c>
      <c r="G45" s="47" t="n">
        <f aca="false">G28+G44</f>
        <v>0</v>
      </c>
      <c r="H45" s="47" t="n">
        <f aca="false">H28+H44</f>
        <v>0</v>
      </c>
      <c r="I45" s="47" t="n">
        <f aca="false">I28+I44</f>
        <v>0</v>
      </c>
      <c r="J45" s="47" t="n">
        <f aca="false">J28+J44</f>
        <v>-97.59</v>
      </c>
      <c r="K45" s="47" t="n">
        <f aca="false">K28+K44</f>
        <v>-66.56</v>
      </c>
      <c r="L45" s="47" t="n">
        <f aca="false">L28+L44</f>
        <v>9.73410294520548</v>
      </c>
      <c r="M45" s="47" t="n">
        <f aca="false">M28+M44</f>
        <v>16.0110039787671</v>
      </c>
      <c r="N45" s="47" t="n">
        <f aca="false">N28+N44</f>
        <v>20.1293102307192</v>
      </c>
      <c r="O45" s="47" t="n">
        <f aca="false">O28+O44</f>
        <v>22.8897205853938</v>
      </c>
      <c r="P45" s="47" t="n">
        <f aca="false">P28+P44</f>
        <v>23.7721366288445</v>
      </c>
      <c r="Q45" s="47" t="n">
        <f aca="false">Q28+Q44</f>
        <v>24.3866689373217</v>
      </c>
      <c r="R45" s="47" t="n">
        <f aca="false">R28+R44</f>
        <v>24.9998211673099</v>
      </c>
      <c r="S45" s="47" t="n">
        <f aca="false">S28+S44</f>
        <v>323.504372931526</v>
      </c>
    </row>
    <row r="46" customFormat="false" ht="15" hidden="false" customHeight="false" outlineLevel="0" collapsed="false">
      <c r="B46" s="24" t="s">
        <v>1124</v>
      </c>
      <c r="C46" s="25" t="s">
        <v>170</v>
      </c>
      <c r="E46" s="47" t="n">
        <f aca="false">SUM(F46:S46)</f>
        <v>35.230684044276</v>
      </c>
      <c r="F46" s="47" t="n">
        <f aca="false">F45*'Global Inputs'!F18</f>
        <v>0</v>
      </c>
      <c r="G46" s="47" t="n">
        <f aca="false">G45*'Global Inputs'!G18</f>
        <v>0</v>
      </c>
      <c r="H46" s="47" t="n">
        <f aca="false">H45*'Global Inputs'!H18</f>
        <v>0</v>
      </c>
      <c r="I46" s="47" t="n">
        <f aca="false">I45*'Global Inputs'!I18</f>
        <v>0</v>
      </c>
      <c r="J46" s="47" t="n">
        <f aca="false">J45*'Global Inputs'!J18</f>
        <v>-87.2379036900695</v>
      </c>
      <c r="K46" s="47" t="n">
        <f aca="false">K45*'Global Inputs'!K18</f>
        <v>-53.1879337726503</v>
      </c>
      <c r="L46" s="47" t="n">
        <f aca="false">L45*'Global Inputs'!L18</f>
        <v>6.95337487458965</v>
      </c>
      <c r="M46" s="47" t="n">
        <f aca="false">M45*'Global Inputs'!M18</f>
        <v>10.223937301886</v>
      </c>
      <c r="N46" s="47" t="n">
        <f aca="false">N45*'Global Inputs'!N18</f>
        <v>11.4902216991539</v>
      </c>
      <c r="O46" s="47" t="n">
        <f aca="false">O45*'Global Inputs'!O18</f>
        <v>11.679921109141</v>
      </c>
      <c r="P46" s="47" t="n">
        <f aca="false">P45*'Global Inputs'!P18</f>
        <v>10.8434514371482</v>
      </c>
      <c r="Q46" s="47" t="n">
        <f aca="false">Q45*'Global Inputs'!Q18</f>
        <v>9.94378456613205</v>
      </c>
      <c r="R46" s="47" t="n">
        <f aca="false">R45*'Global Inputs'!R18</f>
        <v>9.11246827180801</v>
      </c>
      <c r="S46" s="47" t="n">
        <f aca="false">S45*'Global Inputs'!S18</f>
        <v>105.409362247137</v>
      </c>
    </row>
    <row r="47" customFormat="false" ht="15" hidden="false" customHeight="false" outlineLevel="0" collapsed="false">
      <c r="B47" s="24" t="s">
        <v>1125</v>
      </c>
      <c r="C47" s="25" t="s">
        <v>170</v>
      </c>
      <c r="E47" s="47" t="n">
        <f aca="false">SUM($F$46:$S$46)</f>
        <v>35.230684044276</v>
      </c>
    </row>
    <row r="48" customFormat="false" ht="15" hidden="false" customHeight="false" outlineLevel="0" collapsed="false">
      <c r="B48" s="24" t="s">
        <v>1126</v>
      </c>
      <c r="C48" s="25" t="s">
        <v>170</v>
      </c>
      <c r="E48" s="47" t="n">
        <f aca="false">SUMPRODUCT($F$28:$S$28,'Global Inputs'!$F$18:$S$18)</f>
        <v>-61.8239582910021</v>
      </c>
    </row>
    <row r="49" customFormat="false" ht="15" hidden="false" customHeight="false" outlineLevel="0" collapsed="false">
      <c r="B49" s="24" t="s">
        <v>1831</v>
      </c>
      <c r="C49" s="25" t="s">
        <v>160</v>
      </c>
      <c r="E49" s="49" t="n">
        <f aca="false">IFERROR(IRR($F$28:$S$28),"n/a")</f>
        <v>0.00368635332544859</v>
      </c>
    </row>
    <row r="50" customFormat="false" ht="15" hidden="false" customHeight="false" outlineLevel="0" collapsed="false">
      <c r="B50" s="24" t="s">
        <v>1832</v>
      </c>
      <c r="C50" s="25" t="s">
        <v>160</v>
      </c>
      <c r="E50" s="49" t="n">
        <f aca="false">IFERROR(IRR($F$45:$S$45),"n/a")</f>
        <v>0.155169273700875</v>
      </c>
    </row>
    <row r="51" customFormat="false" ht="15" hidden="false" customHeight="false" outlineLevel="0" collapsed="false">
      <c r="B51" s="24" t="s">
        <v>1128</v>
      </c>
      <c r="C51" s="25" t="s">
        <v>160</v>
      </c>
      <c r="E51" s="49" t="str">
        <f aca="false">"see section D2 (project debt)"</f>
        <v>see section D2 (project debt)</v>
      </c>
    </row>
    <row r="52" customFormat="false" ht="15" hidden="false" customHeight="false" outlineLevel="0" collapsed="false">
      <c r="B52" s="24" t="s">
        <v>1129</v>
      </c>
      <c r="C52" s="25" t="s">
        <v>135</v>
      </c>
      <c r="E52" s="29" t="n">
        <f aca="false">IF(SUM($F$43:$S$43)=0,"not within horizon",SUMPRODUCT($F$43:$S$43,'Global Inputs'!$F$15:$S$15))</f>
        <v>2036</v>
      </c>
    </row>
    <row r="53" customFormat="false" ht="15" hidden="false" customHeight="false" outlineLevel="0" collapsed="false">
      <c r="B53" s="24" t="s">
        <v>1130</v>
      </c>
      <c r="C53" s="25" t="s">
        <v>135</v>
      </c>
      <c r="E53" s="29" t="n">
        <f aca="false">IF(SUM('P19 Badas Calculation'!$F$46:$S$46)=0,"n/a",SUMPRODUCT('P19 Badas Calculation'!$F$56:$S$56,'Global Inputs'!$F$15:$S$15))</f>
        <v>2027</v>
      </c>
    </row>
    <row r="54" customFormat="false" ht="15" hidden="false" customHeight="false" outlineLevel="0" collapsed="false">
      <c r="B54" s="24" t="s">
        <v>1131</v>
      </c>
      <c r="C54" s="25" t="s">
        <v>240</v>
      </c>
      <c r="E54" s="44" t="n">
        <f aca="false">'P19 Badas FS Working Paper'!$E$57</f>
        <v>10</v>
      </c>
    </row>
    <row r="55" customFormat="false" ht="15" hidden="false" customHeight="false" outlineLevel="0" collapsed="false">
      <c r="B55" s="24" t="s">
        <v>1132</v>
      </c>
      <c r="C55" s="25" t="s">
        <v>240</v>
      </c>
      <c r="E55" s="44" t="n">
        <f aca="false">'P19 Badas FS Working Paper'!$E$63</f>
        <v>10</v>
      </c>
    </row>
    <row r="57" customFormat="false" ht="15" hidden="false" customHeight="false" outlineLevel="0" collapsed="false">
      <c r="B57" s="22" t="s">
        <v>2646</v>
      </c>
      <c r="C57" s="23"/>
      <c r="D57" s="23"/>
      <c r="E57" s="23"/>
      <c r="F57" s="23"/>
      <c r="G57" s="23"/>
      <c r="H57" s="23"/>
      <c r="I57" s="23"/>
      <c r="J57" s="23"/>
      <c r="K57" s="23"/>
      <c r="L57" s="23"/>
      <c r="M57" s="23"/>
      <c r="N57" s="23"/>
      <c r="O57" s="23"/>
      <c r="P57" s="23"/>
      <c r="Q57" s="23"/>
      <c r="R57" s="23"/>
      <c r="S57" s="23"/>
    </row>
    <row r="58" customFormat="false" ht="15" hidden="false" customHeight="false" outlineLevel="0" collapsed="false">
      <c r="B58" s="24" t="s">
        <v>2647</v>
      </c>
      <c r="C58" s="25" t="s">
        <v>170</v>
      </c>
      <c r="E58" s="47" t="n">
        <f aca="false">SUM(F58:S58)</f>
        <v>3.41364084816294</v>
      </c>
      <c r="F58" s="47" t="n">
        <f aca="false">F28</f>
        <v>0</v>
      </c>
      <c r="G58" s="47" t="n">
        <f aca="false">G28</f>
        <v>0</v>
      </c>
      <c r="H58" s="47" t="n">
        <f aca="false">H28</f>
        <v>0</v>
      </c>
      <c r="I58" s="47" t="n">
        <f aca="false">I28</f>
        <v>0</v>
      </c>
      <c r="J58" s="47" t="n">
        <f aca="false">J28</f>
        <v>-97.59</v>
      </c>
      <c r="K58" s="47" t="n">
        <f aca="false">K28</f>
        <v>-66.56</v>
      </c>
      <c r="L58" s="47" t="n">
        <f aca="false">L28</f>
        <v>9.73410294520548</v>
      </c>
      <c r="M58" s="47" t="n">
        <f aca="false">M28</f>
        <v>16.0110039787671</v>
      </c>
      <c r="N58" s="47" t="n">
        <f aca="false">N28</f>
        <v>20.1293102307192</v>
      </c>
      <c r="O58" s="47" t="n">
        <f aca="false">O28</f>
        <v>22.8897205853938</v>
      </c>
      <c r="P58" s="47" t="n">
        <f aca="false">P28</f>
        <v>23.7721366288445</v>
      </c>
      <c r="Q58" s="47" t="n">
        <f aca="false">Q28</f>
        <v>24.3866689373217</v>
      </c>
      <c r="R58" s="47" t="n">
        <f aca="false">R28</f>
        <v>24.9998211673099</v>
      </c>
      <c r="S58" s="47" t="n">
        <f aca="false">S28</f>
        <v>25.6408763746013</v>
      </c>
    </row>
    <row r="59" customFormat="false" ht="15" hidden="false" customHeight="false" outlineLevel="0" collapsed="false">
      <c r="B59" s="24" t="s">
        <v>2648</v>
      </c>
      <c r="C59" s="25" t="s">
        <v>170</v>
      </c>
      <c r="E59" s="47" t="n">
        <f aca="false">SUM(F59:S59)</f>
        <v>81.325</v>
      </c>
      <c r="F59" s="47" t="n">
        <f aca="false">'P19 Badas Calculation'!F39</f>
        <v>0</v>
      </c>
      <c r="G59" s="47" t="n">
        <f aca="false">'P19 Badas Calculation'!G39</f>
        <v>0</v>
      </c>
      <c r="H59" s="47" t="n">
        <f aca="false">'P19 Badas Calculation'!H39</f>
        <v>0</v>
      </c>
      <c r="I59" s="47" t="n">
        <f aca="false">'P19 Badas Calculation'!I39</f>
        <v>0</v>
      </c>
      <c r="J59" s="47" t="n">
        <f aca="false">'P19 Badas Calculation'!J39</f>
        <v>48.795</v>
      </c>
      <c r="K59" s="47" t="n">
        <f aca="false">'P19 Badas Calculation'!K39</f>
        <v>32.53</v>
      </c>
      <c r="L59" s="47" t="n">
        <f aca="false">'P19 Badas Calculation'!L39</f>
        <v>0</v>
      </c>
      <c r="M59" s="47" t="n">
        <f aca="false">'P19 Badas Calculation'!M39</f>
        <v>0</v>
      </c>
      <c r="N59" s="47" t="n">
        <f aca="false">'P19 Badas Calculation'!N39</f>
        <v>0</v>
      </c>
      <c r="O59" s="47" t="n">
        <f aca="false">'P19 Badas Calculation'!O39</f>
        <v>0</v>
      </c>
      <c r="P59" s="47" t="n">
        <f aca="false">'P19 Badas Calculation'!P39</f>
        <v>0</v>
      </c>
      <c r="Q59" s="47" t="n">
        <f aca="false">'P19 Badas Calculation'!Q39</f>
        <v>0</v>
      </c>
      <c r="R59" s="47" t="n">
        <f aca="false">'P19 Badas Calculation'!R39</f>
        <v>0</v>
      </c>
      <c r="S59" s="47" t="n">
        <f aca="false">'P19 Badas Calculation'!S39</f>
        <v>0</v>
      </c>
    </row>
    <row r="60" customFormat="false" ht="15" hidden="false" customHeight="false" outlineLevel="0" collapsed="false">
      <c r="B60" s="24" t="s">
        <v>2649</v>
      </c>
      <c r="C60" s="25" t="s">
        <v>170</v>
      </c>
      <c r="E60" s="47" t="n">
        <f aca="false">SUM(F60:S60)</f>
        <v>-81.325</v>
      </c>
      <c r="F60" s="47" t="n">
        <f aca="false">-'P19 Badas Calculation'!F41</f>
        <v>-0</v>
      </c>
      <c r="G60" s="47" t="n">
        <f aca="false">-'P19 Badas Calculation'!G41</f>
        <v>-0</v>
      </c>
      <c r="H60" s="47" t="n">
        <f aca="false">-'P19 Badas Calculation'!H41</f>
        <v>-0</v>
      </c>
      <c r="I60" s="47" t="n">
        <f aca="false">-'P19 Badas Calculation'!I41</f>
        <v>-0</v>
      </c>
      <c r="J60" s="47" t="n">
        <f aca="false">-'P19 Badas Calculation'!J41</f>
        <v>-0</v>
      </c>
      <c r="K60" s="47" t="n">
        <f aca="false">-'P19 Badas Calculation'!K41</f>
        <v>-0</v>
      </c>
      <c r="L60" s="47" t="n">
        <f aca="false">-'P19 Badas Calculation'!L41</f>
        <v>-0</v>
      </c>
      <c r="M60" s="47" t="n">
        <f aca="false">-'P19 Badas Calculation'!M41</f>
        <v>-9.759</v>
      </c>
      <c r="N60" s="47" t="n">
        <f aca="false">-'P19 Badas Calculation'!N41</f>
        <v>-16.265</v>
      </c>
      <c r="O60" s="47" t="n">
        <f aca="false">-'P19 Badas Calculation'!O41</f>
        <v>-16.265</v>
      </c>
      <c r="P60" s="47" t="n">
        <f aca="false">-'P19 Badas Calculation'!P41</f>
        <v>-16.265</v>
      </c>
      <c r="Q60" s="47" t="n">
        <f aca="false">-'P19 Badas Calculation'!Q41</f>
        <v>-16.265</v>
      </c>
      <c r="R60" s="47" t="n">
        <f aca="false">-'P19 Badas Calculation'!R41</f>
        <v>-6.506</v>
      </c>
      <c r="S60" s="47" t="n">
        <f aca="false">-'P19 Badas Calculation'!S41</f>
        <v>-0</v>
      </c>
    </row>
    <row r="61" customFormat="false" ht="15" hidden="false" customHeight="false" outlineLevel="0" collapsed="false">
      <c r="B61" s="24" t="s">
        <v>2650</v>
      </c>
      <c r="C61" s="25" t="s">
        <v>170</v>
      </c>
      <c r="E61" s="47" t="n">
        <f aca="false">SUM(F61:S61)</f>
        <v>-33.3025875</v>
      </c>
      <c r="F61" s="47" t="n">
        <f aca="false">-'P19 Badas Calculation'!F43*(1-'Global Inputs'!$E$27)</f>
        <v>-0</v>
      </c>
      <c r="G61" s="47" t="n">
        <f aca="false">-'P19 Badas Calculation'!G43*(1-'Global Inputs'!$E$27)</f>
        <v>-0</v>
      </c>
      <c r="H61" s="47" t="n">
        <f aca="false">-'P19 Badas Calculation'!H43*(1-'Global Inputs'!$E$27)</f>
        <v>-0</v>
      </c>
      <c r="I61" s="47" t="n">
        <f aca="false">-'P19 Badas Calculation'!I43*(1-'Global Inputs'!$E$27)</f>
        <v>-0</v>
      </c>
      <c r="J61" s="47" t="n">
        <f aca="false">-'P19 Badas Calculation'!J43*(1-'Global Inputs'!$E$27)</f>
        <v>-0</v>
      </c>
      <c r="K61" s="47" t="n">
        <f aca="false">-'P19 Badas Calculation'!K43*(1-'Global Inputs'!$E$27)</f>
        <v>-3.9963105</v>
      </c>
      <c r="L61" s="47" t="n">
        <f aca="false">-'P19 Badas Calculation'!L43*(1-'Global Inputs'!$E$27)</f>
        <v>-6.6605175</v>
      </c>
      <c r="M61" s="47" t="n">
        <f aca="false">-'P19 Badas Calculation'!M43*(1-'Global Inputs'!$E$27)</f>
        <v>-6.6605175</v>
      </c>
      <c r="N61" s="47" t="n">
        <f aca="false">-'P19 Badas Calculation'!N43*(1-'Global Inputs'!$E$27)</f>
        <v>-5.8612554</v>
      </c>
      <c r="O61" s="47" t="n">
        <f aca="false">-'P19 Badas Calculation'!O43*(1-'Global Inputs'!$E$27)</f>
        <v>-4.5291519</v>
      </c>
      <c r="P61" s="47" t="n">
        <f aca="false">-'P19 Badas Calculation'!P43*(1-'Global Inputs'!$E$27)</f>
        <v>-3.1970484</v>
      </c>
      <c r="Q61" s="47" t="n">
        <f aca="false">-'P19 Badas Calculation'!Q43*(1-'Global Inputs'!$E$27)</f>
        <v>-1.8649449</v>
      </c>
      <c r="R61" s="47" t="n">
        <f aca="false">-'P19 Badas Calculation'!R43*(1-'Global Inputs'!$E$27)</f>
        <v>-0.5328414</v>
      </c>
      <c r="S61" s="47" t="n">
        <f aca="false">-'P19 Badas Calculation'!S43*(1-'Global Inputs'!$E$27)</f>
        <v>-0</v>
      </c>
    </row>
    <row r="62" customFormat="false" ht="15" hidden="false" customHeight="false" outlineLevel="0" collapsed="false">
      <c r="B62" s="69" t="s">
        <v>2651</v>
      </c>
      <c r="C62" s="25" t="s">
        <v>170</v>
      </c>
      <c r="E62" s="70" t="n">
        <f aca="false">SUM(F62:S62)</f>
        <v>-29.8889466518371</v>
      </c>
      <c r="F62" s="68" t="n">
        <f aca="false">F58+F59+F60+F61</f>
        <v>0</v>
      </c>
      <c r="G62" s="68" t="n">
        <f aca="false">G58+G59+G60+G61</f>
        <v>0</v>
      </c>
      <c r="H62" s="68" t="n">
        <f aca="false">H58+H59+H60+H61</f>
        <v>0</v>
      </c>
      <c r="I62" s="68" t="n">
        <f aca="false">I58+I59+I60+I61</f>
        <v>0</v>
      </c>
      <c r="J62" s="68" t="n">
        <f aca="false">J58+J59+J60+J61</f>
        <v>-48.795</v>
      </c>
      <c r="K62" s="68" t="n">
        <f aca="false">K58+K59+K60+K61</f>
        <v>-38.0263105</v>
      </c>
      <c r="L62" s="68" t="n">
        <f aca="false">L58+L59+L60+L61</f>
        <v>3.07358544520548</v>
      </c>
      <c r="M62" s="68" t="n">
        <f aca="false">M58+M59+M60+M61</f>
        <v>-0.408513521232876</v>
      </c>
      <c r="N62" s="68" t="n">
        <f aca="false">N58+N59+N60+N61</f>
        <v>-1.99694516928083</v>
      </c>
      <c r="O62" s="68" t="n">
        <f aca="false">O58+O59+O60+O61</f>
        <v>2.09556868539379</v>
      </c>
      <c r="P62" s="68" t="n">
        <f aca="false">P58+P59+P60+P61</f>
        <v>4.31008822884451</v>
      </c>
      <c r="Q62" s="68" t="n">
        <f aca="false">Q58+Q59+Q60+Q61</f>
        <v>6.2567240373217</v>
      </c>
      <c r="R62" s="68" t="n">
        <f aca="false">R58+R59+R60+R61</f>
        <v>17.9609797673099</v>
      </c>
      <c r="S62" s="68" t="n">
        <f aca="false">S58+S59+S60+S61</f>
        <v>25.6408763746013</v>
      </c>
    </row>
    <row r="63" customFormat="false" ht="15" hidden="false" customHeight="false" outlineLevel="0" collapsed="false">
      <c r="B63" s="24" t="s">
        <v>2652</v>
      </c>
      <c r="C63" s="25" t="s">
        <v>170</v>
      </c>
      <c r="E63" s="47" t="n">
        <f aca="false">SUM(F63:S63)</f>
        <v>-29.8889466518371</v>
      </c>
      <c r="F63" s="47" t="n">
        <f aca="false">F62*'P19 Badas FS Working Paper'!$E$24</f>
        <v>0</v>
      </c>
      <c r="G63" s="47" t="n">
        <f aca="false">G62*'P19 Badas FS Working Paper'!$E$24</f>
        <v>0</v>
      </c>
      <c r="H63" s="47" t="n">
        <f aca="false">H62*'P19 Badas FS Working Paper'!$E$24</f>
        <v>0</v>
      </c>
      <c r="I63" s="47" t="n">
        <f aca="false">I62*'P19 Badas FS Working Paper'!$E$24</f>
        <v>0</v>
      </c>
      <c r="J63" s="47" t="n">
        <f aca="false">J62*'P19 Badas FS Working Paper'!$E$24</f>
        <v>-48.795</v>
      </c>
      <c r="K63" s="47" t="n">
        <f aca="false">K62*'P19 Badas FS Working Paper'!$E$24</f>
        <v>-38.0263105</v>
      </c>
      <c r="L63" s="47" t="n">
        <f aca="false">L62*'P19 Badas FS Working Paper'!$E$24</f>
        <v>3.07358544520548</v>
      </c>
      <c r="M63" s="47" t="n">
        <f aca="false">M62*'P19 Badas FS Working Paper'!$E$24</f>
        <v>-0.408513521232876</v>
      </c>
      <c r="N63" s="47" t="n">
        <f aca="false">N62*'P19 Badas FS Working Paper'!$E$24</f>
        <v>-1.99694516928083</v>
      </c>
      <c r="O63" s="47" t="n">
        <f aca="false">O62*'P19 Badas FS Working Paper'!$E$24</f>
        <v>2.09556868539379</v>
      </c>
      <c r="P63" s="47" t="n">
        <f aca="false">P62*'P19 Badas FS Working Paper'!$E$24</f>
        <v>4.31008822884451</v>
      </c>
      <c r="Q63" s="47" t="n">
        <f aca="false">Q62*'P19 Badas FS Working Paper'!$E$24</f>
        <v>6.2567240373217</v>
      </c>
      <c r="R63" s="47" t="n">
        <f aca="false">R62*'P19 Badas FS Working Paper'!$E$24</f>
        <v>17.9609797673099</v>
      </c>
      <c r="S63" s="47" t="n">
        <f aca="false">S62*'P19 Badas FS Working Paper'!$E$24</f>
        <v>25.6408763746013</v>
      </c>
    </row>
    <row r="64" customFormat="false" ht="15" hidden="false" customHeight="false" outlineLevel="0" collapsed="false">
      <c r="B64" s="24" t="s">
        <v>2653</v>
      </c>
      <c r="C64" s="25" t="s">
        <v>170</v>
      </c>
      <c r="E64" s="47" t="n">
        <f aca="false">SUM(F64:S64)</f>
        <v>267.974549905087</v>
      </c>
      <c r="F64" s="47" t="n">
        <f aca="false">F62+IF(F$5='Global Inputs'!$E$14,F44-'P19 Badas Calculation'!F42,0)</f>
        <v>0</v>
      </c>
      <c r="G64" s="47" t="n">
        <f aca="false">G62+IF(G$5='Global Inputs'!$E$14,G44-'P19 Badas Calculation'!G42,0)</f>
        <v>0</v>
      </c>
      <c r="H64" s="47" t="n">
        <f aca="false">H62+IF(H$5='Global Inputs'!$E$14,H44-'P19 Badas Calculation'!H42,0)</f>
        <v>0</v>
      </c>
      <c r="I64" s="47" t="n">
        <f aca="false">I62+IF(I$5='Global Inputs'!$E$14,I44-'P19 Badas Calculation'!I42,0)</f>
        <v>0</v>
      </c>
      <c r="J64" s="47" t="n">
        <f aca="false">J62+IF(J$5='Global Inputs'!$E$14,J44-'P19 Badas Calculation'!J42,0)</f>
        <v>-48.795</v>
      </c>
      <c r="K64" s="47" t="n">
        <f aca="false">K62+IF(K$5='Global Inputs'!$E$14,K44-'P19 Badas Calculation'!K42,0)</f>
        <v>-38.0263105</v>
      </c>
      <c r="L64" s="47" t="n">
        <f aca="false">L62+IF(L$5='Global Inputs'!$E$14,L44-'P19 Badas Calculation'!L42,0)</f>
        <v>3.07358544520548</v>
      </c>
      <c r="M64" s="47" t="n">
        <f aca="false">M62+IF(M$5='Global Inputs'!$E$14,M44-'P19 Badas Calculation'!M42,0)</f>
        <v>-0.408513521232876</v>
      </c>
      <c r="N64" s="47" t="n">
        <f aca="false">N62+IF(N$5='Global Inputs'!$E$14,N44-'P19 Badas Calculation'!N42,0)</f>
        <v>-1.99694516928083</v>
      </c>
      <c r="O64" s="47" t="n">
        <f aca="false">O62+IF(O$5='Global Inputs'!$E$14,O44-'P19 Badas Calculation'!O42,0)</f>
        <v>2.09556868539379</v>
      </c>
      <c r="P64" s="47" t="n">
        <f aca="false">P62+IF(P$5='Global Inputs'!$E$14,P44-'P19 Badas Calculation'!P42,0)</f>
        <v>4.31008822884451</v>
      </c>
      <c r="Q64" s="47" t="n">
        <f aca="false">Q62+IF(Q$5='Global Inputs'!$E$14,Q44-'P19 Badas Calculation'!Q42,0)</f>
        <v>6.2567240373217</v>
      </c>
      <c r="R64" s="47" t="n">
        <f aca="false">R62+IF(R$5='Global Inputs'!$E$14,R44-'P19 Badas Calculation'!R42,0)</f>
        <v>17.9609797673099</v>
      </c>
      <c r="S64" s="47" t="n">
        <f aca="false">S62+IF(S$5='Global Inputs'!$E$14,S44-'P19 Badas Calculation'!S42,0)</f>
        <v>323.504372931526</v>
      </c>
    </row>
    <row r="65" customFormat="false" ht="15" hidden="false" customHeight="false" outlineLevel="0" collapsed="false">
      <c r="B65" s="24" t="s">
        <v>2654</v>
      </c>
      <c r="C65" s="25" t="s">
        <v>160</v>
      </c>
      <c r="E65" s="49" t="str">
        <f aca="false">IFERROR(IRR($F$62:$S$62),"n/a")</f>
        <v>n/a</v>
      </c>
    </row>
    <row r="66" customFormat="false" ht="15" hidden="false" customHeight="false" outlineLevel="0" collapsed="false">
      <c r="B66" s="24" t="s">
        <v>2655</v>
      </c>
      <c r="C66" s="25" t="s">
        <v>160</v>
      </c>
      <c r="E66" s="49" t="n">
        <f aca="false">IFERROR(IRR($F$64:$S$64),"n/a")</f>
        <v>0.183647301827783</v>
      </c>
    </row>
    <row r="67" customFormat="false" ht="15" hidden="false" customHeight="false" outlineLevel="0" collapsed="false">
      <c r="B67" s="5" t="s">
        <v>2656</v>
      </c>
    </row>
    <row r="69" customFormat="false" ht="15" hidden="false" customHeight="false" outlineLevel="0" collapsed="false">
      <c r="B69" s="22" t="s">
        <v>1133</v>
      </c>
      <c r="C69" s="23"/>
      <c r="D69" s="23"/>
      <c r="E69" s="23"/>
      <c r="F69" s="23"/>
      <c r="G69" s="23"/>
      <c r="H69" s="23"/>
      <c r="I69" s="23"/>
      <c r="J69" s="23"/>
      <c r="K69" s="23"/>
      <c r="L69" s="23"/>
      <c r="M69" s="23"/>
      <c r="N69" s="23"/>
      <c r="O69" s="23"/>
      <c r="P69" s="23"/>
      <c r="Q69" s="23"/>
      <c r="R69" s="23"/>
      <c r="S69" s="23"/>
    </row>
    <row r="70" customFormat="false" ht="15" hidden="false" customHeight="false" outlineLevel="0" collapsed="false">
      <c r="B70" s="24" t="s">
        <v>1134</v>
      </c>
      <c r="C70" s="25" t="s">
        <v>180</v>
      </c>
      <c r="E70" s="29" t="n">
        <f aca="false">'P19 Badas FS Working Paper'!$E$22*IF('P19 Badas FS Working Paper'!$E$23=1,1,0)</f>
        <v>0</v>
      </c>
    </row>
    <row r="71" customFormat="false" ht="15" hidden="false" customHeight="false" outlineLevel="0" collapsed="false">
      <c r="B71" s="24" t="s">
        <v>1135</v>
      </c>
      <c r="C71" s="25" t="s">
        <v>180</v>
      </c>
      <c r="E71" s="29" t="n">
        <f aca="false">'P19 Badas FS Working Paper'!$E$22</f>
        <v>0</v>
      </c>
    </row>
    <row r="72" customFormat="false" ht="15" hidden="false" customHeight="false" outlineLevel="0" collapsed="false">
      <c r="B72" s="24" t="s">
        <v>897</v>
      </c>
      <c r="C72" s="25" t="s">
        <v>160</v>
      </c>
      <c r="E72" s="49" t="n">
        <f aca="false">'P19 Badas FS Working Paper'!$E$24</f>
        <v>1</v>
      </c>
    </row>
  </sheetData>
  <hyperlinks>
    <hyperlink ref="C3" r:id="rId1" location="'P19%20Badas%20FS%20Working%20Paper'!A1" display="Input"/>
    <hyperlink ref="D3" r:id="rId2" location="'P19%20Badas%20Calculation'!A1" display="Calc"/>
    <hyperlink ref="E3" r:id="rId3" location="'P19%20Badas%20Output'!A1" display="Output"/>
    <hyperlink ref="F3" r:id="rId4" location="'Navigation'!A1" display="Navigation"/>
    <hyperlink ref="G3" r:id="rId5" location="'Global%20Inputs'!A1" display="Global Inputs"/>
    <hyperlink ref="H3" r:id="rId6" location="'Project%20Summary'!A1" display="Project Summary"/>
    <hyperlink ref="I3" r:id="rId7" location="'Funding%20Requirement'!A1" display="Funding"/>
    <hyperlink ref="J3" r:id="rId8" location="'FSL%20Financials%20—%20Without%20BUMN'!A1" display="FSL w/o BUMN"/>
    <hyperlink ref="K3" r:id="rId9" location="'FSL%20Financials%20—%20With%20BUMN'!A1" display="FSL w/ BUMN"/>
    <hyperlink ref="L3" r:id="rId10" location="'Valuation%20—%20Without%20BUMN'!A1" display="Val w/o BUMN"/>
    <hyperlink ref="M3" r:id="rId11" location="'Valuation%20—%20With%20BUMN'!A1" display="Val w/ BUMN"/>
    <hyperlink ref="N3" r:id="rId12" location="'Checks'!A1" display="Checks"/>
    <hyperlink ref="O3" r:id="rId13" location="'Model%20Flow'!A1" display="Model Flow"/>
  </hyperlink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2026-09-29T01:35:55Z</dcterms:created>
  <dc:creator>openpyxl</dc:creator>
  <dc:description/>
  <dc:language>en-US</dc:language>
  <cp:lastModifiedBy/>
  <dcterms:modified xsi:type="dcterms:W3CDTF">2026-09-29T01:35:56Z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